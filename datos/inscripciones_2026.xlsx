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elina\Documents\Jorge\AsignacionesPop.jl\data\"/>
    </mc:Choice>
  </mc:AlternateContent>
  <bookViews>
    <workbookView xWindow="0" yWindow="0" windowWidth="23040" windowHeight="9072"/>
  </bookViews>
  <sheets>
    <sheet name="asignados" sheetId="1" r:id="rId1"/>
    <sheet name="Hoja 2" sheetId="2" r:id="rId2"/>
    <sheet name="rechazados" sheetId="3" r:id="rId3"/>
    <sheet name="Hoja 1" sheetId="4" r:id="rId4"/>
  </sheets>
  <definedNames>
    <definedName name="_xlnm._FilterDatabase" localSheetId="0" hidden="1">asignados!$A$1:$AD$134</definedName>
  </definedNames>
  <calcPr calcId="162913"/>
  <extLst>
    <ext uri="GoogleSheetsCustomDataVersion2">
      <go:sheetsCustomData xmlns:go="http://customooxmlschemas.google.com/" r:id="rId8" roundtripDataChecksum="qU1NECM59n9yJdmYZWps9R5ZbxWY/L5w3VhWOc02MBY="/>
    </ext>
  </extLst>
</workbook>
</file>

<file path=xl/calcChain.xml><?xml version="1.0" encoding="utf-8"?>
<calcChain xmlns="http://schemas.openxmlformats.org/spreadsheetml/2006/main">
  <c r="AB31" i="3" l="1"/>
  <c r="AA31" i="3"/>
  <c r="Z31" i="3"/>
  <c r="AC31" i="3" s="1"/>
</calcChain>
</file>

<file path=xl/comments1.xml><?xml version="1.0" encoding="utf-8"?>
<comments xmlns="http://schemas.openxmlformats.org/spreadsheetml/2006/main">
  <authors>
    <author/>
  </authors>
  <commentList>
    <comment ref="B134" authorId="0" shapeId="0">
      <text>
        <r>
          <rPr>
            <sz val="11"/>
            <color theme="1"/>
            <rFont val="Calibri"/>
            <scheme val="minor"/>
          </rPr>
          <t>======
ID#AAAB4c0tlwg
Popularización Exactas UBA    (2026-04-15 13:16:44)
agregue un colegio. no se si esta dentro del rango de suma para los totales. fijarse.</t>
        </r>
      </text>
    </comment>
  </commentList>
  <extLst>
    <ext xmlns:r="http://schemas.openxmlformats.org/officeDocument/2006/relationships" uri="GoogleSheetsCustomDataVersion2">
      <go:sheetsCustomData xmlns:go="http://customooxmlschemas.google.com/" r:id="rId1" roundtripDataSignature="AMtx7mjZ+nmJr0Je+2JQ43fv0g5D61OgWw=="/>
    </ext>
  </extLst>
</comments>
</file>

<file path=xl/sharedStrings.xml><?xml version="1.0" encoding="utf-8"?>
<sst xmlns="http://schemas.openxmlformats.org/spreadsheetml/2006/main" count="3800" uniqueCount="913">
  <si>
    <t>marca temporal</t>
  </si>
  <si>
    <t>direccion de correo electronico</t>
  </si>
  <si>
    <t>nombre oficial y completo de la institucion educativa</t>
  </si>
  <si>
    <t>codigo unico de escuela (cue)</t>
  </si>
  <si>
    <t>tipo de institucion educativa y orientacion</t>
  </si>
  <si>
    <t>especifica la orientacion de tu institucion educativa</t>
  </si>
  <si>
    <t>tipo de gestion de la institucion educativa</t>
  </si>
  <si>
    <t>apellido y nombre del/la docente responsable de la visita</t>
  </si>
  <si>
    <t>dni del/la docente responsable de la visita</t>
  </si>
  <si>
    <t>apellido y nombre del/la docente acompanante n° 1</t>
  </si>
  <si>
    <t>apellido y nombre del/la docente acompanante n° 2</t>
  </si>
  <si>
    <t>direccion de correo electronico donde va a recibir el resultado de la asignacion de vacantes</t>
  </si>
  <si>
    <t>ubicacion de la escuela</t>
  </si>
  <si>
    <t>barrio y comuna (caba) o localidad y partido (pba) de la institucion educativa</t>
  </si>
  <si>
    <t>cantidad de alumnos que asistiran</t>
  </si>
  <si>
    <t>curso que asistira</t>
  </si>
  <si>
    <t>porcentaje aproximado de estudiantes de familias de bajos recursos</t>
  </si>
  <si>
    <t>¿tenes observaciones o comentarios que consideres pertinentes?</t>
  </si>
  <si>
    <t>fecha solicitada</t>
  </si>
  <si>
    <t>turno solicitado</t>
  </si>
  <si>
    <t>¿te interesa que tu escuela participe de un taller o visita guiada?</t>
  </si>
  <si>
    <t>expresa cualquier aclaracion sobre la solicitud de inscripcion que facilite la administracion de vacantes.</t>
  </si>
  <si>
    <t>prioridad</t>
  </si>
  <si>
    <t>turno asignado</t>
  </si>
  <si>
    <t>Turno/s solicitado/s [Turno mañana (9:00 a 12.30 hs.)]</t>
  </si>
  <si>
    <t>Turno/s solicitado/s [Turno tarde (12.30 a 16:00 hs.)]</t>
  </si>
  <si>
    <t>profe.basoalto.math@gmail.com</t>
  </si>
  <si>
    <t>ESCUELA DE EDUCACIÓN SECUNDARIA Nº21 JOSÉ HERNANDEZ</t>
  </si>
  <si>
    <t>1. Liceos / Normales / Colegios / Institutos  orientados en ciencias naturales y/o exactas</t>
  </si>
  <si>
    <t xml:space="preserve">Bachiller en Naturales </t>
  </si>
  <si>
    <t>Estatal</t>
  </si>
  <si>
    <t>Basoalto Ana</t>
  </si>
  <si>
    <t>Escudero Claudia</t>
  </si>
  <si>
    <t>Aguilera Cintia</t>
  </si>
  <si>
    <t>Partidos del Gran Buenos Aires - Zona Oeste (PBA)</t>
  </si>
  <si>
    <t>Castelar, Morón</t>
  </si>
  <si>
    <t>6º Secundaria (Provincia de Buenos Aires) / 5º Media (CABA)</t>
  </si>
  <si>
    <t>Martes 28 de abril</t>
  </si>
  <si>
    <t>Jornada completa: turno completo (9:00 a 16.00 hs.)</t>
  </si>
  <si>
    <t>Sí</t>
  </si>
  <si>
    <t>turno completo (9:00 a 16.00 hs.)</t>
  </si>
  <si>
    <t>rocioalbarracin@fundalma.org.ar</t>
  </si>
  <si>
    <t xml:space="preserve">ESCUELA SECUNDARIA JUANA AZURDUY </t>
  </si>
  <si>
    <t>9. Liceos / Normales / Colegios / Institutos  orientados en ciencias sociales y/o humanidades</t>
  </si>
  <si>
    <t xml:space="preserve">CIENCIAS SOCIALES </t>
  </si>
  <si>
    <t>Privada con subsidio estatal</t>
  </si>
  <si>
    <t>ALBARRACIN, ROCIO</t>
  </si>
  <si>
    <t>NIEVA, IVANA</t>
  </si>
  <si>
    <t>CARLOS, MARÍA FERNANDA</t>
  </si>
  <si>
    <t>TRUJUI, MORENO</t>
  </si>
  <si>
    <t>asantiago2@abc.gob.ar</t>
  </si>
  <si>
    <t xml:space="preserve">Escuela de Educación Secundaria N°3 Francisco Javier Salustio </t>
  </si>
  <si>
    <t xml:space="preserve">Ciencias naturales </t>
  </si>
  <si>
    <t xml:space="preserve">Andrea Santiago </t>
  </si>
  <si>
    <t>Verónica Siris</t>
  </si>
  <si>
    <t>María Maiarota</t>
  </si>
  <si>
    <t>Partidos del Gran Buenos Aires - Zona Sur (PBA)</t>
  </si>
  <si>
    <t>Quilmes</t>
  </si>
  <si>
    <t>Bachiller en Naturales</t>
  </si>
  <si>
    <t>flopy0312@gmail.com</t>
  </si>
  <si>
    <t xml:space="preserve">Instituto Avellaneda </t>
  </si>
  <si>
    <t>10. Liceos / Normales / Colegios / Institutos de otras orientaciones</t>
  </si>
  <si>
    <t>Economia y administracion</t>
  </si>
  <si>
    <t>Peluso Florencia</t>
  </si>
  <si>
    <t xml:space="preserve">Ferreyra Daiana </t>
  </si>
  <si>
    <t>Fernandez Sandra</t>
  </si>
  <si>
    <t>avellaneda</t>
  </si>
  <si>
    <t>5º Secundaria (Provincia de Buenos Aires) / 4º Media (CABA)</t>
  </si>
  <si>
    <t>marisolnolasco874@gmail.com</t>
  </si>
  <si>
    <t>Escuela de Educación Secundaria N° 49</t>
  </si>
  <si>
    <t>Ciencias Naturales</t>
  </si>
  <si>
    <t>Marisol Nolasco</t>
  </si>
  <si>
    <t>Yamila Fernandez</t>
  </si>
  <si>
    <t>Santiago Manuel</t>
  </si>
  <si>
    <t>Partido de Morón</t>
  </si>
  <si>
    <t>Jornada simple: sólo turno mañana (9:00 a 12.30 hs.)</t>
  </si>
  <si>
    <t>turno mañana (9:00 a 12.30 hs.)</t>
  </si>
  <si>
    <t>No</t>
  </si>
  <si>
    <t>laurabusso@bue.edu.ar</t>
  </si>
  <si>
    <t>Normal 9</t>
  </si>
  <si>
    <t xml:space="preserve">Educación </t>
  </si>
  <si>
    <t xml:space="preserve">Busso Maria Laura </t>
  </si>
  <si>
    <t xml:space="preserve">Garcia Lorena </t>
  </si>
  <si>
    <t>Ciudad Autónoma de Buenos Aires (CABA)</t>
  </si>
  <si>
    <t>Balvanera</t>
  </si>
  <si>
    <t>soledadacunacardozo@grupolisieux.com</t>
  </si>
  <si>
    <t xml:space="preserve">Teresita de lisieux </t>
  </si>
  <si>
    <t xml:space="preserve">Economía </t>
  </si>
  <si>
    <t xml:space="preserve">Acuña Cardozo soledad </t>
  </si>
  <si>
    <t>Maria Ayala</t>
  </si>
  <si>
    <t xml:space="preserve">Eliana Rubira </t>
  </si>
  <si>
    <t>Partidos del Gran Buenos Aires - Zona Norte (PBA)</t>
  </si>
  <si>
    <t xml:space="preserve">Villa de  mayo </t>
  </si>
  <si>
    <t xml:space="preserve">Turismo </t>
  </si>
  <si>
    <t>mariela.quiroz@bue.edu.ar</t>
  </si>
  <si>
    <t>escuela de comercio 12 d.e. 21 Juan XXIII</t>
  </si>
  <si>
    <t xml:space="preserve">Administrativa contable </t>
  </si>
  <si>
    <t>Quiroz Mariela Andrea</t>
  </si>
  <si>
    <t>Urquiza Julieta</t>
  </si>
  <si>
    <t>Basualdo Veronica</t>
  </si>
  <si>
    <t xml:space="preserve">Villa Lugano </t>
  </si>
  <si>
    <t xml:space="preserve">Durante varios años asistimos con nuestros estudiantes a éstos talleres y notamos que regresan con el deseo renovado de seguir formándose. </t>
  </si>
  <si>
    <t>"Muchos de nuestros estudiantes provienen de entornos vulnerables donde el acceso a espacios universitarios es limitado por razones económicas. Como institución, asumimos el compromiso de romper esas barreras, brindándoles la posibilidad de vivir estas experiencias que despiertan en ellos el deseo genuino de proyectar un futuro profesional."</t>
  </si>
  <si>
    <t>daiana_ferreyra@live.com.ar</t>
  </si>
  <si>
    <t xml:space="preserve">Daiana Ferreyra </t>
  </si>
  <si>
    <t>Florencia peluso</t>
  </si>
  <si>
    <t xml:space="preserve">Sandra Fernández </t>
  </si>
  <si>
    <t xml:space="preserve">Avellaneda </t>
  </si>
  <si>
    <t>mmcannilla@gmail.com</t>
  </si>
  <si>
    <t>Colegio Lincoln</t>
  </si>
  <si>
    <t>Bachillerato  Nacional Bilingüe modalizado en Ciencias y Letras</t>
  </si>
  <si>
    <t>Privada sin subsidio estatal</t>
  </si>
  <si>
    <t>Cannilla, María</t>
  </si>
  <si>
    <t>Marchioni, Milagros</t>
  </si>
  <si>
    <t>Belgrano, Comuna 13</t>
  </si>
  <si>
    <t>mcasparian@smc.edu.ar</t>
  </si>
  <si>
    <t>Instituto san mateo</t>
  </si>
  <si>
    <t>Sociales</t>
  </si>
  <si>
    <t>Casparian Marisa</t>
  </si>
  <si>
    <t>Casparian marisa</t>
  </si>
  <si>
    <t>Benlgrano</t>
  </si>
  <si>
    <t>vguevara@scms.edu.ar</t>
  </si>
  <si>
    <t>Santa Catalina de Belgrano SAE</t>
  </si>
  <si>
    <t xml:space="preserve"> ciencias sociales y/o humanidades</t>
  </si>
  <si>
    <t>Guevara, Virginia</t>
  </si>
  <si>
    <t>Buschittari, Federico</t>
  </si>
  <si>
    <t>Belgrano, comuna 13</t>
  </si>
  <si>
    <t>anabellad062@gmail.com</t>
  </si>
  <si>
    <t>Children's School - Boston College</t>
  </si>
  <si>
    <t xml:space="preserve">Economía y Administración de Empresas </t>
  </si>
  <si>
    <t>Diaz Anabella</t>
  </si>
  <si>
    <t>Pereyra Ezequiel</t>
  </si>
  <si>
    <t>Palermo, Comuna 14</t>
  </si>
  <si>
    <t>sanchezbelen108@gmail.com</t>
  </si>
  <si>
    <t>Instituto Summa</t>
  </si>
  <si>
    <t>Económia y Humanidades</t>
  </si>
  <si>
    <t xml:space="preserve">Sánchez Belen </t>
  </si>
  <si>
    <t xml:space="preserve">Myrian Stagno </t>
  </si>
  <si>
    <t>Caballito, comuna 6</t>
  </si>
  <si>
    <t xml:space="preserve">Realice dos preinscripciones porque en el curso son 40. </t>
  </si>
  <si>
    <t xml:space="preserve">En el anterior formulario me di cuenta que puse instituto Sunma en vez de summa. Además realice dos preinscripciones porque son 40 alumnos en el curso. La escuela cuenta solo con un curso por año y somos los que salimos en la foto de la publicación de la semana de la matemática que fuimos el año pasado y a los alumnos les encantó. </t>
  </si>
  <si>
    <t>vanina.acuna89@gmail.com</t>
  </si>
  <si>
    <t>INSTITUTO MARIANO MORENO</t>
  </si>
  <si>
    <t>Ciencias sociales</t>
  </si>
  <si>
    <t>Acuña Vanina</t>
  </si>
  <si>
    <t xml:space="preserve">Nasuti, Fernando </t>
  </si>
  <si>
    <t>Machin, Guido</t>
  </si>
  <si>
    <t>Hurlingham</t>
  </si>
  <si>
    <t>Instituto Mariano moreno</t>
  </si>
  <si>
    <t>Economía</t>
  </si>
  <si>
    <t>Nasuti, fernando</t>
  </si>
  <si>
    <t xml:space="preserve">MACHIN, guido </t>
  </si>
  <si>
    <t>Vanina.acuna89@gmail.com</t>
  </si>
  <si>
    <t xml:space="preserve">Hurlingham </t>
  </si>
  <si>
    <t>tatiana.guaymas@alfonsinastorni.edu.ar</t>
  </si>
  <si>
    <t>Escuela Alfonsina Storni</t>
  </si>
  <si>
    <t>Guaymás Tatiana</t>
  </si>
  <si>
    <t>Martíns Franco, Camila</t>
  </si>
  <si>
    <t>Victoria, San Fernando</t>
  </si>
  <si>
    <t>gabrielaminvernizzi@gmail.com</t>
  </si>
  <si>
    <t>INSTITUTO CABRINI</t>
  </si>
  <si>
    <t>BACHILLER EN ECONOMIA Y ADMINISTRACION Y BACHILLER EN COMUNICACION</t>
  </si>
  <si>
    <t>INVERNIZZI GABRIELA</t>
  </si>
  <si>
    <t>Serra Liliana</t>
  </si>
  <si>
    <t>Braña Dario</t>
  </si>
  <si>
    <t>Comuna 11</t>
  </si>
  <si>
    <t>Realizo preinscripcion para otro curso de la misma escuela con 28 alumnos. Lo ideal seria que fueran los dos cursos. Gracias</t>
  </si>
  <si>
    <t>silviaetchebehere@colegiocanada.edu.ar</t>
  </si>
  <si>
    <t xml:space="preserve">Colegio Canadá </t>
  </si>
  <si>
    <t>Ciencias Sociales</t>
  </si>
  <si>
    <t xml:space="preserve">Silvia Mara Etchebehere </t>
  </si>
  <si>
    <t xml:space="preserve">Luciana Rodríguez </t>
  </si>
  <si>
    <t xml:space="preserve">Sol Inchausti </t>
  </si>
  <si>
    <t>Caballito</t>
  </si>
  <si>
    <t>sergio.alvero@bue.edu.ar</t>
  </si>
  <si>
    <t>ESCUELA TECNICA N°3 D.E.9 Reg 8ª MARIA SANCHEZ DE THOMPSON</t>
  </si>
  <si>
    <t>2. Técnicas en computación, electrónica, informática</t>
  </si>
  <si>
    <t>Computación</t>
  </si>
  <si>
    <t>Alvero Sergio Luis</t>
  </si>
  <si>
    <t>Carolina Serrano</t>
  </si>
  <si>
    <t>Carlos Galli</t>
  </si>
  <si>
    <t>El grupo de alumnos es un grupo de gran desempeño académico y super interactivo en cualqueir tipo de actividad. Se interesan a cualquier situación nueva que los haga experimentar y son muy curiosos por redescubrir cosas</t>
  </si>
  <si>
    <t xml:space="preserve">Me gustaría que los alumnos/as puedan transitar por las distintas modalidades de talleres y charlas que se proponen para variar en sus actividades </t>
  </si>
  <si>
    <t>nadamonte@smc.edu.ar</t>
  </si>
  <si>
    <t>Instituto Privado San Mateo</t>
  </si>
  <si>
    <t xml:space="preserve">Sociales </t>
  </si>
  <si>
    <t xml:space="preserve">Damonte Nicolas </t>
  </si>
  <si>
    <t>Macarena Costoya</t>
  </si>
  <si>
    <t>Belgrano</t>
  </si>
  <si>
    <t xml:space="preserve">Tenemos estudiantes de OMA muy entusiasmados </t>
  </si>
  <si>
    <t xml:space="preserve">Instituto Summa </t>
  </si>
  <si>
    <t xml:space="preserve">Realice otra preinscripción porque es un solo curso de 40 alumnos. </t>
  </si>
  <si>
    <t xml:space="preserve">BACHILLER ECONOMIA Y ADMINISTRACION Y BACHILLER COMUNICACION </t>
  </si>
  <si>
    <t>Invernizzi Gabriela</t>
  </si>
  <si>
    <t>Realizo preinscripcion para otro curso de la misma escuela con 22 alumnos. Lo ideal seria que fueran los dos cursos. Gracias</t>
  </si>
  <si>
    <t xml:space="preserve">Ciencias Sociales </t>
  </si>
  <si>
    <t>Sol Inchausti</t>
  </si>
  <si>
    <t>erika.gauna@bue.edu.ar</t>
  </si>
  <si>
    <t>escuela de comercio n°12 de 21 Juan XXIII</t>
  </si>
  <si>
    <t>bachiller con orientación en Economía y Administración</t>
  </si>
  <si>
    <t>Erika Gauna</t>
  </si>
  <si>
    <t>Estevez Romina</t>
  </si>
  <si>
    <t>Carolina Fernadez Pinto</t>
  </si>
  <si>
    <t>villa lugano, comuna 8</t>
  </si>
  <si>
    <t>Varias familias de la población de  escuela es de familias vulnerables y la única forma de empezar a conocer el mundo universitario es esta.</t>
  </si>
  <si>
    <t>Jornada simple: sólo turno tarde (12.30 a 16:00 hs.)</t>
  </si>
  <si>
    <t>Hace varios años que llevamos a los chicos a las charlas y son experiencias maravillosas donde los chicos se encuentran con un mundo distinto y los incentiva a seguir estudiando.</t>
  </si>
  <si>
    <t>turno tarde (12.30 a 16:00 hs.)</t>
  </si>
  <si>
    <t>a.benitez@bue.edu.ar</t>
  </si>
  <si>
    <t xml:space="preserve">Colegio 1 de 3 BERNARDINO RIVADAVIA </t>
  </si>
  <si>
    <t xml:space="preserve">Humanidades y cs sociales y cs naturales </t>
  </si>
  <si>
    <t>Benitez Romina</t>
  </si>
  <si>
    <t>Celli Viviana</t>
  </si>
  <si>
    <t>Gabriela Escudero</t>
  </si>
  <si>
    <t>Constitución, Comuna 1</t>
  </si>
  <si>
    <t xml:space="preserve">Irian 3 alumnos de inclusión </t>
  </si>
  <si>
    <t xml:space="preserve">Son alumnos que desean conocer el mundo universitario y que tienen pocos recursos </t>
  </si>
  <si>
    <t>mabel.pomerantz@bue.edu.ar</t>
  </si>
  <si>
    <t>Ens 11 "Ricardo Levene"</t>
  </si>
  <si>
    <t>Mabel Pomerantz</t>
  </si>
  <si>
    <t>Patricia Collar</t>
  </si>
  <si>
    <t>Mariela Parise</t>
  </si>
  <si>
    <t>Parque Patricios, Comuna 4.</t>
  </si>
  <si>
    <t>luciano.zungri@bue.edu.ar</t>
  </si>
  <si>
    <t>E.T.N°3 D.E.9 Reg.VII "María Sánchez de Thompson"</t>
  </si>
  <si>
    <t>Zungri, Luciano</t>
  </si>
  <si>
    <t>Porcel, Carmen</t>
  </si>
  <si>
    <t>Davalos, Cristian</t>
  </si>
  <si>
    <t>Barrio Palermo, Comuna 14</t>
  </si>
  <si>
    <t>yesicagambino@cesfj.edu.ar</t>
  </si>
  <si>
    <t>CENTRO EDUCATIVO SAN FRANCISCO JAVIER (A-136)</t>
  </si>
  <si>
    <t>Bachiller con orientación en Economía y Administración</t>
  </si>
  <si>
    <t>Gambino, Yésica Paola</t>
  </si>
  <si>
    <t>Cayol, Marcos</t>
  </si>
  <si>
    <t>Se trata de un colegio parroquial con 100% de subvención estatal.</t>
  </si>
  <si>
    <t>jvibanez13@gmail.com</t>
  </si>
  <si>
    <t xml:space="preserve">Instituto Mercedes Pacheco </t>
  </si>
  <si>
    <t xml:space="preserve">Humanidades y Ciencias Sociales </t>
  </si>
  <si>
    <t>Jorge Ibañez</t>
  </si>
  <si>
    <t xml:space="preserve">Matias Lotito </t>
  </si>
  <si>
    <t>CABA, COMUNA 2</t>
  </si>
  <si>
    <t>nahir.clara@iballester.edu.ar</t>
  </si>
  <si>
    <t>INSTITUTO BALLESTER</t>
  </si>
  <si>
    <t>NATURALES, SOCIALES, ECONOMPÍA</t>
  </si>
  <si>
    <t>NAHIR CLARA</t>
  </si>
  <si>
    <t>MYRIAM METTLER</t>
  </si>
  <si>
    <t>ADRIAN CANZIAN</t>
  </si>
  <si>
    <t>Villa Ballester, San Martin</t>
  </si>
  <si>
    <t>Son 76 alumnos en total, si es posible en 2 grupos.</t>
  </si>
  <si>
    <t>Jornada simple: turno mañana (9:00 a 12.30 hs.) ó turno tarde (12.30 a 16:00 hs.)</t>
  </si>
  <si>
    <t>Al ser un colegio doble turno, puede ser en cualquier horario. Son 76 alumnos, si es posible, sería bueno que vayan en 2 grupos. Gracias!</t>
  </si>
  <si>
    <t>jimena.leal@bue.edu.ar</t>
  </si>
  <si>
    <t>Escuela de Comercio N12 D.E: 21 " Juan XxIii"</t>
  </si>
  <si>
    <t xml:space="preserve">Comercial con orientación en ecuador nómina y administración </t>
  </si>
  <si>
    <t>Leal Sperling, Jimena</t>
  </si>
  <si>
    <t xml:space="preserve">Basualdo, Verónica </t>
  </si>
  <si>
    <t>Maciel, Leonardo</t>
  </si>
  <si>
    <t>Villa Lugano comuna 8</t>
  </si>
  <si>
    <t>Nos gustaría participar, para que nuestros alumnos de la población del sur de la ciudad, tengan acceso cercano a la universidad, despertarles el interés y mostrarles lo maravillada que es nuestra UBA.</t>
  </si>
  <si>
    <t>Alumnos del turno tarde.</t>
  </si>
  <si>
    <t>INSTITUTO PALOMAR DE CASEROS</t>
  </si>
  <si>
    <t>Comunicaciones</t>
  </si>
  <si>
    <t>ACUÑA, VANINA</t>
  </si>
  <si>
    <t>Lugano Constanza</t>
  </si>
  <si>
    <t>Cicarelli Claudia</t>
  </si>
  <si>
    <t>Ciudad Jardín</t>
  </si>
  <si>
    <t xml:space="preserve">INSTITUTO PALOMAR DE CASEROS </t>
  </si>
  <si>
    <t>Acuña, Vaninq</t>
  </si>
  <si>
    <t>Lugano, Constanza</t>
  </si>
  <si>
    <t>Cicarelli, Claudia</t>
  </si>
  <si>
    <t>cesarj.provenza@bue.edu.ar</t>
  </si>
  <si>
    <t>ENS 11 D.E.6 "Ricardo Levene"</t>
  </si>
  <si>
    <t>Exactas y Naturales</t>
  </si>
  <si>
    <t>Provenza, César</t>
  </si>
  <si>
    <t>Parque Patricios</t>
  </si>
  <si>
    <t>4º Secundaria (Provincia de Buenos Aires) / 3º Media (CABA)</t>
  </si>
  <si>
    <t>Educación</t>
  </si>
  <si>
    <t>dora.porcelo@bue.edu.ar</t>
  </si>
  <si>
    <t>ESC. TEC. Nº 19 ALEJANDRO VOLTA DE 01</t>
  </si>
  <si>
    <t>02012320</t>
  </si>
  <si>
    <t>2.</t>
  </si>
  <si>
    <t>Porcelo Ramos, Dora Fabiana</t>
  </si>
  <si>
    <t>Si</t>
  </si>
  <si>
    <t>profesoracouselo@gmail.com</t>
  </si>
  <si>
    <t>San Alfonso</t>
  </si>
  <si>
    <t>061924800</t>
  </si>
  <si>
    <t>Favia, Cecilia</t>
  </si>
  <si>
    <t>carolina.serrano@bue.edu.ar</t>
  </si>
  <si>
    <t>Escuela Técnica N° 12 - Libertador Gral. José de San Martín</t>
  </si>
  <si>
    <t>Serrano Carolina</t>
  </si>
  <si>
    <t>Felix Lucas</t>
  </si>
  <si>
    <t>Mendoza Sergio</t>
  </si>
  <si>
    <t>"Retiro,Comuna 1"</t>
  </si>
  <si>
    <t>Enviar confirmación por mails</t>
  </si>
  <si>
    <t>Miércoles 29 de abril</t>
  </si>
  <si>
    <t>lilianamercado@colegioubaescobar.gob.ar</t>
  </si>
  <si>
    <t>Colegio Preuniversitario Ramon Cereijo</t>
  </si>
  <si>
    <t>Ciencias naturales, Arte y Diseño</t>
  </si>
  <si>
    <t>Pre-universitario UBA</t>
  </si>
  <si>
    <t>Valeria Benjardino</t>
  </si>
  <si>
    <t>Silvana Morel</t>
  </si>
  <si>
    <t>Escobar</t>
  </si>
  <si>
    <t>sin comentarios</t>
  </si>
  <si>
    <t>son dos cursos</t>
  </si>
  <si>
    <t>Colegio Preuniversitario Ramon Cereijo UBA</t>
  </si>
  <si>
    <t>ciencias naturales, arte y diseño</t>
  </si>
  <si>
    <t>pintoscarlos85@gmail.com</t>
  </si>
  <si>
    <t>ISFD N°50 María Cristina Davini</t>
  </si>
  <si>
    <t>Profesorado de educación secundaria en Matemática</t>
  </si>
  <si>
    <t>Pintos, Carlos.</t>
  </si>
  <si>
    <t>Basualdo, Camila.</t>
  </si>
  <si>
    <t>Núñez, Natalia.</t>
  </si>
  <si>
    <t>Berazategui</t>
  </si>
  <si>
    <t>7º Técnica (Provincia de Buenos Aires) / 6º Técnica (CABA)</t>
  </si>
  <si>
    <t>Segundo grupo de estudiantes. Muy entusiasmados de conocer la facultad y sus actividades. Son estudiantes de profesorado en Matemática.</t>
  </si>
  <si>
    <t>Segundo grupo de estudiantes. Soy egresado de la casa y me encantaría llevar a mis estudiantes de profesorado en Matemática.</t>
  </si>
  <si>
    <t>sabrina.simon@colegiomadreteresa.edu.ar</t>
  </si>
  <si>
    <t>Colegio Secundario Madre Teresa</t>
  </si>
  <si>
    <t>Economía y Administración</t>
  </si>
  <si>
    <t>Simon, Sabrina</t>
  </si>
  <si>
    <t>Rocha, Claudia</t>
  </si>
  <si>
    <t>Schek, Andrea</t>
  </si>
  <si>
    <t>Virreyes, San Fernando</t>
  </si>
  <si>
    <t>malvarez@cmb.org.ar</t>
  </si>
  <si>
    <t>Colegio Manuel Belgrano</t>
  </si>
  <si>
    <t xml:space="preserve">Orientación matemática y física </t>
  </si>
  <si>
    <t>Espeche, Ignacio</t>
  </si>
  <si>
    <t>Canevari, Ana</t>
  </si>
  <si>
    <t>mperri</t>
  </si>
  <si>
    <t>jesica.hoyos@institutosorrego.edu.ar</t>
  </si>
  <si>
    <t>Instituto Manuel Dorrego</t>
  </si>
  <si>
    <t xml:space="preserve">Jesica Hoyos </t>
  </si>
  <si>
    <t>Claudia Palumbo</t>
  </si>
  <si>
    <t>jesihoyos@hotmail.com</t>
  </si>
  <si>
    <t xml:space="preserve">Bella Vista </t>
  </si>
  <si>
    <t>sabrina.bobinac@bue.edu.ar</t>
  </si>
  <si>
    <t>Escuela Normal N°9</t>
  </si>
  <si>
    <t xml:space="preserve">Ciencias Naturales </t>
  </si>
  <si>
    <t>Bobinac Sabrina</t>
  </si>
  <si>
    <t>Ferrero Javier</t>
  </si>
  <si>
    <t xml:space="preserve">Había solicitado para el miercoles 22 anteriormente pero han cambiado la fecha. Me gustaría que se me tenga en consideración </t>
  </si>
  <si>
    <t>lorenapoggetti@gmail.com</t>
  </si>
  <si>
    <t>Instituto Griego Atenágoras I</t>
  </si>
  <si>
    <t>Bachiller en informática, Bachiller en Ciencas Naturales</t>
  </si>
  <si>
    <t>Eliana More</t>
  </si>
  <si>
    <t>Ignacio Gonzalez</t>
  </si>
  <si>
    <t>Villa Crespo, Comuna 15</t>
  </si>
  <si>
    <t xml:space="preserve">Deseamos que nos acepten la inscripción ya que el año pasado no pudimos ir a pesar de estar inscritos por un tema de cupo de vacantes. </t>
  </si>
  <si>
    <t>novoadanielag@gmail.com</t>
  </si>
  <si>
    <t xml:space="preserve">Instituto Madre del Buen Consejo </t>
  </si>
  <si>
    <t xml:space="preserve">Novoa, Daniela </t>
  </si>
  <si>
    <t>Calero, Melisa</t>
  </si>
  <si>
    <t>Mataderos, Comuna 9</t>
  </si>
  <si>
    <t>jazmin.gimenez@bue.edu.ar</t>
  </si>
  <si>
    <t>I.E.S. Juan Ramón Fernández</t>
  </si>
  <si>
    <t>Bachiller con Orientación en Física y Matemática</t>
  </si>
  <si>
    <t>Giménez, Jazmín</t>
  </si>
  <si>
    <t>Elordi, Leonardo</t>
  </si>
  <si>
    <t>Cano, Germán</t>
  </si>
  <si>
    <t>Retiro, Comuna 1</t>
  </si>
  <si>
    <t>rominas.rey@bue.edu.ar</t>
  </si>
  <si>
    <t>colegio Mekhitarista</t>
  </si>
  <si>
    <t>Rey Romina</t>
  </si>
  <si>
    <t>Sabuncuyan Melina</t>
  </si>
  <si>
    <t>nicolas.morelli@colegionorbridge.edu.ar</t>
  </si>
  <si>
    <t>Colegio Norbridge</t>
  </si>
  <si>
    <t xml:space="preserve">Economía y Administración </t>
  </si>
  <si>
    <t>Nicolás Morello</t>
  </si>
  <si>
    <t>Liliana Villena</t>
  </si>
  <si>
    <t>Analia Mezzelani</t>
  </si>
  <si>
    <t>Saavedra, Comuna 12</t>
  </si>
  <si>
    <t xml:space="preserve">Nos gustaría acceder a la visita guiada ya que tenemos un curso de número reducido </t>
  </si>
  <si>
    <t>Nos gustaría acceder a la visita guiada</t>
  </si>
  <si>
    <t>luciaa.carballo@bue.edu.ar</t>
  </si>
  <si>
    <t>EEM N°2 DE 16 "Agustín Tosco"</t>
  </si>
  <si>
    <t>Ciencias Sociales y Humanidades</t>
  </si>
  <si>
    <t>Franke Carballo, Lucía Ayelén</t>
  </si>
  <si>
    <t>María José Miguez</t>
  </si>
  <si>
    <t>Villa Pueyrredón, Comuna 12, CABA</t>
  </si>
  <si>
    <t xml:space="preserve">Tengo dos cursos, me gustaría poder ir con los dos cursos. Los dos cursos sumados son 40 estudiantes. Si existe la posiblidad de ir con los dos 5tos, les super agradezco. Si bien la escuela es orientada en Ciencias Sociales, hay chicos interesados en estudiar en Exactas. Gracias!! </t>
  </si>
  <si>
    <t>lbusso@colegioeltaller.com.ar</t>
  </si>
  <si>
    <t>Instituto secundario el taller</t>
  </si>
  <si>
    <t xml:space="preserve">Comunicación </t>
  </si>
  <si>
    <t>Rosana Novegil</t>
  </si>
  <si>
    <t>Boedo</t>
  </si>
  <si>
    <t>arrese.amaya@iaexcelsior.edu.ar</t>
  </si>
  <si>
    <t>Instituto Argentino Excelsior</t>
  </si>
  <si>
    <t xml:space="preserve">Economia y Administración </t>
  </si>
  <si>
    <t>Arrese, Amaya</t>
  </si>
  <si>
    <t>Benolol, Lorena</t>
  </si>
  <si>
    <t>arrese.amaya@iaexcelsior.edu.ara</t>
  </si>
  <si>
    <t>marina.sciarretta@hotmail.com</t>
  </si>
  <si>
    <t>INSTITUTO HIJAS DE JESÚS</t>
  </si>
  <si>
    <t>Bachillerato en Ciencias Sociales y Humanidades</t>
  </si>
  <si>
    <t>CHIARORE, DANILO</t>
  </si>
  <si>
    <t>MARTINEZ PARETTI PAULA</t>
  </si>
  <si>
    <t>Coghlan, Comuna 2712</t>
  </si>
  <si>
    <t>heidi.ruizdiaz@gmail.com</t>
  </si>
  <si>
    <t>Instituto Secundario el taller A-981</t>
  </si>
  <si>
    <t>Bachillerato con orientación en Comunicación</t>
  </si>
  <si>
    <t>Ruiz Díaz, Heidi Viviana</t>
  </si>
  <si>
    <t>Busso, Laura</t>
  </si>
  <si>
    <t>San Cristóbal, Comuna 3</t>
  </si>
  <si>
    <t>3º Secundaria (Provincia de Buenos Aires) / 2º Media (CABA)</t>
  </si>
  <si>
    <t>Arte</t>
  </si>
  <si>
    <t>Ayala Maria</t>
  </si>
  <si>
    <t>Rosana Platero</t>
  </si>
  <si>
    <t xml:space="preserve">Villa de mayo </t>
  </si>
  <si>
    <t xml:space="preserve">Schek, Andrea </t>
  </si>
  <si>
    <t>Escuela de comercio 12 d.e. 21 Juan XXIII</t>
  </si>
  <si>
    <t>Pafundi Andrea</t>
  </si>
  <si>
    <t>Villa Lugano</t>
  </si>
  <si>
    <t>Los estudiantes del colegio asisten a estos talleres hace algunos años y notamos que la vinculación directa con el ámbito universitario ha demostrado ser un motor de motivación intrínseca. La asistencia a estos talleres fortalece la continuidad pedagógica, incentivando en los estudiantes el interés por proyectar sus estudios superiores.</t>
  </si>
  <si>
    <t>Reconocemos que, debido a la situación de vulnerabilidad de sus familias, nuestros estudiantes difícilmente podrían acceder a estos talleres por medios propios. Nuestra misión es democratizar ese acceso, garantizando que su origen socioeconómico no limite su ambición académica ni sus ganas de seguir estudiando.</t>
  </si>
  <si>
    <t xml:space="preserve">Economía y Administricación </t>
  </si>
  <si>
    <t>colegio mekhitarista</t>
  </si>
  <si>
    <t>Instituto Ballester</t>
  </si>
  <si>
    <t>NATURALES, ECONOMÍA Y SOCIALES</t>
  </si>
  <si>
    <t>Nahir Clara</t>
  </si>
  <si>
    <t>Myriam Mettler</t>
  </si>
  <si>
    <t>Emiliano Pannunzio</t>
  </si>
  <si>
    <t>Villa Ballester, General San Martin</t>
  </si>
  <si>
    <t xml:space="preserve">Al ser un colegio doble turno, puede ser en cualquier horario. Son 76 alumnos, si es posible, sería bueno que vayan en 2 grupos. </t>
  </si>
  <si>
    <t xml:space="preserve">Nuestros alumnos cursan el programa internacional IB en matemática. </t>
  </si>
  <si>
    <t>cristina.masotta@pestalozzi.edu.ar</t>
  </si>
  <si>
    <t>Instituto Pestalozzi</t>
  </si>
  <si>
    <t>El grupo de 4to año que anotamos eligió cursar bachillerato común., pero otros grupos de la institución hacen bachillerato internacional</t>
  </si>
  <si>
    <t>Cristina Masotta</t>
  </si>
  <si>
    <t>Carolina Prieto</t>
  </si>
  <si>
    <t>Pensamos que la participación en el evento tendrá un impacto en los estudiantes en cuanto a motivación , interés y despertar posibles vocaciones científicas</t>
  </si>
  <si>
    <t>Tenemos estudiantes muy interesados en la matemática. Esta visita sin duda ampliaría para ellos la visión de las distintas  cuestiones que  esta ciencia puede abordar.</t>
  </si>
  <si>
    <t>monica.caceres2@bue.edu.ar</t>
  </si>
  <si>
    <t>Escuela Normal Superior N° 1 "Roqu Sanz Peña"</t>
  </si>
  <si>
    <t xml:space="preserve">Fisico Matemático </t>
  </si>
  <si>
    <t>Mónica Cáceres</t>
  </si>
  <si>
    <t>enrique.villagran@bue.edu.ar</t>
  </si>
  <si>
    <t>Liceo 12 DE 8 Fray Mamerto Esquiu</t>
  </si>
  <si>
    <t>Enrique Villagran</t>
  </si>
  <si>
    <t>micaela.garcia.vildoza@stpauls.edu.ar</t>
  </si>
  <si>
    <t>Instituto San Pablo</t>
  </si>
  <si>
    <t>Micaela García Vildoza</t>
  </si>
  <si>
    <t>javierveron85@gmail.com</t>
  </si>
  <si>
    <t>Colegio Nuestra Señora del Refugio</t>
  </si>
  <si>
    <t>061465900</t>
  </si>
  <si>
    <t>Javier Verón</t>
  </si>
  <si>
    <t>yamile.bohorquez@bue.edu.ar</t>
  </si>
  <si>
    <t>Escuela de comercio N 19 DE 8</t>
  </si>
  <si>
    <t xml:space="preserve">Yamile Bohorquez </t>
  </si>
  <si>
    <t>Silvana grasso</t>
  </si>
  <si>
    <t>María Carla Simioni</t>
  </si>
  <si>
    <t xml:space="preserve">Caballito </t>
  </si>
  <si>
    <t>moyano.nahuel@colegiodickens.edu.ar</t>
  </si>
  <si>
    <t>Colegio Dickens</t>
  </si>
  <si>
    <t>ECONOMÍA</t>
  </si>
  <si>
    <t>Moyano Nahuel</t>
  </si>
  <si>
    <t>Ibañez Daiana Elisat</t>
  </si>
  <si>
    <t>Carballo Carolina Estela</t>
  </si>
  <si>
    <t>General Rodríguez, General Rodríguez</t>
  </si>
  <si>
    <t>vanesa.acedo@bue.edu.ar</t>
  </si>
  <si>
    <t>Instituto Cristo Rey</t>
  </si>
  <si>
    <t>En economía</t>
  </si>
  <si>
    <t>Rodriguez Acedo, Vanesa</t>
  </si>
  <si>
    <t>ciliberto.denise@colegiomolisano.edu.ar</t>
  </si>
  <si>
    <t>Colegio Molisano Monforte</t>
  </si>
  <si>
    <t xml:space="preserve">Bachiller en economía y administración de empresas </t>
  </si>
  <si>
    <t xml:space="preserve">Ciliberto, Denise </t>
  </si>
  <si>
    <t xml:space="preserve">Cozzi, Maria Celeste </t>
  </si>
  <si>
    <t xml:space="preserve">Ravinale, Gonzalo </t>
  </si>
  <si>
    <t xml:space="preserve">Villa Bosch, Tres de Febrero </t>
  </si>
  <si>
    <t>padillaescalantemilagros@gmail.com</t>
  </si>
  <si>
    <t xml:space="preserve">Instituto Parroquial Santa Clara </t>
  </si>
  <si>
    <t xml:space="preserve">Padilla Escalante, Milagros Valentina </t>
  </si>
  <si>
    <t>Acher, Evelyn</t>
  </si>
  <si>
    <t>Flores, Comuna 7</t>
  </si>
  <si>
    <t>nataliabiondi83@gmail.com</t>
  </si>
  <si>
    <t>Eesn7</t>
  </si>
  <si>
    <t xml:space="preserve">Economía y gestión de las organizaciones </t>
  </si>
  <si>
    <t xml:space="preserve">Natalia Biondi </t>
  </si>
  <si>
    <t>Agnese, Claudia</t>
  </si>
  <si>
    <t xml:space="preserve">Lanus </t>
  </si>
  <si>
    <t>silvana.grasso@bue.edu.ar</t>
  </si>
  <si>
    <t>ESCUELA DE COMERCIO 19 DE8 JUAN MONTALVO</t>
  </si>
  <si>
    <t>SOCIALES Y ECONOMICA</t>
  </si>
  <si>
    <t>SILVANA GRASSO</t>
  </si>
  <si>
    <t>YAMILE BOHORQEZ</t>
  </si>
  <si>
    <t>VIRGINIA BARRIOS</t>
  </si>
  <si>
    <t>CABA CABALLITO</t>
  </si>
  <si>
    <t>Instituto Palomar de caseros</t>
  </si>
  <si>
    <t>Acuña, Vanina</t>
  </si>
  <si>
    <t xml:space="preserve">Ciudad Jardín </t>
  </si>
  <si>
    <t>Instituto palomar de caseros</t>
  </si>
  <si>
    <t>Acuña, vanina</t>
  </si>
  <si>
    <t>Ciudad jardin</t>
  </si>
  <si>
    <t>gabrielaterenzani@institutovelez.edu.ar</t>
  </si>
  <si>
    <t>Instituto Dr. Dalmacio Vélez Sarsfield</t>
  </si>
  <si>
    <t>Bachiller en Comunicación</t>
  </si>
  <si>
    <t>Gabriela Terenzani</t>
  </si>
  <si>
    <t>Brenda Brizuela</t>
  </si>
  <si>
    <t>Evelyn Montes</t>
  </si>
  <si>
    <t>Liniers, CABA</t>
  </si>
  <si>
    <t>Porcentaje estimativo</t>
  </si>
  <si>
    <t xml:space="preserve">4ACOMTT </t>
  </si>
  <si>
    <t xml:space="preserve">Ciliberto Denise </t>
  </si>
  <si>
    <t xml:space="preserve">Cozzi Maria Celeste </t>
  </si>
  <si>
    <t xml:space="preserve">Ravinale Gonzalo </t>
  </si>
  <si>
    <t>Ibañez Daiana Elisabet</t>
  </si>
  <si>
    <t>Instituto san mateo(A828)</t>
  </si>
  <si>
    <t>gebs2323@gmail.com</t>
  </si>
  <si>
    <t>EES n* 108</t>
  </si>
  <si>
    <t xml:space="preserve">Orientación en comunicación </t>
  </si>
  <si>
    <t>Benitez, Gloria</t>
  </si>
  <si>
    <t xml:space="preserve"> Velazquez, Graciela</t>
  </si>
  <si>
    <t>Lezica, Noelia</t>
  </si>
  <si>
    <t xml:space="preserve">G. De Laferrere, La Matanza </t>
  </si>
  <si>
    <t>Que la participación a talleres y/o visitas sean a partir de las 10bhs teniendo en cuenta la distancia y la hora pico para poder asistir</t>
  </si>
  <si>
    <t>Jueves 30 de abril</t>
  </si>
  <si>
    <t>auniversidad@goethe.edu.ar</t>
  </si>
  <si>
    <t>Instituto Escolar Goethe</t>
  </si>
  <si>
    <t>Wolff, Tatiana Jesica</t>
  </si>
  <si>
    <t>Perticaro, Oscar</t>
  </si>
  <si>
    <t>Podesta, Hernán</t>
  </si>
  <si>
    <t>Boolugne Sur Mer, San Isidro</t>
  </si>
  <si>
    <t>A las 15hs deberíamos retirarnos de Ciudad Universitaria</t>
  </si>
  <si>
    <t>santioresme@gmail.com</t>
  </si>
  <si>
    <t>EES N°3 Rodolfo Walsh</t>
  </si>
  <si>
    <t>Cs, Naturales</t>
  </si>
  <si>
    <t>Castronuovo, Ricardo Santos</t>
  </si>
  <si>
    <t>Moreno, Maximiliano</t>
  </si>
  <si>
    <t>Escobar, Belén De Escobar</t>
  </si>
  <si>
    <t>Nosotros vamos a llegar sobre la hora porque tenenmos que viajar con dos transportes públicos. El primero será un colectivo y un tren,</t>
  </si>
  <si>
    <t>Nosotros deseamos participar las actividades y/o juegos didácticos para nuestros estudaintes. Gracias</t>
  </si>
  <si>
    <t>EES N*108</t>
  </si>
  <si>
    <t>Orientación en artes visuales</t>
  </si>
  <si>
    <t>Soto, Mariela</t>
  </si>
  <si>
    <t>Ledesma, Marilina</t>
  </si>
  <si>
    <t>Vallejos,Andres</t>
  </si>
  <si>
    <t>G. De Laferrere, La Matanza</t>
  </si>
  <si>
    <t xml:space="preserve">Que los horarios asignados para charlas y talleres sean a partir de las 10 hs x favor debido a la distancia y la hora pico para viajar.  Gracias </t>
  </si>
  <si>
    <t>psicopedagoga@siemens.inspt.utn.edu.ar</t>
  </si>
  <si>
    <t>Escuela Tecnológica "Werner Von siemens"</t>
  </si>
  <si>
    <t>Técnica en electrónica</t>
  </si>
  <si>
    <t>Agustina Gimenez</t>
  </si>
  <si>
    <t>Natalia Grimaldi</t>
  </si>
  <si>
    <t>Rubén Chamorro</t>
  </si>
  <si>
    <t>Villa Ballester, San Martín</t>
  </si>
  <si>
    <t>Podemos cualquiera de los días de la semana por la mañana.</t>
  </si>
  <si>
    <t>magalimorelli@misericordia.edu.ar</t>
  </si>
  <si>
    <t>Instituto Nuestra Señora de la Misericordia (Recoleta)</t>
  </si>
  <si>
    <t>Administración y Comunicación</t>
  </si>
  <si>
    <t>Morelli, Magalí</t>
  </si>
  <si>
    <t>Ibañez, Jorge</t>
  </si>
  <si>
    <t>CABA, Comuna 2</t>
  </si>
  <si>
    <t>maria.rodriguez21@bue.edu.ar</t>
  </si>
  <si>
    <t>ENS N°10 DE 10 "J. B. ALBERDI"</t>
  </si>
  <si>
    <t>Ciencias naturales y exactas</t>
  </si>
  <si>
    <t>Rodriguez, María Laura</t>
  </si>
  <si>
    <t>Ibargoyen, Juliana</t>
  </si>
  <si>
    <t>Aquino, Laura</t>
  </si>
  <si>
    <t>christian.fernandez@bue.edu.ar</t>
  </si>
  <si>
    <t>ENS Nº 11 DR. RICARDO LEVENE DE 06</t>
  </si>
  <si>
    <t>Orientación en Educación</t>
  </si>
  <si>
    <t>Fernandez, Christian</t>
  </si>
  <si>
    <t>Suchinsky, Luciana</t>
  </si>
  <si>
    <t>Parque Patricios, Comuna 4</t>
  </si>
  <si>
    <t>javier.clavijo@elcarmendeurquiza.edu.ar</t>
  </si>
  <si>
    <t>Instituto Nuestra Señora del Carmen A-480</t>
  </si>
  <si>
    <t>Bachiller en economía y administración</t>
  </si>
  <si>
    <t>Clavijo, Javier José</t>
  </si>
  <si>
    <t>Machiarelli, Luz</t>
  </si>
  <si>
    <t>Villa Urquiza, Comuna 12</t>
  </si>
  <si>
    <t>no</t>
  </si>
  <si>
    <t>El principal interés es que los alumnos conozcan la universidad pública.</t>
  </si>
  <si>
    <t>yaninas.diaz@bue.edu.ar</t>
  </si>
  <si>
    <t>ENS N°2"Mariano Acosta"</t>
  </si>
  <si>
    <t>Diaz, Yanina</t>
  </si>
  <si>
    <t>Tupone, Gustavo</t>
  </si>
  <si>
    <t>Falabella, Alberto</t>
  </si>
  <si>
    <t>Balvanera, Comuna 3</t>
  </si>
  <si>
    <t>mbusso@huergo.edu.ar</t>
  </si>
  <si>
    <t>Instituto industrial Huergo</t>
  </si>
  <si>
    <t xml:space="preserve">Química </t>
  </si>
  <si>
    <t>Gallardo Marcelo</t>
  </si>
  <si>
    <t xml:space="preserve">San Telmo </t>
  </si>
  <si>
    <t>laura_p_lencina@yahoo.com.ar</t>
  </si>
  <si>
    <t>Instituto Santa Ana</t>
  </si>
  <si>
    <t xml:space="preserve">Ciencias Naturales cs sociales </t>
  </si>
  <si>
    <t>Lencina Laura</t>
  </si>
  <si>
    <t>Gagliano Cecilia</t>
  </si>
  <si>
    <t xml:space="preserve">Borda Agustina </t>
  </si>
  <si>
    <t>Villa Ballester</t>
  </si>
  <si>
    <t>sznakc@c-sn.edu.ar</t>
  </si>
  <si>
    <t xml:space="preserve">St Nicholas' school </t>
  </si>
  <si>
    <t xml:space="preserve">Carolina Sznák </t>
  </si>
  <si>
    <t xml:space="preserve">Camila Martin </t>
  </si>
  <si>
    <t xml:space="preserve">Evangelina Valdez </t>
  </si>
  <si>
    <t xml:space="preserve">Olivos </t>
  </si>
  <si>
    <t>Couselo,  Victoria</t>
  </si>
  <si>
    <t>laya.marconi@cristoforocolombo.org.ar</t>
  </si>
  <si>
    <t>ESCUELA ITALIANA CRISTOFORO COLOMBO</t>
  </si>
  <si>
    <t>cientifico</t>
  </si>
  <si>
    <t>Marconi, Laya</t>
  </si>
  <si>
    <t>Pasquale, Franco</t>
  </si>
  <si>
    <t>caviles@colegioesquiu.edu.ar</t>
  </si>
  <si>
    <t>Colegio Esquiu</t>
  </si>
  <si>
    <t>Luis Rovella</t>
  </si>
  <si>
    <t>Ignacio Oliveto</t>
  </si>
  <si>
    <t>Comuna 14, Palermo</t>
  </si>
  <si>
    <t>pablo.gennaro@colegioguidospano.com</t>
  </si>
  <si>
    <t>Nuevo Guido Spano</t>
  </si>
  <si>
    <t>orientados en ciencias exactas</t>
  </si>
  <si>
    <t>Pablo Gennaro</t>
  </si>
  <si>
    <t>Mariano Rodrigues</t>
  </si>
  <si>
    <t>Martina Freyre</t>
  </si>
  <si>
    <t>Palermo, comuna 14</t>
  </si>
  <si>
    <t>sandra.guillodes@bue.edu.ar</t>
  </si>
  <si>
    <t>Escuela de Comercio 6 America</t>
  </si>
  <si>
    <t>Exactas y naturales</t>
  </si>
  <si>
    <t>Guillodes Sandra Malena</t>
  </si>
  <si>
    <t>Lasic Gabriel</t>
  </si>
  <si>
    <t>Lamas Alejandra</t>
  </si>
  <si>
    <t>Villa Lugano, Comuna 8</t>
  </si>
  <si>
    <t>Ojalá puedan asignarme vacante para mis 3 cursos</t>
  </si>
  <si>
    <t>paula.ludwig@pestalozzi.edu.ar</t>
  </si>
  <si>
    <t>Colegio Pestalozzi</t>
  </si>
  <si>
    <t>Orientación en lenguas</t>
  </si>
  <si>
    <t>Ludwig, Paula</t>
  </si>
  <si>
    <t>Vazquez, Gabriela</t>
  </si>
  <si>
    <t>agustinastern@gmail.com</t>
  </si>
  <si>
    <t xml:space="preserve">Colegio Santa Trinidad </t>
  </si>
  <si>
    <t>Economía y Gestión de las organizaciones, y también Sociales</t>
  </si>
  <si>
    <t xml:space="preserve">Stern, Agustina </t>
  </si>
  <si>
    <t>Llambias, Gonzalo</t>
  </si>
  <si>
    <t xml:space="preserve">Van Der Meijden, Stefania </t>
  </si>
  <si>
    <t xml:space="preserve">San isidro </t>
  </si>
  <si>
    <t>clauwav@gmail.com</t>
  </si>
  <si>
    <t>Instituto Nuestra Señora de Lujan</t>
  </si>
  <si>
    <t xml:space="preserve">Naturales </t>
  </si>
  <si>
    <t xml:space="preserve">Claudia Wavrenchuk </t>
  </si>
  <si>
    <t>Besada Soledad</t>
  </si>
  <si>
    <t>Tamagno Estela</t>
  </si>
  <si>
    <t xml:space="preserve">Adroguė </t>
  </si>
  <si>
    <t>Si podemos participar en algún taller se los agradecemos!</t>
  </si>
  <si>
    <t>nicolas.damonte@nightingaleschool.edu.ar</t>
  </si>
  <si>
    <t>Colegio Florencia Nightingale</t>
  </si>
  <si>
    <t>Evangelina Mazzei</t>
  </si>
  <si>
    <t>nicodamonte@gmail.com</t>
  </si>
  <si>
    <t>Acassuso</t>
  </si>
  <si>
    <t>Varios alumnos motivados con carreras de exactas</t>
  </si>
  <si>
    <t>Somos muy puntuales</t>
  </si>
  <si>
    <t>INSTITUTO SANTA ROSA</t>
  </si>
  <si>
    <t>Bachiller Ciencias y Humanidades</t>
  </si>
  <si>
    <t>Palacios Leonardo</t>
  </si>
  <si>
    <t>Bustamante Tatiana</t>
  </si>
  <si>
    <t>Comuna 1</t>
  </si>
  <si>
    <t>gonzalez.mercedes.sanjo@gmail.com</t>
  </si>
  <si>
    <t>INSTITUTO SAN JOSE</t>
  </si>
  <si>
    <t>Economía y administración</t>
  </si>
  <si>
    <t>Gonzalez, Mercedes</t>
  </si>
  <si>
    <t>Pozzi, Diego</t>
  </si>
  <si>
    <t>Malter Terrada, Carolina</t>
  </si>
  <si>
    <t>carmarespindola@gmail.com</t>
  </si>
  <si>
    <t xml:space="preserve">E.E.S.T. N° 5 ROBERTO NOBLE </t>
  </si>
  <si>
    <t>5. Técnicas en química y tecnología de alimentos</t>
  </si>
  <si>
    <t xml:space="preserve">Bustamante Gerardo </t>
  </si>
  <si>
    <t xml:space="preserve">Espíndola Carla </t>
  </si>
  <si>
    <t>gese_gese@hotmail.com</t>
  </si>
  <si>
    <t xml:space="preserve">San Justo, La Matanza </t>
  </si>
  <si>
    <t>elib.viale@gmail.com</t>
  </si>
  <si>
    <t>E.E.S.T N 5 “Roberto Noble”</t>
  </si>
  <si>
    <t xml:space="preserve">Técnico electromecánico y químico </t>
  </si>
  <si>
    <t>Viale , Eliana</t>
  </si>
  <si>
    <t>Espíndola, Carla</t>
  </si>
  <si>
    <t>Bustamante, Gerardo</t>
  </si>
  <si>
    <t>San Justo, La Matanza</t>
  </si>
  <si>
    <t>La experiencia es hermosa para que los estudiantes experimenten como es la Universidad.</t>
  </si>
  <si>
    <t>Solicitamos guia con el objetivo de fomentar que los estudiantes se interesen por el mundo universitario, ingresen a la facultad y continúen su formación académica.</t>
  </si>
  <si>
    <t xml:space="preserve">E.e.s.t. n°5 Roberto NOBLE </t>
  </si>
  <si>
    <t xml:space="preserve">Viale Eliana </t>
  </si>
  <si>
    <t xml:space="preserve">Visita que realizamos todos los años para brindar un acercamiento entre los estudiantes y la universidad </t>
  </si>
  <si>
    <t>flordepasquale@gmail.com</t>
  </si>
  <si>
    <t>Instituto divina providencia</t>
  </si>
  <si>
    <t>De Pasquale María florencia</t>
  </si>
  <si>
    <t>Iker castillo</t>
  </si>
  <si>
    <t>Bella graciela</t>
  </si>
  <si>
    <t>Saavedra,Comuna 12</t>
  </si>
  <si>
    <t>romina.formento@bue.edu.ar</t>
  </si>
  <si>
    <t xml:space="preserve">Escuela de Comercio Nº 05 DE 03 José de San Martín </t>
  </si>
  <si>
    <t>⇨ BACHILLERATO EN INFORMÁTICA / NES/ ALTERNATIVA A / R.M. N°321/1189  ⇨ BACHILLERATO EN ECONOMÍA Y ADMINISTRACIÓN – NES - ALTERNATIVA B / R.M. N°321/15</t>
  </si>
  <si>
    <t>Formento, Romina</t>
  </si>
  <si>
    <t>Loureiro, Mariana</t>
  </si>
  <si>
    <t>Mondaca, Elizabeth</t>
  </si>
  <si>
    <t>Entre ríos 757- Balvanera, Comuna 3</t>
  </si>
  <si>
    <t>La mayor parte de los y las estudiantes viajan a la escuela que está cercana al centro, desde Barrios populares de la zona sur de la Ciudad</t>
  </si>
  <si>
    <t>deoliveirarodriguesnatalia@gmail.com</t>
  </si>
  <si>
    <t xml:space="preserve">Instituto Isidro Casanova </t>
  </si>
  <si>
    <t xml:space="preserve">Natalia Jimena de Olivera Rodrigues </t>
  </si>
  <si>
    <t>Camacho luciana</t>
  </si>
  <si>
    <t xml:space="preserve">Perusso Estefanía </t>
  </si>
  <si>
    <t xml:space="preserve">Isidro Casanova </t>
  </si>
  <si>
    <t>hita.desposorio@bue.edu.ar</t>
  </si>
  <si>
    <t>Escuela Técnica N°20 Distrito Escolar 20 - Carolina Muzilli</t>
  </si>
  <si>
    <t>Técnica en Producción Multimedial y Tecnologías de la Información y la Comunicación</t>
  </si>
  <si>
    <t>Desposorio Cabrera, Hita Marisol</t>
  </si>
  <si>
    <t>Lacaze, Ariel Hernán</t>
  </si>
  <si>
    <t>Abate, Uriel Alejandro</t>
  </si>
  <si>
    <t>fredesjonatan@gmail.com</t>
  </si>
  <si>
    <t>Instituto patrocinio de san jos´</t>
  </si>
  <si>
    <t>Cs Naturales</t>
  </si>
  <si>
    <t>Fredes Jonatan</t>
  </si>
  <si>
    <t>Vizio Laura</t>
  </si>
  <si>
    <t>Belgrano Caba</t>
  </si>
  <si>
    <t>martin.Piergiacomi@iesm.edu.ar</t>
  </si>
  <si>
    <t>Instituto Sudamericano Modelo</t>
  </si>
  <si>
    <t>Piergiácomi, Martín</t>
  </si>
  <si>
    <t>Guida, Laura</t>
  </si>
  <si>
    <t>Caballito, Comuna 6</t>
  </si>
  <si>
    <t>den.ciliberto@hotmail.com.ar</t>
  </si>
  <si>
    <t xml:space="preserve">Colegio La Sagrada Familia </t>
  </si>
  <si>
    <t xml:space="preserve">Bachiller orientado en las ciencias sociales y humanidades </t>
  </si>
  <si>
    <t>Lara, Vanesa</t>
  </si>
  <si>
    <t xml:space="preserve">Billinghurst, San Martín </t>
  </si>
  <si>
    <t>nep88q@gmail.com</t>
  </si>
  <si>
    <t>Colegio Galileo Galilei</t>
  </si>
  <si>
    <t>Cs sociales y Humanidades</t>
  </si>
  <si>
    <t>Pucheta, Emmanuel</t>
  </si>
  <si>
    <t>Carolina Skopek</t>
  </si>
  <si>
    <t>Tomas Cabrera</t>
  </si>
  <si>
    <t>Comuna 5</t>
  </si>
  <si>
    <t>Torrez, Cinthia</t>
  </si>
  <si>
    <t xml:space="preserve">Instituto industrial Huergo </t>
  </si>
  <si>
    <t>5. Técnicas área producción (electromecánica, mecánica, metalurgia, electricidad, automotores, refrigeración, construcciones, maestro mayor de obras, aeronáutica, naval, aviónico, óptico, en geografía matemática)</t>
  </si>
  <si>
    <t xml:space="preserve">Energías renovables </t>
  </si>
  <si>
    <t>Marcelo Gallardo</t>
  </si>
  <si>
    <t xml:space="preserve">San telmo </t>
  </si>
  <si>
    <t>mariade.castro@bue.edu.ar</t>
  </si>
  <si>
    <t>Colegio 19 de 17Luis Pasteur</t>
  </si>
  <si>
    <t>Ciencias Naturales y Sociales</t>
  </si>
  <si>
    <t>Castro Maria de los Angeles</t>
  </si>
  <si>
    <t>Marino Lorena</t>
  </si>
  <si>
    <t>Arena Paola</t>
  </si>
  <si>
    <t>Devoto</t>
  </si>
  <si>
    <t>lucas.caram@bue.edu.ar</t>
  </si>
  <si>
    <t>Escuela de comercio n7 “Manuel Belgrano”</t>
  </si>
  <si>
    <t>Caram Lucas</t>
  </si>
  <si>
    <t>Cáceres Mónica</t>
  </si>
  <si>
    <t>Romero Matías</t>
  </si>
  <si>
    <t>rominajazmin.estevez@bue.edu.ar</t>
  </si>
  <si>
    <t>Escuela de Comercio N°12 de 21. "Juan XXIII"</t>
  </si>
  <si>
    <t>Economía y administracion</t>
  </si>
  <si>
    <t>Marcela</t>
  </si>
  <si>
    <t>Sklaroff Marcela</t>
  </si>
  <si>
    <t>Villa Lugano. Comuna 8</t>
  </si>
  <si>
    <t>paula.ludwig@riverdar.com.ar</t>
  </si>
  <si>
    <t>Colegio River DAR</t>
  </si>
  <si>
    <t>Orientación en deportes</t>
  </si>
  <si>
    <t>Ludwig, María Paula</t>
  </si>
  <si>
    <t>Bellabarba, Matías</t>
  </si>
  <si>
    <t>Frank, Daniel</t>
  </si>
  <si>
    <t>Nuñez, Comuna 13</t>
  </si>
  <si>
    <t>Son deportistas de Alto Rendimiento que vienen de distintos puntos del país y viven en la pensión de River</t>
  </si>
  <si>
    <t>julian.rocciolino@bue.edu.ar</t>
  </si>
  <si>
    <t>C.E.N.S. N°63 D.E. 1</t>
  </si>
  <si>
    <t>13. Formación permanente de jóvenes y adultos</t>
  </si>
  <si>
    <t>Bachiller en Informática</t>
  </si>
  <si>
    <t>Rocciolino, Julian</t>
  </si>
  <si>
    <t>El tercer año del CENS corresponde al último año de estudios.</t>
  </si>
  <si>
    <t>Si bien hay una preferencia sobre la fecha elegida, es flexible.</t>
  </si>
  <si>
    <t>maria.morano@bue.edu.ar</t>
  </si>
  <si>
    <t xml:space="preserve">EEM 2 DE 16 AGUSTIN TOSCO </t>
  </si>
  <si>
    <t xml:space="preserve">BACHILLER EN CS SOCIALES Y HUMANIDADES </t>
  </si>
  <si>
    <t xml:space="preserve">MORANO MARIA PAOLA </t>
  </si>
  <si>
    <t xml:space="preserve">RUGGIERI GERMAN </t>
  </si>
  <si>
    <t xml:space="preserve">SOSA EMANUEL </t>
  </si>
  <si>
    <t>VILLA PUEYRREDON , COMUNA 12</t>
  </si>
  <si>
    <t xml:space="preserve">Desde el dpto de Exactas y Narurales trabajamos distintos proyectos para incentivar la inserción de jóvenes en ciencia. </t>
  </si>
  <si>
    <t xml:space="preserve">Provenza, César </t>
  </si>
  <si>
    <t>ESCUELA TECNICA N°3 MARIA SANCHEZ DE THOMPSON</t>
  </si>
  <si>
    <t>Serrano Carolina Alejandra</t>
  </si>
  <si>
    <t>Gomez Lucas</t>
  </si>
  <si>
    <t>Alvero Sergio</t>
  </si>
  <si>
    <t>"Palermo,Comuna 14"</t>
  </si>
  <si>
    <t>gabriela.gonzalog@gmail.com</t>
  </si>
  <si>
    <t>Colegio irlandes</t>
  </si>
  <si>
    <t>Gonzalo Grilo, Maria Gabriela</t>
  </si>
  <si>
    <t>Alvarenga, Sabrina</t>
  </si>
  <si>
    <t>Ramos, Romina</t>
  </si>
  <si>
    <t>Almirante Brown</t>
  </si>
  <si>
    <t>MARTES</t>
  </si>
  <si>
    <t>Liceos / Normales / Colegios / Institutos  orientados en ciencias naturales y/o exactas</t>
  </si>
  <si>
    <t>TM</t>
  </si>
  <si>
    <t>TT</t>
  </si>
  <si>
    <t>TC</t>
  </si>
  <si>
    <t>TOTAL EN EL DIA</t>
  </si>
  <si>
    <t>Liceos / Normales / Colegios / Institutos  orientados en ciencias sociales y/o humanidades</t>
  </si>
  <si>
    <t>mañana</t>
  </si>
  <si>
    <t>tarde</t>
  </si>
  <si>
    <t>Liceos / Normales / Colegios / Institutos de otras orientaciones</t>
  </si>
  <si>
    <t>MIÉRCOLES</t>
  </si>
  <si>
    <t xml:space="preserve">JUEVES </t>
  </si>
  <si>
    <t>Técnicas en computación, electrónica, informática</t>
  </si>
  <si>
    <t>Técnicas en química y tecnología de alimentos</t>
  </si>
  <si>
    <t>Técnicas área producción (electromecánica, mecánica, metalurgia, electricidad, automotores, refrigeración, construcciones, maestro mayor de obras, aeronáutica, naval, aviónico, óptico, en geografía matemática)</t>
  </si>
  <si>
    <t>Formación permanente de jóvenes y adultos</t>
  </si>
  <si>
    <t>Técnicas en administración de empresas, administración de las organizaciones, servicios turísticos, multimedios</t>
  </si>
  <si>
    <t>3. Técnicas en administración de empresas, administración de las organizaciones, servicios turísticos, multimedios</t>
  </si>
  <si>
    <t>Artísticas de todas las orientaciones</t>
  </si>
  <si>
    <t>4. Artísticas de todas las orientaciones</t>
  </si>
  <si>
    <t>Rurales de todas las orientaciones</t>
  </si>
  <si>
    <t>11. Rurales de todas las orientaciones</t>
  </si>
  <si>
    <t>Bachiller en Educación Física</t>
  </si>
  <si>
    <t>Diego Paez</t>
  </si>
  <si>
    <t>Lorena Garay</t>
  </si>
  <si>
    <t>Liniers CABA</t>
  </si>
  <si>
    <t>4AEFTT</t>
  </si>
  <si>
    <t>Natalia Posse</t>
  </si>
  <si>
    <t>Liniers. CABA</t>
  </si>
  <si>
    <t xml:space="preserve">4AEFTM </t>
  </si>
  <si>
    <t>ISFD N° 50 MARÍA CRISTINA DAVINI</t>
  </si>
  <si>
    <t>Pintos, Carlos</t>
  </si>
  <si>
    <t>Basualdo, Camila</t>
  </si>
  <si>
    <t>Núñez, Soledad</t>
  </si>
  <si>
    <t>BERAZATEGUI</t>
  </si>
  <si>
    <t>Son estudiantes de profesorado que no conocen la facultad de exactas y están muy entusiasmados de ser aceptados para la visita.</t>
  </si>
  <si>
    <t>Soy egresado de la casa y me gustaría llevar a mis estudiantes de profesorado a qué conozcan la facultad y sus actividades.</t>
  </si>
  <si>
    <t>Sofia Seisdedos</t>
  </si>
  <si>
    <t>4BEFTM</t>
  </si>
  <si>
    <t>Couselo, Maria Victoria</t>
  </si>
  <si>
    <t>El segundo acompañante podría ser otro</t>
  </si>
  <si>
    <t>Couselo,  Maria Victoria</t>
  </si>
  <si>
    <t>Están indescriptible 3 cursos de esta institución para distribuir mejor los gastos de viáticos</t>
  </si>
  <si>
    <t>ESCUELA TECNICA N°3  MARIA SANCHEZ DE THOMPSON</t>
  </si>
  <si>
    <t>Galli Carlos</t>
  </si>
  <si>
    <t>Gomez Lucaz</t>
  </si>
  <si>
    <t>Confirmar por mails</t>
  </si>
  <si>
    <t>Lama Alejandra</t>
  </si>
  <si>
    <t>Ojalá me aprueben a los 3 cursos que quiero llevar</t>
  </si>
  <si>
    <t>Ojalá puedan asignarme bacante para mis 3 cursos</t>
  </si>
  <si>
    <t xml:space="preserve">Instituto ESQUIÚ </t>
  </si>
  <si>
    <t xml:space="preserve">Mauro Rodríguez </t>
  </si>
  <si>
    <t>Mauro Rodríguez c</t>
  </si>
  <si>
    <t xml:space="preserve">Laura Thomas </t>
  </si>
  <si>
    <t>Palermo comuna 14</t>
  </si>
  <si>
    <t>ciencias sociales y humanidades</t>
  </si>
  <si>
    <t>mceciliagagliano@hotmail.com</t>
  </si>
  <si>
    <t>Economia</t>
  </si>
  <si>
    <t>Gagliano, Cecilia</t>
  </si>
  <si>
    <t>Lencina, Laura</t>
  </si>
  <si>
    <t>Borda, Agustina</t>
  </si>
  <si>
    <t>Instituto Divina Providencia</t>
  </si>
  <si>
    <t>De Pasquale María Florencia</t>
  </si>
  <si>
    <t>Iker Castillo</t>
  </si>
  <si>
    <t>Bella Graciela</t>
  </si>
  <si>
    <t>Saavedra,comuna12</t>
  </si>
  <si>
    <t>Camacho Luciana</t>
  </si>
  <si>
    <t>Escuela Técnica N°20 Distrito Escolar 20 - Carolina Muzillli</t>
  </si>
  <si>
    <t>Escuela Técnica N°20 Distrito Escolar 20</t>
  </si>
  <si>
    <t>Lacaze, Ariel Hernan</t>
  </si>
  <si>
    <t>4ACOMTM</t>
  </si>
  <si>
    <t>Instituto patrocinio de san josé</t>
  </si>
  <si>
    <t>Esta sería la primera visita de este curso a la universidad</t>
  </si>
  <si>
    <t>flavia.huanuco@bue.edu.ar</t>
  </si>
  <si>
    <t>ET N°17</t>
  </si>
  <si>
    <t>CONSSTRUCCIONES</t>
  </si>
  <si>
    <t>FLAVIA HUANUCO</t>
  </si>
  <si>
    <t>MARCELO CAPUTO</t>
  </si>
  <si>
    <t>PARQUE AVELANEDA</t>
  </si>
  <si>
    <t>kellymeza@abc.gob.ar</t>
  </si>
  <si>
    <t>INSTITUTO ISIDRO CASANOVA</t>
  </si>
  <si>
    <t>Economía y Gestión de las Organizaciones</t>
  </si>
  <si>
    <t>Meza, Kelly</t>
  </si>
  <si>
    <t>Camacho, Luciana</t>
  </si>
  <si>
    <t>Martínez, Rebeca</t>
  </si>
  <si>
    <t>Isidro Casanova, La Matanza</t>
  </si>
  <si>
    <t>Bachillerato</t>
  </si>
  <si>
    <t>4to AÑO</t>
  </si>
  <si>
    <t>natalia.grandal@bue.edu.ar</t>
  </si>
  <si>
    <t xml:space="preserve">ENS 4 "Estanislao S. Zeballos" </t>
  </si>
  <si>
    <t>físico-matemático</t>
  </si>
  <si>
    <t>Grandal, Natalia</t>
  </si>
  <si>
    <t xml:space="preserve">Por favor, de ser posible, incluir un taller y una charla en la visita. Gracias </t>
  </si>
  <si>
    <t>profjpalvarez@gmail.com</t>
  </si>
  <si>
    <t>Instituto Parroquial Cristo Obrero</t>
  </si>
  <si>
    <t xml:space="preserve">Alvarez, Juan Pablo </t>
  </si>
  <si>
    <t>Barbera, Vanina</t>
  </si>
  <si>
    <t>Gonzalez, Daniela</t>
  </si>
  <si>
    <t>profjpalvarez29@gmail.com</t>
  </si>
  <si>
    <t>Haedo, Morón</t>
  </si>
  <si>
    <t>ET N° 23</t>
  </si>
  <si>
    <t>CONSTRUCCIONES</t>
  </si>
  <si>
    <t>PARQUE AVELLANEDA</t>
  </si>
  <si>
    <t>CANCELO LA ESCUELA</t>
  </si>
  <si>
    <t>HUANUCO FLAVIA</t>
  </si>
  <si>
    <t>MAURO CHAPUR</t>
  </si>
  <si>
    <t>ENS 2 "Mariano Acosta"</t>
  </si>
  <si>
    <t>físico- matemático</t>
  </si>
  <si>
    <t>pamelamartinezz111@gmail.com</t>
  </si>
  <si>
    <t>Martinez Pamela</t>
  </si>
  <si>
    <t>Barrionuevo Nicolás</t>
  </si>
  <si>
    <t>Urrutia Verónica</t>
  </si>
  <si>
    <t>pamelamartinez111@gmail.com</t>
  </si>
  <si>
    <t>Lanús</t>
  </si>
  <si>
    <t>El departamento de matemática tiene como proyecto de área el ingreso a la universidad por eso llevamos a los dos 6tos al recorrido. No podemos priorizar una orientación sobre otra, por eso solicito (es el cuarto año que nos inscribimos pero aún no podemos ir) para que consideren ambas inscripciones. Desde ya muchas gracias</t>
  </si>
  <si>
    <t>En total serían 55 estudiantes (6to Sociales y 6to Arte). Gracias</t>
  </si>
  <si>
    <t xml:space="preserve">Arte </t>
  </si>
  <si>
    <t>flaviabastianiprofe@gmail.com</t>
  </si>
  <si>
    <t>EET N1. Organización de los Estados Americanos</t>
  </si>
  <si>
    <t>Técnica. Electromecánica</t>
  </si>
  <si>
    <t>Bastiani Flavia</t>
  </si>
  <si>
    <t>Galarza Pablo</t>
  </si>
  <si>
    <t>Sánchez Jorge</t>
  </si>
  <si>
    <t>Villa Tesei. Hurlingham</t>
  </si>
  <si>
    <t>Este sería el segundo año que iríamos. Los chicos no realizan muchas salidas debido a los costos. En el 24 fuimos y fue muy provechoso en cuanto a contenido y en la convivencia escolar</t>
  </si>
  <si>
    <t>Podemos martes o jueves. Aunque sólo podemos por la mañana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</si>
</sst>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9" x14ac:knownFonts="1">
    <font>
      <sz val="11"/>
      <color theme="1"/>
      <name val="Calibri"/>
      <scheme val="minor"/>
    </font>
    <font>
      <b/>
      <sz val="11"/>
      <color theme="1"/>
      <name val="Calibri"/>
    </font>
    <font>
      <sz val="11"/>
      <color theme="1"/>
      <name val="Calibri"/>
    </font>
    <font>
      <sz val="11"/>
      <color theme="1"/>
      <name val="Calibri"/>
    </font>
    <font>
      <sz val="11"/>
      <color theme="1"/>
      <name val="Arial"/>
    </font>
    <font>
      <sz val="11"/>
      <color theme="1"/>
      <name val="Calibri"/>
      <scheme val="minor"/>
    </font>
    <font>
      <sz val="11"/>
      <color rgb="FF000000"/>
      <name val="Calibri"/>
    </font>
    <font>
      <b/>
      <i/>
      <sz val="11"/>
      <color theme="1"/>
      <name val="Calibri"/>
    </font>
    <font>
      <i/>
      <sz val="11"/>
      <color theme="1"/>
      <name val="Calibri"/>
    </font>
  </fonts>
  <fills count="8">
    <fill>
      <patternFill patternType="none"/>
    </fill>
    <fill>
      <patternFill patternType="gray125"/>
    </fill>
    <fill>
      <patternFill patternType="solid">
        <fgColor rgb="FFFFF2CC"/>
        <bgColor rgb="FFFFF2CC"/>
      </patternFill>
    </fill>
    <fill>
      <patternFill patternType="solid">
        <fgColor rgb="FFF8F9FA"/>
        <bgColor rgb="FFF8F9FA"/>
      </patternFill>
    </fill>
    <fill>
      <patternFill patternType="solid">
        <fgColor rgb="FFEAD1DC"/>
        <bgColor rgb="FFEAD1DC"/>
      </patternFill>
    </fill>
    <fill>
      <patternFill patternType="solid">
        <fgColor rgb="FFD9EAD3"/>
        <bgColor rgb="FFD9EAD3"/>
      </patternFill>
    </fill>
    <fill>
      <patternFill patternType="solid">
        <fgColor rgb="FFFF0000"/>
        <bgColor rgb="FFFF0000"/>
      </patternFill>
    </fill>
    <fill>
      <patternFill patternType="solid">
        <fgColor rgb="FFFF9900"/>
        <bgColor rgb="FFFF9900"/>
      </patternFill>
    </fill>
  </fills>
  <borders count="10">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1">
    <xf numFmtId="0" fontId="0" fillId="0" borderId="0" xfId="0" applyFont="1" applyAlignment="1"/>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0" xfId="0" applyFont="1" applyAlignment="1">
      <alignment vertical="center" wrapText="1"/>
    </xf>
    <xf numFmtId="0" fontId="2" fillId="0" borderId="0" xfId="0" applyFont="1" applyAlignment="1">
      <alignment vertical="center" wrapText="1"/>
    </xf>
    <xf numFmtId="164" fontId="3" fillId="0" borderId="4" xfId="0" applyNumberFormat="1" applyFont="1" applyBorder="1"/>
    <xf numFmtId="0" fontId="2" fillId="0" borderId="0" xfId="0" applyFont="1"/>
    <xf numFmtId="0" fontId="4" fillId="0" borderId="0" xfId="0" applyFont="1" applyAlignment="1"/>
    <xf numFmtId="0" fontId="2" fillId="0" borderId="5" xfId="0" applyFont="1" applyBorder="1"/>
    <xf numFmtId="0" fontId="5" fillId="0" borderId="0" xfId="0" applyFont="1" applyAlignment="1"/>
    <xf numFmtId="0" fontId="2" fillId="0" borderId="5" xfId="0" applyFont="1" applyBorder="1" applyAlignment="1"/>
    <xf numFmtId="0" fontId="5" fillId="0" borderId="0" xfId="0" applyFont="1" applyAlignment="1"/>
    <xf numFmtId="0" fontId="2" fillId="2" borderId="4" xfId="0" applyFont="1" applyFill="1" applyBorder="1"/>
    <xf numFmtId="0" fontId="2" fillId="2" borderId="0" xfId="0" applyFont="1" applyFill="1"/>
    <xf numFmtId="0" fontId="6" fillId="2" borderId="0" xfId="0" applyFont="1" applyFill="1" applyAlignment="1">
      <alignment horizontal="left"/>
    </xf>
    <xf numFmtId="0" fontId="2" fillId="2" borderId="0" xfId="0" applyFont="1" applyFill="1" applyAlignment="1">
      <alignment horizontal="right"/>
    </xf>
    <xf numFmtId="0" fontId="2" fillId="2" borderId="0" xfId="0" applyFont="1" applyFill="1" applyAlignment="1"/>
    <xf numFmtId="0" fontId="2" fillId="2" borderId="5" xfId="0" applyFont="1" applyFill="1" applyBorder="1"/>
    <xf numFmtId="0" fontId="3" fillId="2" borderId="0" xfId="0" applyFont="1" applyFill="1" applyAlignment="1">
      <alignment horizontal="right"/>
    </xf>
    <xf numFmtId="0" fontId="3" fillId="2" borderId="5" xfId="0" applyFont="1" applyFill="1" applyBorder="1" applyAlignment="1"/>
    <xf numFmtId="0" fontId="2" fillId="2" borderId="7" xfId="0" applyFont="1" applyFill="1" applyBorder="1"/>
    <xf numFmtId="164" fontId="3" fillId="2" borderId="4" xfId="0" applyNumberFormat="1" applyFont="1" applyFill="1" applyBorder="1"/>
    <xf numFmtId="164" fontId="3" fillId="0" borderId="6" xfId="0" applyNumberFormat="1" applyFont="1" applyBorder="1"/>
    <xf numFmtId="0" fontId="2" fillId="0" borderId="7" xfId="0" applyFont="1" applyBorder="1"/>
    <xf numFmtId="0" fontId="2" fillId="0" borderId="8" xfId="0" applyFont="1" applyBorder="1"/>
    <xf numFmtId="164" fontId="3" fillId="0" borderId="1" xfId="0" applyNumberFormat="1" applyFont="1" applyBorder="1"/>
    <xf numFmtId="0" fontId="2" fillId="0" borderId="2" xfId="0" applyFont="1" applyBorder="1"/>
    <xf numFmtId="0" fontId="2" fillId="0" borderId="3" xfId="0" applyFont="1" applyBorder="1"/>
    <xf numFmtId="0" fontId="2" fillId="0" borderId="0" xfId="0" applyFont="1" applyAlignment="1"/>
    <xf numFmtId="0" fontId="2" fillId="0" borderId="0" xfId="0" applyFont="1"/>
    <xf numFmtId="164" fontId="3" fillId="2" borderId="6" xfId="0" applyNumberFormat="1" applyFont="1" applyFill="1" applyBorder="1"/>
    <xf numFmtId="0" fontId="2" fillId="2" borderId="8" xfId="0" applyFont="1" applyFill="1" applyBorder="1"/>
    <xf numFmtId="0" fontId="2" fillId="3" borderId="0" xfId="0" applyFont="1" applyFill="1"/>
    <xf numFmtId="0" fontId="4" fillId="3" borderId="0" xfId="0" applyFont="1" applyFill="1" applyAlignment="1"/>
    <xf numFmtId="0" fontId="5" fillId="3" borderId="0" xfId="0" applyFont="1" applyFill="1"/>
    <xf numFmtId="0" fontId="1" fillId="0" borderId="2" xfId="0" applyFont="1" applyBorder="1" applyAlignment="1">
      <alignment horizontal="center" wrapText="1"/>
    </xf>
    <xf numFmtId="0" fontId="1" fillId="4" borderId="0" xfId="0" applyFont="1" applyFill="1" applyAlignment="1"/>
    <xf numFmtId="0" fontId="3" fillId="5" borderId="0" xfId="0" applyFont="1" applyFill="1" applyAlignment="1"/>
    <xf numFmtId="0" fontId="3" fillId="0" borderId="0" xfId="0" applyFont="1" applyAlignment="1"/>
    <xf numFmtId="0" fontId="7" fillId="5" borderId="0" xfId="0" applyFont="1" applyFill="1" applyAlignment="1"/>
    <xf numFmtId="0" fontId="1" fillId="5" borderId="0" xfId="0" applyFont="1" applyFill="1" applyAlignment="1"/>
    <xf numFmtId="0" fontId="3" fillId="5" borderId="0" xfId="0" applyFont="1" applyFill="1" applyAlignment="1">
      <alignment horizontal="right"/>
    </xf>
    <xf numFmtId="0" fontId="8" fillId="5" borderId="0" xfId="0" applyFont="1" applyFill="1" applyAlignment="1"/>
    <xf numFmtId="0" fontId="3" fillId="2" borderId="0" xfId="0" applyFont="1" applyFill="1" applyAlignment="1"/>
    <xf numFmtId="0" fontId="3" fillId="2" borderId="7" xfId="0" applyFont="1" applyFill="1" applyBorder="1" applyAlignment="1"/>
    <xf numFmtId="0" fontId="3" fillId="0" borderId="7" xfId="0" applyFont="1" applyBorder="1" applyAlignment="1"/>
    <xf numFmtId="0" fontId="3" fillId="0" borderId="2" xfId="0" applyFont="1" applyBorder="1" applyAlignment="1"/>
    <xf numFmtId="0" fontId="3" fillId="3" borderId="0" xfId="0" applyFont="1" applyFill="1" applyAlignment="1"/>
    <xf numFmtId="0" fontId="4" fillId="0" borderId="0" xfId="0" applyFont="1" applyAlignment="1">
      <alignment horizontal="right"/>
    </xf>
    <xf numFmtId="0" fontId="1" fillId="0" borderId="9" xfId="0" applyFont="1" applyBorder="1" applyAlignment="1">
      <alignment horizontal="center" vertical="top"/>
    </xf>
    <xf numFmtId="164" fontId="3" fillId="6" borderId="4" xfId="0" applyNumberFormat="1" applyFont="1" applyFill="1" applyBorder="1" applyAlignment="1">
      <alignment horizontal="right"/>
    </xf>
    <xf numFmtId="0" fontId="3" fillId="6" borderId="0" xfId="0" applyFont="1" applyFill="1" applyAlignment="1"/>
    <xf numFmtId="0" fontId="3" fillId="6" borderId="0" xfId="0" applyFont="1" applyFill="1" applyAlignment="1">
      <alignment horizontal="right"/>
    </xf>
    <xf numFmtId="0" fontId="3" fillId="6" borderId="5" xfId="0" applyFont="1" applyFill="1" applyBorder="1" applyAlignment="1"/>
    <xf numFmtId="164" fontId="3" fillId="6" borderId="1" xfId="0" applyNumberFormat="1" applyFont="1" applyFill="1" applyBorder="1" applyAlignment="1">
      <alignment horizontal="right"/>
    </xf>
    <xf numFmtId="0" fontId="3" fillId="6" borderId="2" xfId="0" applyFont="1" applyFill="1" applyBorder="1" applyAlignment="1"/>
    <xf numFmtId="0" fontId="3" fillId="6" borderId="2" xfId="0" applyFont="1" applyFill="1" applyBorder="1" applyAlignment="1">
      <alignment horizontal="right"/>
    </xf>
    <xf numFmtId="0" fontId="3" fillId="6" borderId="3" xfId="0" applyFont="1" applyFill="1" applyBorder="1" applyAlignment="1"/>
    <xf numFmtId="164" fontId="3" fillId="6" borderId="6" xfId="0" applyNumberFormat="1" applyFont="1" applyFill="1" applyBorder="1" applyAlignment="1">
      <alignment horizontal="right"/>
    </xf>
    <xf numFmtId="0" fontId="3" fillId="6" borderId="7" xfId="0" applyFont="1" applyFill="1" applyBorder="1" applyAlignment="1"/>
    <xf numFmtId="0" fontId="3" fillId="6" borderId="7" xfId="0" applyFont="1" applyFill="1" applyBorder="1" applyAlignment="1">
      <alignment horizontal="right"/>
    </xf>
    <xf numFmtId="0" fontId="3" fillId="6" borderId="8" xfId="0" applyFont="1" applyFill="1" applyBorder="1" applyAlignment="1"/>
    <xf numFmtId="0" fontId="3" fillId="0" borderId="0" xfId="0" applyFont="1" applyAlignment="1"/>
    <xf numFmtId="164" fontId="3" fillId="0" borderId="0" xfId="0" applyNumberFormat="1" applyFont="1"/>
    <xf numFmtId="164" fontId="3" fillId="6" borderId="4" xfId="0" applyNumberFormat="1" applyFont="1" applyFill="1" applyBorder="1"/>
    <xf numFmtId="0" fontId="2" fillId="6" borderId="0" xfId="0" applyFont="1" applyFill="1"/>
    <xf numFmtId="0" fontId="2" fillId="6" borderId="5" xfId="0" applyFont="1" applyFill="1" applyBorder="1"/>
    <xf numFmtId="0" fontId="8" fillId="6" borderId="0" xfId="0" applyFont="1" applyFill="1" applyAlignment="1"/>
    <xf numFmtId="164" fontId="3" fillId="7" borderId="0" xfId="0" applyNumberFormat="1" applyFont="1" applyFill="1"/>
    <xf numFmtId="0" fontId="2" fillId="7" borderId="0" xfId="0" applyFont="1" applyFill="1"/>
    <xf numFmtId="0" fontId="2" fillId="2" borderId="0" xfId="0" applyFont="1" applyFill="1" applyBorder="1"/>
    <xf numFmtId="0" fontId="2" fillId="0" borderId="0" xfId="0" applyFont="1" applyBorder="1"/>
    <xf numFmtId="0" fontId="3" fillId="2" borderId="0" xfId="0" applyFont="1" applyFill="1" applyBorder="1" applyAlignment="1"/>
    <xf numFmtId="49" fontId="2" fillId="2" borderId="7" xfId="0" applyNumberFormat="1" applyFont="1" applyFill="1" applyBorder="1" applyAlignment="1">
      <alignment horizontal="right"/>
    </xf>
    <xf numFmtId="0" fontId="2" fillId="2" borderId="0" xfId="0" applyFont="1" applyFill="1" applyBorder="1" applyAlignment="1">
      <alignment horizontal="right"/>
    </xf>
    <xf numFmtId="0" fontId="2" fillId="2" borderId="0" xfId="0" applyFont="1" applyFill="1" applyBorder="1" applyAlignment="1"/>
    <xf numFmtId="0" fontId="4" fillId="0" borderId="7" xfId="0" applyFont="1" applyBorder="1" applyAlignment="1"/>
    <xf numFmtId="0" fontId="3" fillId="2" borderId="0" xfId="0" applyFont="1" applyFill="1" applyBorder="1" applyAlignment="1">
      <alignment horizontal="right"/>
    </xf>
    <xf numFmtId="0" fontId="0" fillId="0" borderId="2" xfId="0" applyFont="1" applyBorder="1" applyAlignment="1"/>
    <xf numFmtId="0" fontId="0" fillId="0" borderId="7" xfId="0" applyFont="1" applyBorder="1" applyAlignment="1"/>
  </cellXfs>
  <cellStyles count="1">
    <cellStyle name="Normal" xfId="0" builtinId="0"/>
  </cellStyles>
  <dxfs count="2">
    <dxf>
      <fill>
        <patternFill patternType="solid">
          <fgColor rgb="FFFFFFFF"/>
          <bgColor rgb="FFFFFFFF"/>
        </patternFill>
      </fill>
    </dxf>
    <dxf>
      <fill>
        <patternFill patternType="solid">
          <fgColor rgb="FFF8F9FA"/>
          <bgColor rgb="FFF8F9FA"/>
        </patternFill>
      </fill>
    </dxf>
  </dxfs>
  <tableStyles count="1">
    <tableStyle name="Hoja 2-style" pivot="0" count="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id="1" name="Table_1" displayName="Table_1" ref="B135" headerRowCount="0">
  <tableColumns count="1">
    <tableColumn id="1" name="Column1"/>
  </tableColumns>
  <tableStyleInfo name="Hoja 2-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134"/>
  <sheetViews>
    <sheetView tabSelected="1" topLeftCell="I1" workbookViewId="0">
      <pane ySplit="1" topLeftCell="A2" activePane="bottomLeft" state="frozen"/>
      <selection pane="bottomLeft" activeCell="Q135" sqref="Q135"/>
    </sheetView>
  </sheetViews>
  <sheetFormatPr baseColWidth="10" defaultColWidth="14.44140625" defaultRowHeight="15" customHeight="1" x14ac:dyDescent="0.3"/>
  <cols>
    <col min="1" max="2" width="8.6640625" customWidth="1"/>
    <col min="3" max="3" width="25" customWidth="1"/>
    <col min="4" max="4" width="16.6640625" customWidth="1"/>
    <col min="5" max="11" width="8.6640625" customWidth="1"/>
    <col min="12" max="12" width="11.109375" customWidth="1"/>
    <col min="13" max="22" width="8.6640625" customWidth="1"/>
    <col min="23" max="23" width="13.109375" customWidth="1"/>
    <col min="24" max="24" width="30.6640625" customWidth="1"/>
    <col min="25" max="25" width="8.6640625" customWidth="1"/>
    <col min="26" max="26" width="11.109375" customWidth="1"/>
    <col min="27" max="30" width="8.6640625" customWidth="1"/>
  </cols>
  <sheetData>
    <row r="1" spans="1:30" ht="33.75" customHeight="1"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3" t="s">
        <v>23</v>
      </c>
      <c r="Y1" s="4" t="s">
        <v>24</v>
      </c>
      <c r="Z1" s="4" t="s">
        <v>25</v>
      </c>
      <c r="AA1" s="5"/>
      <c r="AB1" s="5"/>
      <c r="AC1" s="5"/>
      <c r="AD1" s="5"/>
    </row>
    <row r="2" spans="1:30" ht="15.75" customHeight="1" x14ac:dyDescent="0.3">
      <c r="A2" s="6">
        <v>46099.766607951387</v>
      </c>
      <c r="B2" s="7" t="s">
        <v>26</v>
      </c>
      <c r="C2" s="7" t="s">
        <v>27</v>
      </c>
      <c r="D2" s="7">
        <v>60861200</v>
      </c>
      <c r="E2" s="8" t="s">
        <v>28</v>
      </c>
      <c r="F2" s="7" t="s">
        <v>29</v>
      </c>
      <c r="G2" s="7" t="s">
        <v>30</v>
      </c>
      <c r="H2" s="7" t="s">
        <v>31</v>
      </c>
      <c r="I2" s="7">
        <v>30382710</v>
      </c>
      <c r="J2" s="7" t="s">
        <v>32</v>
      </c>
      <c r="K2" s="7" t="s">
        <v>33</v>
      </c>
      <c r="L2" s="7" t="s">
        <v>26</v>
      </c>
      <c r="M2" s="7" t="s">
        <v>34</v>
      </c>
      <c r="N2" s="7" t="s">
        <v>35</v>
      </c>
      <c r="O2" s="7">
        <v>35</v>
      </c>
      <c r="P2" s="7" t="s">
        <v>36</v>
      </c>
      <c r="Q2" s="7">
        <v>90</v>
      </c>
      <c r="S2" s="7" t="s">
        <v>37</v>
      </c>
      <c r="T2" s="7" t="s">
        <v>38</v>
      </c>
      <c r="U2" s="7" t="s">
        <v>39</v>
      </c>
      <c r="W2" s="7">
        <v>1</v>
      </c>
      <c r="X2" s="9" t="s">
        <v>40</v>
      </c>
      <c r="Y2" s="10" t="s">
        <v>39</v>
      </c>
      <c r="Z2" s="10" t="s">
        <v>39</v>
      </c>
    </row>
    <row r="3" spans="1:30" ht="15.75" customHeight="1" x14ac:dyDescent="0.3">
      <c r="A3" s="6">
        <v>46102.043259768521</v>
      </c>
      <c r="B3" s="7" t="s">
        <v>41</v>
      </c>
      <c r="C3" s="7" t="s">
        <v>42</v>
      </c>
      <c r="D3" s="7">
        <v>62181400</v>
      </c>
      <c r="E3" s="8" t="s">
        <v>43</v>
      </c>
      <c r="F3" s="7" t="s">
        <v>44</v>
      </c>
      <c r="G3" s="7" t="s">
        <v>45</v>
      </c>
      <c r="H3" s="7" t="s">
        <v>46</v>
      </c>
      <c r="I3" s="7">
        <v>38912953</v>
      </c>
      <c r="J3" s="7" t="s">
        <v>47</v>
      </c>
      <c r="K3" s="7" t="s">
        <v>48</v>
      </c>
      <c r="L3" s="7" t="s">
        <v>41</v>
      </c>
      <c r="M3" s="7" t="s">
        <v>34</v>
      </c>
      <c r="N3" s="7" t="s">
        <v>49</v>
      </c>
      <c r="O3" s="7">
        <v>35</v>
      </c>
      <c r="P3" s="7" t="s">
        <v>36</v>
      </c>
      <c r="Q3" s="7">
        <v>90</v>
      </c>
      <c r="S3" s="7" t="s">
        <v>37</v>
      </c>
      <c r="T3" s="7" t="s">
        <v>38</v>
      </c>
      <c r="U3" s="7" t="s">
        <v>39</v>
      </c>
      <c r="W3" s="7">
        <v>1</v>
      </c>
      <c r="X3" s="11">
        <v>0</v>
      </c>
      <c r="Y3" s="10" t="s">
        <v>39</v>
      </c>
      <c r="Z3" s="10" t="s">
        <v>39</v>
      </c>
    </row>
    <row r="4" spans="1:30" ht="15.75" customHeight="1" x14ac:dyDescent="0.3">
      <c r="A4" s="6">
        <v>46099.597547372687</v>
      </c>
      <c r="B4" s="7" t="s">
        <v>50</v>
      </c>
      <c r="C4" s="7" t="s">
        <v>51</v>
      </c>
      <c r="D4" s="7">
        <v>61000200</v>
      </c>
      <c r="E4" s="8" t="s">
        <v>28</v>
      </c>
      <c r="F4" s="7" t="s">
        <v>52</v>
      </c>
      <c r="G4" s="7" t="s">
        <v>30</v>
      </c>
      <c r="H4" s="7" t="s">
        <v>53</v>
      </c>
      <c r="I4" s="7">
        <v>23700134</v>
      </c>
      <c r="J4" s="7" t="s">
        <v>54</v>
      </c>
      <c r="K4" s="7" t="s">
        <v>55</v>
      </c>
      <c r="L4" s="7" t="s">
        <v>50</v>
      </c>
      <c r="M4" s="7" t="s">
        <v>56</v>
      </c>
      <c r="N4" s="7" t="s">
        <v>57</v>
      </c>
      <c r="O4" s="7">
        <v>35</v>
      </c>
      <c r="P4" s="7" t="s">
        <v>36</v>
      </c>
      <c r="Q4" s="7">
        <v>80</v>
      </c>
      <c r="S4" s="7" t="s">
        <v>37</v>
      </c>
      <c r="T4" s="7" t="s">
        <v>38</v>
      </c>
      <c r="U4" s="7" t="s">
        <v>39</v>
      </c>
      <c r="W4" s="7">
        <v>1</v>
      </c>
      <c r="X4" s="9" t="s">
        <v>40</v>
      </c>
      <c r="Y4" t="s">
        <v>39</v>
      </c>
      <c r="Z4" s="10" t="s">
        <v>39</v>
      </c>
    </row>
    <row r="5" spans="1:30" ht="15.75" customHeight="1" x14ac:dyDescent="0.3">
      <c r="A5" s="6">
        <v>46099.765416724527</v>
      </c>
      <c r="B5" s="7" t="s">
        <v>26</v>
      </c>
      <c r="C5" s="7" t="s">
        <v>27</v>
      </c>
      <c r="D5" s="7">
        <v>60861200</v>
      </c>
      <c r="E5" s="8" t="s">
        <v>28</v>
      </c>
      <c r="F5" s="7" t="s">
        <v>58</v>
      </c>
      <c r="G5" s="7" t="s">
        <v>30</v>
      </c>
      <c r="H5" s="7" t="s">
        <v>31</v>
      </c>
      <c r="I5" s="7">
        <v>30382710</v>
      </c>
      <c r="J5" s="7" t="s">
        <v>32</v>
      </c>
      <c r="K5" s="7" t="s">
        <v>33</v>
      </c>
      <c r="L5" s="7" t="s">
        <v>26</v>
      </c>
      <c r="M5" s="7" t="s">
        <v>34</v>
      </c>
      <c r="N5" s="7" t="s">
        <v>35</v>
      </c>
      <c r="O5" s="7">
        <v>35</v>
      </c>
      <c r="P5" s="7" t="s">
        <v>36</v>
      </c>
      <c r="Q5" s="7">
        <v>90</v>
      </c>
      <c r="S5" s="7" t="s">
        <v>37</v>
      </c>
      <c r="T5" s="7" t="s">
        <v>38</v>
      </c>
      <c r="U5" s="7" t="s">
        <v>39</v>
      </c>
      <c r="W5" s="7">
        <v>1</v>
      </c>
      <c r="X5" s="9" t="s">
        <v>40</v>
      </c>
      <c r="Y5" s="10" t="s">
        <v>39</v>
      </c>
      <c r="Z5" s="10" t="s">
        <v>39</v>
      </c>
    </row>
    <row r="6" spans="1:30" ht="15.75" customHeight="1" x14ac:dyDescent="0.3">
      <c r="A6" s="6">
        <v>46099.919700011567</v>
      </c>
      <c r="B6" s="7" t="s">
        <v>68</v>
      </c>
      <c r="C6" s="7" t="s">
        <v>69</v>
      </c>
      <c r="D6" s="7">
        <v>61726900</v>
      </c>
      <c r="E6" s="8" t="s">
        <v>28</v>
      </c>
      <c r="F6" s="7" t="s">
        <v>70</v>
      </c>
      <c r="G6" s="7" t="s">
        <v>30</v>
      </c>
      <c r="H6" s="7" t="s">
        <v>71</v>
      </c>
      <c r="I6" s="7">
        <v>23265316</v>
      </c>
      <c r="J6" s="7" t="s">
        <v>72</v>
      </c>
      <c r="K6" s="7" t="s">
        <v>73</v>
      </c>
      <c r="L6" s="7" t="s">
        <v>68</v>
      </c>
      <c r="M6" s="7" t="s">
        <v>34</v>
      </c>
      <c r="N6" s="7" t="s">
        <v>74</v>
      </c>
      <c r="O6" s="7">
        <v>26</v>
      </c>
      <c r="P6" s="7" t="s">
        <v>36</v>
      </c>
      <c r="Q6" s="7">
        <v>55</v>
      </c>
      <c r="S6" s="7" t="s">
        <v>37</v>
      </c>
      <c r="T6" s="7" t="s">
        <v>75</v>
      </c>
      <c r="U6" s="7" t="s">
        <v>39</v>
      </c>
      <c r="W6" s="7">
        <v>1</v>
      </c>
      <c r="X6" s="9" t="s">
        <v>76</v>
      </c>
      <c r="Y6" s="10" t="s">
        <v>39</v>
      </c>
      <c r="Z6" s="10" t="s">
        <v>77</v>
      </c>
    </row>
    <row r="7" spans="1:30" ht="15.75" customHeight="1" x14ac:dyDescent="0.3">
      <c r="A7" s="6">
        <v>46099.67019809028</v>
      </c>
      <c r="B7" s="7" t="s">
        <v>78</v>
      </c>
      <c r="C7" s="7" t="s">
        <v>79</v>
      </c>
      <c r="D7" s="7">
        <v>123</v>
      </c>
      <c r="E7" s="8" t="s">
        <v>28</v>
      </c>
      <c r="F7" s="7" t="s">
        <v>80</v>
      </c>
      <c r="G7" s="7" t="s">
        <v>30</v>
      </c>
      <c r="H7" s="7" t="s">
        <v>81</v>
      </c>
      <c r="I7" s="7">
        <v>26539649</v>
      </c>
      <c r="J7" s="7" t="s">
        <v>82</v>
      </c>
      <c r="L7" s="7" t="s">
        <v>78</v>
      </c>
      <c r="M7" s="7" t="s">
        <v>83</v>
      </c>
      <c r="N7" s="7" t="s">
        <v>84</v>
      </c>
      <c r="O7" s="7">
        <v>24</v>
      </c>
      <c r="P7" s="7" t="s">
        <v>36</v>
      </c>
      <c r="Q7" s="7">
        <v>50</v>
      </c>
      <c r="S7" s="7" t="s">
        <v>37</v>
      </c>
      <c r="T7" s="7" t="s">
        <v>75</v>
      </c>
      <c r="U7" s="7" t="s">
        <v>39</v>
      </c>
      <c r="W7" s="7">
        <v>1</v>
      </c>
      <c r="X7" s="9" t="s">
        <v>76</v>
      </c>
      <c r="Y7" s="10" t="s">
        <v>39</v>
      </c>
      <c r="Z7" s="12" t="s">
        <v>77</v>
      </c>
    </row>
    <row r="8" spans="1:30" ht="15.75" customHeight="1" x14ac:dyDescent="0.3">
      <c r="A8" s="6">
        <v>46099.755561111109</v>
      </c>
      <c r="B8" s="7" t="s">
        <v>85</v>
      </c>
      <c r="C8" s="7" t="s">
        <v>86</v>
      </c>
      <c r="D8" s="7">
        <v>61311200</v>
      </c>
      <c r="E8" s="8" t="s">
        <v>28</v>
      </c>
      <c r="F8" s="7" t="s">
        <v>87</v>
      </c>
      <c r="G8" s="7" t="s">
        <v>45</v>
      </c>
      <c r="H8" s="7" t="s">
        <v>88</v>
      </c>
      <c r="I8" s="7">
        <v>31326963</v>
      </c>
      <c r="J8" s="7" t="s">
        <v>89</v>
      </c>
      <c r="K8" s="30" t="s">
        <v>90</v>
      </c>
      <c r="L8" s="7" t="s">
        <v>85</v>
      </c>
      <c r="M8" s="7" t="s">
        <v>91</v>
      </c>
      <c r="N8" s="7" t="s">
        <v>92</v>
      </c>
      <c r="O8" s="7">
        <v>25</v>
      </c>
      <c r="P8" s="7" t="s">
        <v>36</v>
      </c>
      <c r="Q8" s="7">
        <v>50</v>
      </c>
      <c r="S8" s="7" t="s">
        <v>37</v>
      </c>
      <c r="T8" s="7" t="s">
        <v>75</v>
      </c>
      <c r="U8" s="7" t="s">
        <v>39</v>
      </c>
      <c r="W8" s="7">
        <v>1</v>
      </c>
      <c r="X8" s="9" t="s">
        <v>76</v>
      </c>
      <c r="Y8" s="10" t="s">
        <v>39</v>
      </c>
      <c r="Z8" s="12" t="s">
        <v>77</v>
      </c>
    </row>
    <row r="9" spans="1:30" ht="15.75" customHeight="1" x14ac:dyDescent="0.3">
      <c r="A9" s="6">
        <v>46099.671654756938</v>
      </c>
      <c r="B9" s="7" t="s">
        <v>78</v>
      </c>
      <c r="C9" s="7" t="s">
        <v>79</v>
      </c>
      <c r="D9" s="7">
        <v>124</v>
      </c>
      <c r="E9" s="8" t="s">
        <v>43</v>
      </c>
      <c r="F9" s="7" t="s">
        <v>93</v>
      </c>
      <c r="G9" s="7" t="s">
        <v>30</v>
      </c>
      <c r="H9" s="7" t="s">
        <v>81</v>
      </c>
      <c r="I9" s="7">
        <v>26539649</v>
      </c>
      <c r="J9" s="7" t="s">
        <v>82</v>
      </c>
      <c r="L9" s="7" t="s">
        <v>78</v>
      </c>
      <c r="M9" s="7" t="s">
        <v>83</v>
      </c>
      <c r="N9" s="7" t="s">
        <v>84</v>
      </c>
      <c r="O9" s="7">
        <v>32</v>
      </c>
      <c r="P9" s="7" t="s">
        <v>36</v>
      </c>
      <c r="Q9" s="7">
        <v>50</v>
      </c>
      <c r="S9" s="7" t="s">
        <v>37</v>
      </c>
      <c r="T9" s="7" t="s">
        <v>75</v>
      </c>
      <c r="U9" s="7" t="s">
        <v>39</v>
      </c>
      <c r="W9" s="7">
        <v>1</v>
      </c>
      <c r="X9" s="9" t="s">
        <v>76</v>
      </c>
      <c r="Y9" s="10" t="s">
        <v>39</v>
      </c>
      <c r="Z9" s="12" t="s">
        <v>77</v>
      </c>
    </row>
    <row r="10" spans="1:30" ht="15.75" customHeight="1" x14ac:dyDescent="0.3">
      <c r="A10" s="6">
        <v>46101.425841469907</v>
      </c>
      <c r="B10" s="7" t="s">
        <v>94</v>
      </c>
      <c r="C10" s="7" t="s">
        <v>95</v>
      </c>
      <c r="D10" s="7">
        <v>200637</v>
      </c>
      <c r="E10" s="8" t="s">
        <v>61</v>
      </c>
      <c r="F10" s="7" t="s">
        <v>96</v>
      </c>
      <c r="G10" s="7" t="s">
        <v>30</v>
      </c>
      <c r="H10" s="7" t="s">
        <v>97</v>
      </c>
      <c r="I10" s="7">
        <v>29136279</v>
      </c>
      <c r="J10" s="7" t="s">
        <v>98</v>
      </c>
      <c r="K10" s="30" t="s">
        <v>99</v>
      </c>
      <c r="L10" s="7" t="s">
        <v>94</v>
      </c>
      <c r="M10" s="7" t="s">
        <v>83</v>
      </c>
      <c r="N10" s="7" t="s">
        <v>100</v>
      </c>
      <c r="O10" s="7">
        <v>33</v>
      </c>
      <c r="P10" s="7" t="s">
        <v>36</v>
      </c>
      <c r="Q10" s="7">
        <v>75</v>
      </c>
      <c r="R10" s="30" t="s">
        <v>101</v>
      </c>
      <c r="S10" s="7" t="s">
        <v>37</v>
      </c>
      <c r="T10" s="7" t="s">
        <v>75</v>
      </c>
      <c r="U10" s="7" t="s">
        <v>77</v>
      </c>
      <c r="V10" s="30" t="s">
        <v>102</v>
      </c>
      <c r="W10" s="7">
        <v>1</v>
      </c>
      <c r="X10" s="9" t="s">
        <v>76</v>
      </c>
      <c r="Y10" s="10" t="s">
        <v>39</v>
      </c>
      <c r="Z10" s="12" t="s">
        <v>77</v>
      </c>
    </row>
    <row r="11" spans="1:30" ht="15.75" customHeight="1" x14ac:dyDescent="0.3">
      <c r="A11" s="6">
        <v>46099.711433900462</v>
      </c>
      <c r="B11" s="7" t="s">
        <v>197</v>
      </c>
      <c r="C11" s="7" t="s">
        <v>198</v>
      </c>
      <c r="D11" s="7">
        <v>20063700</v>
      </c>
      <c r="E11" s="8" t="s">
        <v>61</v>
      </c>
      <c r="F11" s="7" t="s">
        <v>199</v>
      </c>
      <c r="G11" s="7" t="s">
        <v>30</v>
      </c>
      <c r="H11" s="7" t="s">
        <v>200</v>
      </c>
      <c r="I11" s="7">
        <v>30593081</v>
      </c>
      <c r="J11" s="7" t="s">
        <v>201</v>
      </c>
      <c r="K11" s="7" t="s">
        <v>202</v>
      </c>
      <c r="L11" s="7" t="s">
        <v>197</v>
      </c>
      <c r="M11" s="7" t="s">
        <v>83</v>
      </c>
      <c r="N11" s="7" t="s">
        <v>203</v>
      </c>
      <c r="O11" s="7">
        <v>30</v>
      </c>
      <c r="P11" s="7" t="s">
        <v>36</v>
      </c>
      <c r="Q11" s="7">
        <v>70</v>
      </c>
      <c r="R11" s="7" t="s">
        <v>204</v>
      </c>
      <c r="S11" s="7" t="s">
        <v>37</v>
      </c>
      <c r="T11" s="7" t="s">
        <v>205</v>
      </c>
      <c r="U11" s="7" t="s">
        <v>39</v>
      </c>
      <c r="V11" s="7" t="s">
        <v>206</v>
      </c>
      <c r="W11" s="7">
        <v>1</v>
      </c>
      <c r="X11" s="9" t="s">
        <v>207</v>
      </c>
      <c r="Y11" s="10" t="s">
        <v>77</v>
      </c>
      <c r="Z11" s="12" t="s">
        <v>39</v>
      </c>
    </row>
    <row r="12" spans="1:30" ht="16.5" customHeight="1" x14ac:dyDescent="0.3">
      <c r="A12" s="6">
        <v>46099.595849363417</v>
      </c>
      <c r="B12" s="7" t="s">
        <v>208</v>
      </c>
      <c r="C12" s="7" t="s">
        <v>209</v>
      </c>
      <c r="D12" s="7">
        <v>200628</v>
      </c>
      <c r="E12" s="8" t="s">
        <v>43</v>
      </c>
      <c r="F12" s="7" t="s">
        <v>210</v>
      </c>
      <c r="G12" s="7" t="s">
        <v>30</v>
      </c>
      <c r="H12" s="7" t="s">
        <v>211</v>
      </c>
      <c r="I12" s="7">
        <v>34553288</v>
      </c>
      <c r="J12" s="7" t="s">
        <v>212</v>
      </c>
      <c r="K12" s="7" t="s">
        <v>213</v>
      </c>
      <c r="L12" s="7" t="s">
        <v>208</v>
      </c>
      <c r="M12" s="7" t="s">
        <v>83</v>
      </c>
      <c r="N12" s="7" t="s">
        <v>214</v>
      </c>
      <c r="O12" s="7">
        <v>35</v>
      </c>
      <c r="P12" s="7" t="s">
        <v>36</v>
      </c>
      <c r="Q12" s="7">
        <v>100</v>
      </c>
      <c r="R12" s="30" t="s">
        <v>215</v>
      </c>
      <c r="S12" s="7" t="s">
        <v>37</v>
      </c>
      <c r="T12" s="7" t="s">
        <v>205</v>
      </c>
      <c r="U12" s="7" t="s">
        <v>39</v>
      </c>
      <c r="V12" s="30" t="s">
        <v>216</v>
      </c>
      <c r="W12" s="7">
        <v>1</v>
      </c>
      <c r="X12" s="9" t="s">
        <v>207</v>
      </c>
      <c r="Y12" s="10" t="s">
        <v>77</v>
      </c>
      <c r="Z12" s="12" t="s">
        <v>39</v>
      </c>
    </row>
    <row r="13" spans="1:30" ht="15.75" customHeight="1" x14ac:dyDescent="0.3">
      <c r="A13" s="6">
        <v>46099.614385752313</v>
      </c>
      <c r="B13" s="7" t="s">
        <v>217</v>
      </c>
      <c r="C13" s="7" t="s">
        <v>218</v>
      </c>
      <c r="D13" s="7">
        <v>201693</v>
      </c>
      <c r="E13" s="8" t="s">
        <v>28</v>
      </c>
      <c r="F13" s="7" t="s">
        <v>70</v>
      </c>
      <c r="G13" s="7" t="s">
        <v>30</v>
      </c>
      <c r="H13" s="7" t="s">
        <v>219</v>
      </c>
      <c r="I13" s="7">
        <v>24365107</v>
      </c>
      <c r="J13" s="7" t="s">
        <v>220</v>
      </c>
      <c r="K13" s="30" t="s">
        <v>221</v>
      </c>
      <c r="L13" s="7" t="s">
        <v>217</v>
      </c>
      <c r="M13" s="7" t="s">
        <v>83</v>
      </c>
      <c r="N13" s="7" t="s">
        <v>222</v>
      </c>
      <c r="O13" s="7">
        <v>35</v>
      </c>
      <c r="P13" s="7" t="s">
        <v>36</v>
      </c>
      <c r="Q13" s="7">
        <v>100</v>
      </c>
      <c r="S13" s="7" t="s">
        <v>37</v>
      </c>
      <c r="T13" s="7" t="s">
        <v>205</v>
      </c>
      <c r="U13" s="7" t="s">
        <v>39</v>
      </c>
      <c r="W13" s="7">
        <v>1</v>
      </c>
      <c r="X13" s="9" t="s">
        <v>207</v>
      </c>
      <c r="Y13" s="10" t="s">
        <v>77</v>
      </c>
      <c r="Z13" s="12" t="s">
        <v>39</v>
      </c>
    </row>
    <row r="14" spans="1:30" ht="15.75" customHeight="1" x14ac:dyDescent="0.3">
      <c r="A14" s="6">
        <v>46099.710113136571</v>
      </c>
      <c r="B14" s="7" t="s">
        <v>251</v>
      </c>
      <c r="C14" s="7" t="s">
        <v>252</v>
      </c>
      <c r="D14" s="7">
        <v>20063700</v>
      </c>
      <c r="E14" s="8" t="s">
        <v>61</v>
      </c>
      <c r="F14" s="7" t="s">
        <v>253</v>
      </c>
      <c r="G14" s="7" t="s">
        <v>30</v>
      </c>
      <c r="H14" s="7" t="s">
        <v>254</v>
      </c>
      <c r="I14" s="7">
        <v>29426005</v>
      </c>
      <c r="J14" s="7" t="s">
        <v>255</v>
      </c>
      <c r="K14" s="30" t="s">
        <v>256</v>
      </c>
      <c r="L14" s="7" t="s">
        <v>251</v>
      </c>
      <c r="M14" s="7" t="s">
        <v>83</v>
      </c>
      <c r="N14" s="7" t="s">
        <v>257</v>
      </c>
      <c r="O14" s="7">
        <v>30</v>
      </c>
      <c r="P14" s="7" t="s">
        <v>36</v>
      </c>
      <c r="Q14" s="7">
        <v>80</v>
      </c>
      <c r="R14" s="30" t="s">
        <v>258</v>
      </c>
      <c r="S14" s="7" t="s">
        <v>37</v>
      </c>
      <c r="T14" s="7" t="s">
        <v>205</v>
      </c>
      <c r="U14" s="7" t="s">
        <v>39</v>
      </c>
      <c r="V14" s="30" t="s">
        <v>259</v>
      </c>
      <c r="W14" s="7">
        <v>1</v>
      </c>
      <c r="X14" s="9" t="s">
        <v>207</v>
      </c>
      <c r="Y14" s="10" t="s">
        <v>77</v>
      </c>
      <c r="Z14" s="12" t="s">
        <v>39</v>
      </c>
    </row>
    <row r="15" spans="1:30" ht="15.75" customHeight="1" x14ac:dyDescent="0.3">
      <c r="A15" s="6">
        <v>46100.620943576389</v>
      </c>
      <c r="B15" s="7" t="s">
        <v>306</v>
      </c>
      <c r="C15" s="7" t="s">
        <v>307</v>
      </c>
      <c r="D15" s="7">
        <v>61029200</v>
      </c>
      <c r="E15" s="8" t="s">
        <v>28</v>
      </c>
      <c r="F15" s="7" t="s">
        <v>308</v>
      </c>
      <c r="G15" s="7" t="s">
        <v>30</v>
      </c>
      <c r="H15" s="7" t="s">
        <v>309</v>
      </c>
      <c r="I15" s="7">
        <v>31135654</v>
      </c>
      <c r="J15" s="7" t="s">
        <v>310</v>
      </c>
      <c r="K15" s="30" t="s">
        <v>311</v>
      </c>
      <c r="L15" s="7" t="s">
        <v>306</v>
      </c>
      <c r="M15" s="7" t="s">
        <v>56</v>
      </c>
      <c r="N15" s="7" t="s">
        <v>312</v>
      </c>
      <c r="O15" s="7">
        <v>30</v>
      </c>
      <c r="P15" s="7" t="s">
        <v>313</v>
      </c>
      <c r="Q15" s="7">
        <v>60</v>
      </c>
      <c r="R15" s="30" t="s">
        <v>314</v>
      </c>
      <c r="S15" s="7" t="s">
        <v>294</v>
      </c>
      <c r="T15" s="7" t="s">
        <v>38</v>
      </c>
      <c r="U15" s="7" t="s">
        <v>39</v>
      </c>
      <c r="V15" s="30" t="s">
        <v>315</v>
      </c>
      <c r="W15" s="7">
        <v>1</v>
      </c>
      <c r="X15" s="9" t="s">
        <v>40</v>
      </c>
      <c r="Y15" s="10" t="s">
        <v>39</v>
      </c>
      <c r="Z15" s="12" t="s">
        <v>39</v>
      </c>
    </row>
    <row r="16" spans="1:30" ht="15.75" customHeight="1" x14ac:dyDescent="0.3">
      <c r="A16" s="6">
        <v>46099.606846944444</v>
      </c>
      <c r="B16" s="7" t="s">
        <v>316</v>
      </c>
      <c r="C16" s="7" t="s">
        <v>317</v>
      </c>
      <c r="D16" s="7">
        <v>62084400</v>
      </c>
      <c r="E16" s="8" t="s">
        <v>61</v>
      </c>
      <c r="F16" s="7" t="s">
        <v>318</v>
      </c>
      <c r="G16" s="7" t="s">
        <v>45</v>
      </c>
      <c r="H16" s="7" t="s">
        <v>319</v>
      </c>
      <c r="I16" s="7">
        <v>36275959</v>
      </c>
      <c r="J16" s="7" t="s">
        <v>320</v>
      </c>
      <c r="K16" s="30" t="s">
        <v>321</v>
      </c>
      <c r="L16" s="7" t="s">
        <v>316</v>
      </c>
      <c r="M16" s="7" t="s">
        <v>91</v>
      </c>
      <c r="N16" s="7" t="s">
        <v>322</v>
      </c>
      <c r="O16" s="7">
        <v>24</v>
      </c>
      <c r="P16" s="7" t="s">
        <v>36</v>
      </c>
      <c r="Q16" s="7">
        <v>70</v>
      </c>
      <c r="S16" s="7" t="s">
        <v>294</v>
      </c>
      <c r="T16" s="7" t="s">
        <v>75</v>
      </c>
      <c r="U16" s="7" t="s">
        <v>39</v>
      </c>
      <c r="W16" s="7">
        <v>1</v>
      </c>
      <c r="X16" s="9" t="s">
        <v>76</v>
      </c>
      <c r="Y16" s="10" t="s">
        <v>39</v>
      </c>
      <c r="Z16" s="12" t="s">
        <v>77</v>
      </c>
    </row>
    <row r="17" spans="1:26" ht="15.75" customHeight="1" x14ac:dyDescent="0.3">
      <c r="A17" s="22">
        <v>46106.351926516203</v>
      </c>
      <c r="B17" s="14" t="s">
        <v>323</v>
      </c>
      <c r="C17" s="14" t="s">
        <v>324</v>
      </c>
      <c r="D17" s="14">
        <v>20170000</v>
      </c>
      <c r="E17" s="8" t="s">
        <v>28</v>
      </c>
      <c r="F17" s="14" t="s">
        <v>325</v>
      </c>
      <c r="G17" s="14" t="s">
        <v>111</v>
      </c>
      <c r="H17" s="14" t="s">
        <v>326</v>
      </c>
      <c r="I17" s="14">
        <v>32951833</v>
      </c>
      <c r="J17" s="14" t="s">
        <v>327</v>
      </c>
      <c r="K17" s="14"/>
      <c r="L17" s="14" t="s">
        <v>323</v>
      </c>
      <c r="M17" s="14" t="s">
        <v>83</v>
      </c>
      <c r="N17" s="14" t="s">
        <v>114</v>
      </c>
      <c r="O17" s="14">
        <v>35</v>
      </c>
      <c r="P17" s="14" t="s">
        <v>36</v>
      </c>
      <c r="Q17" s="14">
        <v>0</v>
      </c>
      <c r="R17" s="14"/>
      <c r="S17" s="14" t="s">
        <v>294</v>
      </c>
      <c r="T17" s="14" t="s">
        <v>75</v>
      </c>
      <c r="U17" s="14" t="s">
        <v>39</v>
      </c>
      <c r="V17" s="14" t="s">
        <v>328</v>
      </c>
      <c r="W17" s="14">
        <v>1</v>
      </c>
      <c r="X17" s="18" t="s">
        <v>76</v>
      </c>
      <c r="Y17" s="10" t="s">
        <v>39</v>
      </c>
      <c r="Z17" s="12" t="s">
        <v>77</v>
      </c>
    </row>
    <row r="18" spans="1:26" ht="15.75" customHeight="1" x14ac:dyDescent="0.3">
      <c r="A18" s="6">
        <v>46100.95299849537</v>
      </c>
      <c r="B18" s="7" t="s">
        <v>329</v>
      </c>
      <c r="C18" s="7" t="s">
        <v>330</v>
      </c>
      <c r="D18" s="7">
        <v>62231500</v>
      </c>
      <c r="E18" s="8" t="s">
        <v>43</v>
      </c>
      <c r="F18" s="7" t="s">
        <v>143</v>
      </c>
      <c r="G18" s="7" t="s">
        <v>45</v>
      </c>
      <c r="H18" s="7" t="s">
        <v>331</v>
      </c>
      <c r="I18" s="7">
        <v>32252744</v>
      </c>
      <c r="J18" s="7" t="s">
        <v>332</v>
      </c>
      <c r="L18" s="7" t="s">
        <v>333</v>
      </c>
      <c r="M18" s="7" t="s">
        <v>91</v>
      </c>
      <c r="N18" s="7" t="s">
        <v>334</v>
      </c>
      <c r="O18" s="7">
        <v>30</v>
      </c>
      <c r="P18" s="7" t="s">
        <v>36</v>
      </c>
      <c r="Q18" s="7">
        <v>70</v>
      </c>
      <c r="S18" s="7" t="s">
        <v>294</v>
      </c>
      <c r="T18" s="7" t="s">
        <v>75</v>
      </c>
      <c r="U18" s="7" t="s">
        <v>39</v>
      </c>
      <c r="W18" s="7">
        <v>1</v>
      </c>
      <c r="X18" s="9" t="s">
        <v>76</v>
      </c>
      <c r="Y18" s="10" t="s">
        <v>39</v>
      </c>
      <c r="Z18" s="12" t="s">
        <v>77</v>
      </c>
    </row>
    <row r="19" spans="1:26" ht="15.75" customHeight="1" x14ac:dyDescent="0.3">
      <c r="A19" s="6">
        <v>46101.319584398138</v>
      </c>
      <c r="B19" s="7" t="s">
        <v>335</v>
      </c>
      <c r="C19" s="7" t="s">
        <v>336</v>
      </c>
      <c r="D19" s="7">
        <v>20117700</v>
      </c>
      <c r="E19" s="8" t="s">
        <v>28</v>
      </c>
      <c r="F19" s="7" t="s">
        <v>337</v>
      </c>
      <c r="G19" s="7" t="s">
        <v>30</v>
      </c>
      <c r="H19" s="7" t="s">
        <v>338</v>
      </c>
      <c r="I19" s="7">
        <v>30833721</v>
      </c>
      <c r="J19" s="7" t="s">
        <v>339</v>
      </c>
      <c r="L19" s="7" t="s">
        <v>335</v>
      </c>
      <c r="M19" s="7" t="s">
        <v>83</v>
      </c>
      <c r="N19" s="7" t="s">
        <v>84</v>
      </c>
      <c r="O19" s="7">
        <v>20</v>
      </c>
      <c r="P19" s="7" t="s">
        <v>36</v>
      </c>
      <c r="Q19" s="7">
        <v>100</v>
      </c>
      <c r="S19" s="7" t="s">
        <v>294</v>
      </c>
      <c r="T19" s="7" t="s">
        <v>75</v>
      </c>
      <c r="U19" s="7" t="s">
        <v>39</v>
      </c>
      <c r="V19" s="30" t="s">
        <v>340</v>
      </c>
      <c r="W19" s="7">
        <v>1</v>
      </c>
      <c r="X19" s="9" t="s">
        <v>76</v>
      </c>
      <c r="Y19" s="10" t="s">
        <v>39</v>
      </c>
      <c r="Z19" s="12" t="s">
        <v>77</v>
      </c>
    </row>
    <row r="20" spans="1:26" ht="15.75" customHeight="1" x14ac:dyDescent="0.3">
      <c r="A20" s="6">
        <v>46099.757410798607</v>
      </c>
      <c r="B20" s="7" t="s">
        <v>85</v>
      </c>
      <c r="C20" s="7" t="s">
        <v>86</v>
      </c>
      <c r="D20" s="7">
        <v>61311200</v>
      </c>
      <c r="E20" s="8" t="s">
        <v>28</v>
      </c>
      <c r="F20" s="7" t="s">
        <v>404</v>
      </c>
      <c r="G20" s="7" t="s">
        <v>45</v>
      </c>
      <c r="H20" s="7" t="s">
        <v>88</v>
      </c>
      <c r="I20" s="7">
        <v>31326963</v>
      </c>
      <c r="J20" s="7" t="s">
        <v>405</v>
      </c>
      <c r="K20" s="30" t="s">
        <v>406</v>
      </c>
      <c r="L20" s="7" t="s">
        <v>85</v>
      </c>
      <c r="M20" s="7" t="s">
        <v>91</v>
      </c>
      <c r="N20" s="7" t="s">
        <v>407</v>
      </c>
      <c r="O20" s="7">
        <v>27</v>
      </c>
      <c r="P20" s="7" t="s">
        <v>36</v>
      </c>
      <c r="Q20" s="7">
        <v>50</v>
      </c>
      <c r="S20" s="7" t="s">
        <v>294</v>
      </c>
      <c r="T20" s="7" t="s">
        <v>75</v>
      </c>
      <c r="U20" s="7" t="s">
        <v>39</v>
      </c>
      <c r="W20" s="7">
        <v>1</v>
      </c>
      <c r="X20" s="9" t="s">
        <v>76</v>
      </c>
      <c r="Y20" s="10" t="s">
        <v>39</v>
      </c>
      <c r="Z20" s="12" t="s">
        <v>77</v>
      </c>
    </row>
    <row r="21" spans="1:26" ht="15.75" customHeight="1" x14ac:dyDescent="0.3">
      <c r="A21" s="6">
        <v>46099.604830659722</v>
      </c>
      <c r="B21" s="7" t="s">
        <v>316</v>
      </c>
      <c r="C21" s="7" t="s">
        <v>317</v>
      </c>
      <c r="D21" s="7">
        <v>62084400</v>
      </c>
      <c r="E21" s="8" t="s">
        <v>61</v>
      </c>
      <c r="F21" s="7" t="s">
        <v>318</v>
      </c>
      <c r="G21" s="7" t="s">
        <v>45</v>
      </c>
      <c r="H21" s="7" t="s">
        <v>319</v>
      </c>
      <c r="I21" s="7">
        <v>36275959</v>
      </c>
      <c r="J21" s="7" t="s">
        <v>320</v>
      </c>
      <c r="K21" s="7" t="s">
        <v>408</v>
      </c>
      <c r="L21" s="7" t="s">
        <v>316</v>
      </c>
      <c r="M21" s="7" t="s">
        <v>91</v>
      </c>
      <c r="N21" s="7" t="s">
        <v>322</v>
      </c>
      <c r="O21" s="7">
        <v>26</v>
      </c>
      <c r="P21" s="7" t="s">
        <v>36</v>
      </c>
      <c r="Q21" s="7">
        <v>70</v>
      </c>
      <c r="S21" s="7" t="s">
        <v>294</v>
      </c>
      <c r="T21" s="7" t="s">
        <v>75</v>
      </c>
      <c r="U21" s="7" t="s">
        <v>39</v>
      </c>
      <c r="W21" s="7">
        <v>1</v>
      </c>
      <c r="X21" s="9" t="s">
        <v>76</v>
      </c>
      <c r="Y21" s="10" t="s">
        <v>39</v>
      </c>
      <c r="Z21" s="12" t="s">
        <v>77</v>
      </c>
    </row>
    <row r="22" spans="1:26" ht="15.75" customHeight="1" x14ac:dyDescent="0.3">
      <c r="A22" s="6">
        <v>46101.443430567131</v>
      </c>
      <c r="B22" s="7" t="s">
        <v>94</v>
      </c>
      <c r="C22" s="7" t="s">
        <v>409</v>
      </c>
      <c r="D22" s="7">
        <v>200637</v>
      </c>
      <c r="E22" s="8" t="s">
        <v>61</v>
      </c>
      <c r="F22" s="7" t="s">
        <v>96</v>
      </c>
      <c r="G22" s="7" t="s">
        <v>30</v>
      </c>
      <c r="H22" s="7" t="s">
        <v>97</v>
      </c>
      <c r="I22" s="7">
        <v>29136279</v>
      </c>
      <c r="J22" s="7" t="s">
        <v>98</v>
      </c>
      <c r="K22" s="7" t="s">
        <v>410</v>
      </c>
      <c r="L22" s="7" t="s">
        <v>94</v>
      </c>
      <c r="M22" s="7" t="s">
        <v>83</v>
      </c>
      <c r="N22" s="7" t="s">
        <v>411</v>
      </c>
      <c r="O22" s="7">
        <v>33</v>
      </c>
      <c r="P22" s="7" t="s">
        <v>36</v>
      </c>
      <c r="Q22" s="7">
        <v>80</v>
      </c>
      <c r="R22" s="30" t="s">
        <v>412</v>
      </c>
      <c r="S22" s="7" t="s">
        <v>294</v>
      </c>
      <c r="T22" s="7" t="s">
        <v>75</v>
      </c>
      <c r="U22" s="7" t="s">
        <v>77</v>
      </c>
      <c r="V22" s="30" t="s">
        <v>413</v>
      </c>
      <c r="W22" s="7">
        <v>1</v>
      </c>
      <c r="X22" s="9" t="s">
        <v>76</v>
      </c>
      <c r="Y22" s="10" t="s">
        <v>39</v>
      </c>
      <c r="Z22" s="12" t="s">
        <v>77</v>
      </c>
    </row>
    <row r="23" spans="1:26" ht="15.75" customHeight="1" x14ac:dyDescent="0.3">
      <c r="A23" s="6">
        <v>46099.621283506953</v>
      </c>
      <c r="B23" s="7" t="s">
        <v>445</v>
      </c>
      <c r="C23" s="7" t="s">
        <v>446</v>
      </c>
      <c r="D23" s="7">
        <v>200871</v>
      </c>
      <c r="E23" s="8" t="s">
        <v>43</v>
      </c>
      <c r="F23" s="7" t="s">
        <v>117</v>
      </c>
      <c r="G23" s="7" t="s">
        <v>30</v>
      </c>
      <c r="H23" s="7" t="s">
        <v>447</v>
      </c>
      <c r="I23" s="7">
        <v>26519265</v>
      </c>
      <c r="J23" s="7" t="s">
        <v>448</v>
      </c>
      <c r="K23" s="7" t="s">
        <v>449</v>
      </c>
      <c r="L23" s="7" t="s">
        <v>445</v>
      </c>
      <c r="M23" s="7" t="s">
        <v>83</v>
      </c>
      <c r="N23" s="7" t="s">
        <v>450</v>
      </c>
      <c r="O23" s="7">
        <v>35</v>
      </c>
      <c r="P23" s="7" t="s">
        <v>36</v>
      </c>
      <c r="Q23" s="7">
        <v>70</v>
      </c>
      <c r="S23" s="7" t="s">
        <v>294</v>
      </c>
      <c r="T23" s="7" t="s">
        <v>205</v>
      </c>
      <c r="U23" s="7" t="s">
        <v>77</v>
      </c>
      <c r="W23" s="7">
        <v>1</v>
      </c>
      <c r="X23" s="9" t="s">
        <v>207</v>
      </c>
      <c r="Y23" s="10" t="s">
        <v>77</v>
      </c>
      <c r="Z23" s="12" t="s">
        <v>39</v>
      </c>
    </row>
    <row r="24" spans="1:26" ht="15.75" customHeight="1" x14ac:dyDescent="0.3">
      <c r="A24" s="6">
        <v>46099.637959722233</v>
      </c>
      <c r="B24" s="7" t="s">
        <v>480</v>
      </c>
      <c r="C24" s="7" t="s">
        <v>481</v>
      </c>
      <c r="D24" s="7">
        <v>200871</v>
      </c>
      <c r="E24" s="8" t="s">
        <v>61</v>
      </c>
      <c r="F24" s="7" t="s">
        <v>482</v>
      </c>
      <c r="G24" s="7" t="s">
        <v>30</v>
      </c>
      <c r="H24" s="7" t="s">
        <v>483</v>
      </c>
      <c r="I24" s="7">
        <v>22426643</v>
      </c>
      <c r="J24" s="7" t="s">
        <v>484</v>
      </c>
      <c r="K24" s="30" t="s">
        <v>485</v>
      </c>
      <c r="L24" s="7" t="s">
        <v>480</v>
      </c>
      <c r="M24" s="7" t="s">
        <v>83</v>
      </c>
      <c r="N24" s="7" t="s">
        <v>486</v>
      </c>
      <c r="O24" s="7">
        <v>35</v>
      </c>
      <c r="P24" s="7" t="s">
        <v>36</v>
      </c>
      <c r="Q24" s="7">
        <v>60</v>
      </c>
      <c r="S24" s="7" t="s">
        <v>294</v>
      </c>
      <c r="T24" s="7" t="s">
        <v>205</v>
      </c>
      <c r="U24" s="7" t="s">
        <v>39</v>
      </c>
      <c r="W24" s="7">
        <v>1</v>
      </c>
      <c r="X24" s="9" t="s">
        <v>207</v>
      </c>
      <c r="Y24" s="10" t="s">
        <v>77</v>
      </c>
      <c r="Z24" s="12" t="s">
        <v>39</v>
      </c>
    </row>
    <row r="25" spans="1:26" ht="15.75" customHeight="1" x14ac:dyDescent="0.3">
      <c r="A25" s="6">
        <v>46099.614874942134</v>
      </c>
      <c r="B25" s="72" t="s">
        <v>507</v>
      </c>
      <c r="C25" s="72" t="s">
        <v>508</v>
      </c>
      <c r="D25" s="72">
        <v>61856700</v>
      </c>
      <c r="E25" s="8" t="s">
        <v>43</v>
      </c>
      <c r="F25" s="72" t="s">
        <v>509</v>
      </c>
      <c r="G25" s="72" t="s">
        <v>30</v>
      </c>
      <c r="H25" s="72" t="s">
        <v>510</v>
      </c>
      <c r="I25" s="72">
        <v>25370290</v>
      </c>
      <c r="J25" s="72" t="s">
        <v>511</v>
      </c>
      <c r="K25" s="72" t="s">
        <v>512</v>
      </c>
      <c r="L25" s="72" t="s">
        <v>507</v>
      </c>
      <c r="M25" s="72" t="s">
        <v>34</v>
      </c>
      <c r="N25" s="72" t="s">
        <v>513</v>
      </c>
      <c r="O25" s="72">
        <v>35</v>
      </c>
      <c r="P25" s="72" t="s">
        <v>36</v>
      </c>
      <c r="Q25" s="72">
        <v>90</v>
      </c>
      <c r="R25" s="72" t="s">
        <v>514</v>
      </c>
      <c r="S25" s="72" t="s">
        <v>515</v>
      </c>
      <c r="T25" s="72" t="s">
        <v>38</v>
      </c>
      <c r="U25" s="72" t="s">
        <v>39</v>
      </c>
      <c r="V25" s="72"/>
      <c r="W25" s="72">
        <v>1</v>
      </c>
      <c r="X25" s="9" t="s">
        <v>40</v>
      </c>
      <c r="Y25" s="10" t="s">
        <v>39</v>
      </c>
      <c r="Z25" s="12" t="s">
        <v>39</v>
      </c>
    </row>
    <row r="26" spans="1:26" ht="15.75" customHeight="1" x14ac:dyDescent="0.3">
      <c r="A26" s="6">
        <v>46100.564337650459</v>
      </c>
      <c r="B26" s="7" t="s">
        <v>507</v>
      </c>
      <c r="C26" s="7" t="s">
        <v>531</v>
      </c>
      <c r="D26" s="7">
        <v>61856700</v>
      </c>
      <c r="E26" s="8" t="s">
        <v>61</v>
      </c>
      <c r="F26" s="7" t="s">
        <v>532</v>
      </c>
      <c r="G26" s="7" t="s">
        <v>30</v>
      </c>
      <c r="H26" s="7" t="s">
        <v>533</v>
      </c>
      <c r="I26" s="7">
        <v>25129578</v>
      </c>
      <c r="J26" s="7" t="s">
        <v>534</v>
      </c>
      <c r="K26" s="7" t="s">
        <v>535</v>
      </c>
      <c r="L26" s="7" t="s">
        <v>507</v>
      </c>
      <c r="M26" s="7" t="s">
        <v>34</v>
      </c>
      <c r="N26" s="7" t="s">
        <v>536</v>
      </c>
      <c r="O26" s="7">
        <v>35</v>
      </c>
      <c r="P26" s="7" t="s">
        <v>36</v>
      </c>
      <c r="Q26" s="7">
        <v>90</v>
      </c>
      <c r="R26" s="30" t="s">
        <v>537</v>
      </c>
      <c r="S26" s="7" t="s">
        <v>515</v>
      </c>
      <c r="T26" s="7" t="s">
        <v>38</v>
      </c>
      <c r="U26" s="7" t="s">
        <v>39</v>
      </c>
      <c r="W26" s="7">
        <v>1</v>
      </c>
      <c r="X26" s="9" t="s">
        <v>40</v>
      </c>
      <c r="Y26" s="10" t="s">
        <v>39</v>
      </c>
      <c r="Z26" s="12" t="s">
        <v>39</v>
      </c>
    </row>
    <row r="27" spans="1:26" ht="15.75" customHeight="1" x14ac:dyDescent="0.3">
      <c r="A27" s="6">
        <v>46099.591675347219</v>
      </c>
      <c r="B27" s="7" t="s">
        <v>538</v>
      </c>
      <c r="C27" s="7" t="s">
        <v>539</v>
      </c>
      <c r="D27" s="7">
        <v>62266200</v>
      </c>
      <c r="E27" s="8" t="s">
        <v>176</v>
      </c>
      <c r="F27" s="7" t="s">
        <v>540</v>
      </c>
      <c r="G27" s="7" t="s">
        <v>30</v>
      </c>
      <c r="H27" s="7" t="s">
        <v>541</v>
      </c>
      <c r="I27" s="7">
        <v>40396860</v>
      </c>
      <c r="J27" s="7" t="s">
        <v>542</v>
      </c>
      <c r="K27" s="7" t="s">
        <v>543</v>
      </c>
      <c r="L27" s="7" t="s">
        <v>538</v>
      </c>
      <c r="M27" s="7" t="s">
        <v>91</v>
      </c>
      <c r="N27" s="7" t="s">
        <v>544</v>
      </c>
      <c r="O27" s="7">
        <v>35</v>
      </c>
      <c r="P27" s="7" t="s">
        <v>36</v>
      </c>
      <c r="Q27" s="7">
        <v>50</v>
      </c>
      <c r="S27" s="7" t="s">
        <v>515</v>
      </c>
      <c r="T27" s="7" t="s">
        <v>75</v>
      </c>
      <c r="U27" s="7" t="s">
        <v>39</v>
      </c>
      <c r="V27" s="30" t="s">
        <v>545</v>
      </c>
      <c r="W27" s="7">
        <v>1</v>
      </c>
      <c r="X27" s="9" t="s">
        <v>76</v>
      </c>
      <c r="Y27" s="10" t="s">
        <v>39</v>
      </c>
      <c r="Z27" s="12" t="s">
        <v>77</v>
      </c>
    </row>
    <row r="28" spans="1:26" ht="15.75" customHeight="1" x14ac:dyDescent="0.3">
      <c r="A28" s="6">
        <v>46100.706451331018</v>
      </c>
      <c r="B28" s="7" t="s">
        <v>546</v>
      </c>
      <c r="C28" s="7" t="s">
        <v>547</v>
      </c>
      <c r="D28" s="7">
        <v>20067300</v>
      </c>
      <c r="E28" s="8" t="s">
        <v>43</v>
      </c>
      <c r="F28" s="7" t="s">
        <v>548</v>
      </c>
      <c r="G28" s="7" t="s">
        <v>45</v>
      </c>
      <c r="H28" s="7" t="s">
        <v>549</v>
      </c>
      <c r="I28" s="7">
        <v>37183978</v>
      </c>
      <c r="J28" s="7" t="s">
        <v>550</v>
      </c>
      <c r="L28" s="7" t="s">
        <v>546</v>
      </c>
      <c r="M28" s="7" t="s">
        <v>83</v>
      </c>
      <c r="N28" s="7" t="s">
        <v>551</v>
      </c>
      <c r="O28" s="7">
        <v>29</v>
      </c>
      <c r="P28" s="7" t="s">
        <v>36</v>
      </c>
      <c r="Q28" s="7">
        <v>50</v>
      </c>
      <c r="S28" s="7" t="s">
        <v>515</v>
      </c>
      <c r="T28" s="7" t="s">
        <v>75</v>
      </c>
      <c r="U28" s="7" t="s">
        <v>39</v>
      </c>
      <c r="W28" s="7">
        <v>1</v>
      </c>
      <c r="X28" s="9" t="s">
        <v>76</v>
      </c>
      <c r="Y28" s="12" t="s">
        <v>39</v>
      </c>
      <c r="Z28" s="12" t="s">
        <v>77</v>
      </c>
    </row>
    <row r="29" spans="1:26" ht="15.75" customHeight="1" x14ac:dyDescent="0.3">
      <c r="A29" s="6">
        <v>46101.61894482639</v>
      </c>
      <c r="B29" s="7" t="s">
        <v>552</v>
      </c>
      <c r="C29" s="7" t="s">
        <v>553</v>
      </c>
      <c r="D29" s="7">
        <v>20121400</v>
      </c>
      <c r="E29" s="8" t="s">
        <v>28</v>
      </c>
      <c r="F29" s="7" t="s">
        <v>554</v>
      </c>
      <c r="G29" s="7" t="s">
        <v>30</v>
      </c>
      <c r="H29" s="7" t="s">
        <v>555</v>
      </c>
      <c r="I29" s="7">
        <v>36526221</v>
      </c>
      <c r="J29" s="7" t="s">
        <v>556</v>
      </c>
      <c r="K29" s="7" t="s">
        <v>557</v>
      </c>
      <c r="L29" s="7" t="s">
        <v>552</v>
      </c>
      <c r="M29" s="7" t="s">
        <v>83</v>
      </c>
      <c r="N29" s="7">
        <v>13</v>
      </c>
      <c r="O29" s="7">
        <v>20</v>
      </c>
      <c r="P29" s="7" t="s">
        <v>36</v>
      </c>
      <c r="Q29" s="7">
        <v>50</v>
      </c>
      <c r="S29" s="7" t="s">
        <v>515</v>
      </c>
      <c r="T29" s="7" t="s">
        <v>75</v>
      </c>
      <c r="U29" s="7" t="s">
        <v>39</v>
      </c>
      <c r="W29" s="7">
        <v>1</v>
      </c>
      <c r="X29" s="9" t="s">
        <v>76</v>
      </c>
      <c r="Y29" s="12" t="s">
        <v>39</v>
      </c>
      <c r="Z29" s="12" t="s">
        <v>77</v>
      </c>
    </row>
    <row r="30" spans="1:26" ht="15.75" customHeight="1" x14ac:dyDescent="0.3">
      <c r="A30" s="6">
        <v>46104.983482546297</v>
      </c>
      <c r="B30" s="7" t="s">
        <v>558</v>
      </c>
      <c r="C30" s="7" t="s">
        <v>559</v>
      </c>
      <c r="D30" s="7">
        <v>20169300</v>
      </c>
      <c r="E30" s="8" t="s">
        <v>61</v>
      </c>
      <c r="F30" s="7" t="s">
        <v>560</v>
      </c>
      <c r="G30" s="7" t="s">
        <v>30</v>
      </c>
      <c r="H30" s="7" t="s">
        <v>561</v>
      </c>
      <c r="I30" s="7">
        <v>34321307</v>
      </c>
      <c r="J30" s="7" t="s">
        <v>562</v>
      </c>
      <c r="L30" s="7" t="s">
        <v>558</v>
      </c>
      <c r="M30" s="7" t="s">
        <v>83</v>
      </c>
      <c r="N30" s="7" t="s">
        <v>563</v>
      </c>
      <c r="O30" s="7">
        <v>35</v>
      </c>
      <c r="P30" s="7" t="s">
        <v>36</v>
      </c>
      <c r="Q30" s="7">
        <v>75</v>
      </c>
      <c r="S30" s="7" t="s">
        <v>515</v>
      </c>
      <c r="T30" s="7" t="s">
        <v>75</v>
      </c>
      <c r="U30" s="7" t="s">
        <v>39</v>
      </c>
      <c r="W30" s="7">
        <v>1</v>
      </c>
      <c r="X30" s="9" t="s">
        <v>76</v>
      </c>
      <c r="Y30" s="12" t="s">
        <v>39</v>
      </c>
      <c r="Z30" s="12" t="s">
        <v>77</v>
      </c>
    </row>
    <row r="31" spans="1:26" ht="15.75" customHeight="1" x14ac:dyDescent="0.3">
      <c r="A31" s="6">
        <v>46104.982138159721</v>
      </c>
      <c r="B31" s="7" t="s">
        <v>558</v>
      </c>
      <c r="C31" s="7" t="s">
        <v>559</v>
      </c>
      <c r="D31" s="7">
        <v>20169300</v>
      </c>
      <c r="E31" s="8" t="s">
        <v>43</v>
      </c>
      <c r="F31" s="7" t="s">
        <v>375</v>
      </c>
      <c r="G31" s="7" t="s">
        <v>30</v>
      </c>
      <c r="H31" s="7" t="s">
        <v>561</v>
      </c>
      <c r="I31" s="7">
        <v>34321307</v>
      </c>
      <c r="J31" s="7" t="s">
        <v>728</v>
      </c>
      <c r="L31" s="7" t="s">
        <v>558</v>
      </c>
      <c r="M31" s="7" t="s">
        <v>83</v>
      </c>
      <c r="N31" s="7" t="s">
        <v>563</v>
      </c>
      <c r="O31" s="7">
        <v>35</v>
      </c>
      <c r="P31" s="7" t="s">
        <v>36</v>
      </c>
      <c r="Q31" s="7">
        <v>75</v>
      </c>
      <c r="S31" s="7" t="s">
        <v>515</v>
      </c>
      <c r="T31" s="7" t="s">
        <v>75</v>
      </c>
      <c r="U31" s="7" t="s">
        <v>39</v>
      </c>
      <c r="W31" s="7">
        <v>1</v>
      </c>
      <c r="X31" s="9" t="s">
        <v>76</v>
      </c>
      <c r="Y31" s="12" t="s">
        <v>39</v>
      </c>
      <c r="Z31" s="12" t="s">
        <v>77</v>
      </c>
    </row>
    <row r="32" spans="1:26" ht="15.75" customHeight="1" x14ac:dyDescent="0.3">
      <c r="A32" s="6">
        <v>46105.57600390046</v>
      </c>
      <c r="B32" s="7" t="s">
        <v>734</v>
      </c>
      <c r="C32" s="7" t="s">
        <v>735</v>
      </c>
      <c r="D32" s="7">
        <v>200143</v>
      </c>
      <c r="E32" s="8" t="s">
        <v>28</v>
      </c>
      <c r="F32" s="7" t="s">
        <v>736</v>
      </c>
      <c r="G32" s="7" t="s">
        <v>30</v>
      </c>
      <c r="H32" s="7" t="s">
        <v>737</v>
      </c>
      <c r="I32" s="7">
        <v>35467045</v>
      </c>
      <c r="J32" s="7" t="s">
        <v>738</v>
      </c>
      <c r="K32" s="30" t="s">
        <v>739</v>
      </c>
      <c r="L32" s="7" t="s">
        <v>734</v>
      </c>
      <c r="M32" s="7" t="s">
        <v>83</v>
      </c>
      <c r="N32" s="7" t="s">
        <v>740</v>
      </c>
      <c r="O32" s="7">
        <v>35</v>
      </c>
      <c r="P32" s="7" t="s">
        <v>36</v>
      </c>
      <c r="Q32" s="7">
        <v>60</v>
      </c>
      <c r="S32" s="7" t="s">
        <v>515</v>
      </c>
      <c r="T32" s="7" t="s">
        <v>205</v>
      </c>
      <c r="U32" s="7" t="s">
        <v>39</v>
      </c>
      <c r="W32" s="7">
        <v>1</v>
      </c>
      <c r="X32" s="9" t="s">
        <v>207</v>
      </c>
      <c r="Y32" s="12" t="s">
        <v>77</v>
      </c>
      <c r="Z32" s="12" t="s">
        <v>39</v>
      </c>
    </row>
    <row r="33" spans="1:26" ht="15.75" customHeight="1" x14ac:dyDescent="0.3">
      <c r="A33" s="6">
        <v>46099.719837719909</v>
      </c>
      <c r="B33" s="7" t="s">
        <v>741</v>
      </c>
      <c r="C33" s="7" t="s">
        <v>742</v>
      </c>
      <c r="D33" s="7">
        <v>2005000</v>
      </c>
      <c r="E33" s="8" t="s">
        <v>28</v>
      </c>
      <c r="F33" s="7" t="s">
        <v>87</v>
      </c>
      <c r="G33" s="7" t="s">
        <v>30</v>
      </c>
      <c r="H33" s="7" t="s">
        <v>743</v>
      </c>
      <c r="I33" s="7">
        <v>37564196</v>
      </c>
      <c r="J33" s="7" t="s">
        <v>744</v>
      </c>
      <c r="K33" s="30" t="s">
        <v>745</v>
      </c>
      <c r="L33" s="7" t="s">
        <v>741</v>
      </c>
      <c r="M33" s="7" t="s">
        <v>83</v>
      </c>
      <c r="N33" s="7" t="s">
        <v>188</v>
      </c>
      <c r="O33" s="7">
        <v>33</v>
      </c>
      <c r="P33" s="7" t="s">
        <v>36</v>
      </c>
      <c r="Q33" s="7">
        <v>95</v>
      </c>
      <c r="S33" s="7" t="s">
        <v>515</v>
      </c>
      <c r="T33" s="7" t="s">
        <v>205</v>
      </c>
      <c r="U33" s="7" t="s">
        <v>39</v>
      </c>
      <c r="W33" s="7">
        <v>1</v>
      </c>
      <c r="X33" s="9" t="s">
        <v>207</v>
      </c>
      <c r="Y33" s="12" t="s">
        <v>77</v>
      </c>
      <c r="Z33" s="12" t="s">
        <v>39</v>
      </c>
    </row>
    <row r="34" spans="1:26" ht="15.75" customHeight="1" x14ac:dyDescent="0.3">
      <c r="A34" s="6">
        <v>46099.755336909722</v>
      </c>
      <c r="B34" s="7" t="s">
        <v>746</v>
      </c>
      <c r="C34" s="7" t="s">
        <v>747</v>
      </c>
      <c r="D34" s="7">
        <v>2006370</v>
      </c>
      <c r="E34" s="8" t="s">
        <v>61</v>
      </c>
      <c r="F34" s="7" t="s">
        <v>748</v>
      </c>
      <c r="G34" s="7" t="s">
        <v>30</v>
      </c>
      <c r="H34" s="7" t="s">
        <v>201</v>
      </c>
      <c r="I34" s="7">
        <v>36949654</v>
      </c>
      <c r="J34" s="7" t="s">
        <v>749</v>
      </c>
      <c r="K34" s="7" t="s">
        <v>750</v>
      </c>
      <c r="L34" s="7" t="s">
        <v>746</v>
      </c>
      <c r="M34" s="7" t="s">
        <v>83</v>
      </c>
      <c r="N34" s="7" t="s">
        <v>751</v>
      </c>
      <c r="O34" s="7">
        <v>30</v>
      </c>
      <c r="P34" s="7" t="s">
        <v>36</v>
      </c>
      <c r="Q34" s="7">
        <v>100</v>
      </c>
      <c r="S34" s="7" t="s">
        <v>515</v>
      </c>
      <c r="T34" s="7" t="s">
        <v>205</v>
      </c>
      <c r="U34" s="7" t="s">
        <v>39</v>
      </c>
      <c r="W34" s="7">
        <v>1</v>
      </c>
      <c r="X34" s="9" t="s">
        <v>207</v>
      </c>
      <c r="Y34" s="12" t="s">
        <v>77</v>
      </c>
      <c r="Z34" s="12" t="s">
        <v>39</v>
      </c>
    </row>
    <row r="35" spans="1:26" ht="15.75" customHeight="1" x14ac:dyDescent="0.3">
      <c r="A35" s="6">
        <v>46100.393494710654</v>
      </c>
      <c r="B35" s="7" t="s">
        <v>752</v>
      </c>
      <c r="C35" s="7" t="s">
        <v>753</v>
      </c>
      <c r="D35" s="7">
        <v>201520</v>
      </c>
      <c r="E35" s="8" t="s">
        <v>61</v>
      </c>
      <c r="F35" s="7" t="s">
        <v>754</v>
      </c>
      <c r="G35" s="7" t="s">
        <v>45</v>
      </c>
      <c r="H35" s="7" t="s">
        <v>755</v>
      </c>
      <c r="I35" s="7">
        <v>32267153</v>
      </c>
      <c r="J35" s="7" t="s">
        <v>756</v>
      </c>
      <c r="K35" s="7" t="s">
        <v>757</v>
      </c>
      <c r="L35" s="7" t="s">
        <v>752</v>
      </c>
      <c r="M35" s="7" t="s">
        <v>83</v>
      </c>
      <c r="N35" s="7" t="s">
        <v>758</v>
      </c>
      <c r="O35" s="7">
        <v>32</v>
      </c>
      <c r="P35" s="7" t="s">
        <v>36</v>
      </c>
      <c r="Q35" s="7">
        <v>80</v>
      </c>
      <c r="R35" s="7" t="s">
        <v>759</v>
      </c>
      <c r="S35" s="7" t="s">
        <v>515</v>
      </c>
      <c r="T35" s="7" t="s">
        <v>205</v>
      </c>
      <c r="U35" s="7" t="s">
        <v>39</v>
      </c>
      <c r="W35" s="7">
        <v>1</v>
      </c>
      <c r="X35" s="9" t="s">
        <v>207</v>
      </c>
      <c r="Y35" s="12" t="s">
        <v>77</v>
      </c>
      <c r="Z35" s="12" t="s">
        <v>39</v>
      </c>
    </row>
    <row r="36" spans="1:26" ht="15.75" customHeight="1" x14ac:dyDescent="0.3">
      <c r="A36" s="6">
        <v>46099.859433067133</v>
      </c>
      <c r="B36" s="7" t="s">
        <v>103</v>
      </c>
      <c r="C36" s="7" t="s">
        <v>60</v>
      </c>
      <c r="D36" s="7">
        <v>62120600</v>
      </c>
      <c r="E36" s="8" t="s">
        <v>28</v>
      </c>
      <c r="F36" s="7" t="s">
        <v>87</v>
      </c>
      <c r="G36" s="7" t="s">
        <v>45</v>
      </c>
      <c r="H36" s="7" t="s">
        <v>104</v>
      </c>
      <c r="I36" s="7">
        <v>37762908</v>
      </c>
      <c r="J36" s="7" t="s">
        <v>105</v>
      </c>
      <c r="K36" s="7" t="s">
        <v>106</v>
      </c>
      <c r="L36" s="7" t="s">
        <v>103</v>
      </c>
      <c r="M36" s="7" t="s">
        <v>56</v>
      </c>
      <c r="N36" s="7" t="s">
        <v>107</v>
      </c>
      <c r="O36" s="7">
        <v>22</v>
      </c>
      <c r="P36" s="7" t="s">
        <v>36</v>
      </c>
      <c r="Q36" s="7">
        <v>15</v>
      </c>
      <c r="S36" s="7" t="s">
        <v>37</v>
      </c>
      <c r="T36" s="7" t="s">
        <v>75</v>
      </c>
      <c r="U36" s="7" t="s">
        <v>39</v>
      </c>
      <c r="W36" s="7">
        <v>2</v>
      </c>
      <c r="X36" s="9" t="s">
        <v>76</v>
      </c>
      <c r="Y36" s="12" t="s">
        <v>39</v>
      </c>
      <c r="Z36" s="12" t="s">
        <v>77</v>
      </c>
    </row>
    <row r="37" spans="1:26" ht="15.75" customHeight="1" x14ac:dyDescent="0.3">
      <c r="A37" s="6">
        <v>46100.342219756953</v>
      </c>
      <c r="B37" s="7" t="s">
        <v>174</v>
      </c>
      <c r="C37" s="7" t="s">
        <v>175</v>
      </c>
      <c r="D37" s="7">
        <v>20105100</v>
      </c>
      <c r="E37" s="8" t="s">
        <v>176</v>
      </c>
      <c r="F37" s="7" t="s">
        <v>177</v>
      </c>
      <c r="G37" s="7" t="s">
        <v>30</v>
      </c>
      <c r="H37" s="7" t="s">
        <v>178</v>
      </c>
      <c r="I37" s="7">
        <v>37497208</v>
      </c>
      <c r="J37" s="7" t="s">
        <v>179</v>
      </c>
      <c r="K37" s="7" t="s">
        <v>180</v>
      </c>
      <c r="L37" s="7" t="s">
        <v>174</v>
      </c>
      <c r="M37" s="7" t="s">
        <v>83</v>
      </c>
      <c r="N37" s="7" t="s">
        <v>132</v>
      </c>
      <c r="O37" s="7">
        <v>30</v>
      </c>
      <c r="P37" s="7" t="s">
        <v>36</v>
      </c>
      <c r="Q37" s="7">
        <v>13</v>
      </c>
      <c r="R37" s="30" t="s">
        <v>181</v>
      </c>
      <c r="S37" s="7" t="s">
        <v>37</v>
      </c>
      <c r="T37" s="7" t="s">
        <v>75</v>
      </c>
      <c r="U37" s="7" t="s">
        <v>39</v>
      </c>
      <c r="V37" s="30" t="s">
        <v>182</v>
      </c>
      <c r="W37" s="7">
        <v>2</v>
      </c>
      <c r="X37" s="9" t="s">
        <v>76</v>
      </c>
      <c r="Y37" s="12" t="s">
        <v>39</v>
      </c>
      <c r="Z37" s="12" t="s">
        <v>77</v>
      </c>
    </row>
    <row r="38" spans="1:26" ht="15.75" customHeight="1" x14ac:dyDescent="0.3">
      <c r="A38" s="6">
        <v>46100.667055196762</v>
      </c>
      <c r="B38" s="7" t="s">
        <v>223</v>
      </c>
      <c r="C38" s="7" t="s">
        <v>224</v>
      </c>
      <c r="D38" s="7">
        <v>20105100</v>
      </c>
      <c r="E38" s="8" t="s">
        <v>176</v>
      </c>
      <c r="F38" s="7" t="s">
        <v>177</v>
      </c>
      <c r="G38" s="7" t="s">
        <v>30</v>
      </c>
      <c r="H38" s="7" t="s">
        <v>225</v>
      </c>
      <c r="I38" s="7">
        <v>39655902</v>
      </c>
      <c r="J38" s="7" t="s">
        <v>226</v>
      </c>
      <c r="K38" s="30" t="s">
        <v>227</v>
      </c>
      <c r="L38" s="7" t="s">
        <v>223</v>
      </c>
      <c r="M38" s="7" t="s">
        <v>83</v>
      </c>
      <c r="N38" s="7" t="s">
        <v>228</v>
      </c>
      <c r="O38" s="7">
        <v>28</v>
      </c>
      <c r="P38" s="7" t="s">
        <v>36</v>
      </c>
      <c r="Q38" s="7">
        <v>30</v>
      </c>
      <c r="S38" s="7" t="s">
        <v>37</v>
      </c>
      <c r="T38" s="7" t="s">
        <v>205</v>
      </c>
      <c r="U38" s="7" t="s">
        <v>39</v>
      </c>
      <c r="W38" s="7">
        <v>2</v>
      </c>
      <c r="X38" s="9" t="s">
        <v>207</v>
      </c>
      <c r="Y38" s="12" t="s">
        <v>77</v>
      </c>
      <c r="Z38" s="12" t="s">
        <v>39</v>
      </c>
    </row>
    <row r="39" spans="1:26" ht="15.75" customHeight="1" x14ac:dyDescent="0.3">
      <c r="A39" s="6">
        <v>46100.509564756947</v>
      </c>
      <c r="B39" s="7" t="s">
        <v>341</v>
      </c>
      <c r="C39" s="7" t="s">
        <v>342</v>
      </c>
      <c r="D39" s="7">
        <v>20023500</v>
      </c>
      <c r="E39" s="8" t="s">
        <v>28</v>
      </c>
      <c r="F39" s="7" t="s">
        <v>343</v>
      </c>
      <c r="G39" s="7" t="s">
        <v>45</v>
      </c>
      <c r="H39" s="7" t="s">
        <v>344</v>
      </c>
      <c r="I39" s="7">
        <v>33877938</v>
      </c>
      <c r="J39" s="7" t="s">
        <v>345</v>
      </c>
      <c r="L39" s="7" t="s">
        <v>341</v>
      </c>
      <c r="M39" s="7" t="s">
        <v>83</v>
      </c>
      <c r="N39" s="7" t="s">
        <v>346</v>
      </c>
      <c r="O39" s="7">
        <v>31</v>
      </c>
      <c r="P39" s="7" t="s">
        <v>36</v>
      </c>
      <c r="Q39" s="7">
        <v>20</v>
      </c>
      <c r="S39" s="7" t="s">
        <v>294</v>
      </c>
      <c r="T39" s="7" t="s">
        <v>75</v>
      </c>
      <c r="U39" s="7" t="s">
        <v>39</v>
      </c>
      <c r="V39" s="30" t="s">
        <v>347</v>
      </c>
      <c r="W39" s="7">
        <v>2</v>
      </c>
      <c r="X39" s="9" t="s">
        <v>76</v>
      </c>
      <c r="Y39" s="12" t="s">
        <v>39</v>
      </c>
      <c r="Z39" s="12" t="s">
        <v>77</v>
      </c>
    </row>
    <row r="40" spans="1:26" ht="15.75" customHeight="1" x14ac:dyDescent="0.3">
      <c r="A40" s="6">
        <v>46105.424687719897</v>
      </c>
      <c r="B40" s="30" t="s">
        <v>348</v>
      </c>
      <c r="C40" s="30" t="s">
        <v>349</v>
      </c>
      <c r="D40" s="30">
        <v>20130600</v>
      </c>
      <c r="E40" s="8" t="s">
        <v>28</v>
      </c>
      <c r="F40" s="30" t="s">
        <v>318</v>
      </c>
      <c r="G40" s="30" t="s">
        <v>45</v>
      </c>
      <c r="H40" s="30" t="s">
        <v>350</v>
      </c>
      <c r="I40" s="30">
        <v>37842801</v>
      </c>
      <c r="J40" s="30" t="s">
        <v>351</v>
      </c>
      <c r="L40" s="30" t="s">
        <v>348</v>
      </c>
      <c r="M40" s="30" t="s">
        <v>83</v>
      </c>
      <c r="N40" s="30" t="s">
        <v>352</v>
      </c>
      <c r="O40" s="30">
        <v>25</v>
      </c>
      <c r="P40" s="30" t="s">
        <v>36</v>
      </c>
      <c r="Q40" s="30">
        <v>0</v>
      </c>
      <c r="S40" s="30" t="s">
        <v>294</v>
      </c>
      <c r="T40" s="30" t="s">
        <v>75</v>
      </c>
      <c r="U40" s="30" t="s">
        <v>39</v>
      </c>
      <c r="W40" s="30">
        <v>2</v>
      </c>
      <c r="X40" s="9" t="s">
        <v>76</v>
      </c>
      <c r="Y40" s="12" t="s">
        <v>39</v>
      </c>
      <c r="Z40" s="12" t="s">
        <v>77</v>
      </c>
    </row>
    <row r="41" spans="1:26" ht="15.75" customHeight="1" x14ac:dyDescent="0.3">
      <c r="A41" s="6">
        <v>46099.711815324074</v>
      </c>
      <c r="B41" s="30" t="s">
        <v>353</v>
      </c>
      <c r="C41" s="30" t="s">
        <v>354</v>
      </c>
      <c r="D41" s="30">
        <v>20058400</v>
      </c>
      <c r="E41" s="8" t="s">
        <v>28</v>
      </c>
      <c r="F41" s="30" t="s">
        <v>355</v>
      </c>
      <c r="G41" s="30" t="s">
        <v>30</v>
      </c>
      <c r="H41" s="30" t="s">
        <v>356</v>
      </c>
      <c r="I41" s="30">
        <v>34258621</v>
      </c>
      <c r="J41" s="30" t="s">
        <v>357</v>
      </c>
      <c r="K41" s="30" t="s">
        <v>358</v>
      </c>
      <c r="L41" s="30" t="s">
        <v>353</v>
      </c>
      <c r="M41" s="30" t="s">
        <v>83</v>
      </c>
      <c r="N41" s="30" t="s">
        <v>359</v>
      </c>
      <c r="O41" s="30">
        <v>35</v>
      </c>
      <c r="P41" s="30" t="s">
        <v>36</v>
      </c>
      <c r="Q41" s="30">
        <v>35</v>
      </c>
      <c r="S41" s="30" t="s">
        <v>294</v>
      </c>
      <c r="T41" s="30" t="s">
        <v>75</v>
      </c>
      <c r="U41" s="30" t="s">
        <v>39</v>
      </c>
      <c r="W41" s="30">
        <v>2</v>
      </c>
      <c r="X41" s="9" t="s">
        <v>76</v>
      </c>
      <c r="Y41" s="10" t="s">
        <v>39</v>
      </c>
      <c r="Z41" s="12" t="s">
        <v>77</v>
      </c>
    </row>
    <row r="42" spans="1:26" ht="15.75" customHeight="1" x14ac:dyDescent="0.3">
      <c r="A42" s="6">
        <v>46105.422667962957</v>
      </c>
      <c r="B42" s="30" t="s">
        <v>348</v>
      </c>
      <c r="C42" s="30" t="s">
        <v>349</v>
      </c>
      <c r="D42" s="30">
        <v>20130600</v>
      </c>
      <c r="E42" s="8" t="s">
        <v>28</v>
      </c>
      <c r="F42" s="30" t="s">
        <v>414</v>
      </c>
      <c r="G42" s="30" t="s">
        <v>45</v>
      </c>
      <c r="H42" s="30" t="s">
        <v>350</v>
      </c>
      <c r="I42" s="30">
        <v>37842801</v>
      </c>
      <c r="J42" s="30" t="s">
        <v>351</v>
      </c>
      <c r="L42" s="30" t="s">
        <v>348</v>
      </c>
      <c r="M42" s="30" t="s">
        <v>83</v>
      </c>
      <c r="N42" s="30" t="s">
        <v>352</v>
      </c>
      <c r="O42" s="30">
        <v>19</v>
      </c>
      <c r="P42" s="30" t="s">
        <v>36</v>
      </c>
      <c r="Q42" s="30">
        <v>0</v>
      </c>
      <c r="S42" s="30" t="s">
        <v>294</v>
      </c>
      <c r="T42" s="30" t="s">
        <v>75</v>
      </c>
      <c r="U42" s="30" t="s">
        <v>39</v>
      </c>
      <c r="W42" s="30">
        <v>2</v>
      </c>
      <c r="X42" s="9" t="s">
        <v>76</v>
      </c>
      <c r="Y42" s="10" t="s">
        <v>39</v>
      </c>
      <c r="Z42" s="12" t="s">
        <v>77</v>
      </c>
    </row>
    <row r="43" spans="1:26" ht="15.75" customHeight="1" x14ac:dyDescent="0.3">
      <c r="A43" s="23">
        <v>46100.634208124997</v>
      </c>
      <c r="B43" s="24" t="s">
        <v>516</v>
      </c>
      <c r="C43" s="24" t="s">
        <v>517</v>
      </c>
      <c r="D43" s="24">
        <v>61215200</v>
      </c>
      <c r="E43" s="77" t="s">
        <v>28</v>
      </c>
      <c r="F43" s="24" t="s">
        <v>70</v>
      </c>
      <c r="G43" s="24" t="s">
        <v>111</v>
      </c>
      <c r="H43" s="24" t="s">
        <v>518</v>
      </c>
      <c r="I43" s="24">
        <v>31050184</v>
      </c>
      <c r="J43" s="24" t="s">
        <v>519</v>
      </c>
      <c r="K43" s="24" t="s">
        <v>520</v>
      </c>
      <c r="L43" s="24" t="s">
        <v>516</v>
      </c>
      <c r="M43" s="24" t="s">
        <v>91</v>
      </c>
      <c r="N43" s="24" t="s">
        <v>521</v>
      </c>
      <c r="O43" s="24">
        <v>30</v>
      </c>
      <c r="P43" s="24" t="s">
        <v>36</v>
      </c>
      <c r="Q43" s="24">
        <v>0</v>
      </c>
      <c r="R43" s="80"/>
      <c r="S43" s="24" t="s">
        <v>515</v>
      </c>
      <c r="T43" s="24" t="s">
        <v>38</v>
      </c>
      <c r="U43" s="24" t="s">
        <v>39</v>
      </c>
      <c r="V43" s="24" t="s">
        <v>522</v>
      </c>
      <c r="W43" s="24">
        <v>2</v>
      </c>
      <c r="X43" s="25" t="s">
        <v>40</v>
      </c>
      <c r="Y43" s="10" t="s">
        <v>39</v>
      </c>
      <c r="Z43" s="12" t="s">
        <v>39</v>
      </c>
    </row>
    <row r="44" spans="1:26" ht="15.75" customHeight="1" x14ac:dyDescent="0.3">
      <c r="A44" s="6">
        <v>46099.623820196757</v>
      </c>
      <c r="B44" s="7" t="s">
        <v>523</v>
      </c>
      <c r="C44" s="7" t="s">
        <v>524</v>
      </c>
      <c r="D44" s="7">
        <v>607099</v>
      </c>
      <c r="E44" s="8" t="s">
        <v>28</v>
      </c>
      <c r="F44" s="7" t="s">
        <v>525</v>
      </c>
      <c r="G44" s="7" t="s">
        <v>30</v>
      </c>
      <c r="H44" s="7" t="s">
        <v>526</v>
      </c>
      <c r="I44" s="7">
        <v>37215132</v>
      </c>
      <c r="J44" s="7" t="s">
        <v>527</v>
      </c>
      <c r="L44" s="7" t="s">
        <v>523</v>
      </c>
      <c r="M44" s="7" t="s">
        <v>91</v>
      </c>
      <c r="N44" s="7" t="s">
        <v>528</v>
      </c>
      <c r="O44" s="7">
        <v>24</v>
      </c>
      <c r="P44" s="7" t="s">
        <v>36</v>
      </c>
      <c r="Q44" s="7">
        <v>7</v>
      </c>
      <c r="R44" s="7" t="s">
        <v>529</v>
      </c>
      <c r="S44" s="7" t="s">
        <v>515</v>
      </c>
      <c r="T44" s="7" t="s">
        <v>38</v>
      </c>
      <c r="U44" s="7" t="s">
        <v>39</v>
      </c>
      <c r="V44" s="30" t="s">
        <v>530</v>
      </c>
      <c r="W44" s="7">
        <v>2</v>
      </c>
      <c r="X44" s="9" t="s">
        <v>40</v>
      </c>
      <c r="Y44" s="10" t="s">
        <v>39</v>
      </c>
      <c r="Z44" s="10" t="s">
        <v>39</v>
      </c>
    </row>
    <row r="45" spans="1:26" ht="15.75" customHeight="1" x14ac:dyDescent="0.3">
      <c r="A45" s="6">
        <v>46100.705730694448</v>
      </c>
      <c r="B45" s="7" t="s">
        <v>564</v>
      </c>
      <c r="C45" s="7" t="s">
        <v>565</v>
      </c>
      <c r="D45" s="7">
        <v>20078300</v>
      </c>
      <c r="E45" s="8" t="s">
        <v>28</v>
      </c>
      <c r="F45" s="7" t="s">
        <v>566</v>
      </c>
      <c r="G45" s="7" t="s">
        <v>45</v>
      </c>
      <c r="H45" s="7" t="s">
        <v>567</v>
      </c>
      <c r="I45" s="7">
        <v>34359114</v>
      </c>
      <c r="J45" s="7" t="s">
        <v>568</v>
      </c>
      <c r="L45" s="7" t="s">
        <v>564</v>
      </c>
      <c r="M45" s="7" t="s">
        <v>83</v>
      </c>
      <c r="N45" s="7" t="s">
        <v>569</v>
      </c>
      <c r="O45" s="7">
        <v>35</v>
      </c>
      <c r="P45" s="7" t="s">
        <v>36</v>
      </c>
      <c r="Q45" s="7">
        <v>0</v>
      </c>
      <c r="R45" s="7" t="s">
        <v>570</v>
      </c>
      <c r="S45" s="7" t="s">
        <v>515</v>
      </c>
      <c r="T45" s="7" t="s">
        <v>75</v>
      </c>
      <c r="U45" s="7" t="s">
        <v>39</v>
      </c>
      <c r="V45" s="7" t="s">
        <v>571</v>
      </c>
      <c r="W45" s="7">
        <v>2</v>
      </c>
      <c r="X45" s="9" t="s">
        <v>76</v>
      </c>
      <c r="Y45" s="10" t="s">
        <v>39</v>
      </c>
      <c r="Z45" s="10" t="s">
        <v>77</v>
      </c>
    </row>
    <row r="46" spans="1:26" ht="15.75" customHeight="1" x14ac:dyDescent="0.3">
      <c r="A46" s="6">
        <v>46106.341772222222</v>
      </c>
      <c r="B46" s="7" t="s">
        <v>572</v>
      </c>
      <c r="C46" s="7" t="s">
        <v>573</v>
      </c>
      <c r="D46" s="7">
        <v>20086600</v>
      </c>
      <c r="E46" s="8" t="s">
        <v>28</v>
      </c>
      <c r="F46" s="7" t="s">
        <v>433</v>
      </c>
      <c r="G46" s="7" t="s">
        <v>30</v>
      </c>
      <c r="H46" s="7" t="s">
        <v>574</v>
      </c>
      <c r="I46" s="7">
        <v>32268519</v>
      </c>
      <c r="J46" s="7" t="s">
        <v>575</v>
      </c>
      <c r="K46" s="30" t="s">
        <v>576</v>
      </c>
      <c r="L46" s="7" t="s">
        <v>572</v>
      </c>
      <c r="M46" s="7" t="s">
        <v>83</v>
      </c>
      <c r="N46" s="7" t="s">
        <v>577</v>
      </c>
      <c r="O46" s="7">
        <v>32</v>
      </c>
      <c r="P46" s="7" t="s">
        <v>36</v>
      </c>
      <c r="Q46" s="7">
        <v>20</v>
      </c>
      <c r="S46" s="7" t="s">
        <v>515</v>
      </c>
      <c r="T46" s="7" t="s">
        <v>75</v>
      </c>
      <c r="U46" s="7" t="s">
        <v>39</v>
      </c>
      <c r="W46" s="7">
        <v>2</v>
      </c>
      <c r="X46" s="9" t="s">
        <v>76</v>
      </c>
      <c r="Y46" s="10" t="s">
        <v>39</v>
      </c>
      <c r="Z46" s="10" t="s">
        <v>77</v>
      </c>
    </row>
    <row r="47" spans="1:26" ht="15.75" customHeight="1" x14ac:dyDescent="0.3">
      <c r="A47" s="6">
        <v>46099.683827974543</v>
      </c>
      <c r="B47" s="7" t="s">
        <v>578</v>
      </c>
      <c r="C47" s="7" t="s">
        <v>579</v>
      </c>
      <c r="D47" s="7">
        <v>321</v>
      </c>
      <c r="E47" s="8" t="s">
        <v>28</v>
      </c>
      <c r="F47" s="7" t="s">
        <v>580</v>
      </c>
      <c r="G47" s="7" t="s">
        <v>45</v>
      </c>
      <c r="H47" s="7" t="s">
        <v>81</v>
      </c>
      <c r="I47" s="7">
        <v>26539649</v>
      </c>
      <c r="J47" s="7" t="s">
        <v>581</v>
      </c>
      <c r="L47" s="7" t="s">
        <v>578</v>
      </c>
      <c r="M47" s="7" t="s">
        <v>83</v>
      </c>
      <c r="N47" s="7" t="s">
        <v>582</v>
      </c>
      <c r="O47" s="7">
        <v>16</v>
      </c>
      <c r="P47" s="7" t="s">
        <v>36</v>
      </c>
      <c r="Q47" s="7">
        <v>20</v>
      </c>
      <c r="S47" s="7" t="s">
        <v>515</v>
      </c>
      <c r="T47" s="7" t="s">
        <v>75</v>
      </c>
      <c r="U47" s="7" t="s">
        <v>39</v>
      </c>
      <c r="W47" s="7">
        <v>2</v>
      </c>
      <c r="X47" s="9" t="s">
        <v>76</v>
      </c>
      <c r="Y47" s="10" t="s">
        <v>39</v>
      </c>
      <c r="Z47" s="10" t="s">
        <v>77</v>
      </c>
    </row>
    <row r="48" spans="1:26" ht="15.75" customHeight="1" x14ac:dyDescent="0.3">
      <c r="A48" s="6">
        <v>46099.904877638888</v>
      </c>
      <c r="B48" s="7" t="s">
        <v>583</v>
      </c>
      <c r="C48" s="7" t="s">
        <v>584</v>
      </c>
      <c r="D48" s="7">
        <v>61123600</v>
      </c>
      <c r="E48" s="8" t="s">
        <v>28</v>
      </c>
      <c r="F48" s="7" t="s">
        <v>585</v>
      </c>
      <c r="G48" s="7" t="s">
        <v>45</v>
      </c>
      <c r="H48" s="7" t="s">
        <v>586</v>
      </c>
      <c r="I48" s="7">
        <v>30742678</v>
      </c>
      <c r="J48" s="7" t="s">
        <v>587</v>
      </c>
      <c r="K48" s="7" t="s">
        <v>588</v>
      </c>
      <c r="L48" s="7" t="s">
        <v>583</v>
      </c>
      <c r="M48" s="7" t="s">
        <v>91</v>
      </c>
      <c r="N48" s="7" t="s">
        <v>589</v>
      </c>
      <c r="O48" s="7">
        <v>35</v>
      </c>
      <c r="P48" s="7" t="s">
        <v>36</v>
      </c>
      <c r="Q48" s="7">
        <v>20</v>
      </c>
      <c r="S48" s="7" t="s">
        <v>515</v>
      </c>
      <c r="T48" s="7" t="s">
        <v>75</v>
      </c>
      <c r="U48" s="7" t="s">
        <v>39</v>
      </c>
      <c r="W48" s="7">
        <v>2</v>
      </c>
      <c r="X48" s="9" t="s">
        <v>76</v>
      </c>
      <c r="Y48" s="10" t="s">
        <v>39</v>
      </c>
      <c r="Z48" s="12" t="s">
        <v>77</v>
      </c>
    </row>
    <row r="49" spans="1:26" ht="15.75" customHeight="1" x14ac:dyDescent="0.3">
      <c r="A49" s="6">
        <v>46100.721201018518</v>
      </c>
      <c r="B49" s="30" t="s">
        <v>590</v>
      </c>
      <c r="C49" s="30" t="s">
        <v>591</v>
      </c>
      <c r="D49" s="30">
        <v>60676600</v>
      </c>
      <c r="E49" s="8" t="s">
        <v>28</v>
      </c>
      <c r="F49" s="30" t="s">
        <v>52</v>
      </c>
      <c r="G49" s="30" t="s">
        <v>111</v>
      </c>
      <c r="H49" s="30" t="s">
        <v>592</v>
      </c>
      <c r="I49" s="30">
        <v>26465332</v>
      </c>
      <c r="J49" s="30" t="s">
        <v>593</v>
      </c>
      <c r="K49" s="30" t="s">
        <v>594</v>
      </c>
      <c r="L49" s="30" t="s">
        <v>590</v>
      </c>
      <c r="M49" s="30" t="s">
        <v>91</v>
      </c>
      <c r="N49" s="30" t="s">
        <v>595</v>
      </c>
      <c r="O49" s="30">
        <v>35</v>
      </c>
      <c r="P49" s="30" t="s">
        <v>36</v>
      </c>
      <c r="Q49" s="30">
        <v>0</v>
      </c>
      <c r="S49" s="30" t="s">
        <v>515</v>
      </c>
      <c r="T49" s="30" t="s">
        <v>75</v>
      </c>
      <c r="U49" s="30" t="s">
        <v>39</v>
      </c>
      <c r="W49" s="30">
        <v>2</v>
      </c>
      <c r="X49" s="9" t="s">
        <v>76</v>
      </c>
      <c r="Y49" s="10" t="s">
        <v>39</v>
      </c>
      <c r="Z49" s="12" t="s">
        <v>77</v>
      </c>
    </row>
    <row r="50" spans="1:26" ht="15.75" customHeight="1" x14ac:dyDescent="0.3">
      <c r="A50" s="6">
        <v>46101.650688217589</v>
      </c>
      <c r="B50" s="7" t="s">
        <v>283</v>
      </c>
      <c r="C50" s="7" t="s">
        <v>284</v>
      </c>
      <c r="D50" s="7">
        <v>61924800</v>
      </c>
      <c r="E50" s="8" t="s">
        <v>28</v>
      </c>
      <c r="F50" s="7" t="s">
        <v>149</v>
      </c>
      <c r="G50" s="7" t="s">
        <v>45</v>
      </c>
      <c r="H50" s="7" t="s">
        <v>286</v>
      </c>
      <c r="I50" s="7">
        <v>32311580</v>
      </c>
      <c r="J50" s="7" t="s">
        <v>596</v>
      </c>
      <c r="L50" s="7" t="s">
        <v>283</v>
      </c>
      <c r="M50" s="7" t="s">
        <v>56</v>
      </c>
      <c r="N50" s="7" t="s">
        <v>57</v>
      </c>
      <c r="O50" s="7">
        <v>30</v>
      </c>
      <c r="P50" s="7" t="s">
        <v>36</v>
      </c>
      <c r="Q50" s="7">
        <v>30</v>
      </c>
      <c r="S50" s="7" t="s">
        <v>515</v>
      </c>
      <c r="T50" s="7" t="s">
        <v>75</v>
      </c>
      <c r="U50" s="7" t="s">
        <v>39</v>
      </c>
      <c r="W50" s="7">
        <v>2</v>
      </c>
      <c r="X50" s="9" t="s">
        <v>76</v>
      </c>
      <c r="Y50" s="10" t="s">
        <v>39</v>
      </c>
      <c r="Z50" s="12" t="s">
        <v>77</v>
      </c>
    </row>
    <row r="51" spans="1:26" ht="15.75" customHeight="1" x14ac:dyDescent="0.3">
      <c r="A51" s="6">
        <v>46099.592295821763</v>
      </c>
      <c r="B51" s="7" t="s">
        <v>597</v>
      </c>
      <c r="C51" s="7" t="s">
        <v>598</v>
      </c>
      <c r="D51" s="7">
        <v>20148000</v>
      </c>
      <c r="E51" s="8" t="s">
        <v>28</v>
      </c>
      <c r="F51" s="7" t="s">
        <v>599</v>
      </c>
      <c r="G51" s="7" t="s">
        <v>111</v>
      </c>
      <c r="H51" s="7" t="s">
        <v>600</v>
      </c>
      <c r="I51" s="7">
        <v>30365344</v>
      </c>
      <c r="J51" s="7" t="s">
        <v>601</v>
      </c>
      <c r="L51" s="7" t="s">
        <v>597</v>
      </c>
      <c r="M51" s="7" t="s">
        <v>83</v>
      </c>
      <c r="N51" s="7" t="s">
        <v>114</v>
      </c>
      <c r="O51" s="7">
        <v>22</v>
      </c>
      <c r="P51" s="7" t="s">
        <v>36</v>
      </c>
      <c r="Q51" s="7">
        <v>0</v>
      </c>
      <c r="S51" s="7" t="s">
        <v>515</v>
      </c>
      <c r="T51" s="7" t="s">
        <v>75</v>
      </c>
      <c r="U51" s="7" t="s">
        <v>39</v>
      </c>
      <c r="W51" s="7">
        <v>2</v>
      </c>
      <c r="X51" s="9" t="s">
        <v>76</v>
      </c>
      <c r="Y51" s="10" t="s">
        <v>39</v>
      </c>
      <c r="Z51" s="12" t="s">
        <v>77</v>
      </c>
    </row>
    <row r="52" spans="1:26" ht="15.75" customHeight="1" x14ac:dyDescent="0.3">
      <c r="A52" s="6">
        <v>46099.600662881952</v>
      </c>
      <c r="B52" s="7" t="s">
        <v>602</v>
      </c>
      <c r="C52" s="7" t="s">
        <v>603</v>
      </c>
      <c r="D52" s="7">
        <v>20097600</v>
      </c>
      <c r="E52" s="8" t="s">
        <v>28</v>
      </c>
      <c r="F52" s="7" t="s">
        <v>70</v>
      </c>
      <c r="G52" s="7" t="s">
        <v>111</v>
      </c>
      <c r="H52" s="7" t="s">
        <v>604</v>
      </c>
      <c r="I52" s="7">
        <v>27343139</v>
      </c>
      <c r="J52" s="7" t="s">
        <v>605</v>
      </c>
      <c r="L52" s="7" t="s">
        <v>602</v>
      </c>
      <c r="M52" s="7" t="s">
        <v>83</v>
      </c>
      <c r="N52" s="7" t="s">
        <v>606</v>
      </c>
      <c r="O52" s="7">
        <v>17</v>
      </c>
      <c r="P52" s="7" t="s">
        <v>36</v>
      </c>
      <c r="Q52" s="7">
        <v>0</v>
      </c>
      <c r="S52" s="7" t="s">
        <v>515</v>
      </c>
      <c r="T52" s="7" t="s">
        <v>75</v>
      </c>
      <c r="U52" s="7" t="s">
        <v>39</v>
      </c>
      <c r="W52" s="7">
        <v>2</v>
      </c>
      <c r="X52" s="9" t="s">
        <v>76</v>
      </c>
      <c r="Y52" s="10" t="s">
        <v>39</v>
      </c>
      <c r="Z52" s="12" t="s">
        <v>77</v>
      </c>
    </row>
    <row r="53" spans="1:26" ht="15.75" customHeight="1" x14ac:dyDescent="0.3">
      <c r="A53" s="6">
        <v>46100.328894432867</v>
      </c>
      <c r="B53" s="7" t="s">
        <v>607</v>
      </c>
      <c r="C53" s="7" t="s">
        <v>608</v>
      </c>
      <c r="D53" s="7">
        <v>20294400</v>
      </c>
      <c r="E53" s="8" t="s">
        <v>28</v>
      </c>
      <c r="F53" s="7" t="s">
        <v>609</v>
      </c>
      <c r="G53" s="7" t="s">
        <v>45</v>
      </c>
      <c r="H53" s="7" t="s">
        <v>610</v>
      </c>
      <c r="I53" s="7">
        <v>25559684</v>
      </c>
      <c r="J53" s="7" t="s">
        <v>611</v>
      </c>
      <c r="K53" s="30" t="s">
        <v>612</v>
      </c>
      <c r="L53" s="7" t="s">
        <v>607</v>
      </c>
      <c r="M53" s="7" t="s">
        <v>83</v>
      </c>
      <c r="N53" s="7" t="s">
        <v>613</v>
      </c>
      <c r="O53" s="7">
        <v>30</v>
      </c>
      <c r="P53" s="7" t="s">
        <v>36</v>
      </c>
      <c r="Q53" s="7">
        <v>0</v>
      </c>
      <c r="S53" s="7" t="s">
        <v>515</v>
      </c>
      <c r="T53" s="7" t="s">
        <v>75</v>
      </c>
      <c r="U53" s="7" t="s">
        <v>39</v>
      </c>
      <c r="W53" s="7">
        <v>2</v>
      </c>
      <c r="X53" s="9" t="s">
        <v>76</v>
      </c>
      <c r="Y53" s="10" t="s">
        <v>39</v>
      </c>
      <c r="Z53" s="12" t="s">
        <v>77</v>
      </c>
    </row>
    <row r="54" spans="1:26" ht="15.75" customHeight="1" x14ac:dyDescent="0.3">
      <c r="A54" s="6">
        <v>46099.682297372688</v>
      </c>
      <c r="B54" s="7" t="s">
        <v>578</v>
      </c>
      <c r="C54" s="7" t="s">
        <v>729</v>
      </c>
      <c r="D54" s="7">
        <v>321</v>
      </c>
      <c r="E54" s="8" t="s">
        <v>730</v>
      </c>
      <c r="F54" s="7" t="s">
        <v>731</v>
      </c>
      <c r="G54" s="7" t="s">
        <v>45</v>
      </c>
      <c r="H54" s="7" t="s">
        <v>81</v>
      </c>
      <c r="I54" s="7">
        <v>26539649</v>
      </c>
      <c r="J54" s="7" t="s">
        <v>732</v>
      </c>
      <c r="L54" s="7" t="s">
        <v>578</v>
      </c>
      <c r="M54" s="7" t="s">
        <v>83</v>
      </c>
      <c r="N54" s="7" t="s">
        <v>733</v>
      </c>
      <c r="O54" s="7">
        <v>23</v>
      </c>
      <c r="P54" s="7" t="s">
        <v>36</v>
      </c>
      <c r="Q54" s="7">
        <v>20</v>
      </c>
      <c r="S54" s="7" t="s">
        <v>515</v>
      </c>
      <c r="T54" s="7" t="s">
        <v>75</v>
      </c>
      <c r="U54" s="7" t="s">
        <v>39</v>
      </c>
      <c r="W54" s="7">
        <v>2</v>
      </c>
      <c r="X54" s="9" t="s">
        <v>76</v>
      </c>
      <c r="Y54" s="10" t="s">
        <v>39</v>
      </c>
      <c r="Z54" s="12" t="s">
        <v>77</v>
      </c>
    </row>
    <row r="55" spans="1:26" ht="15.75" customHeight="1" x14ac:dyDescent="0.3">
      <c r="A55" s="6">
        <v>46100.529260162039</v>
      </c>
      <c r="B55" s="7" t="s">
        <v>614</v>
      </c>
      <c r="C55" s="7" t="s">
        <v>615</v>
      </c>
      <c r="D55" s="7">
        <v>2006490</v>
      </c>
      <c r="E55" s="8" t="s">
        <v>28</v>
      </c>
      <c r="F55" s="7" t="s">
        <v>616</v>
      </c>
      <c r="G55" s="7" t="s">
        <v>30</v>
      </c>
      <c r="H55" s="7" t="s">
        <v>617</v>
      </c>
      <c r="I55" s="7">
        <v>29135308</v>
      </c>
      <c r="J55" s="7" t="s">
        <v>618</v>
      </c>
      <c r="K55" s="30" t="s">
        <v>619</v>
      </c>
      <c r="L55" s="7" t="s">
        <v>614</v>
      </c>
      <c r="M55" s="7" t="s">
        <v>83</v>
      </c>
      <c r="N55" s="7" t="s">
        <v>620</v>
      </c>
      <c r="O55" s="7">
        <v>30</v>
      </c>
      <c r="P55" s="7" t="s">
        <v>67</v>
      </c>
      <c r="Q55" s="7">
        <v>80</v>
      </c>
      <c r="R55" s="30" t="s">
        <v>621</v>
      </c>
      <c r="S55" s="7" t="s">
        <v>515</v>
      </c>
      <c r="T55" s="7" t="s">
        <v>75</v>
      </c>
      <c r="U55" s="7" t="s">
        <v>39</v>
      </c>
      <c r="W55" s="7">
        <v>3</v>
      </c>
      <c r="X55" s="9" t="s">
        <v>76</v>
      </c>
      <c r="Y55" s="10" t="s">
        <v>39</v>
      </c>
      <c r="Z55" s="12" t="s">
        <v>77</v>
      </c>
    </row>
    <row r="56" spans="1:26" ht="15.75" customHeight="1" x14ac:dyDescent="0.3">
      <c r="A56" s="6">
        <v>46100.353375393519</v>
      </c>
      <c r="B56" s="7" t="s">
        <v>108</v>
      </c>
      <c r="C56" s="7" t="s">
        <v>109</v>
      </c>
      <c r="D56" s="7">
        <v>200978</v>
      </c>
      <c r="E56" s="8" t="s">
        <v>43</v>
      </c>
      <c r="F56" s="7" t="s">
        <v>110</v>
      </c>
      <c r="G56" s="7" t="s">
        <v>111</v>
      </c>
      <c r="H56" s="7" t="s">
        <v>112</v>
      </c>
      <c r="I56" s="7">
        <v>26800334</v>
      </c>
      <c r="J56" s="7" t="s">
        <v>113</v>
      </c>
      <c r="L56" s="7" t="s">
        <v>108</v>
      </c>
      <c r="M56" s="7" t="s">
        <v>83</v>
      </c>
      <c r="N56" s="7" t="s">
        <v>114</v>
      </c>
      <c r="O56" s="7">
        <v>25</v>
      </c>
      <c r="P56" s="7" t="s">
        <v>36</v>
      </c>
      <c r="Q56" s="7">
        <v>0</v>
      </c>
      <c r="S56" s="7" t="s">
        <v>37</v>
      </c>
      <c r="T56" s="7" t="s">
        <v>75</v>
      </c>
      <c r="U56" s="7" t="s">
        <v>39</v>
      </c>
      <c r="W56" s="7">
        <v>4</v>
      </c>
      <c r="X56" s="9" t="s">
        <v>76</v>
      </c>
      <c r="Y56" s="10" t="s">
        <v>39</v>
      </c>
      <c r="Z56" s="12" t="s">
        <v>77</v>
      </c>
    </row>
    <row r="57" spans="1:26" ht="15.75" customHeight="1" x14ac:dyDescent="0.3">
      <c r="A57" s="6">
        <v>46102.367298391197</v>
      </c>
      <c r="B57" s="7" t="s">
        <v>115</v>
      </c>
      <c r="C57" s="7" t="s">
        <v>116</v>
      </c>
      <c r="D57" s="7">
        <v>20021700</v>
      </c>
      <c r="E57" s="8" t="s">
        <v>43</v>
      </c>
      <c r="F57" s="7" t="s">
        <v>117</v>
      </c>
      <c r="G57" s="7" t="s">
        <v>111</v>
      </c>
      <c r="H57" s="7" t="s">
        <v>118</v>
      </c>
      <c r="I57" s="7">
        <v>21094902</v>
      </c>
      <c r="J57" s="7" t="s">
        <v>119</v>
      </c>
      <c r="L57" s="7" t="s">
        <v>115</v>
      </c>
      <c r="M57" s="7" t="s">
        <v>83</v>
      </c>
      <c r="N57" s="7" t="s">
        <v>120</v>
      </c>
      <c r="O57" s="7">
        <v>35</v>
      </c>
      <c r="P57" s="7" t="s">
        <v>36</v>
      </c>
      <c r="Q57" s="7">
        <v>0</v>
      </c>
      <c r="S57" s="7" t="s">
        <v>37</v>
      </c>
      <c r="T57" s="7" t="s">
        <v>75</v>
      </c>
      <c r="U57" s="7" t="s">
        <v>39</v>
      </c>
      <c r="W57" s="7">
        <v>4</v>
      </c>
      <c r="X57" s="9" t="s">
        <v>76</v>
      </c>
      <c r="Y57" s="10" t="s">
        <v>39</v>
      </c>
      <c r="Z57" s="12" t="s">
        <v>77</v>
      </c>
    </row>
    <row r="58" spans="1:26" ht="15.75" customHeight="1" x14ac:dyDescent="0.3">
      <c r="A58" s="6">
        <v>46099.708316064818</v>
      </c>
      <c r="B58" s="7" t="s">
        <v>121</v>
      </c>
      <c r="C58" s="7" t="s">
        <v>122</v>
      </c>
      <c r="D58" s="7">
        <v>201431</v>
      </c>
      <c r="E58" s="8" t="s">
        <v>43</v>
      </c>
      <c r="F58" s="7" t="s">
        <v>123</v>
      </c>
      <c r="G58" s="7" t="s">
        <v>111</v>
      </c>
      <c r="H58" s="7" t="s">
        <v>124</v>
      </c>
      <c r="I58" s="7">
        <v>39098916</v>
      </c>
      <c r="J58" s="7" t="s">
        <v>125</v>
      </c>
      <c r="L58" s="7" t="s">
        <v>121</v>
      </c>
      <c r="M58" s="7" t="s">
        <v>83</v>
      </c>
      <c r="N58" s="7" t="s">
        <v>126</v>
      </c>
      <c r="O58" s="7">
        <v>15</v>
      </c>
      <c r="P58" s="7" t="s">
        <v>36</v>
      </c>
      <c r="Q58" s="7">
        <v>0</v>
      </c>
      <c r="S58" s="7" t="s">
        <v>37</v>
      </c>
      <c r="T58" s="7" t="s">
        <v>75</v>
      </c>
      <c r="U58" s="7" t="s">
        <v>39</v>
      </c>
      <c r="W58" s="7">
        <v>4</v>
      </c>
      <c r="X58" s="9" t="s">
        <v>76</v>
      </c>
      <c r="Y58" s="10" t="s">
        <v>39</v>
      </c>
      <c r="Z58" s="12" t="s">
        <v>77</v>
      </c>
    </row>
    <row r="59" spans="1:26" ht="15.75" customHeight="1" x14ac:dyDescent="0.3">
      <c r="A59" s="6">
        <v>46099.629774050933</v>
      </c>
      <c r="B59" s="7" t="s">
        <v>127</v>
      </c>
      <c r="C59" s="7" t="s">
        <v>128</v>
      </c>
      <c r="D59" s="7">
        <v>20012300</v>
      </c>
      <c r="E59" s="8" t="s">
        <v>61</v>
      </c>
      <c r="F59" s="7" t="s">
        <v>129</v>
      </c>
      <c r="G59" s="7" t="s">
        <v>111</v>
      </c>
      <c r="H59" s="7" t="s">
        <v>130</v>
      </c>
      <c r="I59" s="7">
        <v>39716951</v>
      </c>
      <c r="J59" s="7" t="s">
        <v>131</v>
      </c>
      <c r="L59" s="7" t="s">
        <v>127</v>
      </c>
      <c r="M59" s="7" t="s">
        <v>83</v>
      </c>
      <c r="N59" s="7" t="s">
        <v>132</v>
      </c>
      <c r="O59" s="7">
        <v>28</v>
      </c>
      <c r="P59" s="7" t="s">
        <v>36</v>
      </c>
      <c r="Q59" s="7">
        <v>0</v>
      </c>
      <c r="S59" s="7" t="s">
        <v>37</v>
      </c>
      <c r="T59" s="7" t="s">
        <v>75</v>
      </c>
      <c r="U59" s="7" t="s">
        <v>39</v>
      </c>
      <c r="W59" s="7">
        <v>4</v>
      </c>
      <c r="X59" s="9" t="s">
        <v>76</v>
      </c>
      <c r="Y59" s="10" t="s">
        <v>39</v>
      </c>
      <c r="Z59" s="12" t="s">
        <v>77</v>
      </c>
    </row>
    <row r="60" spans="1:26" ht="15.75" customHeight="1" x14ac:dyDescent="0.3">
      <c r="A60" s="6">
        <v>46099.594354236113</v>
      </c>
      <c r="B60" s="7" t="s">
        <v>133</v>
      </c>
      <c r="C60" s="7" t="s">
        <v>134</v>
      </c>
      <c r="D60" s="7">
        <v>20075300</v>
      </c>
      <c r="E60" s="8" t="s">
        <v>61</v>
      </c>
      <c r="F60" s="7" t="s">
        <v>135</v>
      </c>
      <c r="G60" s="7" t="s">
        <v>45</v>
      </c>
      <c r="H60" s="7" t="s">
        <v>136</v>
      </c>
      <c r="I60" s="7">
        <v>42101685</v>
      </c>
      <c r="J60" s="7" t="s">
        <v>137</v>
      </c>
      <c r="L60" s="7" t="s">
        <v>133</v>
      </c>
      <c r="M60" s="7" t="s">
        <v>83</v>
      </c>
      <c r="N60" s="7" t="s">
        <v>138</v>
      </c>
      <c r="O60" s="7">
        <v>35</v>
      </c>
      <c r="P60" s="7" t="s">
        <v>36</v>
      </c>
      <c r="Q60" s="7">
        <v>20</v>
      </c>
      <c r="R60" s="30" t="s">
        <v>139</v>
      </c>
      <c r="S60" s="7" t="s">
        <v>37</v>
      </c>
      <c r="T60" s="7" t="s">
        <v>75</v>
      </c>
      <c r="U60" s="7" t="s">
        <v>39</v>
      </c>
      <c r="V60" s="30" t="s">
        <v>140</v>
      </c>
      <c r="W60" s="7">
        <v>4</v>
      </c>
      <c r="X60" s="9" t="s">
        <v>76</v>
      </c>
      <c r="Y60" s="10" t="s">
        <v>39</v>
      </c>
      <c r="Z60" s="12" t="s">
        <v>77</v>
      </c>
    </row>
    <row r="61" spans="1:26" ht="15.75" customHeight="1" x14ac:dyDescent="0.3">
      <c r="A61" s="6">
        <v>46099.646392233793</v>
      </c>
      <c r="B61" s="7" t="s">
        <v>141</v>
      </c>
      <c r="C61" s="7" t="s">
        <v>142</v>
      </c>
      <c r="D61" s="7">
        <v>60522400</v>
      </c>
      <c r="E61" s="8" t="s">
        <v>43</v>
      </c>
      <c r="F61" s="7" t="s">
        <v>143</v>
      </c>
      <c r="G61" s="7" t="s">
        <v>45</v>
      </c>
      <c r="H61" s="7" t="s">
        <v>144</v>
      </c>
      <c r="I61" s="7">
        <v>35078210</v>
      </c>
      <c r="J61" s="7" t="s">
        <v>145</v>
      </c>
      <c r="K61" s="30" t="s">
        <v>146</v>
      </c>
      <c r="L61" s="7" t="s">
        <v>141</v>
      </c>
      <c r="M61" s="7" t="s">
        <v>34</v>
      </c>
      <c r="N61" s="7" t="s">
        <v>147</v>
      </c>
      <c r="O61" s="7">
        <v>25</v>
      </c>
      <c r="P61" s="7" t="s">
        <v>36</v>
      </c>
      <c r="Q61" s="7">
        <v>20</v>
      </c>
      <c r="S61" s="7" t="s">
        <v>37</v>
      </c>
      <c r="T61" s="7" t="s">
        <v>75</v>
      </c>
      <c r="U61" s="7" t="s">
        <v>39</v>
      </c>
      <c r="W61" s="7">
        <v>4</v>
      </c>
      <c r="X61" s="9" t="s">
        <v>76</v>
      </c>
      <c r="Y61" s="10" t="s">
        <v>39</v>
      </c>
      <c r="Z61" s="12" t="s">
        <v>77</v>
      </c>
    </row>
    <row r="62" spans="1:26" ht="15.75" customHeight="1" x14ac:dyDescent="0.3">
      <c r="A62" s="6">
        <v>46099.648305300929</v>
      </c>
      <c r="B62" s="7" t="s">
        <v>141</v>
      </c>
      <c r="C62" s="7" t="s">
        <v>148</v>
      </c>
      <c r="D62" s="7">
        <v>60469300</v>
      </c>
      <c r="E62" s="8" t="s">
        <v>61</v>
      </c>
      <c r="F62" s="7" t="s">
        <v>149</v>
      </c>
      <c r="G62" s="7" t="s">
        <v>45</v>
      </c>
      <c r="H62" s="7" t="s">
        <v>144</v>
      </c>
      <c r="I62" s="7">
        <v>35078210</v>
      </c>
      <c r="J62" s="7" t="s">
        <v>150</v>
      </c>
      <c r="K62" s="7" t="s">
        <v>151</v>
      </c>
      <c r="L62" s="7" t="s">
        <v>152</v>
      </c>
      <c r="M62" s="7" t="s">
        <v>34</v>
      </c>
      <c r="N62" s="7" t="s">
        <v>153</v>
      </c>
      <c r="O62" s="7">
        <v>35</v>
      </c>
      <c r="P62" s="7" t="s">
        <v>36</v>
      </c>
      <c r="Q62" s="7">
        <v>20</v>
      </c>
      <c r="S62" s="7" t="s">
        <v>37</v>
      </c>
      <c r="T62" s="7" t="s">
        <v>75</v>
      </c>
      <c r="U62" s="7" t="s">
        <v>39</v>
      </c>
      <c r="W62" s="7">
        <v>4</v>
      </c>
      <c r="X62" s="9" t="s">
        <v>76</v>
      </c>
      <c r="Y62" s="10" t="s">
        <v>39</v>
      </c>
      <c r="Z62" s="12" t="s">
        <v>77</v>
      </c>
    </row>
    <row r="63" spans="1:26" ht="15.75" customHeight="1" x14ac:dyDescent="0.3">
      <c r="A63" s="6">
        <v>46104.656779224541</v>
      </c>
      <c r="B63" s="7" t="s">
        <v>154</v>
      </c>
      <c r="C63" s="7" t="s">
        <v>155</v>
      </c>
      <c r="D63" s="7">
        <v>60690700</v>
      </c>
      <c r="E63" s="8" t="s">
        <v>61</v>
      </c>
      <c r="F63" s="7" t="s">
        <v>149</v>
      </c>
      <c r="G63" s="7" t="s">
        <v>45</v>
      </c>
      <c r="H63" s="7" t="s">
        <v>156</v>
      </c>
      <c r="I63" s="7">
        <v>35798730</v>
      </c>
      <c r="J63" s="7" t="s">
        <v>157</v>
      </c>
      <c r="L63" s="7" t="s">
        <v>154</v>
      </c>
      <c r="M63" s="7" t="s">
        <v>91</v>
      </c>
      <c r="N63" s="7" t="s">
        <v>158</v>
      </c>
      <c r="O63" s="7">
        <v>24</v>
      </c>
      <c r="P63" s="7" t="s">
        <v>36</v>
      </c>
      <c r="Q63" s="7">
        <v>20</v>
      </c>
      <c r="S63" s="7" t="s">
        <v>37</v>
      </c>
      <c r="T63" s="7" t="s">
        <v>75</v>
      </c>
      <c r="U63" s="7" t="s">
        <v>39</v>
      </c>
      <c r="W63" s="7">
        <v>4</v>
      </c>
      <c r="X63" s="9" t="s">
        <v>76</v>
      </c>
      <c r="Y63" s="10" t="s">
        <v>39</v>
      </c>
      <c r="Z63" s="12" t="s">
        <v>77</v>
      </c>
    </row>
    <row r="64" spans="1:26" ht="15.75" customHeight="1" x14ac:dyDescent="0.3">
      <c r="A64" s="6">
        <v>46099.612316886567</v>
      </c>
      <c r="B64" s="7" t="s">
        <v>183</v>
      </c>
      <c r="C64" s="7" t="s">
        <v>184</v>
      </c>
      <c r="D64" s="7">
        <v>20021700</v>
      </c>
      <c r="E64" s="8" t="s">
        <v>43</v>
      </c>
      <c r="F64" s="7" t="s">
        <v>185</v>
      </c>
      <c r="G64" s="7" t="s">
        <v>111</v>
      </c>
      <c r="H64" s="7" t="s">
        <v>186</v>
      </c>
      <c r="I64" s="7">
        <v>34476029</v>
      </c>
      <c r="J64" s="7" t="s">
        <v>187</v>
      </c>
      <c r="L64" s="7" t="s">
        <v>183</v>
      </c>
      <c r="M64" s="7" t="s">
        <v>83</v>
      </c>
      <c r="N64" s="7" t="s">
        <v>188</v>
      </c>
      <c r="O64" s="7">
        <v>35</v>
      </c>
      <c r="P64" s="7" t="s">
        <v>36</v>
      </c>
      <c r="Q64" s="7">
        <v>30</v>
      </c>
      <c r="R64" s="7" t="s">
        <v>189</v>
      </c>
      <c r="S64" s="7" t="s">
        <v>37</v>
      </c>
      <c r="T64" s="7" t="s">
        <v>75</v>
      </c>
      <c r="U64" s="7" t="s">
        <v>39</v>
      </c>
      <c r="W64" s="7">
        <v>4</v>
      </c>
      <c r="X64" s="9" t="s">
        <v>76</v>
      </c>
      <c r="Y64" s="10" t="s">
        <v>39</v>
      </c>
      <c r="Z64" s="12" t="s">
        <v>77</v>
      </c>
    </row>
    <row r="65" spans="1:26" ht="15.75" customHeight="1" x14ac:dyDescent="0.3">
      <c r="A65" s="6">
        <v>46099.59718128472</v>
      </c>
      <c r="B65" s="7" t="s">
        <v>133</v>
      </c>
      <c r="C65" s="7" t="s">
        <v>190</v>
      </c>
      <c r="D65" s="7">
        <v>20075300</v>
      </c>
      <c r="E65" s="8" t="s">
        <v>61</v>
      </c>
      <c r="F65" s="7" t="s">
        <v>135</v>
      </c>
      <c r="G65" s="7" t="s">
        <v>45</v>
      </c>
      <c r="H65" s="7" t="s">
        <v>136</v>
      </c>
      <c r="I65" s="7">
        <v>42101685</v>
      </c>
      <c r="J65" s="7" t="s">
        <v>137</v>
      </c>
      <c r="L65" s="7" t="s">
        <v>133</v>
      </c>
      <c r="M65" s="7" t="s">
        <v>83</v>
      </c>
      <c r="N65" s="7" t="s">
        <v>138</v>
      </c>
      <c r="O65" s="7">
        <v>15</v>
      </c>
      <c r="P65" s="7" t="s">
        <v>36</v>
      </c>
      <c r="Q65" s="7">
        <v>20</v>
      </c>
      <c r="R65" s="30" t="s">
        <v>191</v>
      </c>
      <c r="S65" s="7" t="s">
        <v>37</v>
      </c>
      <c r="T65" s="7" t="s">
        <v>75</v>
      </c>
      <c r="U65" s="7" t="s">
        <v>39</v>
      </c>
      <c r="V65" s="30" t="s">
        <v>140</v>
      </c>
      <c r="W65" s="7">
        <v>4</v>
      </c>
      <c r="X65" s="9" t="s">
        <v>76</v>
      </c>
      <c r="Y65" s="10" t="s">
        <v>39</v>
      </c>
      <c r="Z65" s="12" t="s">
        <v>77</v>
      </c>
    </row>
    <row r="66" spans="1:26" ht="15.75" customHeight="1" x14ac:dyDescent="0.3">
      <c r="A66" s="6">
        <v>46101.693009351853</v>
      </c>
      <c r="B66" s="7" t="s">
        <v>229</v>
      </c>
      <c r="C66" s="7" t="s">
        <v>230</v>
      </c>
      <c r="D66" s="7">
        <v>20010000</v>
      </c>
      <c r="E66" s="8" t="s">
        <v>61</v>
      </c>
      <c r="F66" s="7" t="s">
        <v>231</v>
      </c>
      <c r="G66" s="7" t="s">
        <v>45</v>
      </c>
      <c r="H66" s="7" t="s">
        <v>232</v>
      </c>
      <c r="I66" s="7">
        <v>30722272</v>
      </c>
      <c r="J66" s="7" t="s">
        <v>233</v>
      </c>
      <c r="L66" s="7" t="s">
        <v>229</v>
      </c>
      <c r="M66" s="7" t="s">
        <v>83</v>
      </c>
      <c r="N66" s="7" t="s">
        <v>132</v>
      </c>
      <c r="O66" s="7">
        <v>15</v>
      </c>
      <c r="P66" s="7" t="s">
        <v>36</v>
      </c>
      <c r="Q66" s="7">
        <v>40</v>
      </c>
      <c r="R66" s="7" t="s">
        <v>234</v>
      </c>
      <c r="S66" s="7" t="s">
        <v>37</v>
      </c>
      <c r="T66" s="7" t="s">
        <v>205</v>
      </c>
      <c r="U66" s="7" t="s">
        <v>39</v>
      </c>
      <c r="W66" s="7">
        <v>4</v>
      </c>
      <c r="X66" s="9" t="s">
        <v>207</v>
      </c>
      <c r="Y66" s="10" t="s">
        <v>77</v>
      </c>
      <c r="Z66" s="12" t="s">
        <v>39</v>
      </c>
    </row>
    <row r="67" spans="1:26" ht="15.75" customHeight="1" x14ac:dyDescent="0.3">
      <c r="A67" s="6">
        <v>46100.549707789352</v>
      </c>
      <c r="B67" s="7" t="s">
        <v>235</v>
      </c>
      <c r="C67" s="7" t="s">
        <v>236</v>
      </c>
      <c r="D67" s="7">
        <v>200295</v>
      </c>
      <c r="E67" s="8" t="s">
        <v>43</v>
      </c>
      <c r="F67" s="7" t="s">
        <v>237</v>
      </c>
      <c r="G67" s="7" t="s">
        <v>45</v>
      </c>
      <c r="H67" s="7" t="s">
        <v>238</v>
      </c>
      <c r="I67" s="7">
        <v>21473743</v>
      </c>
      <c r="J67" s="7" t="s">
        <v>239</v>
      </c>
      <c r="L67" s="7" t="s">
        <v>235</v>
      </c>
      <c r="M67" s="7" t="s">
        <v>83</v>
      </c>
      <c r="N67" s="7" t="s">
        <v>240</v>
      </c>
      <c r="O67" s="7">
        <v>34</v>
      </c>
      <c r="P67" s="7" t="s">
        <v>36</v>
      </c>
      <c r="Q67" s="7">
        <v>20</v>
      </c>
      <c r="S67" s="7" t="s">
        <v>37</v>
      </c>
      <c r="T67" s="7" t="s">
        <v>205</v>
      </c>
      <c r="U67" s="7" t="s">
        <v>39</v>
      </c>
      <c r="W67" s="7">
        <v>4</v>
      </c>
      <c r="X67" s="9" t="s">
        <v>207</v>
      </c>
      <c r="Y67" s="10" t="s">
        <v>77</v>
      </c>
      <c r="Z67" s="12" t="s">
        <v>39</v>
      </c>
    </row>
    <row r="68" spans="1:26" ht="15.75" customHeight="1" x14ac:dyDescent="0.3">
      <c r="A68" s="6">
        <v>46099.640804618059</v>
      </c>
      <c r="B68" s="7" t="s">
        <v>141</v>
      </c>
      <c r="C68" s="7" t="s">
        <v>260</v>
      </c>
      <c r="D68" s="7">
        <v>60522400</v>
      </c>
      <c r="E68" s="8" t="s">
        <v>61</v>
      </c>
      <c r="F68" s="7" t="s">
        <v>261</v>
      </c>
      <c r="G68" s="7" t="s">
        <v>45</v>
      </c>
      <c r="H68" s="7" t="s">
        <v>262</v>
      </c>
      <c r="I68" s="7">
        <v>35078210</v>
      </c>
      <c r="J68" s="7" t="s">
        <v>263</v>
      </c>
      <c r="K68" s="30" t="s">
        <v>264</v>
      </c>
      <c r="L68" s="7" t="s">
        <v>152</v>
      </c>
      <c r="M68" s="7" t="s">
        <v>34</v>
      </c>
      <c r="N68" s="7" t="s">
        <v>265</v>
      </c>
      <c r="O68" s="7">
        <v>30</v>
      </c>
      <c r="P68" s="7" t="s">
        <v>36</v>
      </c>
      <c r="Q68" s="7">
        <v>10</v>
      </c>
      <c r="S68" s="7" t="s">
        <v>37</v>
      </c>
      <c r="T68" s="7" t="s">
        <v>205</v>
      </c>
      <c r="U68" s="7" t="s">
        <v>39</v>
      </c>
      <c r="W68" s="7">
        <v>4</v>
      </c>
      <c r="X68" s="9" t="s">
        <v>207</v>
      </c>
      <c r="Y68" s="10" t="s">
        <v>77</v>
      </c>
      <c r="Z68" s="12" t="s">
        <v>39</v>
      </c>
    </row>
    <row r="69" spans="1:26" ht="15.75" customHeight="1" x14ac:dyDescent="0.3">
      <c r="A69" s="6">
        <v>46099.64246145833</v>
      </c>
      <c r="B69" s="30" t="s">
        <v>141</v>
      </c>
      <c r="C69" s="30" t="s">
        <v>266</v>
      </c>
      <c r="D69" s="30">
        <v>60522400</v>
      </c>
      <c r="E69" s="8" t="s">
        <v>43</v>
      </c>
      <c r="F69" s="30" t="s">
        <v>143</v>
      </c>
      <c r="G69" s="30" t="s">
        <v>45</v>
      </c>
      <c r="H69" s="30" t="s">
        <v>267</v>
      </c>
      <c r="I69" s="30">
        <v>35078210</v>
      </c>
      <c r="J69" s="30" t="s">
        <v>268</v>
      </c>
      <c r="K69" s="30" t="s">
        <v>269</v>
      </c>
      <c r="L69" s="30" t="s">
        <v>152</v>
      </c>
      <c r="M69" s="30" t="s">
        <v>34</v>
      </c>
      <c r="N69" s="30" t="s">
        <v>265</v>
      </c>
      <c r="O69" s="30">
        <v>30</v>
      </c>
      <c r="P69" s="30" t="s">
        <v>36</v>
      </c>
      <c r="Q69" s="30">
        <v>10</v>
      </c>
      <c r="S69" s="30" t="s">
        <v>37</v>
      </c>
      <c r="T69" s="30" t="s">
        <v>205</v>
      </c>
      <c r="U69" s="30" t="s">
        <v>39</v>
      </c>
      <c r="W69" s="30">
        <v>4</v>
      </c>
      <c r="X69" s="9" t="s">
        <v>207</v>
      </c>
      <c r="Y69" s="10" t="s">
        <v>77</v>
      </c>
      <c r="Z69" s="12" t="s">
        <v>39</v>
      </c>
    </row>
    <row r="70" spans="1:26" ht="15.75" customHeight="1" x14ac:dyDescent="0.3">
      <c r="A70" s="6">
        <v>46099.7745980787</v>
      </c>
      <c r="B70" s="30" t="s">
        <v>360</v>
      </c>
      <c r="C70" s="30" t="s">
        <v>361</v>
      </c>
      <c r="D70" s="30">
        <v>200534</v>
      </c>
      <c r="E70" s="8" t="s">
        <v>61</v>
      </c>
      <c r="F70" s="30" t="s">
        <v>318</v>
      </c>
      <c r="G70" s="30" t="s">
        <v>45</v>
      </c>
      <c r="H70" s="30" t="s">
        <v>362</v>
      </c>
      <c r="I70" s="30">
        <v>36156969</v>
      </c>
      <c r="J70" s="30" t="s">
        <v>363</v>
      </c>
      <c r="L70" s="30" t="s">
        <v>360</v>
      </c>
      <c r="M70" s="30" t="s">
        <v>83</v>
      </c>
      <c r="N70" s="30" t="s">
        <v>126</v>
      </c>
      <c r="O70" s="30">
        <v>35</v>
      </c>
      <c r="P70" s="30" t="s">
        <v>36</v>
      </c>
      <c r="Q70" s="30">
        <v>0</v>
      </c>
      <c r="S70" s="30" t="s">
        <v>294</v>
      </c>
      <c r="T70" s="30" t="s">
        <v>75</v>
      </c>
      <c r="U70" s="30" t="s">
        <v>39</v>
      </c>
      <c r="W70" s="30">
        <v>4</v>
      </c>
      <c r="X70" s="9" t="s">
        <v>76</v>
      </c>
      <c r="Y70" s="10" t="s">
        <v>39</v>
      </c>
      <c r="Z70" s="12" t="s">
        <v>77</v>
      </c>
    </row>
    <row r="71" spans="1:26" ht="15.75" customHeight="1" x14ac:dyDescent="0.3">
      <c r="A71" s="6">
        <v>46099.670003831023</v>
      </c>
      <c r="B71" s="30" t="s">
        <v>364</v>
      </c>
      <c r="C71" s="30" t="s">
        <v>365</v>
      </c>
      <c r="D71" s="30">
        <v>20082300</v>
      </c>
      <c r="E71" s="8" t="s">
        <v>61</v>
      </c>
      <c r="F71" s="30" t="s">
        <v>366</v>
      </c>
      <c r="G71" s="30" t="s">
        <v>111</v>
      </c>
      <c r="H71" s="30" t="s">
        <v>367</v>
      </c>
      <c r="I71" s="30">
        <v>33861213</v>
      </c>
      <c r="J71" s="30" t="s">
        <v>368</v>
      </c>
      <c r="K71" s="30" t="s">
        <v>369</v>
      </c>
      <c r="L71" s="30" t="s">
        <v>364</v>
      </c>
      <c r="M71" s="30" t="s">
        <v>83</v>
      </c>
      <c r="N71" s="30" t="s">
        <v>370</v>
      </c>
      <c r="O71" s="30">
        <v>19</v>
      </c>
      <c r="P71" s="30" t="s">
        <v>36</v>
      </c>
      <c r="Q71" s="30">
        <v>0</v>
      </c>
      <c r="R71" s="30" t="s">
        <v>371</v>
      </c>
      <c r="S71" s="30" t="s">
        <v>294</v>
      </c>
      <c r="T71" s="30" t="s">
        <v>75</v>
      </c>
      <c r="U71" s="30" t="s">
        <v>39</v>
      </c>
      <c r="V71" s="30" t="s">
        <v>372</v>
      </c>
      <c r="W71" s="30">
        <v>4</v>
      </c>
      <c r="X71" s="9" t="s">
        <v>76</v>
      </c>
      <c r="Y71" s="10" t="s">
        <v>39</v>
      </c>
      <c r="Z71" s="12" t="s">
        <v>77</v>
      </c>
    </row>
    <row r="72" spans="1:26" ht="15.75" customHeight="1" x14ac:dyDescent="0.3">
      <c r="A72" s="6">
        <v>46101.571184236112</v>
      </c>
      <c r="B72" s="30" t="s">
        <v>373</v>
      </c>
      <c r="C72" s="30" t="s">
        <v>374</v>
      </c>
      <c r="D72" s="30">
        <v>202275</v>
      </c>
      <c r="E72" s="8" t="s">
        <v>43</v>
      </c>
      <c r="F72" s="30" t="s">
        <v>375</v>
      </c>
      <c r="G72" s="30" t="s">
        <v>30</v>
      </c>
      <c r="H72" s="30" t="s">
        <v>376</v>
      </c>
      <c r="I72" s="30">
        <v>38066302</v>
      </c>
      <c r="J72" s="30" t="s">
        <v>377</v>
      </c>
      <c r="L72" s="30" t="s">
        <v>373</v>
      </c>
      <c r="M72" s="30" t="s">
        <v>83</v>
      </c>
      <c r="N72" s="30" t="s">
        <v>378</v>
      </c>
      <c r="O72" s="30">
        <v>35</v>
      </c>
      <c r="P72" s="30" t="s">
        <v>36</v>
      </c>
      <c r="Q72" s="30">
        <v>1</v>
      </c>
      <c r="R72" s="30" t="s">
        <v>379</v>
      </c>
      <c r="S72" s="30" t="s">
        <v>294</v>
      </c>
      <c r="T72" s="30" t="s">
        <v>75</v>
      </c>
      <c r="U72" s="30" t="s">
        <v>39</v>
      </c>
      <c r="W72" s="30">
        <v>4</v>
      </c>
      <c r="X72" s="9" t="s">
        <v>76</v>
      </c>
      <c r="Y72" s="10" t="s">
        <v>39</v>
      </c>
      <c r="Z72" s="12" t="s">
        <v>77</v>
      </c>
    </row>
    <row r="73" spans="1:26" ht="15.75" customHeight="1" x14ac:dyDescent="0.3">
      <c r="A73" s="6">
        <v>46099.66796604167</v>
      </c>
      <c r="B73" s="30" t="s">
        <v>380</v>
      </c>
      <c r="C73" s="30" t="s">
        <v>381</v>
      </c>
      <c r="D73" s="30">
        <v>111</v>
      </c>
      <c r="E73" s="8" t="s">
        <v>43</v>
      </c>
      <c r="F73" s="30" t="s">
        <v>382</v>
      </c>
      <c r="G73" s="30" t="s">
        <v>111</v>
      </c>
      <c r="H73" s="30" t="s">
        <v>81</v>
      </c>
      <c r="I73" s="30">
        <v>26539649</v>
      </c>
      <c r="J73" s="30" t="s">
        <v>383</v>
      </c>
      <c r="L73" s="30" t="s">
        <v>380</v>
      </c>
      <c r="M73" s="30" t="s">
        <v>83</v>
      </c>
      <c r="N73" s="30" t="s">
        <v>384</v>
      </c>
      <c r="O73" s="30">
        <v>32</v>
      </c>
      <c r="P73" s="30" t="s">
        <v>36</v>
      </c>
      <c r="Q73" s="30">
        <v>5</v>
      </c>
      <c r="S73" s="30" t="s">
        <v>294</v>
      </c>
      <c r="T73" s="30" t="s">
        <v>75</v>
      </c>
      <c r="U73" s="30" t="s">
        <v>39</v>
      </c>
      <c r="W73" s="30">
        <v>4</v>
      </c>
      <c r="X73" s="9" t="s">
        <v>76</v>
      </c>
      <c r="Y73" s="10" t="s">
        <v>39</v>
      </c>
      <c r="Z73" s="12" t="s">
        <v>77</v>
      </c>
    </row>
    <row r="74" spans="1:26" ht="15.75" customHeight="1" x14ac:dyDescent="0.3">
      <c r="A74" s="6">
        <v>46100.699579641201</v>
      </c>
      <c r="B74" s="30" t="s">
        <v>385</v>
      </c>
      <c r="C74" s="30" t="s">
        <v>386</v>
      </c>
      <c r="D74" s="30">
        <v>200925</v>
      </c>
      <c r="E74" s="8" t="s">
        <v>43</v>
      </c>
      <c r="F74" s="30" t="s">
        <v>387</v>
      </c>
      <c r="G74" s="30" t="s">
        <v>45</v>
      </c>
      <c r="H74" s="30" t="s">
        <v>388</v>
      </c>
      <c r="I74" s="30">
        <v>27283670</v>
      </c>
      <c r="J74" s="30" t="s">
        <v>389</v>
      </c>
      <c r="L74" s="30" t="s">
        <v>390</v>
      </c>
      <c r="M74" s="30" t="s">
        <v>83</v>
      </c>
      <c r="N74" s="30" t="s">
        <v>173</v>
      </c>
      <c r="O74" s="30">
        <v>35</v>
      </c>
      <c r="P74" s="30" t="s">
        <v>36</v>
      </c>
      <c r="Q74" s="30">
        <v>30</v>
      </c>
      <c r="S74" s="30" t="s">
        <v>294</v>
      </c>
      <c r="T74" s="30" t="s">
        <v>75</v>
      </c>
      <c r="U74" s="30" t="s">
        <v>39</v>
      </c>
      <c r="W74" s="30">
        <v>4</v>
      </c>
      <c r="X74" s="9" t="s">
        <v>76</v>
      </c>
      <c r="Y74" s="10" t="s">
        <v>39</v>
      </c>
      <c r="Z74" s="12" t="s">
        <v>77</v>
      </c>
    </row>
    <row r="75" spans="1:26" ht="15.75" customHeight="1" x14ac:dyDescent="0.3">
      <c r="A75" s="6">
        <v>46099.637124259258</v>
      </c>
      <c r="B75" s="30" t="s">
        <v>391</v>
      </c>
      <c r="C75" s="30" t="s">
        <v>392</v>
      </c>
      <c r="D75" s="30">
        <v>20162900</v>
      </c>
      <c r="E75" s="8" t="s">
        <v>43</v>
      </c>
      <c r="F75" s="30" t="s">
        <v>393</v>
      </c>
      <c r="G75" s="30" t="s">
        <v>45</v>
      </c>
      <c r="H75" s="30" t="s">
        <v>394</v>
      </c>
      <c r="I75" s="30">
        <v>37197333</v>
      </c>
      <c r="J75" s="30" t="s">
        <v>395</v>
      </c>
      <c r="L75" s="30" t="s">
        <v>391</v>
      </c>
      <c r="M75" s="30" t="s">
        <v>83</v>
      </c>
      <c r="N75" s="30" t="s">
        <v>396</v>
      </c>
      <c r="O75" s="30">
        <v>27</v>
      </c>
      <c r="P75" s="30" t="s">
        <v>36</v>
      </c>
      <c r="Q75" s="30">
        <v>20</v>
      </c>
      <c r="S75" s="30" t="s">
        <v>294</v>
      </c>
      <c r="T75" s="30" t="s">
        <v>75</v>
      </c>
      <c r="U75" s="30" t="s">
        <v>39</v>
      </c>
      <c r="W75" s="30">
        <v>4</v>
      </c>
      <c r="X75" s="9" t="s">
        <v>76</v>
      </c>
      <c r="Y75" s="10" t="s">
        <v>39</v>
      </c>
      <c r="Z75" s="12" t="s">
        <v>77</v>
      </c>
    </row>
    <row r="76" spans="1:26" ht="15.75" customHeight="1" x14ac:dyDescent="0.3">
      <c r="A76" s="6">
        <v>46100.487422118058</v>
      </c>
      <c r="B76" s="7" t="s">
        <v>451</v>
      </c>
      <c r="C76" s="7" t="s">
        <v>452</v>
      </c>
      <c r="D76" s="7">
        <v>62422400</v>
      </c>
      <c r="E76" s="8" t="s">
        <v>61</v>
      </c>
      <c r="F76" s="7" t="s">
        <v>453</v>
      </c>
      <c r="G76" s="7" t="s">
        <v>111</v>
      </c>
      <c r="H76" s="7" t="s">
        <v>454</v>
      </c>
      <c r="I76" s="7">
        <v>36577419</v>
      </c>
      <c r="J76" s="7" t="s">
        <v>455</v>
      </c>
      <c r="K76" s="7" t="s">
        <v>456</v>
      </c>
      <c r="L76" s="7" t="s">
        <v>451</v>
      </c>
      <c r="M76" s="7" t="s">
        <v>34</v>
      </c>
      <c r="N76" s="7" t="s">
        <v>457</v>
      </c>
      <c r="O76" s="7">
        <v>30</v>
      </c>
      <c r="P76" s="7" t="s">
        <v>36</v>
      </c>
      <c r="Q76" s="7">
        <v>5</v>
      </c>
      <c r="S76" s="7" t="s">
        <v>294</v>
      </c>
      <c r="T76" s="7" t="s">
        <v>205</v>
      </c>
      <c r="U76" s="7" t="s">
        <v>39</v>
      </c>
      <c r="W76" s="7">
        <v>4</v>
      </c>
      <c r="X76" s="9" t="s">
        <v>207</v>
      </c>
      <c r="Y76" s="12" t="s">
        <v>77</v>
      </c>
      <c r="Z76" s="12" t="s">
        <v>39</v>
      </c>
    </row>
    <row r="77" spans="1:26" ht="15.75" customHeight="1" x14ac:dyDescent="0.3">
      <c r="A77" s="6">
        <v>46099.96797096065</v>
      </c>
      <c r="B77" s="7" t="s">
        <v>458</v>
      </c>
      <c r="C77" s="7" t="s">
        <v>459</v>
      </c>
      <c r="D77" s="7">
        <v>20077600</v>
      </c>
      <c r="E77" s="8" t="s">
        <v>61</v>
      </c>
      <c r="F77" s="7" t="s">
        <v>460</v>
      </c>
      <c r="G77" s="7" t="s">
        <v>45</v>
      </c>
      <c r="H77" s="7" t="s">
        <v>461</v>
      </c>
      <c r="I77" s="7">
        <v>23453210</v>
      </c>
      <c r="J77" s="7" t="s">
        <v>461</v>
      </c>
      <c r="L77" s="7" t="s">
        <v>458</v>
      </c>
      <c r="M77" s="7" t="s">
        <v>83</v>
      </c>
      <c r="N77" s="7">
        <v>10</v>
      </c>
      <c r="O77" s="7">
        <v>28</v>
      </c>
      <c r="P77" s="7" t="s">
        <v>36</v>
      </c>
      <c r="Q77" s="7">
        <v>15</v>
      </c>
      <c r="S77" s="7" t="s">
        <v>294</v>
      </c>
      <c r="T77" s="7" t="s">
        <v>205</v>
      </c>
      <c r="U77" s="7" t="s">
        <v>39</v>
      </c>
      <c r="W77" s="7">
        <v>4</v>
      </c>
      <c r="X77" s="9" t="s">
        <v>207</v>
      </c>
      <c r="Y77" s="12" t="s">
        <v>77</v>
      </c>
      <c r="Z77" s="12" t="s">
        <v>39</v>
      </c>
    </row>
    <row r="78" spans="1:26" ht="15.75" customHeight="1" x14ac:dyDescent="0.3">
      <c r="A78" s="6">
        <v>46099.651423229167</v>
      </c>
      <c r="B78" s="7" t="s">
        <v>141</v>
      </c>
      <c r="C78" s="7" t="s">
        <v>487</v>
      </c>
      <c r="D78" s="7">
        <v>60522400</v>
      </c>
      <c r="E78" s="8" t="s">
        <v>43</v>
      </c>
      <c r="F78" s="7" t="s">
        <v>143</v>
      </c>
      <c r="G78" s="7" t="s">
        <v>45</v>
      </c>
      <c r="H78" s="7" t="s">
        <v>488</v>
      </c>
      <c r="I78" s="7">
        <v>35078210</v>
      </c>
      <c r="J78" s="7" t="s">
        <v>268</v>
      </c>
      <c r="K78" s="30" t="s">
        <v>269</v>
      </c>
      <c r="L78" s="7" t="s">
        <v>152</v>
      </c>
      <c r="M78" s="7" t="s">
        <v>34</v>
      </c>
      <c r="N78" s="7" t="s">
        <v>489</v>
      </c>
      <c r="O78" s="7">
        <v>30</v>
      </c>
      <c r="P78" s="7" t="s">
        <v>36</v>
      </c>
      <c r="Q78" s="7">
        <v>10</v>
      </c>
      <c r="S78" s="7" t="s">
        <v>294</v>
      </c>
      <c r="T78" s="7" t="s">
        <v>205</v>
      </c>
      <c r="U78" s="7" t="s">
        <v>39</v>
      </c>
      <c r="W78" s="7">
        <v>4</v>
      </c>
      <c r="X78" s="9" t="s">
        <v>207</v>
      </c>
      <c r="Y78" s="12" t="s">
        <v>77</v>
      </c>
      <c r="Z78" s="12" t="s">
        <v>39</v>
      </c>
    </row>
    <row r="79" spans="1:26" ht="15.75" customHeight="1" x14ac:dyDescent="0.3">
      <c r="A79" s="6">
        <v>46099.65311796296</v>
      </c>
      <c r="B79" s="7" t="s">
        <v>141</v>
      </c>
      <c r="C79" s="7" t="s">
        <v>490</v>
      </c>
      <c r="D79" s="7">
        <v>60522400</v>
      </c>
      <c r="E79" s="8" t="s">
        <v>61</v>
      </c>
      <c r="F79" s="7" t="s">
        <v>261</v>
      </c>
      <c r="G79" s="7" t="s">
        <v>45</v>
      </c>
      <c r="H79" s="7" t="s">
        <v>491</v>
      </c>
      <c r="I79" s="7">
        <v>35078210</v>
      </c>
      <c r="J79" s="7" t="s">
        <v>268</v>
      </c>
      <c r="K79" s="7" t="s">
        <v>269</v>
      </c>
      <c r="L79" s="7" t="s">
        <v>152</v>
      </c>
      <c r="M79" s="7" t="s">
        <v>34</v>
      </c>
      <c r="N79" s="7" t="s">
        <v>492</v>
      </c>
      <c r="O79" s="7">
        <v>30</v>
      </c>
      <c r="P79" s="7" t="s">
        <v>36</v>
      </c>
      <c r="Q79" s="7">
        <v>10</v>
      </c>
      <c r="S79" s="7" t="s">
        <v>294</v>
      </c>
      <c r="T79" s="7" t="s">
        <v>205</v>
      </c>
      <c r="U79" s="7" t="s">
        <v>39</v>
      </c>
      <c r="W79" s="7">
        <v>4</v>
      </c>
      <c r="X79" s="9" t="s">
        <v>207</v>
      </c>
      <c r="Y79" s="12" t="s">
        <v>77</v>
      </c>
      <c r="Z79" s="12" t="s">
        <v>39</v>
      </c>
    </row>
    <row r="80" spans="1:26" ht="15.75" customHeight="1" x14ac:dyDescent="0.3">
      <c r="A80" s="6">
        <v>46100.399879328703</v>
      </c>
      <c r="B80" s="7" t="s">
        <v>622</v>
      </c>
      <c r="C80" s="7" t="s">
        <v>623</v>
      </c>
      <c r="D80" s="7">
        <v>20151400</v>
      </c>
      <c r="E80" s="8" t="s">
        <v>61</v>
      </c>
      <c r="F80" s="7" t="s">
        <v>624</v>
      </c>
      <c r="G80" s="7" t="s">
        <v>111</v>
      </c>
      <c r="H80" s="7" t="s">
        <v>625</v>
      </c>
      <c r="I80" s="7">
        <v>32267153</v>
      </c>
      <c r="J80" s="7" t="s">
        <v>626</v>
      </c>
      <c r="L80" s="7" t="s">
        <v>622</v>
      </c>
      <c r="M80" s="7" t="s">
        <v>83</v>
      </c>
      <c r="N80" s="7" t="s">
        <v>114</v>
      </c>
      <c r="O80" s="7">
        <v>32</v>
      </c>
      <c r="P80" s="7" t="s">
        <v>36</v>
      </c>
      <c r="Q80" s="7">
        <v>0</v>
      </c>
      <c r="S80" s="7" t="s">
        <v>515</v>
      </c>
      <c r="T80" s="7" t="s">
        <v>75</v>
      </c>
      <c r="U80" s="7" t="s">
        <v>39</v>
      </c>
      <c r="W80" s="7">
        <v>4</v>
      </c>
      <c r="X80" s="9" t="s">
        <v>76</v>
      </c>
      <c r="Y80" s="12" t="s">
        <v>39</v>
      </c>
      <c r="Z80" s="12" t="s">
        <v>77</v>
      </c>
    </row>
    <row r="81" spans="1:26" ht="14.4" x14ac:dyDescent="0.3">
      <c r="A81" s="6">
        <v>46100.340398518521</v>
      </c>
      <c r="B81" s="7" t="s">
        <v>627</v>
      </c>
      <c r="C81" s="7" t="s">
        <v>628</v>
      </c>
      <c r="D81" s="7">
        <v>61217100</v>
      </c>
      <c r="E81" s="8" t="s">
        <v>61</v>
      </c>
      <c r="F81" s="7" t="s">
        <v>629</v>
      </c>
      <c r="G81" s="7" t="s">
        <v>111</v>
      </c>
      <c r="H81" s="7" t="s">
        <v>630</v>
      </c>
      <c r="I81" s="7">
        <v>37120954</v>
      </c>
      <c r="J81" s="7" t="s">
        <v>631</v>
      </c>
      <c r="K81" s="30" t="s">
        <v>632</v>
      </c>
      <c r="L81" s="7" t="s">
        <v>627</v>
      </c>
      <c r="M81" s="7" t="s">
        <v>91</v>
      </c>
      <c r="N81" s="7" t="s">
        <v>633</v>
      </c>
      <c r="O81" s="7">
        <v>35</v>
      </c>
      <c r="P81" s="7" t="s">
        <v>36</v>
      </c>
      <c r="Q81" s="7">
        <v>0</v>
      </c>
      <c r="R81" s="30" t="s">
        <v>77</v>
      </c>
      <c r="S81" s="7" t="s">
        <v>515</v>
      </c>
      <c r="T81" s="7" t="s">
        <v>75</v>
      </c>
      <c r="U81" s="7" t="s">
        <v>39</v>
      </c>
      <c r="W81" s="7">
        <v>4</v>
      </c>
      <c r="X81" s="9" t="s">
        <v>76</v>
      </c>
      <c r="Y81" s="12" t="s">
        <v>39</v>
      </c>
      <c r="Z81" s="12" t="s">
        <v>77</v>
      </c>
    </row>
    <row r="82" spans="1:26" ht="15.75" customHeight="1" x14ac:dyDescent="0.3">
      <c r="A82" s="6">
        <v>46099.66726884259</v>
      </c>
      <c r="B82" s="7" t="s">
        <v>634</v>
      </c>
      <c r="C82" s="7" t="s">
        <v>635</v>
      </c>
      <c r="D82" s="7">
        <v>602660</v>
      </c>
      <c r="E82" s="8" t="s">
        <v>61</v>
      </c>
      <c r="F82" s="7" t="s">
        <v>636</v>
      </c>
      <c r="G82" s="7" t="s">
        <v>45</v>
      </c>
      <c r="H82" s="7" t="s">
        <v>637</v>
      </c>
      <c r="I82" s="7">
        <v>28560655</v>
      </c>
      <c r="J82" s="7" t="s">
        <v>638</v>
      </c>
      <c r="K82" s="7" t="s">
        <v>639</v>
      </c>
      <c r="L82" s="7" t="s">
        <v>634</v>
      </c>
      <c r="M82" s="7" t="s">
        <v>56</v>
      </c>
      <c r="N82" s="7" t="s">
        <v>640</v>
      </c>
      <c r="O82" s="7">
        <v>35</v>
      </c>
      <c r="P82" s="7" t="s">
        <v>36</v>
      </c>
      <c r="Q82" s="7">
        <v>40</v>
      </c>
      <c r="R82" s="30" t="s">
        <v>641</v>
      </c>
      <c r="S82" s="7" t="s">
        <v>515</v>
      </c>
      <c r="T82" s="7" t="s">
        <v>75</v>
      </c>
      <c r="U82" s="7" t="s">
        <v>39</v>
      </c>
      <c r="W82" s="7">
        <v>4</v>
      </c>
      <c r="X82" s="9" t="s">
        <v>76</v>
      </c>
      <c r="Y82" s="12" t="s">
        <v>39</v>
      </c>
      <c r="Z82" s="12" t="s">
        <v>77</v>
      </c>
    </row>
    <row r="83" spans="1:26" ht="15.75" customHeight="1" x14ac:dyDescent="0.3">
      <c r="A83" s="6">
        <v>46099.610151956018</v>
      </c>
      <c r="B83" s="7" t="s">
        <v>642</v>
      </c>
      <c r="C83" s="7" t="s">
        <v>643</v>
      </c>
      <c r="D83" s="7">
        <v>613029</v>
      </c>
      <c r="E83" s="8" t="s">
        <v>43</v>
      </c>
      <c r="F83" s="7" t="s">
        <v>185</v>
      </c>
      <c r="G83" s="7" t="s">
        <v>111</v>
      </c>
      <c r="H83" s="7" t="s">
        <v>186</v>
      </c>
      <c r="I83" s="7">
        <v>34476029</v>
      </c>
      <c r="J83" s="7" t="s">
        <v>644</v>
      </c>
      <c r="L83" s="7" t="s">
        <v>645</v>
      </c>
      <c r="M83" s="7" t="s">
        <v>91</v>
      </c>
      <c r="N83" s="7" t="s">
        <v>646</v>
      </c>
      <c r="O83" s="7">
        <v>25</v>
      </c>
      <c r="P83" s="7" t="s">
        <v>36</v>
      </c>
      <c r="Q83" s="7">
        <v>35</v>
      </c>
      <c r="R83" s="30" t="s">
        <v>647</v>
      </c>
      <c r="S83" s="7" t="s">
        <v>515</v>
      </c>
      <c r="T83" s="7" t="s">
        <v>75</v>
      </c>
      <c r="U83" s="7" t="s">
        <v>39</v>
      </c>
      <c r="V83" s="30" t="s">
        <v>648</v>
      </c>
      <c r="W83" s="7">
        <v>4</v>
      </c>
      <c r="X83" s="9" t="s">
        <v>76</v>
      </c>
      <c r="Y83" s="12" t="s">
        <v>39</v>
      </c>
      <c r="Z83" s="12" t="s">
        <v>77</v>
      </c>
    </row>
    <row r="84" spans="1:26" ht="15.75" customHeight="1" x14ac:dyDescent="0.3">
      <c r="A84" s="6">
        <v>46100.694567557868</v>
      </c>
      <c r="B84" s="7" t="s">
        <v>159</v>
      </c>
      <c r="C84" s="7" t="s">
        <v>649</v>
      </c>
      <c r="D84" s="7">
        <v>20117600</v>
      </c>
      <c r="E84" s="8" t="s">
        <v>43</v>
      </c>
      <c r="F84" s="7" t="s">
        <v>650</v>
      </c>
      <c r="G84" s="7" t="s">
        <v>45</v>
      </c>
      <c r="H84" s="7" t="s">
        <v>193</v>
      </c>
      <c r="I84" s="7">
        <v>22824401</v>
      </c>
      <c r="J84" s="7" t="s">
        <v>651</v>
      </c>
      <c r="K84" s="7" t="s">
        <v>652</v>
      </c>
      <c r="L84" s="7" t="s">
        <v>159</v>
      </c>
      <c r="M84" s="7" t="s">
        <v>83</v>
      </c>
      <c r="N84" s="7" t="s">
        <v>653</v>
      </c>
      <c r="O84" s="7">
        <v>29</v>
      </c>
      <c r="P84" s="7" t="s">
        <v>36</v>
      </c>
      <c r="Q84" s="7">
        <v>25</v>
      </c>
      <c r="S84" s="7" t="s">
        <v>515</v>
      </c>
      <c r="T84" s="7" t="s">
        <v>75</v>
      </c>
      <c r="U84" s="7" t="s">
        <v>39</v>
      </c>
      <c r="W84" s="7">
        <v>4</v>
      </c>
      <c r="X84" s="9" t="s">
        <v>76</v>
      </c>
      <c r="Y84" s="12" t="s">
        <v>39</v>
      </c>
      <c r="Z84" s="12" t="s">
        <v>77</v>
      </c>
    </row>
    <row r="85" spans="1:26" ht="15.75" customHeight="1" x14ac:dyDescent="0.3">
      <c r="A85" s="6">
        <v>46100.74203947917</v>
      </c>
      <c r="B85" s="7" t="s">
        <v>654</v>
      </c>
      <c r="C85" s="7" t="s">
        <v>655</v>
      </c>
      <c r="D85" s="7">
        <v>201019</v>
      </c>
      <c r="E85" s="8" t="s">
        <v>61</v>
      </c>
      <c r="F85" s="7" t="s">
        <v>656</v>
      </c>
      <c r="G85" s="7" t="s">
        <v>45</v>
      </c>
      <c r="H85" s="7" t="s">
        <v>657</v>
      </c>
      <c r="I85" s="7">
        <v>34224672</v>
      </c>
      <c r="J85" s="7" t="s">
        <v>658</v>
      </c>
      <c r="K85" s="7" t="s">
        <v>659</v>
      </c>
      <c r="L85" s="7" t="s">
        <v>654</v>
      </c>
      <c r="M85" s="7" t="s">
        <v>83</v>
      </c>
      <c r="N85" s="7" t="s">
        <v>577</v>
      </c>
      <c r="O85" s="7">
        <v>27</v>
      </c>
      <c r="P85" s="7" t="s">
        <v>36</v>
      </c>
      <c r="Q85" s="7">
        <v>20</v>
      </c>
      <c r="S85" s="7" t="s">
        <v>515</v>
      </c>
      <c r="T85" s="7" t="s">
        <v>75</v>
      </c>
      <c r="U85" s="7" t="s">
        <v>39</v>
      </c>
      <c r="W85" s="7">
        <v>4</v>
      </c>
      <c r="X85" s="9" t="s">
        <v>76</v>
      </c>
      <c r="Y85" s="12" t="s">
        <v>39</v>
      </c>
      <c r="Z85" s="12" t="s">
        <v>77</v>
      </c>
    </row>
    <row r="86" spans="1:26" ht="15.75" customHeight="1" x14ac:dyDescent="0.3">
      <c r="A86" s="6">
        <v>46102.440526666673</v>
      </c>
      <c r="B86" s="7" t="s">
        <v>660</v>
      </c>
      <c r="C86" s="7" t="s">
        <v>661</v>
      </c>
      <c r="D86" s="7">
        <v>60818900</v>
      </c>
      <c r="E86" s="29" t="s">
        <v>662</v>
      </c>
      <c r="F86" s="7" t="s">
        <v>580</v>
      </c>
      <c r="G86" s="7" t="s">
        <v>30</v>
      </c>
      <c r="H86" s="7" t="s">
        <v>663</v>
      </c>
      <c r="I86" s="7">
        <v>25764379</v>
      </c>
      <c r="J86" s="7" t="s">
        <v>663</v>
      </c>
      <c r="K86" s="7" t="s">
        <v>664</v>
      </c>
      <c r="L86" s="7" t="s">
        <v>665</v>
      </c>
      <c r="M86" s="7" t="s">
        <v>34</v>
      </c>
      <c r="N86" s="7" t="s">
        <v>666</v>
      </c>
      <c r="O86" s="7">
        <v>20</v>
      </c>
      <c r="P86" s="7" t="s">
        <v>36</v>
      </c>
      <c r="Q86" s="7">
        <v>10</v>
      </c>
      <c r="S86" s="7" t="s">
        <v>515</v>
      </c>
      <c r="T86" s="7" t="s">
        <v>75</v>
      </c>
      <c r="U86" s="7" t="s">
        <v>39</v>
      </c>
      <c r="W86" s="7">
        <v>4</v>
      </c>
      <c r="X86" s="9" t="s">
        <v>76</v>
      </c>
      <c r="Y86" s="12" t="s">
        <v>39</v>
      </c>
      <c r="Z86" s="12" t="s">
        <v>77</v>
      </c>
    </row>
    <row r="87" spans="1:26" ht="15.75" customHeight="1" x14ac:dyDescent="0.3">
      <c r="A87" s="6">
        <v>46099.644767071761</v>
      </c>
      <c r="B87" s="7" t="s">
        <v>767</v>
      </c>
      <c r="C87" s="7" t="s">
        <v>768</v>
      </c>
      <c r="D87" s="7">
        <v>202275</v>
      </c>
      <c r="E87" s="8" t="s">
        <v>43</v>
      </c>
      <c r="F87" s="7" t="s">
        <v>769</v>
      </c>
      <c r="G87" s="7" t="s">
        <v>30</v>
      </c>
      <c r="H87" s="7" t="s">
        <v>770</v>
      </c>
      <c r="I87" s="7">
        <v>27870664</v>
      </c>
      <c r="J87" s="7" t="s">
        <v>771</v>
      </c>
      <c r="K87" s="7" t="s">
        <v>772</v>
      </c>
      <c r="L87" s="7" t="s">
        <v>767</v>
      </c>
      <c r="M87" s="7" t="s">
        <v>83</v>
      </c>
      <c r="N87" s="7" t="s">
        <v>773</v>
      </c>
      <c r="O87" s="7">
        <v>35</v>
      </c>
      <c r="P87" s="7" t="s">
        <v>36</v>
      </c>
      <c r="Q87" s="7">
        <v>20</v>
      </c>
      <c r="S87" s="7" t="s">
        <v>515</v>
      </c>
      <c r="T87" s="7" t="s">
        <v>205</v>
      </c>
      <c r="U87" s="7" t="s">
        <v>39</v>
      </c>
      <c r="V87" s="30" t="s">
        <v>774</v>
      </c>
      <c r="W87" s="7">
        <v>4</v>
      </c>
      <c r="X87" s="9" t="s">
        <v>207</v>
      </c>
      <c r="Y87" s="12" t="s">
        <v>77</v>
      </c>
      <c r="Z87" s="12" t="s">
        <v>39</v>
      </c>
    </row>
    <row r="88" spans="1:26" ht="15.75" customHeight="1" x14ac:dyDescent="0.3">
      <c r="A88" s="23">
        <v>46101.350722083327</v>
      </c>
      <c r="B88" s="24" t="s">
        <v>679</v>
      </c>
      <c r="C88" s="24" t="s">
        <v>680</v>
      </c>
      <c r="D88" s="24">
        <v>20120900</v>
      </c>
      <c r="E88" s="8" t="s">
        <v>61</v>
      </c>
      <c r="F88" s="24" t="s">
        <v>117</v>
      </c>
      <c r="G88" s="24" t="s">
        <v>45</v>
      </c>
      <c r="H88" s="24" t="s">
        <v>681</v>
      </c>
      <c r="I88" s="24">
        <v>36070514</v>
      </c>
      <c r="J88" s="24" t="s">
        <v>682</v>
      </c>
      <c r="K88" s="24" t="s">
        <v>683</v>
      </c>
      <c r="L88" s="24" t="s">
        <v>679</v>
      </c>
      <c r="M88" s="24" t="s">
        <v>83</v>
      </c>
      <c r="N88" s="24" t="s">
        <v>684</v>
      </c>
      <c r="O88" s="24">
        <v>20</v>
      </c>
      <c r="P88" s="24" t="s">
        <v>67</v>
      </c>
      <c r="Q88" s="24">
        <v>55</v>
      </c>
      <c r="R88" s="80"/>
      <c r="S88" s="24" t="s">
        <v>515</v>
      </c>
      <c r="T88" s="24" t="s">
        <v>75</v>
      </c>
      <c r="U88" s="24" t="s">
        <v>39</v>
      </c>
      <c r="V88" s="80"/>
      <c r="W88" s="24">
        <v>6</v>
      </c>
      <c r="X88" s="25" t="s">
        <v>76</v>
      </c>
      <c r="Y88" s="12" t="s">
        <v>39</v>
      </c>
      <c r="Z88" s="12" t="s">
        <v>77</v>
      </c>
    </row>
    <row r="89" spans="1:26" ht="14.4" x14ac:dyDescent="0.3">
      <c r="A89" s="26">
        <v>46099.619362372687</v>
      </c>
      <c r="B89" s="27" t="s">
        <v>685</v>
      </c>
      <c r="C89" s="27" t="s">
        <v>686</v>
      </c>
      <c r="D89" s="27">
        <v>200652</v>
      </c>
      <c r="E89" s="8" t="s">
        <v>61</v>
      </c>
      <c r="F89" s="27" t="s">
        <v>687</v>
      </c>
      <c r="G89" s="27" t="s">
        <v>30</v>
      </c>
      <c r="H89" s="27" t="s">
        <v>688</v>
      </c>
      <c r="I89" s="27">
        <v>28860298</v>
      </c>
      <c r="J89" s="27" t="s">
        <v>689</v>
      </c>
      <c r="K89" s="27" t="s">
        <v>690</v>
      </c>
      <c r="L89" s="27" t="s">
        <v>685</v>
      </c>
      <c r="M89" s="27" t="s">
        <v>83</v>
      </c>
      <c r="N89" s="27" t="s">
        <v>691</v>
      </c>
      <c r="O89" s="27">
        <v>30</v>
      </c>
      <c r="P89" s="27" t="s">
        <v>67</v>
      </c>
      <c r="Q89" s="27">
        <v>75</v>
      </c>
      <c r="R89" s="79"/>
      <c r="S89" s="27" t="s">
        <v>515</v>
      </c>
      <c r="T89" s="27" t="s">
        <v>75</v>
      </c>
      <c r="U89" s="27" t="s">
        <v>39</v>
      </c>
      <c r="V89" s="27" t="s">
        <v>692</v>
      </c>
      <c r="W89" s="27">
        <v>6</v>
      </c>
      <c r="X89" s="28" t="s">
        <v>76</v>
      </c>
      <c r="Y89" s="10" t="s">
        <v>39</v>
      </c>
      <c r="Z89" s="10" t="s">
        <v>77</v>
      </c>
    </row>
    <row r="90" spans="1:26" ht="14.4" x14ac:dyDescent="0.3">
      <c r="A90" s="6">
        <v>46102.51513767361</v>
      </c>
      <c r="B90" s="7" t="s">
        <v>287</v>
      </c>
      <c r="C90" s="7" t="s">
        <v>288</v>
      </c>
      <c r="D90" s="7">
        <v>20050900</v>
      </c>
      <c r="E90" s="8" t="s">
        <v>176</v>
      </c>
      <c r="F90" s="7" t="s">
        <v>177</v>
      </c>
      <c r="G90" s="7" t="s">
        <v>30</v>
      </c>
      <c r="H90" s="7" t="s">
        <v>289</v>
      </c>
      <c r="I90" s="7">
        <v>23148853</v>
      </c>
      <c r="J90" s="7" t="s">
        <v>290</v>
      </c>
      <c r="K90" s="7" t="s">
        <v>291</v>
      </c>
      <c r="L90" s="7" t="s">
        <v>287</v>
      </c>
      <c r="M90" s="7" t="s">
        <v>83</v>
      </c>
      <c r="N90" s="7" t="s">
        <v>292</v>
      </c>
      <c r="O90" s="7">
        <v>26</v>
      </c>
      <c r="P90" s="7" t="s">
        <v>67</v>
      </c>
      <c r="Q90" s="7">
        <v>30</v>
      </c>
      <c r="R90" s="30" t="s">
        <v>293</v>
      </c>
      <c r="S90" s="7" t="s">
        <v>294</v>
      </c>
      <c r="T90" s="7" t="s">
        <v>38</v>
      </c>
      <c r="U90" s="7" t="s">
        <v>39</v>
      </c>
      <c r="W90" s="7">
        <v>7</v>
      </c>
      <c r="X90" s="9" t="s">
        <v>40</v>
      </c>
      <c r="Y90" s="10" t="s">
        <v>39</v>
      </c>
      <c r="Z90" s="10" t="s">
        <v>39</v>
      </c>
    </row>
    <row r="91" spans="1:26" ht="14.4" x14ac:dyDescent="0.3">
      <c r="A91" s="6">
        <v>46100.721613969909</v>
      </c>
      <c r="B91" s="7" t="s">
        <v>493</v>
      </c>
      <c r="C91" s="7" t="s">
        <v>494</v>
      </c>
      <c r="D91" s="7">
        <v>20148300</v>
      </c>
      <c r="E91" s="8" t="s">
        <v>28</v>
      </c>
      <c r="F91" s="7" t="s">
        <v>495</v>
      </c>
      <c r="G91" s="7" t="s">
        <v>45</v>
      </c>
      <c r="H91" s="7" t="s">
        <v>496</v>
      </c>
      <c r="I91" s="7">
        <v>28165460</v>
      </c>
      <c r="J91" s="7" t="s">
        <v>497</v>
      </c>
      <c r="K91" s="30" t="s">
        <v>498</v>
      </c>
      <c r="L91" s="7" t="s">
        <v>493</v>
      </c>
      <c r="M91" s="7" t="s">
        <v>83</v>
      </c>
      <c r="N91" s="7" t="s">
        <v>499</v>
      </c>
      <c r="O91" s="7">
        <v>35</v>
      </c>
      <c r="P91" s="7" t="s">
        <v>67</v>
      </c>
      <c r="Q91" s="7">
        <v>10</v>
      </c>
      <c r="R91" s="7" t="s">
        <v>500</v>
      </c>
      <c r="S91" s="7" t="s">
        <v>294</v>
      </c>
      <c r="T91" s="7" t="s">
        <v>205</v>
      </c>
      <c r="U91" s="7" t="s">
        <v>39</v>
      </c>
      <c r="V91" s="7" t="s">
        <v>501</v>
      </c>
      <c r="W91" s="7">
        <v>7</v>
      </c>
      <c r="X91" s="9" t="s">
        <v>207</v>
      </c>
      <c r="Y91" s="10" t="s">
        <v>77</v>
      </c>
      <c r="Z91" s="10" t="s">
        <v>39</v>
      </c>
    </row>
    <row r="92" spans="1:26" ht="14.4" x14ac:dyDescent="0.3">
      <c r="A92" s="6">
        <v>46099.592313831017</v>
      </c>
      <c r="B92" s="7" t="s">
        <v>693</v>
      </c>
      <c r="C92" s="7" t="s">
        <v>694</v>
      </c>
      <c r="D92" s="7">
        <v>60794100</v>
      </c>
      <c r="E92" s="8" t="s">
        <v>28</v>
      </c>
      <c r="F92" s="7" t="s">
        <v>476</v>
      </c>
      <c r="G92" s="7" t="s">
        <v>45</v>
      </c>
      <c r="H92" s="7" t="s">
        <v>695</v>
      </c>
      <c r="I92" s="7">
        <v>32254788</v>
      </c>
      <c r="J92" s="7" t="s">
        <v>696</v>
      </c>
      <c r="K92" s="7" t="s">
        <v>697</v>
      </c>
      <c r="L92" s="7" t="s">
        <v>693</v>
      </c>
      <c r="M92" s="7" t="s">
        <v>34</v>
      </c>
      <c r="N92" s="7" t="s">
        <v>698</v>
      </c>
      <c r="O92" s="7">
        <v>6</v>
      </c>
      <c r="P92" s="7" t="s">
        <v>67</v>
      </c>
      <c r="Q92" s="7">
        <v>0</v>
      </c>
      <c r="S92" s="7" t="s">
        <v>515</v>
      </c>
      <c r="T92" s="7" t="s">
        <v>75</v>
      </c>
      <c r="U92" s="7" t="s">
        <v>39</v>
      </c>
      <c r="W92" s="7">
        <v>7</v>
      </c>
      <c r="X92" s="9" t="s">
        <v>76</v>
      </c>
      <c r="Y92" s="10" t="s">
        <v>39</v>
      </c>
      <c r="Z92" s="10" t="s">
        <v>77</v>
      </c>
    </row>
    <row r="93" spans="1:26" ht="14.4" x14ac:dyDescent="0.3">
      <c r="A93" s="6">
        <v>46103.470280092602</v>
      </c>
      <c r="B93" s="7" t="s">
        <v>699</v>
      </c>
      <c r="C93" s="7" t="s">
        <v>700</v>
      </c>
      <c r="D93" s="7">
        <v>20307500</v>
      </c>
      <c r="E93" s="8" t="s">
        <v>176</v>
      </c>
      <c r="F93" s="7" t="s">
        <v>701</v>
      </c>
      <c r="G93" s="7" t="s">
        <v>30</v>
      </c>
      <c r="H93" s="7" t="s">
        <v>702</v>
      </c>
      <c r="I93" s="7">
        <v>94250011</v>
      </c>
      <c r="J93" s="7" t="s">
        <v>703</v>
      </c>
      <c r="K93" s="7" t="s">
        <v>704</v>
      </c>
      <c r="L93" s="7" t="s">
        <v>699</v>
      </c>
      <c r="M93" s="7" t="s">
        <v>83</v>
      </c>
      <c r="N93" s="7" t="s">
        <v>352</v>
      </c>
      <c r="O93" s="7">
        <v>16</v>
      </c>
      <c r="P93" s="7" t="s">
        <v>67</v>
      </c>
      <c r="Q93" s="7">
        <v>3</v>
      </c>
      <c r="S93" s="7" t="s">
        <v>515</v>
      </c>
      <c r="T93" s="7" t="s">
        <v>75</v>
      </c>
      <c r="U93" s="7" t="s">
        <v>39</v>
      </c>
      <c r="W93" s="7">
        <v>7</v>
      </c>
      <c r="X93" s="9" t="s">
        <v>76</v>
      </c>
      <c r="Y93" s="10" t="s">
        <v>39</v>
      </c>
      <c r="Z93" s="12" t="s">
        <v>77</v>
      </c>
    </row>
    <row r="94" spans="1:26" ht="14.4" x14ac:dyDescent="0.3">
      <c r="A94" s="6">
        <v>46100.329273657408</v>
      </c>
      <c r="B94" s="7" t="s">
        <v>705</v>
      </c>
      <c r="C94" s="7" t="s">
        <v>706</v>
      </c>
      <c r="D94" s="7">
        <v>20041500</v>
      </c>
      <c r="E94" s="8" t="s">
        <v>28</v>
      </c>
      <c r="F94" s="7" t="s">
        <v>707</v>
      </c>
      <c r="G94" s="7" t="s">
        <v>45</v>
      </c>
      <c r="H94" s="7" t="s">
        <v>708</v>
      </c>
      <c r="I94" s="7">
        <v>36200336</v>
      </c>
      <c r="J94" s="7" t="s">
        <v>709</v>
      </c>
      <c r="L94" s="7" t="s">
        <v>705</v>
      </c>
      <c r="M94" s="7" t="s">
        <v>83</v>
      </c>
      <c r="N94" s="7" t="s">
        <v>710</v>
      </c>
      <c r="O94" s="7">
        <v>27</v>
      </c>
      <c r="P94" s="7" t="s">
        <v>67</v>
      </c>
      <c r="Q94" s="7">
        <v>20</v>
      </c>
      <c r="S94" s="7" t="s">
        <v>515</v>
      </c>
      <c r="T94" s="7" t="s">
        <v>75</v>
      </c>
      <c r="U94" s="7" t="s">
        <v>77</v>
      </c>
      <c r="W94" s="7">
        <v>7</v>
      </c>
      <c r="X94" s="9" t="s">
        <v>76</v>
      </c>
      <c r="Y94" s="10" t="s">
        <v>39</v>
      </c>
      <c r="Z94" s="12" t="s">
        <v>77</v>
      </c>
    </row>
    <row r="95" spans="1:26" ht="14.4" x14ac:dyDescent="0.3">
      <c r="A95" s="22">
        <v>46102.50571784722</v>
      </c>
      <c r="B95" s="71" t="s">
        <v>287</v>
      </c>
      <c r="C95" s="71" t="s">
        <v>776</v>
      </c>
      <c r="D95" s="71">
        <v>20105100</v>
      </c>
      <c r="E95" s="8" t="s">
        <v>176</v>
      </c>
      <c r="F95" s="71" t="s">
        <v>177</v>
      </c>
      <c r="G95" s="71" t="s">
        <v>30</v>
      </c>
      <c r="H95" s="71" t="s">
        <v>777</v>
      </c>
      <c r="I95" s="71">
        <v>23148853</v>
      </c>
      <c r="J95" s="71" t="s">
        <v>778</v>
      </c>
      <c r="K95" s="71" t="s">
        <v>779</v>
      </c>
      <c r="L95" s="71" t="s">
        <v>287</v>
      </c>
      <c r="M95" s="71" t="s">
        <v>83</v>
      </c>
      <c r="N95" s="71" t="s">
        <v>780</v>
      </c>
      <c r="O95" s="71">
        <v>26</v>
      </c>
      <c r="P95" s="71" t="s">
        <v>67</v>
      </c>
      <c r="Q95" s="71">
        <v>20</v>
      </c>
      <c r="R95" s="71" t="s">
        <v>293</v>
      </c>
      <c r="S95" s="71" t="s">
        <v>515</v>
      </c>
      <c r="T95" s="71" t="s">
        <v>38</v>
      </c>
      <c r="U95" s="71" t="s">
        <v>39</v>
      </c>
      <c r="V95" s="71" t="s">
        <v>293</v>
      </c>
      <c r="W95" s="71">
        <v>7</v>
      </c>
      <c r="X95" s="18" t="s">
        <v>207</v>
      </c>
      <c r="Y95" s="10" t="s">
        <v>77</v>
      </c>
      <c r="Z95" s="12" t="s">
        <v>39</v>
      </c>
    </row>
    <row r="96" spans="1:26" ht="14.4" x14ac:dyDescent="0.3">
      <c r="A96" s="6">
        <v>46099.855434791672</v>
      </c>
      <c r="B96" s="7" t="s">
        <v>59</v>
      </c>
      <c r="C96" s="7" t="s">
        <v>60</v>
      </c>
      <c r="D96" s="7">
        <v>62120600</v>
      </c>
      <c r="E96" s="8" t="s">
        <v>61</v>
      </c>
      <c r="F96" s="7" t="s">
        <v>62</v>
      </c>
      <c r="G96" s="7" t="s">
        <v>45</v>
      </c>
      <c r="H96" s="7" t="s">
        <v>63</v>
      </c>
      <c r="I96" s="7">
        <v>43802323</v>
      </c>
      <c r="J96" s="7" t="s">
        <v>64</v>
      </c>
      <c r="K96" s="30" t="s">
        <v>65</v>
      </c>
      <c r="L96" s="7" t="s">
        <v>59</v>
      </c>
      <c r="M96" s="7" t="s">
        <v>56</v>
      </c>
      <c r="N96" s="7" t="s">
        <v>66</v>
      </c>
      <c r="O96" s="7">
        <v>22</v>
      </c>
      <c r="P96" s="7" t="s">
        <v>67</v>
      </c>
      <c r="Q96" s="7">
        <v>30</v>
      </c>
      <c r="S96" s="7" t="s">
        <v>37</v>
      </c>
      <c r="T96" s="7" t="s">
        <v>38</v>
      </c>
      <c r="U96" s="7" t="s">
        <v>39</v>
      </c>
      <c r="W96" s="7">
        <v>8</v>
      </c>
      <c r="X96" s="9" t="s">
        <v>40</v>
      </c>
      <c r="Y96" s="10" t="s">
        <v>39</v>
      </c>
      <c r="Z96" s="12" t="s">
        <v>39</v>
      </c>
    </row>
    <row r="97" spans="1:26" ht="14.4" x14ac:dyDescent="0.3">
      <c r="A97" s="6">
        <v>46100.689297222219</v>
      </c>
      <c r="B97" s="7" t="s">
        <v>159</v>
      </c>
      <c r="C97" s="7" t="s">
        <v>160</v>
      </c>
      <c r="D97" s="7">
        <v>200983</v>
      </c>
      <c r="E97" s="8" t="s">
        <v>61</v>
      </c>
      <c r="F97" s="7" t="s">
        <v>161</v>
      </c>
      <c r="G97" s="7" t="s">
        <v>45</v>
      </c>
      <c r="H97" s="7" t="s">
        <v>162</v>
      </c>
      <c r="I97" s="7">
        <v>22824401</v>
      </c>
      <c r="J97" s="7" t="s">
        <v>163</v>
      </c>
      <c r="K97" s="30" t="s">
        <v>164</v>
      </c>
      <c r="L97" s="7" t="s">
        <v>159</v>
      </c>
      <c r="M97" s="7" t="s">
        <v>83</v>
      </c>
      <c r="N97" s="7" t="s">
        <v>165</v>
      </c>
      <c r="O97" s="7">
        <v>22</v>
      </c>
      <c r="P97" s="7" t="s">
        <v>67</v>
      </c>
      <c r="Q97" s="7">
        <v>10</v>
      </c>
      <c r="S97" s="7" t="s">
        <v>37</v>
      </c>
      <c r="T97" s="7" t="s">
        <v>75</v>
      </c>
      <c r="U97" s="7" t="s">
        <v>39</v>
      </c>
      <c r="V97" s="7" t="s">
        <v>166</v>
      </c>
      <c r="W97" s="7">
        <v>8</v>
      </c>
      <c r="X97" s="9" t="s">
        <v>76</v>
      </c>
      <c r="Y97" s="10" t="s">
        <v>39</v>
      </c>
      <c r="Z97" s="12" t="s">
        <v>77</v>
      </c>
    </row>
    <row r="98" spans="1:26" ht="14.4" x14ac:dyDescent="0.3">
      <c r="A98" s="6">
        <v>46099.593707337961</v>
      </c>
      <c r="B98" s="7" t="s">
        <v>167</v>
      </c>
      <c r="C98" s="7" t="s">
        <v>168</v>
      </c>
      <c r="D98" s="7">
        <v>641</v>
      </c>
      <c r="E98" s="8" t="s">
        <v>43</v>
      </c>
      <c r="F98" s="7" t="s">
        <v>169</v>
      </c>
      <c r="G98" s="7" t="s">
        <v>45</v>
      </c>
      <c r="H98" s="7" t="s">
        <v>170</v>
      </c>
      <c r="I98" s="7">
        <v>21883230</v>
      </c>
      <c r="J98" s="7" t="s">
        <v>171</v>
      </c>
      <c r="K98" s="7" t="s">
        <v>172</v>
      </c>
      <c r="L98" s="7" t="s">
        <v>167</v>
      </c>
      <c r="M98" s="7" t="s">
        <v>83</v>
      </c>
      <c r="N98" s="7" t="s">
        <v>173</v>
      </c>
      <c r="O98" s="7">
        <v>34</v>
      </c>
      <c r="P98" s="7" t="s">
        <v>67</v>
      </c>
      <c r="Q98" s="7">
        <v>20</v>
      </c>
      <c r="S98" s="7" t="s">
        <v>37</v>
      </c>
      <c r="T98" s="7" t="s">
        <v>75</v>
      </c>
      <c r="U98" s="7" t="s">
        <v>39</v>
      </c>
      <c r="W98" s="7">
        <v>8</v>
      </c>
      <c r="X98" s="9" t="s">
        <v>76</v>
      </c>
      <c r="Y98" s="10" t="s">
        <v>39</v>
      </c>
      <c r="Z98" s="12" t="s">
        <v>77</v>
      </c>
    </row>
    <row r="99" spans="1:26" ht="14.4" x14ac:dyDescent="0.3">
      <c r="A99" s="6">
        <v>46100.691451030092</v>
      </c>
      <c r="B99" s="7" t="s">
        <v>159</v>
      </c>
      <c r="C99" s="7" t="s">
        <v>160</v>
      </c>
      <c r="D99" s="7">
        <v>200983</v>
      </c>
      <c r="E99" s="8" t="s">
        <v>61</v>
      </c>
      <c r="F99" s="7" t="s">
        <v>192</v>
      </c>
      <c r="G99" s="7" t="s">
        <v>45</v>
      </c>
      <c r="H99" s="7" t="s">
        <v>193</v>
      </c>
      <c r="I99" s="7">
        <v>2282401</v>
      </c>
      <c r="J99" s="7" t="s">
        <v>163</v>
      </c>
      <c r="K99" s="30" t="s">
        <v>164</v>
      </c>
      <c r="L99" s="7" t="s">
        <v>159</v>
      </c>
      <c r="M99" s="7" t="s">
        <v>83</v>
      </c>
      <c r="N99" s="7" t="s">
        <v>165</v>
      </c>
      <c r="O99" s="7">
        <v>28</v>
      </c>
      <c r="P99" s="7" t="s">
        <v>67</v>
      </c>
      <c r="Q99" s="7">
        <v>10</v>
      </c>
      <c r="S99" s="7" t="s">
        <v>37</v>
      </c>
      <c r="T99" s="7" t="s">
        <v>75</v>
      </c>
      <c r="U99" s="7" t="s">
        <v>39</v>
      </c>
      <c r="V99" s="30" t="s">
        <v>194</v>
      </c>
      <c r="W99" s="7">
        <v>8</v>
      </c>
      <c r="X99" s="9" t="s">
        <v>76</v>
      </c>
      <c r="Y99" s="10" t="s">
        <v>39</v>
      </c>
      <c r="Z99" s="12" t="s">
        <v>77</v>
      </c>
    </row>
    <row r="100" spans="1:26" ht="14.4" x14ac:dyDescent="0.3">
      <c r="A100" s="6">
        <v>46099.591484201388</v>
      </c>
      <c r="B100" s="7" t="s">
        <v>167</v>
      </c>
      <c r="C100" s="7" t="s">
        <v>168</v>
      </c>
      <c r="D100" s="7">
        <v>641</v>
      </c>
      <c r="E100" s="8" t="s">
        <v>43</v>
      </c>
      <c r="F100" s="7" t="s">
        <v>195</v>
      </c>
      <c r="G100" s="7" t="s">
        <v>45</v>
      </c>
      <c r="H100" s="7" t="s">
        <v>170</v>
      </c>
      <c r="I100" s="7">
        <v>21883230</v>
      </c>
      <c r="J100" s="7" t="s">
        <v>196</v>
      </c>
      <c r="K100" s="7" t="s">
        <v>171</v>
      </c>
      <c r="L100" s="7" t="s">
        <v>167</v>
      </c>
      <c r="M100" s="7" t="s">
        <v>83</v>
      </c>
      <c r="N100" s="7" t="s">
        <v>173</v>
      </c>
      <c r="O100" s="7">
        <v>35</v>
      </c>
      <c r="P100" s="7" t="s">
        <v>67</v>
      </c>
      <c r="Q100" s="7">
        <v>20</v>
      </c>
      <c r="S100" s="7" t="s">
        <v>37</v>
      </c>
      <c r="T100" s="7" t="s">
        <v>75</v>
      </c>
      <c r="U100" s="7" t="s">
        <v>39</v>
      </c>
      <c r="W100" s="7">
        <v>8</v>
      </c>
      <c r="X100" s="9" t="s">
        <v>76</v>
      </c>
      <c r="Y100" s="10" t="s">
        <v>39</v>
      </c>
      <c r="Z100" s="12" t="s">
        <v>77</v>
      </c>
    </row>
    <row r="101" spans="1:26" ht="14.4" x14ac:dyDescent="0.3">
      <c r="A101" s="6">
        <v>46099.638100787037</v>
      </c>
      <c r="B101" s="7" t="s">
        <v>241</v>
      </c>
      <c r="C101" s="7" t="s">
        <v>242</v>
      </c>
      <c r="D101" s="7">
        <v>60612400</v>
      </c>
      <c r="E101" s="8" t="s">
        <v>61</v>
      </c>
      <c r="F101" s="7" t="s">
        <v>243</v>
      </c>
      <c r="G101" s="7" t="s">
        <v>111</v>
      </c>
      <c r="H101" s="7" t="s">
        <v>244</v>
      </c>
      <c r="I101" s="7">
        <v>38658352</v>
      </c>
      <c r="J101" s="7" t="s">
        <v>245</v>
      </c>
      <c r="K101" s="7" t="s">
        <v>246</v>
      </c>
      <c r="L101" s="7" t="s">
        <v>241</v>
      </c>
      <c r="M101" s="7" t="s">
        <v>91</v>
      </c>
      <c r="N101" s="7" t="s">
        <v>247</v>
      </c>
      <c r="O101" s="7">
        <v>35</v>
      </c>
      <c r="P101" s="7" t="s">
        <v>67</v>
      </c>
      <c r="Q101" s="7">
        <v>0</v>
      </c>
      <c r="R101" s="30" t="s">
        <v>248</v>
      </c>
      <c r="S101" s="7" t="s">
        <v>37</v>
      </c>
      <c r="T101" s="7" t="s">
        <v>249</v>
      </c>
      <c r="U101" s="7" t="s">
        <v>39</v>
      </c>
      <c r="V101" s="30" t="s">
        <v>250</v>
      </c>
      <c r="W101" s="7">
        <v>8</v>
      </c>
      <c r="X101" s="9" t="s">
        <v>207</v>
      </c>
      <c r="Y101" s="10" t="s">
        <v>77</v>
      </c>
      <c r="Z101" s="12" t="s">
        <v>39</v>
      </c>
    </row>
    <row r="102" spans="1:26" ht="14.4" x14ac:dyDescent="0.3">
      <c r="A102" s="6">
        <v>46100.418726597221</v>
      </c>
      <c r="B102" s="7" t="s">
        <v>270</v>
      </c>
      <c r="C102" s="7" t="s">
        <v>271</v>
      </c>
      <c r="D102" s="7">
        <v>20169300</v>
      </c>
      <c r="E102" s="8" t="s">
        <v>28</v>
      </c>
      <c r="F102" s="7" t="s">
        <v>272</v>
      </c>
      <c r="G102" s="7" t="s">
        <v>30</v>
      </c>
      <c r="H102" s="7" t="s">
        <v>273</v>
      </c>
      <c r="I102" s="7">
        <v>30003595</v>
      </c>
      <c r="J102" s="7" t="s">
        <v>273</v>
      </c>
      <c r="L102" s="7" t="s">
        <v>270</v>
      </c>
      <c r="M102" s="7" t="s">
        <v>83</v>
      </c>
      <c r="N102" s="7" t="s">
        <v>274</v>
      </c>
      <c r="O102" s="7">
        <v>34</v>
      </c>
      <c r="P102" s="7" t="s">
        <v>275</v>
      </c>
      <c r="Q102" s="7">
        <v>40</v>
      </c>
      <c r="S102" s="7" t="s">
        <v>37</v>
      </c>
      <c r="T102" s="7" t="s">
        <v>205</v>
      </c>
      <c r="U102" s="7" t="s">
        <v>39</v>
      </c>
      <c r="W102" s="7">
        <v>8</v>
      </c>
      <c r="X102" s="9" t="s">
        <v>207</v>
      </c>
      <c r="Y102" s="10" t="s">
        <v>77</v>
      </c>
      <c r="Z102" s="12" t="s">
        <v>39</v>
      </c>
    </row>
    <row r="103" spans="1:26" ht="14.4" x14ac:dyDescent="0.3">
      <c r="A103" s="6">
        <v>46100.414336134258</v>
      </c>
      <c r="B103" s="7" t="s">
        <v>270</v>
      </c>
      <c r="C103" s="7" t="s">
        <v>271</v>
      </c>
      <c r="D103" s="7">
        <v>20169300</v>
      </c>
      <c r="E103" s="8" t="s">
        <v>43</v>
      </c>
      <c r="F103" s="7" t="s">
        <v>276</v>
      </c>
      <c r="G103" s="7" t="s">
        <v>30</v>
      </c>
      <c r="H103" s="7" t="s">
        <v>273</v>
      </c>
      <c r="I103" s="7">
        <v>30003595</v>
      </c>
      <c r="J103" s="7" t="s">
        <v>273</v>
      </c>
      <c r="L103" s="7" t="s">
        <v>270</v>
      </c>
      <c r="M103" s="7" t="s">
        <v>83</v>
      </c>
      <c r="N103" s="7" t="s">
        <v>274</v>
      </c>
      <c r="O103" s="7">
        <v>33</v>
      </c>
      <c r="P103" s="7" t="s">
        <v>275</v>
      </c>
      <c r="Q103" s="7">
        <v>30</v>
      </c>
      <c r="S103" s="7" t="s">
        <v>37</v>
      </c>
      <c r="T103" s="7" t="s">
        <v>205</v>
      </c>
      <c r="U103" s="7" t="s">
        <v>39</v>
      </c>
      <c r="W103" s="7">
        <v>8</v>
      </c>
      <c r="X103" s="9" t="s">
        <v>207</v>
      </c>
      <c r="Y103" s="10" t="s">
        <v>77</v>
      </c>
      <c r="Z103" s="12" t="s">
        <v>39</v>
      </c>
    </row>
    <row r="104" spans="1:26" ht="14.4" x14ac:dyDescent="0.3">
      <c r="A104" s="6">
        <v>46099.754328240742</v>
      </c>
      <c r="B104" s="7" t="s">
        <v>295</v>
      </c>
      <c r="C104" s="7" t="s">
        <v>296</v>
      </c>
      <c r="D104" s="7">
        <v>1111111111</v>
      </c>
      <c r="E104" s="8" t="s">
        <v>28</v>
      </c>
      <c r="F104" s="7" t="s">
        <v>297</v>
      </c>
      <c r="G104" s="7" t="s">
        <v>298</v>
      </c>
      <c r="H104" s="7" t="s">
        <v>299</v>
      </c>
      <c r="I104" s="7">
        <v>26119020</v>
      </c>
      <c r="J104" s="7" t="s">
        <v>300</v>
      </c>
      <c r="L104" s="7" t="s">
        <v>295</v>
      </c>
      <c r="M104" s="7" t="s">
        <v>91</v>
      </c>
      <c r="N104" s="7" t="s">
        <v>301</v>
      </c>
      <c r="O104" s="7">
        <v>35</v>
      </c>
      <c r="P104" s="7" t="s">
        <v>275</v>
      </c>
      <c r="Q104" s="7">
        <v>1</v>
      </c>
      <c r="R104" s="30" t="s">
        <v>302</v>
      </c>
      <c r="S104" s="7" t="s">
        <v>294</v>
      </c>
      <c r="T104" s="7" t="s">
        <v>38</v>
      </c>
      <c r="U104" s="7" t="s">
        <v>39</v>
      </c>
      <c r="V104" s="30" t="s">
        <v>303</v>
      </c>
      <c r="W104" s="7">
        <v>8</v>
      </c>
      <c r="X104" s="9" t="s">
        <v>40</v>
      </c>
      <c r="Y104" s="10" t="s">
        <v>39</v>
      </c>
      <c r="Z104" s="12" t="s">
        <v>39</v>
      </c>
    </row>
    <row r="105" spans="1:26" ht="14.4" x14ac:dyDescent="0.3">
      <c r="A105" s="6">
        <v>46099.756535509259</v>
      </c>
      <c r="B105" s="7" t="s">
        <v>295</v>
      </c>
      <c r="C105" s="7" t="s">
        <v>304</v>
      </c>
      <c r="D105" s="7">
        <v>1111111</v>
      </c>
      <c r="E105" s="8" t="s">
        <v>28</v>
      </c>
      <c r="F105" s="7" t="s">
        <v>305</v>
      </c>
      <c r="G105" s="7" t="s">
        <v>298</v>
      </c>
      <c r="H105" s="7" t="s">
        <v>299</v>
      </c>
      <c r="I105" s="7">
        <v>26119020</v>
      </c>
      <c r="J105" s="7" t="s">
        <v>300</v>
      </c>
      <c r="L105" s="7" t="s">
        <v>295</v>
      </c>
      <c r="M105" s="7" t="s">
        <v>91</v>
      </c>
      <c r="N105" s="7" t="s">
        <v>301</v>
      </c>
      <c r="O105" s="7">
        <v>35</v>
      </c>
      <c r="P105" s="7" t="s">
        <v>275</v>
      </c>
      <c r="Q105" s="7">
        <v>1</v>
      </c>
      <c r="S105" s="7" t="s">
        <v>294</v>
      </c>
      <c r="T105" s="7" t="s">
        <v>38</v>
      </c>
      <c r="U105" s="7" t="s">
        <v>39</v>
      </c>
      <c r="V105" s="30" t="s">
        <v>303</v>
      </c>
      <c r="W105" s="7">
        <v>8</v>
      </c>
      <c r="X105" s="9" t="s">
        <v>40</v>
      </c>
      <c r="Y105" s="10" t="s">
        <v>39</v>
      </c>
      <c r="Z105" s="12" t="s">
        <v>39</v>
      </c>
    </row>
    <row r="106" spans="1:26" ht="14.4" x14ac:dyDescent="0.3">
      <c r="A106" s="6">
        <v>46100.620395127313</v>
      </c>
      <c r="B106" s="7" t="s">
        <v>397</v>
      </c>
      <c r="C106" s="7" t="s">
        <v>398</v>
      </c>
      <c r="D106" s="7">
        <v>200958</v>
      </c>
      <c r="E106" s="8" t="s">
        <v>43</v>
      </c>
      <c r="F106" s="7" t="s">
        <v>399</v>
      </c>
      <c r="G106" s="7" t="s">
        <v>111</v>
      </c>
      <c r="H106" s="7" t="s">
        <v>400</v>
      </c>
      <c r="I106" s="7">
        <v>31973757</v>
      </c>
      <c r="J106" s="7" t="s">
        <v>401</v>
      </c>
      <c r="L106" s="7" t="s">
        <v>397</v>
      </c>
      <c r="M106" s="7" t="s">
        <v>83</v>
      </c>
      <c r="N106" s="7" t="s">
        <v>402</v>
      </c>
      <c r="O106" s="7">
        <v>29</v>
      </c>
      <c r="P106" s="7" t="s">
        <v>403</v>
      </c>
      <c r="Q106" s="7">
        <v>0</v>
      </c>
      <c r="S106" s="7" t="s">
        <v>294</v>
      </c>
      <c r="T106" s="7" t="s">
        <v>75</v>
      </c>
      <c r="U106" s="7" t="s">
        <v>39</v>
      </c>
      <c r="W106" s="7">
        <v>8</v>
      </c>
      <c r="X106" s="9" t="s">
        <v>76</v>
      </c>
      <c r="Y106" s="10" t="s">
        <v>39</v>
      </c>
      <c r="Z106" s="12" t="s">
        <v>77</v>
      </c>
    </row>
    <row r="107" spans="1:26" ht="15.75" customHeight="1" x14ac:dyDescent="0.3">
      <c r="A107" s="6">
        <v>46099.773180856479</v>
      </c>
      <c r="B107" s="7" t="s">
        <v>360</v>
      </c>
      <c r="C107" s="7" t="s">
        <v>415</v>
      </c>
      <c r="D107" s="7">
        <v>200534</v>
      </c>
      <c r="E107" s="8" t="s">
        <v>61</v>
      </c>
      <c r="F107" s="7" t="s">
        <v>318</v>
      </c>
      <c r="G107" s="7" t="s">
        <v>45</v>
      </c>
      <c r="H107" s="7" t="s">
        <v>362</v>
      </c>
      <c r="I107" s="7">
        <v>36156969</v>
      </c>
      <c r="J107" s="7" t="s">
        <v>363</v>
      </c>
      <c r="L107" s="7" t="s">
        <v>360</v>
      </c>
      <c r="M107" s="7" t="s">
        <v>83</v>
      </c>
      <c r="N107" s="7" t="s">
        <v>126</v>
      </c>
      <c r="O107" s="7">
        <v>35</v>
      </c>
      <c r="P107" s="7" t="s">
        <v>67</v>
      </c>
      <c r="Q107" s="7">
        <v>0</v>
      </c>
      <c r="R107" s="30" t="s">
        <v>77</v>
      </c>
      <c r="S107" s="7" t="s">
        <v>294</v>
      </c>
      <c r="T107" s="7" t="s">
        <v>75</v>
      </c>
      <c r="U107" s="7" t="s">
        <v>39</v>
      </c>
      <c r="W107" s="7">
        <v>8</v>
      </c>
      <c r="X107" s="9" t="s">
        <v>76</v>
      </c>
      <c r="Y107" s="10" t="s">
        <v>39</v>
      </c>
      <c r="Z107" s="12" t="s">
        <v>77</v>
      </c>
    </row>
    <row r="108" spans="1:26" ht="15.75" customHeight="1" x14ac:dyDescent="0.3">
      <c r="A108" s="6">
        <v>46099.640408171297</v>
      </c>
      <c r="B108" s="7" t="s">
        <v>241</v>
      </c>
      <c r="C108" s="7" t="s">
        <v>416</v>
      </c>
      <c r="D108" s="7">
        <v>60612400</v>
      </c>
      <c r="E108" s="8" t="s">
        <v>43</v>
      </c>
      <c r="F108" s="7" t="s">
        <v>417</v>
      </c>
      <c r="G108" s="7" t="s">
        <v>111</v>
      </c>
      <c r="H108" s="7" t="s">
        <v>418</v>
      </c>
      <c r="I108" s="7">
        <v>38658352</v>
      </c>
      <c r="J108" s="7" t="s">
        <v>419</v>
      </c>
      <c r="K108" s="7" t="s">
        <v>420</v>
      </c>
      <c r="L108" s="7" t="s">
        <v>241</v>
      </c>
      <c r="M108" s="7" t="s">
        <v>91</v>
      </c>
      <c r="N108" s="7" t="s">
        <v>421</v>
      </c>
      <c r="O108" s="7">
        <v>35</v>
      </c>
      <c r="P108" s="7" t="s">
        <v>67</v>
      </c>
      <c r="Q108" s="7">
        <v>0</v>
      </c>
      <c r="R108" s="7" t="s">
        <v>422</v>
      </c>
      <c r="S108" s="7" t="s">
        <v>294</v>
      </c>
      <c r="T108" s="7" t="s">
        <v>75</v>
      </c>
      <c r="U108" s="7" t="s">
        <v>39</v>
      </c>
      <c r="V108" s="30" t="s">
        <v>423</v>
      </c>
      <c r="W108" s="7">
        <v>8</v>
      </c>
      <c r="X108" s="9" t="s">
        <v>76</v>
      </c>
      <c r="Y108" s="10" t="s">
        <v>39</v>
      </c>
      <c r="Z108" s="12" t="s">
        <v>77</v>
      </c>
    </row>
    <row r="109" spans="1:26" ht="15.75" customHeight="1" x14ac:dyDescent="0.3">
      <c r="A109" s="6">
        <v>46099.664345856479</v>
      </c>
      <c r="B109" s="7" t="s">
        <v>424</v>
      </c>
      <c r="C109" s="7" t="s">
        <v>425</v>
      </c>
      <c r="D109" s="7">
        <v>20151400</v>
      </c>
      <c r="E109" s="8" t="s">
        <v>61</v>
      </c>
      <c r="F109" s="7" t="s">
        <v>426</v>
      </c>
      <c r="G109" s="7" t="s">
        <v>111</v>
      </c>
      <c r="H109" s="7" t="s">
        <v>427</v>
      </c>
      <c r="I109" s="7">
        <v>14589821</v>
      </c>
      <c r="J109" s="7" t="s">
        <v>428</v>
      </c>
      <c r="L109" s="7" t="s">
        <v>424</v>
      </c>
      <c r="M109" s="7" t="s">
        <v>83</v>
      </c>
      <c r="N109" s="7" t="s">
        <v>188</v>
      </c>
      <c r="O109" s="7">
        <v>27</v>
      </c>
      <c r="P109" s="7" t="s">
        <v>67</v>
      </c>
      <c r="Q109" s="7">
        <v>0</v>
      </c>
      <c r="R109" s="7" t="s">
        <v>429</v>
      </c>
      <c r="S109" s="7" t="s">
        <v>294</v>
      </c>
      <c r="T109" s="7" t="s">
        <v>75</v>
      </c>
      <c r="U109" s="7" t="s">
        <v>39</v>
      </c>
      <c r="V109" s="30" t="s">
        <v>430</v>
      </c>
      <c r="W109" s="7">
        <v>8</v>
      </c>
      <c r="X109" s="9" t="s">
        <v>76</v>
      </c>
      <c r="Y109" s="10" t="s">
        <v>39</v>
      </c>
      <c r="Z109" s="12" t="s">
        <v>77</v>
      </c>
    </row>
    <row r="110" spans="1:26" ht="15.75" customHeight="1" x14ac:dyDescent="0.3">
      <c r="A110" s="6">
        <v>46099.592630277781</v>
      </c>
      <c r="B110" s="7" t="s">
        <v>462</v>
      </c>
      <c r="C110" s="7" t="s">
        <v>463</v>
      </c>
      <c r="D110" s="7">
        <v>62422500</v>
      </c>
      <c r="E110" s="8" t="s">
        <v>61</v>
      </c>
      <c r="F110" s="7" t="s">
        <v>464</v>
      </c>
      <c r="G110" s="7" t="s">
        <v>111</v>
      </c>
      <c r="H110" s="7" t="s">
        <v>465</v>
      </c>
      <c r="I110" s="7">
        <v>38941458</v>
      </c>
      <c r="J110" s="7" t="s">
        <v>466</v>
      </c>
      <c r="K110" s="30" t="s">
        <v>467</v>
      </c>
      <c r="L110" s="7" t="s">
        <v>462</v>
      </c>
      <c r="M110" s="7" t="s">
        <v>34</v>
      </c>
      <c r="N110" s="7" t="s">
        <v>468</v>
      </c>
      <c r="O110" s="7">
        <v>21</v>
      </c>
      <c r="P110" s="7" t="s">
        <v>403</v>
      </c>
      <c r="Q110" s="7">
        <v>10</v>
      </c>
      <c r="S110" s="7" t="s">
        <v>294</v>
      </c>
      <c r="T110" s="7" t="s">
        <v>205</v>
      </c>
      <c r="U110" s="7" t="s">
        <v>39</v>
      </c>
      <c r="W110" s="7">
        <v>8</v>
      </c>
      <c r="X110" s="9" t="s">
        <v>207</v>
      </c>
      <c r="Y110" s="10" t="s">
        <v>77</v>
      </c>
      <c r="Z110" s="12" t="s">
        <v>39</v>
      </c>
    </row>
    <row r="111" spans="1:26" ht="15.75" customHeight="1" x14ac:dyDescent="0.3">
      <c r="A111" s="6">
        <v>46099.875936828706</v>
      </c>
      <c r="B111" s="7" t="s">
        <v>469</v>
      </c>
      <c r="C111" s="7" t="s">
        <v>470</v>
      </c>
      <c r="D111" s="7">
        <v>20119100</v>
      </c>
      <c r="E111" s="8" t="s">
        <v>61</v>
      </c>
      <c r="F111" s="7" t="s">
        <v>366</v>
      </c>
      <c r="G111" s="7" t="s">
        <v>45</v>
      </c>
      <c r="H111" s="7" t="s">
        <v>471</v>
      </c>
      <c r="I111" s="7">
        <v>45687236</v>
      </c>
      <c r="J111" s="7" t="s">
        <v>472</v>
      </c>
      <c r="L111" s="7" t="s">
        <v>469</v>
      </c>
      <c r="M111" s="7" t="s">
        <v>83</v>
      </c>
      <c r="N111" s="7" t="s">
        <v>473</v>
      </c>
      <c r="O111" s="7">
        <v>31</v>
      </c>
      <c r="P111" s="7" t="s">
        <v>403</v>
      </c>
      <c r="Q111" s="7">
        <v>2</v>
      </c>
      <c r="S111" s="7" t="s">
        <v>294</v>
      </c>
      <c r="T111" s="7" t="s">
        <v>205</v>
      </c>
      <c r="U111" s="7" t="s">
        <v>39</v>
      </c>
      <c r="W111" s="7">
        <v>8</v>
      </c>
      <c r="X111" s="9" t="s">
        <v>207</v>
      </c>
      <c r="Y111" s="10" t="s">
        <v>77</v>
      </c>
      <c r="Z111" s="12" t="s">
        <v>39</v>
      </c>
    </row>
    <row r="112" spans="1:26" ht="15.75" customHeight="1" x14ac:dyDescent="0.3">
      <c r="A112" s="6">
        <v>46100.845159131954</v>
      </c>
      <c r="B112" s="7" t="s">
        <v>474</v>
      </c>
      <c r="C112" s="7" t="s">
        <v>475</v>
      </c>
      <c r="D112" s="7">
        <v>61160200</v>
      </c>
      <c r="E112" s="8" t="s">
        <v>61</v>
      </c>
      <c r="F112" s="7" t="s">
        <v>476</v>
      </c>
      <c r="G112" s="7" t="s">
        <v>30</v>
      </c>
      <c r="H112" s="7" t="s">
        <v>477</v>
      </c>
      <c r="I112" s="7">
        <v>30403080</v>
      </c>
      <c r="J112" s="7" t="s">
        <v>478</v>
      </c>
      <c r="L112" s="7" t="s">
        <v>474</v>
      </c>
      <c r="M112" s="7" t="s">
        <v>56</v>
      </c>
      <c r="N112" s="7" t="s">
        <v>479</v>
      </c>
      <c r="O112" s="7">
        <v>35</v>
      </c>
      <c r="P112" s="7" t="s">
        <v>67</v>
      </c>
      <c r="Q112" s="7">
        <v>30</v>
      </c>
      <c r="S112" s="7" t="s">
        <v>294</v>
      </c>
      <c r="T112" s="7" t="s">
        <v>205</v>
      </c>
      <c r="U112" s="7" t="s">
        <v>39</v>
      </c>
      <c r="W112" s="7">
        <v>8</v>
      </c>
      <c r="X112" s="9" t="s">
        <v>207</v>
      </c>
      <c r="Y112" s="10" t="s">
        <v>77</v>
      </c>
      <c r="Z112" s="12" t="s">
        <v>39</v>
      </c>
    </row>
    <row r="113" spans="1:26" ht="15.75" customHeight="1" x14ac:dyDescent="0.3">
      <c r="A113" s="6">
        <v>46099.590647557867</v>
      </c>
      <c r="B113" s="7" t="s">
        <v>462</v>
      </c>
      <c r="C113" s="7" t="s">
        <v>463</v>
      </c>
      <c r="D113" s="7">
        <v>62422500</v>
      </c>
      <c r="E113" s="8" t="s">
        <v>61</v>
      </c>
      <c r="F113" s="7" t="s">
        <v>464</v>
      </c>
      <c r="G113" s="7" t="s">
        <v>111</v>
      </c>
      <c r="H113" s="7" t="s">
        <v>502</v>
      </c>
      <c r="I113" s="7">
        <v>38941458</v>
      </c>
      <c r="J113" s="7" t="s">
        <v>503</v>
      </c>
      <c r="K113" s="7" t="s">
        <v>504</v>
      </c>
      <c r="L113" s="7" t="s">
        <v>462</v>
      </c>
      <c r="M113" s="7" t="s">
        <v>34</v>
      </c>
      <c r="N113" s="7" t="s">
        <v>468</v>
      </c>
      <c r="O113" s="7">
        <v>32</v>
      </c>
      <c r="P113" s="7" t="s">
        <v>67</v>
      </c>
      <c r="Q113" s="7">
        <v>10</v>
      </c>
      <c r="S113" s="7" t="s">
        <v>294</v>
      </c>
      <c r="T113" s="7" t="s">
        <v>205</v>
      </c>
      <c r="U113" s="7" t="s">
        <v>39</v>
      </c>
      <c r="W113" s="7">
        <v>8</v>
      </c>
      <c r="X113" s="9" t="s">
        <v>207</v>
      </c>
      <c r="Y113" s="10" t="s">
        <v>77</v>
      </c>
      <c r="Z113" s="12" t="s">
        <v>39</v>
      </c>
    </row>
    <row r="114" spans="1:26" ht="15.75" customHeight="1" x14ac:dyDescent="0.3">
      <c r="A114" s="6">
        <v>46100.485782835647</v>
      </c>
      <c r="B114" s="7" t="s">
        <v>451</v>
      </c>
      <c r="C114" s="7" t="s">
        <v>452</v>
      </c>
      <c r="D114" s="7">
        <v>62422400</v>
      </c>
      <c r="E114" s="8" t="s">
        <v>61</v>
      </c>
      <c r="F114" s="7" t="s">
        <v>453</v>
      </c>
      <c r="G114" s="7" t="s">
        <v>111</v>
      </c>
      <c r="H114" s="7" t="s">
        <v>454</v>
      </c>
      <c r="I114" s="7">
        <v>36577419</v>
      </c>
      <c r="J114" s="7" t="s">
        <v>505</v>
      </c>
      <c r="K114" s="7" t="s">
        <v>456</v>
      </c>
      <c r="L114" s="7" t="s">
        <v>451</v>
      </c>
      <c r="M114" s="7" t="s">
        <v>34</v>
      </c>
      <c r="N114" s="7" t="s">
        <v>457</v>
      </c>
      <c r="O114" s="7">
        <v>30</v>
      </c>
      <c r="P114" s="7" t="s">
        <v>67</v>
      </c>
      <c r="Q114" s="7">
        <v>5</v>
      </c>
      <c r="S114" s="7" t="s">
        <v>294</v>
      </c>
      <c r="T114" s="7" t="s">
        <v>205</v>
      </c>
      <c r="U114" s="7" t="s">
        <v>39</v>
      </c>
      <c r="W114" s="7">
        <v>8</v>
      </c>
      <c r="X114" s="9" t="s">
        <v>207</v>
      </c>
      <c r="Y114" s="10" t="s">
        <v>77</v>
      </c>
      <c r="Z114" s="12" t="s">
        <v>39</v>
      </c>
    </row>
    <row r="115" spans="1:26" ht="15.75" customHeight="1" x14ac:dyDescent="0.3">
      <c r="A115" s="6">
        <v>46102.357763842592</v>
      </c>
      <c r="B115" s="72" t="s">
        <v>115</v>
      </c>
      <c r="C115" s="72" t="s">
        <v>506</v>
      </c>
      <c r="D115" s="72">
        <v>20021700</v>
      </c>
      <c r="E115" s="8" t="s">
        <v>61</v>
      </c>
      <c r="F115" s="72" t="s">
        <v>117</v>
      </c>
      <c r="G115" s="72" t="s">
        <v>111</v>
      </c>
      <c r="H115" s="72" t="s">
        <v>119</v>
      </c>
      <c r="I115" s="72">
        <v>21094902</v>
      </c>
      <c r="J115" s="72" t="s">
        <v>118</v>
      </c>
      <c r="K115" s="72"/>
      <c r="L115" s="72" t="s">
        <v>115</v>
      </c>
      <c r="M115" s="72" t="s">
        <v>83</v>
      </c>
      <c r="N115" s="72" t="s">
        <v>188</v>
      </c>
      <c r="O115" s="72">
        <v>35</v>
      </c>
      <c r="P115" s="72" t="s">
        <v>67</v>
      </c>
      <c r="Q115" s="72">
        <v>0</v>
      </c>
      <c r="R115" s="72"/>
      <c r="S115" s="72" t="s">
        <v>294</v>
      </c>
      <c r="T115" s="72" t="s">
        <v>205</v>
      </c>
      <c r="U115" s="72" t="s">
        <v>39</v>
      </c>
      <c r="V115" s="72"/>
      <c r="W115" s="72">
        <v>8</v>
      </c>
      <c r="X115" s="9" t="s">
        <v>207</v>
      </c>
      <c r="Y115" s="10" t="s">
        <v>77</v>
      </c>
      <c r="Z115" s="12" t="s">
        <v>39</v>
      </c>
    </row>
    <row r="116" spans="1:26" ht="15.75" customHeight="1" x14ac:dyDescent="0.3">
      <c r="A116" s="6">
        <v>46104.434416504628</v>
      </c>
      <c r="B116" s="7" t="s">
        <v>667</v>
      </c>
      <c r="C116" s="7" t="s">
        <v>668</v>
      </c>
      <c r="D116" s="7">
        <v>60818900</v>
      </c>
      <c r="E116" s="29" t="s">
        <v>662</v>
      </c>
      <c r="F116" s="7" t="s">
        <v>669</v>
      </c>
      <c r="G116" s="7" t="s">
        <v>30</v>
      </c>
      <c r="H116" s="7" t="s">
        <v>670</v>
      </c>
      <c r="I116" s="7">
        <v>37674685</v>
      </c>
      <c r="J116" s="7" t="s">
        <v>671</v>
      </c>
      <c r="K116" s="7" t="s">
        <v>672</v>
      </c>
      <c r="L116" s="7" t="s">
        <v>667</v>
      </c>
      <c r="M116" s="7" t="s">
        <v>34</v>
      </c>
      <c r="N116" s="7" t="s">
        <v>673</v>
      </c>
      <c r="O116" s="7">
        <v>27</v>
      </c>
      <c r="P116" s="7" t="s">
        <v>67</v>
      </c>
      <c r="Q116" s="7">
        <v>20</v>
      </c>
      <c r="R116" s="30" t="s">
        <v>674</v>
      </c>
      <c r="S116" s="7" t="s">
        <v>515</v>
      </c>
      <c r="T116" s="7" t="s">
        <v>75</v>
      </c>
      <c r="U116" s="7" t="s">
        <v>39</v>
      </c>
      <c r="V116" s="30" t="s">
        <v>675</v>
      </c>
      <c r="W116" s="7">
        <v>8</v>
      </c>
      <c r="X116" s="9" t="s">
        <v>76</v>
      </c>
      <c r="Y116" s="10" t="s">
        <v>39</v>
      </c>
      <c r="Z116" s="12" t="s">
        <v>77</v>
      </c>
    </row>
    <row r="117" spans="1:26" ht="15.75" customHeight="1" x14ac:dyDescent="0.3">
      <c r="A117" s="6">
        <v>46099.823003865742</v>
      </c>
      <c r="B117" s="7" t="s">
        <v>660</v>
      </c>
      <c r="C117" s="7" t="s">
        <v>676</v>
      </c>
      <c r="D117" s="7">
        <v>60818900</v>
      </c>
      <c r="E117" s="29" t="s">
        <v>662</v>
      </c>
      <c r="F117" s="7" t="s">
        <v>580</v>
      </c>
      <c r="G117" s="7" t="s">
        <v>30</v>
      </c>
      <c r="H117" s="7" t="s">
        <v>664</v>
      </c>
      <c r="I117" s="7">
        <v>23123885</v>
      </c>
      <c r="J117" s="7" t="s">
        <v>663</v>
      </c>
      <c r="K117" s="7" t="s">
        <v>677</v>
      </c>
      <c r="L117" s="7" t="s">
        <v>660</v>
      </c>
      <c r="M117" s="7" t="s">
        <v>34</v>
      </c>
      <c r="N117" s="7" t="s">
        <v>673</v>
      </c>
      <c r="O117" s="7">
        <v>35</v>
      </c>
      <c r="P117" s="7" t="s">
        <v>67</v>
      </c>
      <c r="Q117" s="7">
        <v>20</v>
      </c>
      <c r="R117" s="30" t="s">
        <v>678</v>
      </c>
      <c r="S117" s="7" t="s">
        <v>515</v>
      </c>
      <c r="T117" s="7" t="s">
        <v>75</v>
      </c>
      <c r="U117" s="7" t="s">
        <v>39</v>
      </c>
      <c r="W117" s="7">
        <v>8</v>
      </c>
      <c r="X117" s="9" t="s">
        <v>76</v>
      </c>
      <c r="Y117" s="10" t="s">
        <v>39</v>
      </c>
      <c r="Z117" s="12" t="s">
        <v>77</v>
      </c>
    </row>
    <row r="118" spans="1:26" ht="15.75" customHeight="1" x14ac:dyDescent="0.3">
      <c r="A118" s="6">
        <v>46100.526610624998</v>
      </c>
      <c r="B118" s="7" t="s">
        <v>711</v>
      </c>
      <c r="C118" s="7" t="s">
        <v>712</v>
      </c>
      <c r="D118" s="7">
        <v>20134600</v>
      </c>
      <c r="E118" s="8" t="s">
        <v>61</v>
      </c>
      <c r="F118" s="7" t="s">
        <v>375</v>
      </c>
      <c r="G118" s="7" t="s">
        <v>111</v>
      </c>
      <c r="H118" s="7" t="s">
        <v>713</v>
      </c>
      <c r="I118" s="7">
        <v>37018138</v>
      </c>
      <c r="J118" s="7" t="s">
        <v>714</v>
      </c>
      <c r="L118" s="7" t="s">
        <v>711</v>
      </c>
      <c r="M118" s="7" t="s">
        <v>83</v>
      </c>
      <c r="N118" s="7" t="s">
        <v>715</v>
      </c>
      <c r="O118" s="7">
        <v>23</v>
      </c>
      <c r="P118" s="7" t="s">
        <v>275</v>
      </c>
      <c r="Q118" s="7">
        <v>0</v>
      </c>
      <c r="S118" s="7" t="s">
        <v>515</v>
      </c>
      <c r="T118" s="7" t="s">
        <v>75</v>
      </c>
      <c r="U118" s="7" t="s">
        <v>39</v>
      </c>
      <c r="W118" s="7">
        <v>8</v>
      </c>
      <c r="X118" s="9" t="s">
        <v>76</v>
      </c>
      <c r="Y118" s="10" t="s">
        <v>39</v>
      </c>
      <c r="Z118" s="12" t="s">
        <v>77</v>
      </c>
    </row>
    <row r="119" spans="1:26" ht="15.75" customHeight="1" x14ac:dyDescent="0.3">
      <c r="A119" s="6">
        <v>46099.595790601852</v>
      </c>
      <c r="B119" s="7" t="s">
        <v>716</v>
      </c>
      <c r="C119" s="7" t="s">
        <v>717</v>
      </c>
      <c r="D119" s="7">
        <v>61991500</v>
      </c>
      <c r="E119" s="8" t="s">
        <v>43</v>
      </c>
      <c r="F119" s="7" t="s">
        <v>718</v>
      </c>
      <c r="G119" s="7" t="s">
        <v>45</v>
      </c>
      <c r="H119" s="7" t="s">
        <v>465</v>
      </c>
      <c r="I119" s="7">
        <v>38941458</v>
      </c>
      <c r="J119" s="7" t="s">
        <v>719</v>
      </c>
      <c r="L119" s="7" t="s">
        <v>716</v>
      </c>
      <c r="M119" s="7" t="s">
        <v>91</v>
      </c>
      <c r="N119" s="7" t="s">
        <v>720</v>
      </c>
      <c r="O119" s="7">
        <v>32</v>
      </c>
      <c r="P119" s="7" t="s">
        <v>403</v>
      </c>
      <c r="Q119" s="7">
        <v>30</v>
      </c>
      <c r="S119" s="7" t="s">
        <v>515</v>
      </c>
      <c r="T119" s="7" t="s">
        <v>75</v>
      </c>
      <c r="U119" s="7" t="s">
        <v>39</v>
      </c>
      <c r="W119" s="7">
        <v>8</v>
      </c>
      <c r="X119" s="9" t="s">
        <v>76</v>
      </c>
      <c r="Y119" s="10" t="s">
        <v>39</v>
      </c>
      <c r="Z119" s="12" t="s">
        <v>77</v>
      </c>
    </row>
    <row r="120" spans="1:26" ht="15.75" customHeight="1" x14ac:dyDescent="0.3">
      <c r="A120" s="6">
        <v>46101.932558958331</v>
      </c>
      <c r="B120" s="7" t="s">
        <v>721</v>
      </c>
      <c r="C120" s="7" t="s">
        <v>722</v>
      </c>
      <c r="D120" s="7">
        <v>20099800</v>
      </c>
      <c r="E120" s="8" t="s">
        <v>43</v>
      </c>
      <c r="F120" s="7" t="s">
        <v>723</v>
      </c>
      <c r="G120" s="7" t="s">
        <v>45</v>
      </c>
      <c r="H120" s="7" t="s">
        <v>724</v>
      </c>
      <c r="I120" s="7">
        <v>34491360</v>
      </c>
      <c r="J120" s="7" t="s">
        <v>725</v>
      </c>
      <c r="K120" s="30" t="s">
        <v>726</v>
      </c>
      <c r="L120" s="7" t="s">
        <v>721</v>
      </c>
      <c r="M120" s="7" t="s">
        <v>83</v>
      </c>
      <c r="N120" s="7" t="s">
        <v>727</v>
      </c>
      <c r="O120" s="7">
        <v>32</v>
      </c>
      <c r="P120" s="7" t="s">
        <v>67</v>
      </c>
      <c r="Q120" s="7">
        <v>25</v>
      </c>
      <c r="S120" s="7" t="s">
        <v>515</v>
      </c>
      <c r="T120" s="7" t="s">
        <v>75</v>
      </c>
      <c r="U120" s="7" t="s">
        <v>39</v>
      </c>
      <c r="W120" s="7">
        <v>8</v>
      </c>
      <c r="X120" s="9" t="s">
        <v>76</v>
      </c>
      <c r="Y120" s="10" t="s">
        <v>39</v>
      </c>
      <c r="Z120" s="12" t="s">
        <v>77</v>
      </c>
    </row>
    <row r="121" spans="1:26" ht="15.75" customHeight="1" x14ac:dyDescent="0.3">
      <c r="A121" s="6">
        <v>46099.806720868059</v>
      </c>
      <c r="B121" s="7" t="s">
        <v>760</v>
      </c>
      <c r="C121" s="7" t="s">
        <v>761</v>
      </c>
      <c r="D121" s="7">
        <v>20004500</v>
      </c>
      <c r="E121" s="30" t="s">
        <v>762</v>
      </c>
      <c r="F121" s="7" t="s">
        <v>763</v>
      </c>
      <c r="G121" s="7" t="s">
        <v>30</v>
      </c>
      <c r="H121" s="7" t="s">
        <v>764</v>
      </c>
      <c r="I121" s="7">
        <v>44670216</v>
      </c>
      <c r="J121" s="7" t="s">
        <v>764</v>
      </c>
      <c r="L121" s="7" t="s">
        <v>760</v>
      </c>
      <c r="M121" s="7" t="s">
        <v>83</v>
      </c>
      <c r="N121" s="7" t="s">
        <v>577</v>
      </c>
      <c r="O121" s="7">
        <v>30</v>
      </c>
      <c r="P121" s="7" t="s">
        <v>275</v>
      </c>
      <c r="Q121" s="7">
        <v>70</v>
      </c>
      <c r="R121" s="30" t="s">
        <v>765</v>
      </c>
      <c r="S121" s="7" t="s">
        <v>515</v>
      </c>
      <c r="T121" s="7" t="s">
        <v>205</v>
      </c>
      <c r="U121" s="7" t="s">
        <v>39</v>
      </c>
      <c r="V121" s="30" t="s">
        <v>766</v>
      </c>
      <c r="W121" s="7">
        <v>8</v>
      </c>
      <c r="X121" s="9" t="s">
        <v>207</v>
      </c>
      <c r="Y121" s="10" t="s">
        <v>77</v>
      </c>
      <c r="Z121" s="12" t="s">
        <v>39</v>
      </c>
    </row>
    <row r="122" spans="1:26" ht="15.75" customHeight="1" x14ac:dyDescent="0.3">
      <c r="A122" s="6">
        <v>46100.421069062497</v>
      </c>
      <c r="B122" s="7" t="s">
        <v>270</v>
      </c>
      <c r="C122" s="7" t="s">
        <v>271</v>
      </c>
      <c r="D122" s="7">
        <v>20169300</v>
      </c>
      <c r="E122" s="8" t="s">
        <v>43</v>
      </c>
      <c r="F122" s="7" t="s">
        <v>276</v>
      </c>
      <c r="G122" s="7" t="s">
        <v>30</v>
      </c>
      <c r="H122" s="7" t="s">
        <v>775</v>
      </c>
      <c r="I122" s="7">
        <v>30003595</v>
      </c>
      <c r="J122" s="7" t="s">
        <v>273</v>
      </c>
      <c r="L122" s="7" t="s">
        <v>270</v>
      </c>
      <c r="M122" s="7" t="s">
        <v>83</v>
      </c>
      <c r="N122" s="7" t="s">
        <v>274</v>
      </c>
      <c r="O122" s="7">
        <v>28</v>
      </c>
      <c r="P122" s="7" t="s">
        <v>67</v>
      </c>
      <c r="Q122" s="7">
        <v>30</v>
      </c>
      <c r="S122" s="7" t="s">
        <v>515</v>
      </c>
      <c r="T122" s="7" t="s">
        <v>205</v>
      </c>
      <c r="U122" s="7" t="s">
        <v>39</v>
      </c>
      <c r="W122" s="7">
        <v>8</v>
      </c>
      <c r="X122" s="9" t="s">
        <v>207</v>
      </c>
      <c r="Y122" s="10" t="s">
        <v>77</v>
      </c>
      <c r="Z122" s="12" t="s">
        <v>39</v>
      </c>
    </row>
    <row r="123" spans="1:26" ht="15.75" customHeight="1" x14ac:dyDescent="0.3">
      <c r="A123" s="13"/>
      <c r="B123" s="14" t="s">
        <v>277</v>
      </c>
      <c r="C123" s="15" t="s">
        <v>278</v>
      </c>
      <c r="D123" s="16" t="s">
        <v>279</v>
      </c>
      <c r="E123" s="17" t="s">
        <v>280</v>
      </c>
      <c r="F123" s="14"/>
      <c r="G123" s="14"/>
      <c r="H123" s="15" t="s">
        <v>281</v>
      </c>
      <c r="I123" s="14"/>
      <c r="J123" s="14"/>
      <c r="K123" s="14"/>
      <c r="L123" s="14" t="s">
        <v>277</v>
      </c>
      <c r="M123" s="14"/>
      <c r="N123" s="14"/>
      <c r="O123" s="14">
        <v>35</v>
      </c>
      <c r="P123" s="14" t="s">
        <v>67</v>
      </c>
      <c r="Q123" s="14">
        <v>10</v>
      </c>
      <c r="R123" s="14"/>
      <c r="S123" s="14" t="s">
        <v>37</v>
      </c>
      <c r="T123" s="14"/>
      <c r="U123" s="14" t="s">
        <v>282</v>
      </c>
      <c r="V123" s="14"/>
      <c r="W123" s="14">
        <v>1</v>
      </c>
      <c r="X123" s="18" t="s">
        <v>207</v>
      </c>
      <c r="Y123" s="10" t="s">
        <v>77</v>
      </c>
      <c r="Z123" s="12" t="s">
        <v>39</v>
      </c>
    </row>
    <row r="124" spans="1:26" ht="15.75" customHeight="1" x14ac:dyDescent="0.3">
      <c r="A124" s="13"/>
      <c r="B124" s="14" t="s">
        <v>283</v>
      </c>
      <c r="C124" s="44" t="s">
        <v>284</v>
      </c>
      <c r="D124" s="16" t="s">
        <v>285</v>
      </c>
      <c r="E124" s="17" t="s">
        <v>280</v>
      </c>
      <c r="F124" s="19"/>
      <c r="G124" s="14"/>
      <c r="H124" s="44" t="s">
        <v>286</v>
      </c>
      <c r="I124" s="14"/>
      <c r="J124" s="14"/>
      <c r="K124" s="14"/>
      <c r="L124" s="14" t="s">
        <v>283</v>
      </c>
      <c r="M124" s="14"/>
      <c r="N124" s="14"/>
      <c r="O124" s="14">
        <v>30</v>
      </c>
      <c r="P124" s="44" t="s">
        <v>36</v>
      </c>
      <c r="Q124" s="14">
        <v>10</v>
      </c>
      <c r="R124" s="14"/>
      <c r="S124" s="44" t="s">
        <v>37</v>
      </c>
      <c r="T124" s="14" t="s">
        <v>205</v>
      </c>
      <c r="U124" s="14" t="s">
        <v>39</v>
      </c>
      <c r="V124" s="14"/>
      <c r="W124" s="14">
        <v>1</v>
      </c>
      <c r="X124" s="20" t="s">
        <v>76</v>
      </c>
      <c r="Y124" s="10" t="s">
        <v>39</v>
      </c>
      <c r="Z124" s="12" t="s">
        <v>77</v>
      </c>
    </row>
    <row r="125" spans="1:26" ht="15.75" customHeight="1" x14ac:dyDescent="0.3">
      <c r="A125" s="13"/>
      <c r="B125" s="14" t="s">
        <v>283</v>
      </c>
      <c r="C125" s="44" t="s">
        <v>284</v>
      </c>
      <c r="D125" s="16" t="s">
        <v>285</v>
      </c>
      <c r="E125" s="17" t="s">
        <v>280</v>
      </c>
      <c r="F125" s="19"/>
      <c r="G125" s="14"/>
      <c r="H125" s="44" t="s">
        <v>286</v>
      </c>
      <c r="I125" s="14"/>
      <c r="J125" s="14"/>
      <c r="K125" s="14"/>
      <c r="L125" s="14" t="s">
        <v>283</v>
      </c>
      <c r="M125" s="14"/>
      <c r="N125" s="14"/>
      <c r="O125" s="14">
        <v>35</v>
      </c>
      <c r="P125" s="44" t="s">
        <v>36</v>
      </c>
      <c r="Q125" s="14">
        <v>10</v>
      </c>
      <c r="R125" s="14"/>
      <c r="S125" s="44" t="s">
        <v>37</v>
      </c>
      <c r="T125" s="14" t="s">
        <v>205</v>
      </c>
      <c r="U125" s="14" t="s">
        <v>39</v>
      </c>
      <c r="V125" s="14"/>
      <c r="W125" s="14">
        <v>1</v>
      </c>
      <c r="X125" s="20" t="s">
        <v>76</v>
      </c>
      <c r="Y125" s="10" t="s">
        <v>39</v>
      </c>
      <c r="Z125" s="12" t="s">
        <v>77</v>
      </c>
    </row>
    <row r="126" spans="1:26" ht="15.75" customHeight="1" x14ac:dyDescent="0.3">
      <c r="A126" s="13"/>
      <c r="B126" s="71" t="s">
        <v>283</v>
      </c>
      <c r="C126" s="73" t="s">
        <v>284</v>
      </c>
      <c r="D126" s="75" t="s">
        <v>285</v>
      </c>
      <c r="E126" s="76" t="s">
        <v>280</v>
      </c>
      <c r="F126" s="78"/>
      <c r="G126" s="71"/>
      <c r="H126" s="73" t="s">
        <v>286</v>
      </c>
      <c r="I126" s="71"/>
      <c r="J126" s="71"/>
      <c r="K126" s="71"/>
      <c r="L126" s="71" t="s">
        <v>283</v>
      </c>
      <c r="M126" s="71"/>
      <c r="N126" s="71"/>
      <c r="O126" s="71">
        <v>25</v>
      </c>
      <c r="P126" s="73" t="s">
        <v>36</v>
      </c>
      <c r="Q126" s="71">
        <v>10</v>
      </c>
      <c r="R126" s="71"/>
      <c r="S126" s="73" t="s">
        <v>37</v>
      </c>
      <c r="T126" s="71" t="s">
        <v>205</v>
      </c>
      <c r="U126" s="71" t="s">
        <v>39</v>
      </c>
      <c r="V126" s="71"/>
      <c r="W126" s="71">
        <v>1</v>
      </c>
      <c r="X126" s="20" t="s">
        <v>76</v>
      </c>
      <c r="Y126" s="12" t="s">
        <v>39</v>
      </c>
      <c r="Z126" s="12" t="s">
        <v>77</v>
      </c>
    </row>
    <row r="127" spans="1:26" ht="15.75" customHeight="1" x14ac:dyDescent="0.3">
      <c r="A127" s="13"/>
      <c r="B127" s="14" t="s">
        <v>431</v>
      </c>
      <c r="C127" s="14" t="s">
        <v>432</v>
      </c>
      <c r="D127" s="14">
        <v>20069600</v>
      </c>
      <c r="E127" s="17" t="s">
        <v>280</v>
      </c>
      <c r="F127" s="14" t="s">
        <v>433</v>
      </c>
      <c r="G127" s="14"/>
      <c r="H127" s="14" t="s">
        <v>434</v>
      </c>
      <c r="I127" s="14"/>
      <c r="J127" s="14"/>
      <c r="K127" s="14"/>
      <c r="L127" s="14" t="s">
        <v>431</v>
      </c>
      <c r="M127" s="14"/>
      <c r="N127" s="14"/>
      <c r="O127" s="14">
        <v>35</v>
      </c>
      <c r="P127" s="14" t="s">
        <v>275</v>
      </c>
      <c r="Q127" s="14">
        <v>80</v>
      </c>
      <c r="R127" s="14"/>
      <c r="S127" s="14" t="s">
        <v>294</v>
      </c>
      <c r="T127" s="14"/>
      <c r="U127" s="14"/>
      <c r="V127" s="14"/>
      <c r="W127" s="14">
        <v>1</v>
      </c>
      <c r="X127" s="18" t="s">
        <v>76</v>
      </c>
      <c r="Y127" s="12" t="s">
        <v>39</v>
      </c>
      <c r="Z127" s="12" t="s">
        <v>77</v>
      </c>
    </row>
    <row r="128" spans="1:26" ht="15.75" customHeight="1" x14ac:dyDescent="0.3">
      <c r="A128" s="13"/>
      <c r="B128" s="14" t="s">
        <v>431</v>
      </c>
      <c r="C128" s="15" t="s">
        <v>432</v>
      </c>
      <c r="D128" s="14">
        <v>20069600</v>
      </c>
      <c r="E128" s="17" t="s">
        <v>280</v>
      </c>
      <c r="F128" s="14" t="s">
        <v>433</v>
      </c>
      <c r="G128" s="14"/>
      <c r="H128" s="14" t="s">
        <v>434</v>
      </c>
      <c r="I128" s="14"/>
      <c r="J128" s="14"/>
      <c r="K128" s="14"/>
      <c r="L128" s="14" t="s">
        <v>431</v>
      </c>
      <c r="M128" s="14"/>
      <c r="N128" s="14"/>
      <c r="O128" s="14">
        <v>35</v>
      </c>
      <c r="P128" s="14" t="s">
        <v>67</v>
      </c>
      <c r="Q128" s="14">
        <v>80</v>
      </c>
      <c r="R128" s="14"/>
      <c r="S128" s="14" t="s">
        <v>294</v>
      </c>
      <c r="T128" s="14"/>
      <c r="U128" s="14"/>
      <c r="V128" s="14"/>
      <c r="W128" s="14">
        <v>1</v>
      </c>
      <c r="X128" s="18" t="s">
        <v>76</v>
      </c>
      <c r="Y128" s="12" t="s">
        <v>39</v>
      </c>
      <c r="Z128" s="12" t="s">
        <v>77</v>
      </c>
    </row>
    <row r="129" spans="1:26" ht="15.75" customHeight="1" x14ac:dyDescent="0.3">
      <c r="A129" s="13"/>
      <c r="B129" s="14" t="s">
        <v>435</v>
      </c>
      <c r="C129" s="14" t="s">
        <v>436</v>
      </c>
      <c r="D129" s="14">
        <v>20088300</v>
      </c>
      <c r="E129" s="17" t="s">
        <v>280</v>
      </c>
      <c r="F129" s="14"/>
      <c r="G129" s="14"/>
      <c r="H129" s="15" t="s">
        <v>437</v>
      </c>
      <c r="I129" s="14"/>
      <c r="J129" s="14"/>
      <c r="K129" s="14"/>
      <c r="L129" s="14" t="s">
        <v>435</v>
      </c>
      <c r="M129" s="14"/>
      <c r="N129" s="14"/>
      <c r="O129" s="14">
        <v>45</v>
      </c>
      <c r="P129" s="14" t="s">
        <v>67</v>
      </c>
      <c r="Q129" s="14">
        <v>80</v>
      </c>
      <c r="R129" s="14"/>
      <c r="S129" s="14" t="s">
        <v>294</v>
      </c>
      <c r="T129" s="14"/>
      <c r="U129" s="14"/>
      <c r="V129" s="14"/>
      <c r="W129" s="14">
        <v>1</v>
      </c>
      <c r="X129" s="18" t="s">
        <v>76</v>
      </c>
      <c r="Y129" s="12" t="s">
        <v>39</v>
      </c>
      <c r="Z129" s="12" t="s">
        <v>77</v>
      </c>
    </row>
    <row r="130" spans="1:26" ht="15.75" customHeight="1" x14ac:dyDescent="0.3">
      <c r="A130" s="13"/>
      <c r="B130" s="14" t="s">
        <v>277</v>
      </c>
      <c r="C130" s="15" t="s">
        <v>278</v>
      </c>
      <c r="D130" s="16" t="s">
        <v>279</v>
      </c>
      <c r="E130" s="17" t="s">
        <v>280</v>
      </c>
      <c r="F130" s="14"/>
      <c r="G130" s="14"/>
      <c r="H130" s="15" t="s">
        <v>281</v>
      </c>
      <c r="I130" s="14"/>
      <c r="J130" s="14"/>
      <c r="K130" s="14"/>
      <c r="L130" s="14" t="s">
        <v>277</v>
      </c>
      <c r="M130" s="14"/>
      <c r="N130" s="14"/>
      <c r="O130" s="14">
        <v>50</v>
      </c>
      <c r="P130" s="14" t="s">
        <v>67</v>
      </c>
      <c r="Q130" s="14">
        <v>80</v>
      </c>
      <c r="R130" s="14"/>
      <c r="S130" s="14" t="s">
        <v>294</v>
      </c>
      <c r="T130" s="14"/>
      <c r="U130" s="14"/>
      <c r="V130" s="14"/>
      <c r="W130" s="14">
        <v>1</v>
      </c>
      <c r="X130" s="18" t="s">
        <v>76</v>
      </c>
      <c r="Y130" s="12" t="s">
        <v>39</v>
      </c>
      <c r="Z130" s="12" t="s">
        <v>77</v>
      </c>
    </row>
    <row r="131" spans="1:26" ht="15.75" customHeight="1" x14ac:dyDescent="0.3">
      <c r="A131" s="13"/>
      <c r="B131" s="14" t="s">
        <v>438</v>
      </c>
      <c r="C131" s="14" t="s">
        <v>439</v>
      </c>
      <c r="D131" s="16">
        <v>60470500</v>
      </c>
      <c r="E131" s="17" t="s">
        <v>280</v>
      </c>
      <c r="F131" s="14"/>
      <c r="G131" s="14"/>
      <c r="H131" s="15" t="s">
        <v>440</v>
      </c>
      <c r="I131" s="14"/>
      <c r="J131" s="14"/>
      <c r="K131" s="14"/>
      <c r="L131" s="14" t="s">
        <v>438</v>
      </c>
      <c r="M131" s="14"/>
      <c r="N131" s="14"/>
      <c r="O131" s="14">
        <v>30</v>
      </c>
      <c r="P131" s="14" t="s">
        <v>67</v>
      </c>
      <c r="Q131" s="14">
        <v>80</v>
      </c>
      <c r="R131" s="14"/>
      <c r="S131" s="14" t="s">
        <v>294</v>
      </c>
      <c r="T131" s="14"/>
      <c r="U131" s="14"/>
      <c r="V131" s="14"/>
      <c r="W131" s="14">
        <v>1</v>
      </c>
      <c r="X131" s="18" t="s">
        <v>76</v>
      </c>
      <c r="Y131" s="12" t="s">
        <v>39</v>
      </c>
      <c r="Z131" s="12" t="s">
        <v>77</v>
      </c>
    </row>
    <row r="132" spans="1:26" ht="15.75" customHeight="1" x14ac:dyDescent="0.3">
      <c r="A132" s="13"/>
      <c r="B132" s="14" t="s">
        <v>438</v>
      </c>
      <c r="C132" s="14" t="s">
        <v>439</v>
      </c>
      <c r="D132" s="16">
        <v>60470500</v>
      </c>
      <c r="E132" s="17" t="s">
        <v>280</v>
      </c>
      <c r="F132" s="14"/>
      <c r="G132" s="14"/>
      <c r="H132" s="15" t="s">
        <v>440</v>
      </c>
      <c r="I132" s="14"/>
      <c r="J132" s="14"/>
      <c r="K132" s="14"/>
      <c r="L132" s="14" t="s">
        <v>438</v>
      </c>
      <c r="M132" s="14"/>
      <c r="N132" s="14"/>
      <c r="O132" s="14">
        <v>30</v>
      </c>
      <c r="P132" s="14" t="s">
        <v>36</v>
      </c>
      <c r="Q132" s="14">
        <v>80</v>
      </c>
      <c r="R132" s="14"/>
      <c r="S132" s="14" t="s">
        <v>294</v>
      </c>
      <c r="T132" s="14"/>
      <c r="U132" s="14"/>
      <c r="V132" s="14"/>
      <c r="W132" s="14">
        <v>1</v>
      </c>
      <c r="X132" s="18" t="s">
        <v>76</v>
      </c>
      <c r="Y132" s="12" t="s">
        <v>39</v>
      </c>
      <c r="Z132" s="12" t="s">
        <v>77</v>
      </c>
    </row>
    <row r="133" spans="1:26" ht="15.75" customHeight="1" x14ac:dyDescent="0.3">
      <c r="A133" s="31"/>
      <c r="B133" s="21" t="s">
        <v>441</v>
      </c>
      <c r="C133" s="21" t="s">
        <v>442</v>
      </c>
      <c r="D133" s="74" t="s">
        <v>443</v>
      </c>
      <c r="E133" s="17" t="s">
        <v>280</v>
      </c>
      <c r="F133" s="21"/>
      <c r="G133" s="21"/>
      <c r="H133" s="21" t="s">
        <v>444</v>
      </c>
      <c r="I133" s="21"/>
      <c r="J133" s="21"/>
      <c r="K133" s="21"/>
      <c r="L133" s="21" t="s">
        <v>441</v>
      </c>
      <c r="M133" s="21"/>
      <c r="N133" s="21"/>
      <c r="O133" s="21">
        <v>30</v>
      </c>
      <c r="P133" s="21" t="s">
        <v>36</v>
      </c>
      <c r="Q133" s="21">
        <v>80</v>
      </c>
      <c r="R133" s="21"/>
      <c r="S133" s="21" t="s">
        <v>294</v>
      </c>
      <c r="T133" s="21"/>
      <c r="U133" s="21"/>
      <c r="V133" s="21"/>
      <c r="W133" s="21">
        <v>1</v>
      </c>
      <c r="X133" s="32" t="s">
        <v>76</v>
      </c>
      <c r="Y133" s="12" t="s">
        <v>39</v>
      </c>
      <c r="Z133" s="12" t="s">
        <v>77</v>
      </c>
    </row>
    <row r="134" spans="1:26" ht="15.75" customHeight="1" x14ac:dyDescent="0.3">
      <c r="B134" s="33" t="s">
        <v>781</v>
      </c>
      <c r="C134" s="33" t="s">
        <v>782</v>
      </c>
      <c r="D134" s="33">
        <v>61602200</v>
      </c>
      <c r="E134" s="34" t="s">
        <v>43</v>
      </c>
      <c r="F134" s="33" t="s">
        <v>143</v>
      </c>
      <c r="G134" s="33" t="s">
        <v>111</v>
      </c>
      <c r="H134" s="33" t="s">
        <v>783</v>
      </c>
      <c r="I134" s="35"/>
      <c r="J134" s="33" t="s">
        <v>784</v>
      </c>
      <c r="K134" s="33" t="s">
        <v>785</v>
      </c>
      <c r="L134" s="33" t="s">
        <v>781</v>
      </c>
      <c r="M134" s="33" t="s">
        <v>56</v>
      </c>
      <c r="N134" s="33" t="s">
        <v>786</v>
      </c>
      <c r="O134" s="33">
        <v>22</v>
      </c>
      <c r="P134" s="33" t="s">
        <v>36</v>
      </c>
      <c r="Q134" s="33">
        <v>0</v>
      </c>
      <c r="R134" s="33"/>
      <c r="S134" s="33" t="s">
        <v>294</v>
      </c>
      <c r="T134" s="33" t="s">
        <v>75</v>
      </c>
      <c r="U134" s="33" t="s">
        <v>39</v>
      </c>
      <c r="W134" s="76">
        <v>1</v>
      </c>
      <c r="Y134" s="10" t="s">
        <v>39</v>
      </c>
      <c r="Z134" s="10" t="s">
        <v>77</v>
      </c>
    </row>
  </sheetData>
  <autoFilter ref="A1:AD134">
    <sortState ref="A2:AD134">
      <sortCondition ref="W1:W134"/>
    </sortState>
  </autoFilter>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2:M145"/>
  <sheetViews>
    <sheetView workbookViewId="0"/>
  </sheetViews>
  <sheetFormatPr baseColWidth="10" defaultColWidth="14.44140625" defaultRowHeight="15" customHeight="1" x14ac:dyDescent="0.3"/>
  <sheetData>
    <row r="2" spans="2:13" x14ac:dyDescent="0.3">
      <c r="B2" s="36" t="s">
        <v>4</v>
      </c>
      <c r="I2" s="37" t="s">
        <v>787</v>
      </c>
      <c r="J2" s="38"/>
      <c r="K2" s="38"/>
      <c r="L2" s="38"/>
      <c r="M2" s="38"/>
    </row>
    <row r="3" spans="2:13" x14ac:dyDescent="0.3">
      <c r="B3" s="39" t="s">
        <v>788</v>
      </c>
      <c r="I3" s="40" t="s">
        <v>789</v>
      </c>
      <c r="J3" s="40" t="s">
        <v>790</v>
      </c>
      <c r="K3" s="40" t="s">
        <v>791</v>
      </c>
      <c r="L3" s="41" t="s">
        <v>792</v>
      </c>
      <c r="M3" s="41"/>
    </row>
    <row r="4" spans="2:13" x14ac:dyDescent="0.3">
      <c r="B4" s="39" t="s">
        <v>793</v>
      </c>
      <c r="I4" s="42">
        <v>673</v>
      </c>
      <c r="J4" s="42">
        <v>404</v>
      </c>
      <c r="K4" s="42">
        <v>127</v>
      </c>
      <c r="L4" s="42">
        <v>1204</v>
      </c>
      <c r="M4" s="38"/>
    </row>
    <row r="5" spans="2:13" x14ac:dyDescent="0.3">
      <c r="B5" s="39" t="s">
        <v>788</v>
      </c>
      <c r="I5" s="43" t="s">
        <v>794</v>
      </c>
      <c r="J5" s="43" t="s">
        <v>795</v>
      </c>
      <c r="K5" s="38"/>
      <c r="L5" s="38"/>
      <c r="M5" s="38"/>
    </row>
    <row r="6" spans="2:13" x14ac:dyDescent="0.3">
      <c r="B6" s="39" t="s">
        <v>788</v>
      </c>
      <c r="I6" s="42">
        <v>800</v>
      </c>
      <c r="J6" s="42">
        <v>531</v>
      </c>
      <c r="K6" s="38"/>
      <c r="L6" s="38"/>
      <c r="M6" s="38"/>
    </row>
    <row r="7" spans="2:13" x14ac:dyDescent="0.3">
      <c r="B7" s="39" t="s">
        <v>796</v>
      </c>
      <c r="I7" s="38"/>
      <c r="J7" s="38"/>
      <c r="K7" s="38"/>
      <c r="L7" s="38"/>
      <c r="M7" s="38"/>
    </row>
    <row r="8" spans="2:13" x14ac:dyDescent="0.3">
      <c r="B8" s="39" t="s">
        <v>788</v>
      </c>
      <c r="I8" s="37" t="s">
        <v>797</v>
      </c>
      <c r="J8" s="38"/>
      <c r="K8" s="38"/>
      <c r="L8" s="38"/>
      <c r="M8" s="38"/>
    </row>
    <row r="9" spans="2:13" x14ac:dyDescent="0.3">
      <c r="B9" s="39" t="s">
        <v>788</v>
      </c>
      <c r="I9" s="40" t="s">
        <v>789</v>
      </c>
      <c r="J9" s="40" t="s">
        <v>790</v>
      </c>
      <c r="K9" s="40" t="s">
        <v>791</v>
      </c>
      <c r="L9" s="41" t="s">
        <v>792</v>
      </c>
      <c r="M9" s="41"/>
    </row>
    <row r="10" spans="2:13" x14ac:dyDescent="0.3">
      <c r="B10" s="39" t="s">
        <v>788</v>
      </c>
      <c r="I10" s="42">
        <v>869</v>
      </c>
      <c r="J10" s="42">
        <v>407</v>
      </c>
      <c r="K10" s="42">
        <v>126</v>
      </c>
      <c r="L10" s="42">
        <v>1402</v>
      </c>
      <c r="M10" s="38"/>
    </row>
    <row r="11" spans="2:13" x14ac:dyDescent="0.3">
      <c r="B11" s="39" t="s">
        <v>793</v>
      </c>
      <c r="I11" s="43" t="s">
        <v>794</v>
      </c>
      <c r="J11" s="43" t="s">
        <v>795</v>
      </c>
      <c r="K11" s="38"/>
      <c r="L11" s="38"/>
      <c r="M11" s="38"/>
    </row>
    <row r="12" spans="2:13" x14ac:dyDescent="0.3">
      <c r="B12" s="39" t="s">
        <v>796</v>
      </c>
      <c r="I12" s="42">
        <v>995</v>
      </c>
      <c r="J12" s="42">
        <v>533</v>
      </c>
      <c r="K12" s="38"/>
      <c r="L12" s="38"/>
      <c r="M12" s="38"/>
    </row>
    <row r="13" spans="2:13" x14ac:dyDescent="0.3">
      <c r="B13" s="39" t="s">
        <v>788</v>
      </c>
      <c r="I13" s="38"/>
      <c r="J13" s="38"/>
      <c r="K13" s="38"/>
      <c r="L13" s="38"/>
      <c r="M13" s="38"/>
    </row>
    <row r="14" spans="2:13" x14ac:dyDescent="0.3">
      <c r="B14" s="39" t="s">
        <v>793</v>
      </c>
      <c r="I14" s="37" t="s">
        <v>798</v>
      </c>
      <c r="J14" s="38"/>
      <c r="K14" s="38"/>
      <c r="L14" s="38"/>
      <c r="M14" s="38"/>
    </row>
    <row r="15" spans="2:13" x14ac:dyDescent="0.3">
      <c r="B15" s="39" t="s">
        <v>793</v>
      </c>
      <c r="I15" s="41" t="s">
        <v>789</v>
      </c>
      <c r="J15" s="41" t="s">
        <v>790</v>
      </c>
      <c r="K15" s="41" t="s">
        <v>791</v>
      </c>
      <c r="L15" s="41" t="s">
        <v>792</v>
      </c>
      <c r="M15" s="41"/>
    </row>
    <row r="16" spans="2:13" x14ac:dyDescent="0.3">
      <c r="B16" s="39" t="s">
        <v>793</v>
      </c>
      <c r="I16" s="42">
        <v>910</v>
      </c>
      <c r="J16" s="42">
        <v>249</v>
      </c>
      <c r="K16" s="42">
        <v>124</v>
      </c>
      <c r="L16" s="42">
        <v>1283</v>
      </c>
      <c r="M16" s="38"/>
    </row>
    <row r="17" spans="2:13" x14ac:dyDescent="0.3">
      <c r="B17" s="39" t="s">
        <v>796</v>
      </c>
      <c r="I17" s="43" t="s">
        <v>794</v>
      </c>
      <c r="J17" s="43" t="s">
        <v>795</v>
      </c>
      <c r="K17" s="38"/>
      <c r="L17" s="38"/>
      <c r="M17" s="38"/>
    </row>
    <row r="18" spans="2:13" x14ac:dyDescent="0.3">
      <c r="B18" s="39" t="s">
        <v>796</v>
      </c>
      <c r="I18" s="42">
        <v>1034</v>
      </c>
      <c r="J18" s="42">
        <v>373</v>
      </c>
      <c r="K18" s="38"/>
      <c r="L18" s="38"/>
      <c r="M18" s="38"/>
    </row>
    <row r="19" spans="2:13" x14ac:dyDescent="0.3">
      <c r="B19" s="39" t="s">
        <v>793</v>
      </c>
    </row>
    <row r="20" spans="2:13" x14ac:dyDescent="0.3">
      <c r="B20" s="39" t="s">
        <v>796</v>
      </c>
    </row>
    <row r="21" spans="2:13" x14ac:dyDescent="0.3">
      <c r="B21" s="39" t="s">
        <v>796</v>
      </c>
    </row>
    <row r="22" spans="2:13" x14ac:dyDescent="0.3">
      <c r="B22" s="39" t="s">
        <v>796</v>
      </c>
    </row>
    <row r="23" spans="2:13" x14ac:dyDescent="0.3">
      <c r="B23" s="39" t="s">
        <v>793</v>
      </c>
    </row>
    <row r="24" spans="2:13" x14ac:dyDescent="0.3">
      <c r="B24" s="39" t="s">
        <v>799</v>
      </c>
    </row>
    <row r="25" spans="2:13" x14ac:dyDescent="0.3">
      <c r="B25" s="39" t="s">
        <v>793</v>
      </c>
    </row>
    <row r="26" spans="2:13" x14ac:dyDescent="0.3">
      <c r="B26" s="39" t="s">
        <v>796</v>
      </c>
    </row>
    <row r="27" spans="2:13" x14ac:dyDescent="0.3">
      <c r="B27" s="39" t="s">
        <v>796</v>
      </c>
    </row>
    <row r="28" spans="2:13" x14ac:dyDescent="0.3">
      <c r="B28" s="39" t="s">
        <v>793</v>
      </c>
    </row>
    <row r="29" spans="2:13" x14ac:dyDescent="0.3">
      <c r="B29" s="39" t="s">
        <v>796</v>
      </c>
    </row>
    <row r="30" spans="2:13" x14ac:dyDescent="0.3">
      <c r="B30" s="39" t="s">
        <v>793</v>
      </c>
    </row>
    <row r="31" spans="2:13" x14ac:dyDescent="0.3">
      <c r="B31" s="39" t="s">
        <v>788</v>
      </c>
    </row>
    <row r="32" spans="2:13" x14ac:dyDescent="0.3">
      <c r="B32" s="39" t="s">
        <v>799</v>
      </c>
    </row>
    <row r="33" spans="2:2" x14ac:dyDescent="0.3">
      <c r="B33" s="39" t="s">
        <v>796</v>
      </c>
    </row>
    <row r="34" spans="2:2" x14ac:dyDescent="0.3">
      <c r="B34" s="39" t="s">
        <v>793</v>
      </c>
    </row>
    <row r="35" spans="2:2" x14ac:dyDescent="0.3">
      <c r="B35" s="39" t="s">
        <v>796</v>
      </c>
    </row>
    <row r="36" spans="2:2" x14ac:dyDescent="0.3">
      <c r="B36" s="39" t="s">
        <v>796</v>
      </c>
    </row>
    <row r="37" spans="2:2" x14ac:dyDescent="0.3">
      <c r="B37" s="39" t="s">
        <v>796</v>
      </c>
    </row>
    <row r="38" spans="2:2" x14ac:dyDescent="0.3">
      <c r="B38" s="39" t="s">
        <v>793</v>
      </c>
    </row>
    <row r="39" spans="2:2" x14ac:dyDescent="0.3">
      <c r="B39" s="39" t="s">
        <v>788</v>
      </c>
    </row>
    <row r="40" spans="2:2" x14ac:dyDescent="0.3">
      <c r="B40" s="39" t="s">
        <v>793</v>
      </c>
    </row>
    <row r="41" spans="2:2" x14ac:dyDescent="0.3">
      <c r="B41" s="44"/>
    </row>
    <row r="42" spans="2:2" x14ac:dyDescent="0.3">
      <c r="B42" s="44"/>
    </row>
    <row r="43" spans="2:2" x14ac:dyDescent="0.3">
      <c r="B43" s="44"/>
    </row>
    <row r="44" spans="2:2" x14ac:dyDescent="0.3">
      <c r="B44" s="45"/>
    </row>
    <row r="45" spans="2:2" x14ac:dyDescent="0.3">
      <c r="B45" s="39" t="s">
        <v>799</v>
      </c>
    </row>
    <row r="46" spans="2:2" x14ac:dyDescent="0.3">
      <c r="B46" s="39" t="s">
        <v>788</v>
      </c>
    </row>
    <row r="47" spans="2:2" x14ac:dyDescent="0.3">
      <c r="B47" s="39" t="s">
        <v>788</v>
      </c>
    </row>
    <row r="48" spans="2:2" x14ac:dyDescent="0.3">
      <c r="B48" s="39" t="s">
        <v>788</v>
      </c>
    </row>
    <row r="49" spans="2:2" x14ac:dyDescent="0.3">
      <c r="B49" s="39" t="s">
        <v>796</v>
      </c>
    </row>
    <row r="50" spans="2:2" x14ac:dyDescent="0.3">
      <c r="B50" s="44" t="s">
        <v>788</v>
      </c>
    </row>
    <row r="51" spans="2:2" x14ac:dyDescent="0.3">
      <c r="B51" s="39" t="s">
        <v>793</v>
      </c>
    </row>
    <row r="52" spans="2:2" x14ac:dyDescent="0.3">
      <c r="B52" s="39" t="s">
        <v>788</v>
      </c>
    </row>
    <row r="53" spans="2:2" x14ac:dyDescent="0.3">
      <c r="B53" s="39" t="s">
        <v>788</v>
      </c>
    </row>
    <row r="54" spans="2:2" x14ac:dyDescent="0.3">
      <c r="B54" s="39" t="s">
        <v>788</v>
      </c>
    </row>
    <row r="55" spans="2:2" x14ac:dyDescent="0.3">
      <c r="B55" s="39" t="s">
        <v>788</v>
      </c>
    </row>
    <row r="56" spans="2:2" x14ac:dyDescent="0.3">
      <c r="B56" s="39" t="s">
        <v>796</v>
      </c>
    </row>
    <row r="57" spans="2:2" x14ac:dyDescent="0.3">
      <c r="B57" s="39" t="s">
        <v>796</v>
      </c>
    </row>
    <row r="58" spans="2:2" x14ac:dyDescent="0.3">
      <c r="B58" s="39" t="s">
        <v>793</v>
      </c>
    </row>
    <row r="59" spans="2:2" x14ac:dyDescent="0.3">
      <c r="B59" s="39" t="s">
        <v>793</v>
      </c>
    </row>
    <row r="60" spans="2:2" x14ac:dyDescent="0.3">
      <c r="B60" s="39" t="s">
        <v>793</v>
      </c>
    </row>
    <row r="61" spans="2:2" x14ac:dyDescent="0.3">
      <c r="B61" s="39" t="s">
        <v>793</v>
      </c>
    </row>
    <row r="62" spans="2:2" x14ac:dyDescent="0.3">
      <c r="B62" s="39" t="s">
        <v>793</v>
      </c>
    </row>
    <row r="63" spans="2:2" x14ac:dyDescent="0.3">
      <c r="B63" s="39" t="s">
        <v>788</v>
      </c>
    </row>
    <row r="64" spans="2:2" x14ac:dyDescent="0.3">
      <c r="B64" s="39" t="s">
        <v>796</v>
      </c>
    </row>
    <row r="65" spans="2:2" x14ac:dyDescent="0.3">
      <c r="B65" s="39" t="s">
        <v>796</v>
      </c>
    </row>
    <row r="66" spans="2:2" x14ac:dyDescent="0.3">
      <c r="B66" s="39" t="s">
        <v>788</v>
      </c>
    </row>
    <row r="67" spans="2:2" x14ac:dyDescent="0.3">
      <c r="B67" s="39" t="s">
        <v>796</v>
      </c>
    </row>
    <row r="68" spans="2:2" x14ac:dyDescent="0.3">
      <c r="B68" s="39" t="s">
        <v>793</v>
      </c>
    </row>
    <row r="69" spans="2:2" x14ac:dyDescent="0.3">
      <c r="B69" s="39" t="s">
        <v>796</v>
      </c>
    </row>
    <row r="70" spans="2:2" x14ac:dyDescent="0.3">
      <c r="B70" s="44"/>
    </row>
    <row r="71" spans="2:2" x14ac:dyDescent="0.3">
      <c r="B71" s="44"/>
    </row>
    <row r="72" spans="2:2" x14ac:dyDescent="0.3">
      <c r="B72" s="44"/>
    </row>
    <row r="73" spans="2:2" x14ac:dyDescent="0.3">
      <c r="B73" s="44"/>
    </row>
    <row r="74" spans="2:2" x14ac:dyDescent="0.3">
      <c r="B74" s="44"/>
    </row>
    <row r="75" spans="2:2" x14ac:dyDescent="0.3">
      <c r="B75" s="44"/>
    </row>
    <row r="76" spans="2:2" x14ac:dyDescent="0.3">
      <c r="B76" s="44"/>
    </row>
    <row r="77" spans="2:2" x14ac:dyDescent="0.3">
      <c r="B77" s="39" t="s">
        <v>793</v>
      </c>
    </row>
    <row r="78" spans="2:2" x14ac:dyDescent="0.3">
      <c r="B78" s="39" t="s">
        <v>796</v>
      </c>
    </row>
    <row r="79" spans="2:2" x14ac:dyDescent="0.3">
      <c r="B79" s="39" t="s">
        <v>796</v>
      </c>
    </row>
    <row r="80" spans="2:2" x14ac:dyDescent="0.3">
      <c r="B80" s="39" t="s">
        <v>796</v>
      </c>
    </row>
    <row r="81" spans="2:2" x14ac:dyDescent="0.3">
      <c r="B81" s="39" t="s">
        <v>796</v>
      </c>
    </row>
    <row r="82" spans="2:2" x14ac:dyDescent="0.3">
      <c r="B82" s="39" t="s">
        <v>796</v>
      </c>
    </row>
    <row r="83" spans="2:2" x14ac:dyDescent="0.3">
      <c r="B83" s="39" t="s">
        <v>796</v>
      </c>
    </row>
    <row r="84" spans="2:2" x14ac:dyDescent="0.3">
      <c r="B84" s="39" t="s">
        <v>793</v>
      </c>
    </row>
    <row r="85" spans="2:2" x14ac:dyDescent="0.3">
      <c r="B85" s="39" t="s">
        <v>796</v>
      </c>
    </row>
    <row r="86" spans="2:2" x14ac:dyDescent="0.3">
      <c r="B86" s="39" t="s">
        <v>788</v>
      </c>
    </row>
    <row r="87" spans="2:2" x14ac:dyDescent="0.3">
      <c r="B87" s="39" t="s">
        <v>796</v>
      </c>
    </row>
    <row r="88" spans="2:2" x14ac:dyDescent="0.3">
      <c r="B88" s="39" t="s">
        <v>796</v>
      </c>
    </row>
    <row r="89" spans="2:2" x14ac:dyDescent="0.3">
      <c r="B89" s="46" t="s">
        <v>796</v>
      </c>
    </row>
    <row r="90" spans="2:2" x14ac:dyDescent="0.3">
      <c r="B90" s="47" t="s">
        <v>793</v>
      </c>
    </row>
    <row r="91" spans="2:2" x14ac:dyDescent="0.3">
      <c r="B91" s="39" t="s">
        <v>788</v>
      </c>
    </row>
    <row r="92" spans="2:2" x14ac:dyDescent="0.3">
      <c r="B92" s="39" t="s">
        <v>788</v>
      </c>
    </row>
    <row r="93" spans="2:2" x14ac:dyDescent="0.3">
      <c r="B93" s="39" t="s">
        <v>796</v>
      </c>
    </row>
    <row r="94" spans="2:2" x14ac:dyDescent="0.3">
      <c r="B94" s="39" t="s">
        <v>799</v>
      </c>
    </row>
    <row r="95" spans="2:2" x14ac:dyDescent="0.3">
      <c r="B95" s="39" t="s">
        <v>793</v>
      </c>
    </row>
    <row r="96" spans="2:2" x14ac:dyDescent="0.3">
      <c r="B96" s="39" t="s">
        <v>788</v>
      </c>
    </row>
    <row r="97" spans="2:2" x14ac:dyDescent="0.3">
      <c r="B97" s="39" t="s">
        <v>796</v>
      </c>
    </row>
    <row r="98" spans="2:2" x14ac:dyDescent="0.3">
      <c r="B98" s="39" t="s">
        <v>788</v>
      </c>
    </row>
    <row r="99" spans="2:2" x14ac:dyDescent="0.3">
      <c r="B99" s="39" t="s">
        <v>788</v>
      </c>
    </row>
    <row r="100" spans="2:2" x14ac:dyDescent="0.3">
      <c r="B100" s="39" t="s">
        <v>788</v>
      </c>
    </row>
    <row r="101" spans="2:2" x14ac:dyDescent="0.3">
      <c r="B101" s="39" t="s">
        <v>788</v>
      </c>
    </row>
    <row r="102" spans="2:2" x14ac:dyDescent="0.3">
      <c r="B102" s="39" t="s">
        <v>788</v>
      </c>
    </row>
    <row r="103" spans="2:2" x14ac:dyDescent="0.3">
      <c r="B103" s="39" t="s">
        <v>788</v>
      </c>
    </row>
    <row r="104" spans="2:2" x14ac:dyDescent="0.3">
      <c r="B104" s="39" t="s">
        <v>788</v>
      </c>
    </row>
    <row r="105" spans="2:2" x14ac:dyDescent="0.3">
      <c r="B105" s="39" t="s">
        <v>788</v>
      </c>
    </row>
    <row r="106" spans="2:2" x14ac:dyDescent="0.3">
      <c r="B106" s="39" t="s">
        <v>788</v>
      </c>
    </row>
    <row r="107" spans="2:2" x14ac:dyDescent="0.3">
      <c r="B107" s="39" t="s">
        <v>788</v>
      </c>
    </row>
    <row r="108" spans="2:2" x14ac:dyDescent="0.3">
      <c r="B108" s="39" t="s">
        <v>796</v>
      </c>
    </row>
    <row r="109" spans="2:2" x14ac:dyDescent="0.3">
      <c r="B109" s="39" t="s">
        <v>796</v>
      </c>
    </row>
    <row r="110" spans="2:2" x14ac:dyDescent="0.3">
      <c r="B110" s="39" t="s">
        <v>796</v>
      </c>
    </row>
    <row r="111" spans="2:2" x14ac:dyDescent="0.3">
      <c r="B111" s="39" t="s">
        <v>793</v>
      </c>
    </row>
    <row r="112" spans="2:2" x14ac:dyDescent="0.3">
      <c r="B112" s="39" t="s">
        <v>793</v>
      </c>
    </row>
    <row r="113" spans="2:2" x14ac:dyDescent="0.3">
      <c r="B113" s="39" t="s">
        <v>796</v>
      </c>
    </row>
    <row r="114" spans="2:2" x14ac:dyDescent="0.3">
      <c r="B114" s="39" t="s">
        <v>800</v>
      </c>
    </row>
    <row r="115" spans="2:2" x14ac:dyDescent="0.3">
      <c r="B115" s="39" t="s">
        <v>800</v>
      </c>
    </row>
    <row r="116" spans="2:2" x14ac:dyDescent="0.3">
      <c r="B116" s="39" t="s">
        <v>800</v>
      </c>
    </row>
    <row r="117" spans="2:2" x14ac:dyDescent="0.3">
      <c r="B117" s="39" t="s">
        <v>796</v>
      </c>
    </row>
    <row r="118" spans="2:2" x14ac:dyDescent="0.3">
      <c r="B118" s="39" t="s">
        <v>796</v>
      </c>
    </row>
    <row r="119" spans="2:2" x14ac:dyDescent="0.3">
      <c r="B119" s="39" t="s">
        <v>788</v>
      </c>
    </row>
    <row r="120" spans="2:2" x14ac:dyDescent="0.3">
      <c r="B120" s="39" t="s">
        <v>799</v>
      </c>
    </row>
    <row r="121" spans="2:2" x14ac:dyDescent="0.3">
      <c r="B121" s="39" t="s">
        <v>788</v>
      </c>
    </row>
    <row r="122" spans="2:2" x14ac:dyDescent="0.3">
      <c r="B122" s="39" t="s">
        <v>796</v>
      </c>
    </row>
    <row r="123" spans="2:2" x14ac:dyDescent="0.3">
      <c r="B123" s="39" t="s">
        <v>793</v>
      </c>
    </row>
    <row r="124" spans="2:2" x14ac:dyDescent="0.3">
      <c r="B124" s="39" t="s">
        <v>793</v>
      </c>
    </row>
    <row r="125" spans="2:2" x14ac:dyDescent="0.3">
      <c r="B125" s="39" t="s">
        <v>793</v>
      </c>
    </row>
    <row r="126" spans="2:2" x14ac:dyDescent="0.3">
      <c r="B126" s="39" t="s">
        <v>801</v>
      </c>
    </row>
    <row r="127" spans="2:2" x14ac:dyDescent="0.3">
      <c r="B127" s="39" t="s">
        <v>788</v>
      </c>
    </row>
    <row r="128" spans="2:2" x14ac:dyDescent="0.3">
      <c r="B128" s="39" t="s">
        <v>788</v>
      </c>
    </row>
    <row r="129" spans="2:5" x14ac:dyDescent="0.3">
      <c r="B129" s="39" t="s">
        <v>796</v>
      </c>
    </row>
    <row r="130" spans="2:5" x14ac:dyDescent="0.3">
      <c r="B130" s="39" t="s">
        <v>796</v>
      </c>
    </row>
    <row r="131" spans="2:5" x14ac:dyDescent="0.3">
      <c r="B131" s="39" t="s">
        <v>802</v>
      </c>
    </row>
    <row r="132" spans="2:5" x14ac:dyDescent="0.3">
      <c r="B132" s="39" t="s">
        <v>793</v>
      </c>
    </row>
    <row r="133" spans="2:5" x14ac:dyDescent="0.3">
      <c r="B133" s="39" t="s">
        <v>793</v>
      </c>
    </row>
    <row r="134" spans="2:5" x14ac:dyDescent="0.3">
      <c r="B134" s="45" t="s">
        <v>799</v>
      </c>
    </row>
    <row r="135" spans="2:5" x14ac:dyDescent="0.3">
      <c r="B135" s="48" t="s">
        <v>793</v>
      </c>
    </row>
    <row r="137" spans="2:5" x14ac:dyDescent="0.3">
      <c r="B137" s="49">
        <v>10</v>
      </c>
      <c r="C137" s="8" t="s">
        <v>796</v>
      </c>
      <c r="D137" s="8" t="s">
        <v>61</v>
      </c>
      <c r="E137" s="8"/>
    </row>
    <row r="138" spans="2:5" x14ac:dyDescent="0.3">
      <c r="B138" s="49">
        <v>5</v>
      </c>
      <c r="C138" s="8" t="s">
        <v>801</v>
      </c>
      <c r="D138" s="8" t="s">
        <v>730</v>
      </c>
      <c r="E138" s="8"/>
    </row>
    <row r="139" spans="2:5" x14ac:dyDescent="0.3">
      <c r="B139" s="49">
        <v>1</v>
      </c>
      <c r="C139" s="8" t="s">
        <v>788</v>
      </c>
      <c r="D139" s="8" t="s">
        <v>28</v>
      </c>
      <c r="E139" s="8"/>
    </row>
    <row r="140" spans="2:5" x14ac:dyDescent="0.3">
      <c r="B140" s="49">
        <v>2</v>
      </c>
      <c r="C140" s="8" t="s">
        <v>799</v>
      </c>
      <c r="D140" s="8" t="s">
        <v>176</v>
      </c>
      <c r="E140" s="8"/>
    </row>
    <row r="141" spans="2:5" x14ac:dyDescent="0.3">
      <c r="B141" s="49">
        <v>9</v>
      </c>
      <c r="C141" s="8" t="s">
        <v>793</v>
      </c>
      <c r="D141" s="8" t="s">
        <v>43</v>
      </c>
      <c r="E141" s="8"/>
    </row>
    <row r="142" spans="2:5" x14ac:dyDescent="0.3">
      <c r="B142" s="49">
        <v>3</v>
      </c>
      <c r="C142" s="8" t="s">
        <v>803</v>
      </c>
      <c r="D142" s="8" t="s">
        <v>804</v>
      </c>
      <c r="E142" s="8"/>
    </row>
    <row r="143" spans="2:5" x14ac:dyDescent="0.3">
      <c r="B143" s="49">
        <v>4</v>
      </c>
      <c r="C143" s="8" t="s">
        <v>805</v>
      </c>
      <c r="D143" s="8" t="s">
        <v>806</v>
      </c>
      <c r="E143" s="8"/>
    </row>
    <row r="144" spans="2:5" x14ac:dyDescent="0.3">
      <c r="B144" s="49">
        <v>13</v>
      </c>
      <c r="C144" s="8" t="s">
        <v>802</v>
      </c>
      <c r="D144" s="8" t="s">
        <v>762</v>
      </c>
      <c r="E144" s="8"/>
    </row>
    <row r="145" spans="2:5" x14ac:dyDescent="0.3">
      <c r="B145" s="49">
        <v>11</v>
      </c>
      <c r="C145" s="8" t="s">
        <v>807</v>
      </c>
      <c r="D145" s="8" t="s">
        <v>808</v>
      </c>
      <c r="E145" s="8"/>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01"/>
  <sheetViews>
    <sheetView topLeftCell="A3" workbookViewId="0"/>
  </sheetViews>
  <sheetFormatPr baseColWidth="10" defaultColWidth="14.44140625" defaultRowHeight="15" customHeight="1" x14ac:dyDescent="0.3"/>
  <cols>
    <col min="1" max="2" width="8.6640625" customWidth="1"/>
    <col min="3" max="3" width="30.109375" customWidth="1"/>
    <col min="4" max="19" width="8.6640625" customWidth="1"/>
    <col min="20" max="20" width="29.44140625" customWidth="1"/>
    <col min="21" max="30" width="8.6640625" customWidth="1"/>
  </cols>
  <sheetData>
    <row r="1" spans="1:30" ht="14.4" x14ac:dyDescent="0.3">
      <c r="A1" s="50"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15</v>
      </c>
      <c r="Q1" s="50" t="s">
        <v>16</v>
      </c>
      <c r="R1" s="50" t="s">
        <v>17</v>
      </c>
      <c r="S1" s="50" t="s">
        <v>18</v>
      </c>
      <c r="T1" s="50" t="s">
        <v>19</v>
      </c>
      <c r="U1" s="50" t="s">
        <v>20</v>
      </c>
      <c r="V1" s="50" t="s">
        <v>21</v>
      </c>
      <c r="W1" s="50" t="s">
        <v>22</v>
      </c>
    </row>
    <row r="2" spans="1:30" ht="14.4" x14ac:dyDescent="0.3">
      <c r="A2" s="51">
        <v>46100.718526539349</v>
      </c>
      <c r="B2" s="52" t="s">
        <v>493</v>
      </c>
      <c r="C2" s="52" t="s">
        <v>494</v>
      </c>
      <c r="D2" s="53">
        <v>20148300</v>
      </c>
      <c r="E2" s="52" t="s">
        <v>788</v>
      </c>
      <c r="F2" s="52" t="s">
        <v>809</v>
      </c>
      <c r="G2" s="52" t="s">
        <v>45</v>
      </c>
      <c r="H2" s="52" t="s">
        <v>496</v>
      </c>
      <c r="I2" s="53">
        <v>28165460</v>
      </c>
      <c r="J2" s="52" t="s">
        <v>810</v>
      </c>
      <c r="K2" s="52" t="s">
        <v>811</v>
      </c>
      <c r="L2" s="52" t="s">
        <v>493</v>
      </c>
      <c r="M2" s="52" t="s">
        <v>83</v>
      </c>
      <c r="N2" s="52" t="s">
        <v>812</v>
      </c>
      <c r="O2" s="53">
        <v>35</v>
      </c>
      <c r="P2" s="52" t="s">
        <v>67</v>
      </c>
      <c r="Q2" s="53">
        <v>10</v>
      </c>
      <c r="R2" s="52" t="s">
        <v>500</v>
      </c>
      <c r="S2" s="52" t="s">
        <v>37</v>
      </c>
      <c r="T2" s="52" t="s">
        <v>205</v>
      </c>
      <c r="U2" s="52" t="s">
        <v>39</v>
      </c>
      <c r="V2" s="52" t="s">
        <v>813</v>
      </c>
      <c r="W2" s="53">
        <v>7</v>
      </c>
      <c r="X2" s="54" t="s">
        <v>207</v>
      </c>
      <c r="Y2" s="52"/>
      <c r="Z2" s="52"/>
      <c r="AA2" s="52"/>
      <c r="AB2" s="52"/>
      <c r="AC2" s="52"/>
      <c r="AD2" s="52"/>
    </row>
    <row r="3" spans="1:30" ht="14.4" x14ac:dyDescent="0.3">
      <c r="A3" s="51">
        <v>46100.705285428237</v>
      </c>
      <c r="B3" s="52" t="s">
        <v>493</v>
      </c>
      <c r="C3" s="52" t="s">
        <v>494</v>
      </c>
      <c r="D3" s="53">
        <v>20148300</v>
      </c>
      <c r="E3" s="52" t="s">
        <v>788</v>
      </c>
      <c r="F3" s="52" t="s">
        <v>809</v>
      </c>
      <c r="G3" s="52" t="s">
        <v>45</v>
      </c>
      <c r="H3" s="52" t="s">
        <v>496</v>
      </c>
      <c r="I3" s="53">
        <v>28165460</v>
      </c>
      <c r="J3" s="52" t="s">
        <v>814</v>
      </c>
      <c r="K3" s="52" t="s">
        <v>810</v>
      </c>
      <c r="L3" s="52" t="s">
        <v>493</v>
      </c>
      <c r="M3" s="52" t="s">
        <v>83</v>
      </c>
      <c r="N3" s="52" t="s">
        <v>815</v>
      </c>
      <c r="O3" s="53">
        <v>35</v>
      </c>
      <c r="P3" s="52" t="s">
        <v>67</v>
      </c>
      <c r="Q3" s="53">
        <v>10</v>
      </c>
      <c r="R3" s="52" t="s">
        <v>500</v>
      </c>
      <c r="S3" s="52" t="s">
        <v>37</v>
      </c>
      <c r="T3" s="52" t="s">
        <v>75</v>
      </c>
      <c r="U3" s="52" t="s">
        <v>39</v>
      </c>
      <c r="V3" s="52" t="s">
        <v>816</v>
      </c>
      <c r="W3" s="53">
        <v>7</v>
      </c>
      <c r="X3" s="54" t="s">
        <v>76</v>
      </c>
      <c r="Y3" s="52"/>
      <c r="Z3" s="52"/>
      <c r="AA3" s="52"/>
      <c r="AB3" s="52"/>
      <c r="AC3" s="52"/>
      <c r="AD3" s="52"/>
    </row>
    <row r="4" spans="1:30" ht="14.4" x14ac:dyDescent="0.3">
      <c r="A4" s="55">
        <v>46099.638452766201</v>
      </c>
      <c r="B4" s="56" t="s">
        <v>306</v>
      </c>
      <c r="C4" s="56" t="s">
        <v>817</v>
      </c>
      <c r="D4" s="57">
        <v>61029200</v>
      </c>
      <c r="E4" s="56" t="s">
        <v>788</v>
      </c>
      <c r="F4" s="56" t="s">
        <v>308</v>
      </c>
      <c r="G4" s="56" t="s">
        <v>30</v>
      </c>
      <c r="H4" s="56" t="s">
        <v>818</v>
      </c>
      <c r="I4" s="57">
        <v>31135654</v>
      </c>
      <c r="J4" s="56" t="s">
        <v>819</v>
      </c>
      <c r="K4" s="56" t="s">
        <v>820</v>
      </c>
      <c r="L4" s="56" t="s">
        <v>306</v>
      </c>
      <c r="M4" s="56" t="s">
        <v>56</v>
      </c>
      <c r="N4" s="56" t="s">
        <v>821</v>
      </c>
      <c r="O4" s="57">
        <v>35</v>
      </c>
      <c r="P4" s="56" t="s">
        <v>313</v>
      </c>
      <c r="Q4" s="57">
        <v>60</v>
      </c>
      <c r="R4" s="56" t="s">
        <v>822</v>
      </c>
      <c r="S4" s="56" t="s">
        <v>294</v>
      </c>
      <c r="T4" s="56" t="s">
        <v>38</v>
      </c>
      <c r="U4" s="56" t="s">
        <v>39</v>
      </c>
      <c r="V4" s="56" t="s">
        <v>823</v>
      </c>
      <c r="W4" s="57">
        <v>1</v>
      </c>
      <c r="X4" s="58" t="s">
        <v>40</v>
      </c>
      <c r="Y4" s="52"/>
      <c r="Z4" s="52"/>
      <c r="AA4" s="52"/>
      <c r="AB4" s="52"/>
      <c r="AC4" s="52"/>
      <c r="AD4" s="52"/>
    </row>
    <row r="5" spans="1:30" ht="14.4" x14ac:dyDescent="0.3">
      <c r="A5" s="59">
        <v>46100.708382303237</v>
      </c>
      <c r="B5" s="60" t="s">
        <v>493</v>
      </c>
      <c r="C5" s="60" t="s">
        <v>494</v>
      </c>
      <c r="D5" s="61">
        <v>20148300</v>
      </c>
      <c r="E5" s="60" t="s">
        <v>788</v>
      </c>
      <c r="F5" s="60" t="s">
        <v>809</v>
      </c>
      <c r="G5" s="60" t="s">
        <v>45</v>
      </c>
      <c r="H5" s="60" t="s">
        <v>496</v>
      </c>
      <c r="I5" s="61">
        <v>28165460</v>
      </c>
      <c r="J5" s="60" t="s">
        <v>814</v>
      </c>
      <c r="K5" s="60" t="s">
        <v>824</v>
      </c>
      <c r="L5" s="60" t="s">
        <v>493</v>
      </c>
      <c r="M5" s="60" t="s">
        <v>83</v>
      </c>
      <c r="N5" s="60" t="s">
        <v>812</v>
      </c>
      <c r="O5" s="61">
        <v>35</v>
      </c>
      <c r="P5" s="60" t="s">
        <v>67</v>
      </c>
      <c r="Q5" s="61">
        <v>10</v>
      </c>
      <c r="R5" s="60" t="s">
        <v>500</v>
      </c>
      <c r="S5" s="60" t="s">
        <v>294</v>
      </c>
      <c r="T5" s="60" t="s">
        <v>75</v>
      </c>
      <c r="U5" s="60" t="s">
        <v>39</v>
      </c>
      <c r="V5" s="60" t="s">
        <v>825</v>
      </c>
      <c r="W5" s="61">
        <v>7</v>
      </c>
      <c r="X5" s="62" t="s">
        <v>76</v>
      </c>
      <c r="Y5" s="63"/>
      <c r="Z5" s="63"/>
      <c r="AA5" s="63"/>
      <c r="AB5" s="63"/>
      <c r="AC5" s="63"/>
      <c r="AD5" s="63"/>
    </row>
    <row r="6" spans="1:30" ht="14.4" x14ac:dyDescent="0.3">
      <c r="A6" s="64">
        <v>46101.646371875002</v>
      </c>
      <c r="B6" s="7" t="s">
        <v>283</v>
      </c>
      <c r="C6" s="7" t="s">
        <v>284</v>
      </c>
      <c r="D6" s="7">
        <v>61924800</v>
      </c>
      <c r="E6" s="7" t="s">
        <v>788</v>
      </c>
      <c r="F6" s="7" t="s">
        <v>70</v>
      </c>
      <c r="G6" s="7" t="s">
        <v>45</v>
      </c>
      <c r="H6" s="7" t="s">
        <v>286</v>
      </c>
      <c r="I6" s="7">
        <v>32311580</v>
      </c>
      <c r="J6" s="7" t="s">
        <v>826</v>
      </c>
      <c r="L6" s="7" t="s">
        <v>283</v>
      </c>
      <c r="M6" s="7" t="s">
        <v>56</v>
      </c>
      <c r="N6" s="7" t="s">
        <v>57</v>
      </c>
      <c r="O6" s="7">
        <v>35</v>
      </c>
      <c r="P6" s="7" t="s">
        <v>36</v>
      </c>
      <c r="Q6" s="7">
        <v>30</v>
      </c>
      <c r="R6" s="7" t="s">
        <v>827</v>
      </c>
      <c r="S6" s="7" t="s">
        <v>515</v>
      </c>
      <c r="T6" s="7" t="s">
        <v>75</v>
      </c>
      <c r="U6" s="7" t="s">
        <v>39</v>
      </c>
      <c r="W6" s="7">
        <v>2</v>
      </c>
    </row>
    <row r="7" spans="1:30" ht="14.4" x14ac:dyDescent="0.3">
      <c r="A7" s="64">
        <v>46101.653347106483</v>
      </c>
      <c r="B7" s="7" t="s">
        <v>283</v>
      </c>
      <c r="C7" s="7" t="s">
        <v>284</v>
      </c>
      <c r="D7" s="7">
        <v>61924800</v>
      </c>
      <c r="E7" s="7" t="s">
        <v>788</v>
      </c>
      <c r="F7" s="7" t="s">
        <v>149</v>
      </c>
      <c r="G7" s="7" t="s">
        <v>45</v>
      </c>
      <c r="H7" s="7" t="s">
        <v>286</v>
      </c>
      <c r="I7" s="7">
        <v>32311580</v>
      </c>
      <c r="J7" s="7" t="s">
        <v>828</v>
      </c>
      <c r="L7" s="7" t="s">
        <v>283</v>
      </c>
      <c r="M7" s="7" t="s">
        <v>56</v>
      </c>
      <c r="N7" s="7" t="s">
        <v>57</v>
      </c>
      <c r="O7" s="7">
        <v>25</v>
      </c>
      <c r="P7" s="7" t="s">
        <v>36</v>
      </c>
      <c r="Q7" s="7">
        <v>40</v>
      </c>
      <c r="R7" s="7" t="s">
        <v>829</v>
      </c>
      <c r="S7" s="7" t="s">
        <v>515</v>
      </c>
      <c r="T7" s="7" t="s">
        <v>75</v>
      </c>
      <c r="U7" s="7" t="s">
        <v>39</v>
      </c>
      <c r="W7" s="7">
        <v>2</v>
      </c>
    </row>
    <row r="8" spans="1:30" ht="14.4" x14ac:dyDescent="0.3">
      <c r="A8" s="64">
        <v>46102.494343032413</v>
      </c>
      <c r="B8" s="7" t="s">
        <v>287</v>
      </c>
      <c r="C8" s="7" t="s">
        <v>830</v>
      </c>
      <c r="D8" s="7">
        <v>20105100</v>
      </c>
      <c r="E8" s="7" t="s">
        <v>799</v>
      </c>
      <c r="F8" s="7" t="s">
        <v>177</v>
      </c>
      <c r="G8" s="7" t="s">
        <v>30</v>
      </c>
      <c r="H8" s="7" t="s">
        <v>777</v>
      </c>
      <c r="I8" s="7">
        <v>23148853</v>
      </c>
      <c r="J8" s="7" t="s">
        <v>831</v>
      </c>
      <c r="K8" s="7" t="s">
        <v>832</v>
      </c>
      <c r="L8" s="7" t="s">
        <v>287</v>
      </c>
      <c r="M8" s="7" t="s">
        <v>83</v>
      </c>
      <c r="N8" s="7" t="s">
        <v>780</v>
      </c>
      <c r="O8" s="7">
        <v>25</v>
      </c>
      <c r="P8" s="7" t="s">
        <v>36</v>
      </c>
      <c r="Q8" s="7">
        <v>20</v>
      </c>
      <c r="S8" s="7" t="s">
        <v>515</v>
      </c>
      <c r="T8" s="7" t="s">
        <v>75</v>
      </c>
      <c r="U8" s="7" t="s">
        <v>39</v>
      </c>
      <c r="V8" s="7" t="s">
        <v>833</v>
      </c>
      <c r="W8" s="7">
        <v>2</v>
      </c>
    </row>
    <row r="9" spans="1:30" ht="14.4" x14ac:dyDescent="0.3">
      <c r="A9" s="64">
        <v>46100.522768402778</v>
      </c>
      <c r="B9" s="7" t="s">
        <v>614</v>
      </c>
      <c r="C9" s="7" t="s">
        <v>615</v>
      </c>
      <c r="D9" s="7">
        <v>2006490</v>
      </c>
      <c r="E9" s="7" t="s">
        <v>788</v>
      </c>
      <c r="F9" s="7" t="s">
        <v>616</v>
      </c>
      <c r="G9" s="7" t="s">
        <v>30</v>
      </c>
      <c r="H9" s="7" t="s">
        <v>617</v>
      </c>
      <c r="I9" s="7">
        <v>29135308</v>
      </c>
      <c r="J9" s="7" t="s">
        <v>618</v>
      </c>
      <c r="K9" s="7" t="s">
        <v>834</v>
      </c>
      <c r="L9" s="7" t="s">
        <v>614</v>
      </c>
      <c r="M9" s="7" t="s">
        <v>83</v>
      </c>
      <c r="N9" s="7" t="s">
        <v>620</v>
      </c>
      <c r="O9" s="7">
        <v>30</v>
      </c>
      <c r="P9" s="7" t="s">
        <v>67</v>
      </c>
      <c r="Q9" s="7">
        <v>80</v>
      </c>
      <c r="R9" s="7" t="s">
        <v>835</v>
      </c>
      <c r="S9" s="7" t="s">
        <v>515</v>
      </c>
      <c r="T9" s="7" t="s">
        <v>75</v>
      </c>
      <c r="U9" s="7" t="s">
        <v>39</v>
      </c>
      <c r="W9" s="7">
        <v>3</v>
      </c>
    </row>
    <row r="10" spans="1:30" ht="14.4" x14ac:dyDescent="0.3">
      <c r="A10" s="64">
        <v>46100.525419884259</v>
      </c>
      <c r="B10" s="7" t="s">
        <v>614</v>
      </c>
      <c r="C10" s="7" t="s">
        <v>615</v>
      </c>
      <c r="D10" s="7">
        <v>2006490</v>
      </c>
      <c r="E10" s="7" t="s">
        <v>788</v>
      </c>
      <c r="F10" s="7" t="s">
        <v>616</v>
      </c>
      <c r="G10" s="7" t="s">
        <v>30</v>
      </c>
      <c r="H10" s="7" t="s">
        <v>617</v>
      </c>
      <c r="I10" s="7">
        <v>29135308</v>
      </c>
      <c r="J10" s="7" t="s">
        <v>618</v>
      </c>
      <c r="K10" s="7" t="s">
        <v>619</v>
      </c>
      <c r="L10" s="7" t="s">
        <v>614</v>
      </c>
      <c r="M10" s="7" t="s">
        <v>83</v>
      </c>
      <c r="N10" s="7" t="s">
        <v>620</v>
      </c>
      <c r="O10" s="7">
        <v>30</v>
      </c>
      <c r="P10" s="7" t="s">
        <v>67</v>
      </c>
      <c r="Q10" s="7">
        <v>80</v>
      </c>
      <c r="R10" s="7" t="s">
        <v>836</v>
      </c>
      <c r="S10" s="7" t="s">
        <v>515</v>
      </c>
      <c r="T10" s="7" t="s">
        <v>75</v>
      </c>
      <c r="U10" s="7" t="s">
        <v>39</v>
      </c>
      <c r="W10" s="7">
        <v>3</v>
      </c>
    </row>
    <row r="11" spans="1:30" ht="14.4" x14ac:dyDescent="0.3">
      <c r="A11" s="64">
        <v>46100.415508356476</v>
      </c>
      <c r="B11" s="7" t="s">
        <v>602</v>
      </c>
      <c r="C11" s="7" t="s">
        <v>837</v>
      </c>
      <c r="D11" s="7">
        <v>20097600</v>
      </c>
      <c r="E11" s="7" t="s">
        <v>793</v>
      </c>
      <c r="F11" s="7" t="s">
        <v>185</v>
      </c>
      <c r="G11" s="7" t="s">
        <v>111</v>
      </c>
      <c r="H11" s="7" t="s">
        <v>838</v>
      </c>
      <c r="I11" s="7">
        <v>35352270</v>
      </c>
      <c r="J11" s="7" t="s">
        <v>839</v>
      </c>
      <c r="K11" s="7" t="s">
        <v>840</v>
      </c>
      <c r="L11" s="7" t="s">
        <v>602</v>
      </c>
      <c r="M11" s="7" t="s">
        <v>83</v>
      </c>
      <c r="N11" s="7" t="s">
        <v>841</v>
      </c>
      <c r="O11" s="7">
        <v>25</v>
      </c>
      <c r="P11" s="7" t="s">
        <v>36</v>
      </c>
      <c r="Q11" s="7">
        <v>0</v>
      </c>
      <c r="S11" s="7" t="s">
        <v>515</v>
      </c>
      <c r="T11" s="7" t="s">
        <v>75</v>
      </c>
      <c r="U11" s="7" t="s">
        <v>39</v>
      </c>
      <c r="W11" s="7">
        <v>4</v>
      </c>
    </row>
    <row r="12" spans="1:30" ht="14.4" x14ac:dyDescent="0.3">
      <c r="A12" s="64">
        <v>46100.326745324077</v>
      </c>
      <c r="B12" s="7" t="s">
        <v>607</v>
      </c>
      <c r="C12" s="7" t="s">
        <v>608</v>
      </c>
      <c r="D12" s="7">
        <v>20294400</v>
      </c>
      <c r="E12" s="7" t="s">
        <v>793</v>
      </c>
      <c r="F12" s="7" t="s">
        <v>842</v>
      </c>
      <c r="G12" s="7" t="s">
        <v>45</v>
      </c>
      <c r="H12" s="7" t="s">
        <v>610</v>
      </c>
      <c r="I12" s="7">
        <v>25559684</v>
      </c>
      <c r="J12" s="7" t="s">
        <v>612</v>
      </c>
      <c r="K12" s="7" t="s">
        <v>611</v>
      </c>
      <c r="L12" s="7" t="s">
        <v>607</v>
      </c>
      <c r="M12" s="7" t="s">
        <v>83</v>
      </c>
      <c r="N12" s="7" t="s">
        <v>613</v>
      </c>
      <c r="O12" s="7">
        <v>35</v>
      </c>
      <c r="P12" s="7" t="s">
        <v>36</v>
      </c>
      <c r="Q12" s="7">
        <v>0</v>
      </c>
      <c r="S12" s="7" t="s">
        <v>515</v>
      </c>
      <c r="T12" s="7" t="s">
        <v>75</v>
      </c>
      <c r="U12" s="7" t="s">
        <v>39</v>
      </c>
      <c r="W12" s="7">
        <v>4</v>
      </c>
    </row>
    <row r="13" spans="1:30" ht="14.4" x14ac:dyDescent="0.3">
      <c r="A13" s="64">
        <v>46099.875392858798</v>
      </c>
      <c r="B13" s="7" t="s">
        <v>843</v>
      </c>
      <c r="C13" s="7" t="s">
        <v>584</v>
      </c>
      <c r="D13" s="7">
        <v>61123600</v>
      </c>
      <c r="E13" s="7" t="s">
        <v>796</v>
      </c>
      <c r="F13" s="7" t="s">
        <v>844</v>
      </c>
      <c r="G13" s="7" t="s">
        <v>45</v>
      </c>
      <c r="H13" s="7" t="s">
        <v>845</v>
      </c>
      <c r="I13" s="7">
        <v>27332520</v>
      </c>
      <c r="J13" s="7" t="s">
        <v>846</v>
      </c>
      <c r="K13" s="7" t="s">
        <v>847</v>
      </c>
      <c r="L13" s="7" t="s">
        <v>843</v>
      </c>
      <c r="M13" s="7" t="s">
        <v>91</v>
      </c>
      <c r="N13" s="7" t="s">
        <v>589</v>
      </c>
      <c r="O13" s="7">
        <v>35</v>
      </c>
      <c r="P13" s="7" t="s">
        <v>36</v>
      </c>
      <c r="Q13" s="7">
        <v>0</v>
      </c>
      <c r="S13" s="7" t="s">
        <v>515</v>
      </c>
      <c r="T13" s="7" t="s">
        <v>75</v>
      </c>
      <c r="U13" s="7" t="s">
        <v>39</v>
      </c>
      <c r="W13" s="7">
        <v>4</v>
      </c>
    </row>
    <row r="14" spans="1:30" ht="14.4" x14ac:dyDescent="0.3">
      <c r="A14" s="64">
        <v>46100.745235902781</v>
      </c>
      <c r="B14" s="7" t="s">
        <v>654</v>
      </c>
      <c r="C14" s="7" t="s">
        <v>655</v>
      </c>
      <c r="D14" s="7">
        <v>201019</v>
      </c>
      <c r="E14" s="7" t="s">
        <v>796</v>
      </c>
      <c r="F14" s="7" t="s">
        <v>318</v>
      </c>
      <c r="G14" s="7" t="s">
        <v>45</v>
      </c>
      <c r="H14" s="7" t="s">
        <v>657</v>
      </c>
      <c r="I14" s="7">
        <v>34224672</v>
      </c>
      <c r="J14" s="7" t="s">
        <v>658</v>
      </c>
      <c r="K14" s="7" t="s">
        <v>659</v>
      </c>
      <c r="L14" s="7" t="s">
        <v>654</v>
      </c>
      <c r="M14" s="7" t="s">
        <v>83</v>
      </c>
      <c r="N14" s="7" t="s">
        <v>577</v>
      </c>
      <c r="O14" s="7">
        <v>18</v>
      </c>
      <c r="P14" s="7" t="s">
        <v>36</v>
      </c>
      <c r="Q14" s="7">
        <v>20</v>
      </c>
      <c r="S14" s="7" t="s">
        <v>515</v>
      </c>
      <c r="T14" s="7" t="s">
        <v>75</v>
      </c>
      <c r="U14" s="7" t="s">
        <v>39</v>
      </c>
      <c r="W14" s="7">
        <v>4</v>
      </c>
    </row>
    <row r="15" spans="1:30" ht="14.4" x14ac:dyDescent="0.3">
      <c r="A15" s="64">
        <v>46101.349317604167</v>
      </c>
      <c r="B15" s="7" t="s">
        <v>679</v>
      </c>
      <c r="C15" s="7" t="s">
        <v>848</v>
      </c>
      <c r="D15" s="7">
        <v>20120900</v>
      </c>
      <c r="E15" s="7" t="s">
        <v>796</v>
      </c>
      <c r="F15" s="7" t="s">
        <v>844</v>
      </c>
      <c r="G15" s="7" t="s">
        <v>45</v>
      </c>
      <c r="H15" s="7" t="s">
        <v>849</v>
      </c>
      <c r="I15" s="7">
        <v>36070514</v>
      </c>
      <c r="J15" s="7" t="s">
        <v>850</v>
      </c>
      <c r="K15" s="7" t="s">
        <v>851</v>
      </c>
      <c r="L15" s="7" t="s">
        <v>679</v>
      </c>
      <c r="M15" s="7" t="s">
        <v>83</v>
      </c>
      <c r="N15" s="7" t="s">
        <v>852</v>
      </c>
      <c r="O15" s="7">
        <v>18</v>
      </c>
      <c r="P15" s="7" t="s">
        <v>67</v>
      </c>
      <c r="Q15" s="7">
        <v>55</v>
      </c>
      <c r="S15" s="7" t="s">
        <v>515</v>
      </c>
      <c r="T15" s="7" t="s">
        <v>75</v>
      </c>
      <c r="U15" s="7" t="s">
        <v>39</v>
      </c>
      <c r="W15" s="7">
        <v>6</v>
      </c>
    </row>
    <row r="16" spans="1:30" ht="14.4" x14ac:dyDescent="0.3">
      <c r="A16" s="64">
        <v>46099.590155717589</v>
      </c>
      <c r="B16" s="7" t="s">
        <v>693</v>
      </c>
      <c r="C16" s="7" t="s">
        <v>694</v>
      </c>
      <c r="D16" s="7">
        <v>60794100</v>
      </c>
      <c r="E16" s="7" t="s">
        <v>788</v>
      </c>
      <c r="F16" s="7" t="s">
        <v>476</v>
      </c>
      <c r="G16" s="7" t="s">
        <v>45</v>
      </c>
      <c r="H16" s="7" t="s">
        <v>695</v>
      </c>
      <c r="I16" s="7">
        <v>32254788</v>
      </c>
      <c r="J16" s="7" t="s">
        <v>853</v>
      </c>
      <c r="K16" s="7" t="s">
        <v>697</v>
      </c>
      <c r="L16" s="7" t="s">
        <v>693</v>
      </c>
      <c r="M16" s="7" t="s">
        <v>34</v>
      </c>
      <c r="N16" s="7" t="s">
        <v>698</v>
      </c>
      <c r="O16" s="7">
        <v>35</v>
      </c>
      <c r="P16" s="7" t="s">
        <v>67</v>
      </c>
      <c r="Q16" s="7">
        <v>0</v>
      </c>
      <c r="S16" s="7" t="s">
        <v>515</v>
      </c>
      <c r="T16" s="7" t="s">
        <v>75</v>
      </c>
      <c r="U16" s="7" t="s">
        <v>39</v>
      </c>
      <c r="W16" s="7">
        <v>7</v>
      </c>
    </row>
    <row r="17" spans="1:30" ht="14.4" x14ac:dyDescent="0.3">
      <c r="A17" s="64">
        <v>46102.342252210648</v>
      </c>
      <c r="B17" s="7" t="s">
        <v>699</v>
      </c>
      <c r="C17" s="7" t="s">
        <v>854</v>
      </c>
      <c r="D17" s="7">
        <v>20307500</v>
      </c>
      <c r="E17" s="7" t="s">
        <v>799</v>
      </c>
      <c r="F17" s="7" t="s">
        <v>701</v>
      </c>
      <c r="G17" s="7" t="s">
        <v>30</v>
      </c>
      <c r="H17" s="7" t="s">
        <v>702</v>
      </c>
      <c r="I17" s="7">
        <v>94250011</v>
      </c>
      <c r="J17" s="7" t="s">
        <v>703</v>
      </c>
      <c r="K17" s="7" t="s">
        <v>704</v>
      </c>
      <c r="L17" s="7" t="s">
        <v>699</v>
      </c>
      <c r="M17" s="7" t="s">
        <v>83</v>
      </c>
      <c r="N17" s="7" t="s">
        <v>352</v>
      </c>
      <c r="O17" s="7">
        <v>20</v>
      </c>
      <c r="P17" s="7" t="s">
        <v>67</v>
      </c>
      <c r="Q17" s="7">
        <v>3</v>
      </c>
      <c r="S17" s="7" t="s">
        <v>515</v>
      </c>
      <c r="T17" s="7" t="s">
        <v>75</v>
      </c>
      <c r="U17" s="7" t="s">
        <v>39</v>
      </c>
      <c r="W17" s="7">
        <v>7</v>
      </c>
    </row>
    <row r="18" spans="1:30" ht="14.4" x14ac:dyDescent="0.3">
      <c r="A18" s="64">
        <v>46101.272388865742</v>
      </c>
      <c r="B18" s="7" t="s">
        <v>699</v>
      </c>
      <c r="C18" s="7" t="s">
        <v>855</v>
      </c>
      <c r="D18" s="7">
        <v>20307500</v>
      </c>
      <c r="E18" s="7" t="s">
        <v>799</v>
      </c>
      <c r="F18" s="7" t="s">
        <v>701</v>
      </c>
      <c r="G18" s="7" t="s">
        <v>30</v>
      </c>
      <c r="H18" s="7" t="s">
        <v>702</v>
      </c>
      <c r="I18" s="7">
        <v>94250011</v>
      </c>
      <c r="J18" s="7" t="s">
        <v>703</v>
      </c>
      <c r="K18" s="7" t="s">
        <v>704</v>
      </c>
      <c r="L18" s="7" t="s">
        <v>699</v>
      </c>
      <c r="M18" s="7" t="s">
        <v>83</v>
      </c>
      <c r="N18" s="7" t="s">
        <v>352</v>
      </c>
      <c r="O18" s="7">
        <v>23</v>
      </c>
      <c r="P18" s="7" t="s">
        <v>67</v>
      </c>
      <c r="Q18" s="7">
        <v>3</v>
      </c>
      <c r="S18" s="7" t="s">
        <v>515</v>
      </c>
      <c r="T18" s="7" t="s">
        <v>75</v>
      </c>
      <c r="U18" s="7" t="s">
        <v>39</v>
      </c>
      <c r="W18" s="7">
        <v>7</v>
      </c>
    </row>
    <row r="19" spans="1:30" ht="14.4" x14ac:dyDescent="0.3">
      <c r="A19" s="64">
        <v>46100.692930578713</v>
      </c>
      <c r="B19" s="7" t="s">
        <v>699</v>
      </c>
      <c r="C19" s="7" t="s">
        <v>855</v>
      </c>
      <c r="D19" s="7">
        <v>20307500</v>
      </c>
      <c r="E19" s="7" t="s">
        <v>799</v>
      </c>
      <c r="F19" s="7" t="s">
        <v>701</v>
      </c>
      <c r="G19" s="7" t="s">
        <v>30</v>
      </c>
      <c r="H19" s="7" t="s">
        <v>702</v>
      </c>
      <c r="I19" s="7">
        <v>94250011</v>
      </c>
      <c r="J19" s="7" t="s">
        <v>856</v>
      </c>
      <c r="K19" s="7" t="s">
        <v>704</v>
      </c>
      <c r="L19" s="7" t="s">
        <v>699</v>
      </c>
      <c r="M19" s="7" t="s">
        <v>83</v>
      </c>
      <c r="N19" s="7" t="s">
        <v>352</v>
      </c>
      <c r="O19" s="7">
        <v>20</v>
      </c>
      <c r="P19" s="7" t="s">
        <v>67</v>
      </c>
      <c r="Q19" s="7">
        <v>3</v>
      </c>
      <c r="S19" s="7" t="s">
        <v>515</v>
      </c>
      <c r="T19" s="7" t="s">
        <v>75</v>
      </c>
      <c r="U19" s="7" t="s">
        <v>39</v>
      </c>
      <c r="W19" s="7">
        <v>7</v>
      </c>
    </row>
    <row r="20" spans="1:30" ht="14.4" x14ac:dyDescent="0.3">
      <c r="A20" s="64">
        <v>46100.714292777768</v>
      </c>
      <c r="B20" s="7" t="s">
        <v>493</v>
      </c>
      <c r="C20" s="7" t="s">
        <v>494</v>
      </c>
      <c r="D20" s="7">
        <v>20148300</v>
      </c>
      <c r="E20" s="7" t="s">
        <v>788</v>
      </c>
      <c r="F20" s="7" t="s">
        <v>495</v>
      </c>
      <c r="G20" s="7" t="s">
        <v>45</v>
      </c>
      <c r="H20" s="7" t="s">
        <v>496</v>
      </c>
      <c r="I20" s="7">
        <v>28165460</v>
      </c>
      <c r="J20" s="7" t="s">
        <v>814</v>
      </c>
      <c r="K20" s="7" t="s">
        <v>811</v>
      </c>
      <c r="L20" s="7" t="s">
        <v>493</v>
      </c>
      <c r="M20" s="7" t="s">
        <v>83</v>
      </c>
      <c r="N20" s="7" t="s">
        <v>812</v>
      </c>
      <c r="O20" s="7">
        <v>35</v>
      </c>
      <c r="P20" s="7" t="s">
        <v>67</v>
      </c>
      <c r="Q20" s="7">
        <v>10</v>
      </c>
      <c r="R20" s="7" t="s">
        <v>500</v>
      </c>
      <c r="S20" s="7" t="s">
        <v>515</v>
      </c>
      <c r="T20" s="7" t="s">
        <v>75</v>
      </c>
      <c r="U20" s="7" t="s">
        <v>39</v>
      </c>
      <c r="V20" s="7" t="s">
        <v>857</v>
      </c>
      <c r="W20" s="7">
        <v>7</v>
      </c>
    </row>
    <row r="21" spans="1:30" ht="14.4" x14ac:dyDescent="0.3">
      <c r="A21" s="64">
        <v>46100.327944814817</v>
      </c>
      <c r="B21" s="7" t="s">
        <v>705</v>
      </c>
      <c r="C21" s="7" t="s">
        <v>858</v>
      </c>
      <c r="D21" s="7">
        <v>20041500</v>
      </c>
      <c r="E21" s="7" t="s">
        <v>788</v>
      </c>
      <c r="F21" s="7" t="s">
        <v>707</v>
      </c>
      <c r="G21" s="7" t="s">
        <v>45</v>
      </c>
      <c r="H21" s="7" t="s">
        <v>708</v>
      </c>
      <c r="I21" s="7">
        <v>36200336</v>
      </c>
      <c r="J21" s="7" t="s">
        <v>709</v>
      </c>
      <c r="L21" s="7" t="s">
        <v>705</v>
      </c>
      <c r="M21" s="7" t="s">
        <v>83</v>
      </c>
      <c r="N21" s="7" t="s">
        <v>188</v>
      </c>
      <c r="O21" s="7">
        <v>31</v>
      </c>
      <c r="P21" s="7" t="s">
        <v>67</v>
      </c>
      <c r="Q21" s="7">
        <v>20</v>
      </c>
      <c r="R21" s="7" t="s">
        <v>859</v>
      </c>
      <c r="S21" s="7" t="s">
        <v>515</v>
      </c>
      <c r="T21" s="7" t="s">
        <v>75</v>
      </c>
      <c r="U21" s="7" t="s">
        <v>39</v>
      </c>
      <c r="W21" s="7">
        <v>7</v>
      </c>
    </row>
    <row r="22" spans="1:30" ht="14.4" x14ac:dyDescent="0.3">
      <c r="A22" s="64">
        <v>46100.647403993047</v>
      </c>
      <c r="B22" s="7" t="s">
        <v>860</v>
      </c>
      <c r="C22" s="7" t="s">
        <v>861</v>
      </c>
      <c r="D22" s="7">
        <v>20116900</v>
      </c>
      <c r="E22" s="7" t="s">
        <v>801</v>
      </c>
      <c r="F22" s="7" t="s">
        <v>862</v>
      </c>
      <c r="G22" s="7" t="s">
        <v>30</v>
      </c>
      <c r="H22" s="7" t="s">
        <v>863</v>
      </c>
      <c r="I22" s="7">
        <v>26988638</v>
      </c>
      <c r="J22" s="7" t="s">
        <v>863</v>
      </c>
      <c r="K22" s="7" t="s">
        <v>864</v>
      </c>
      <c r="L22" s="7" t="s">
        <v>860</v>
      </c>
      <c r="M22" s="7" t="s">
        <v>83</v>
      </c>
      <c r="N22" s="7" t="s">
        <v>865</v>
      </c>
      <c r="O22" s="7">
        <v>35</v>
      </c>
      <c r="P22" s="7" t="s">
        <v>275</v>
      </c>
      <c r="Q22" s="7">
        <v>70</v>
      </c>
      <c r="S22" s="7" t="s">
        <v>515</v>
      </c>
      <c r="T22" s="7" t="s">
        <v>75</v>
      </c>
      <c r="U22" s="7" t="s">
        <v>39</v>
      </c>
      <c r="W22" s="7">
        <v>8</v>
      </c>
    </row>
    <row r="23" spans="1:30" ht="14.4" x14ac:dyDescent="0.3">
      <c r="A23" s="64">
        <v>46099.59810541667</v>
      </c>
      <c r="B23" s="7" t="s">
        <v>866</v>
      </c>
      <c r="C23" s="7" t="s">
        <v>867</v>
      </c>
      <c r="D23" s="7">
        <v>60794100</v>
      </c>
      <c r="E23" s="7" t="s">
        <v>788</v>
      </c>
      <c r="F23" s="7" t="s">
        <v>868</v>
      </c>
      <c r="G23" s="7" t="s">
        <v>45</v>
      </c>
      <c r="H23" s="7" t="s">
        <v>869</v>
      </c>
      <c r="I23" s="7">
        <v>94306556</v>
      </c>
      <c r="J23" s="7" t="s">
        <v>870</v>
      </c>
      <c r="K23" s="7" t="s">
        <v>871</v>
      </c>
      <c r="L23" s="7" t="s">
        <v>866</v>
      </c>
      <c r="M23" s="7" t="s">
        <v>34</v>
      </c>
      <c r="N23" s="7" t="s">
        <v>872</v>
      </c>
      <c r="O23" s="7">
        <v>35</v>
      </c>
      <c r="P23" s="7" t="s">
        <v>275</v>
      </c>
      <c r="Q23" s="7">
        <v>0</v>
      </c>
      <c r="S23" s="7" t="s">
        <v>515</v>
      </c>
      <c r="T23" s="7" t="s">
        <v>75</v>
      </c>
      <c r="U23" s="7" t="s">
        <v>39</v>
      </c>
      <c r="W23" s="7">
        <v>8</v>
      </c>
    </row>
    <row r="24" spans="1:30" ht="15.75" customHeight="1" x14ac:dyDescent="0.3">
      <c r="A24" s="64">
        <v>46100.52803908565</v>
      </c>
      <c r="B24" s="7" t="s">
        <v>711</v>
      </c>
      <c r="C24" s="7" t="s">
        <v>712</v>
      </c>
      <c r="D24" s="7">
        <v>20134600</v>
      </c>
      <c r="E24" s="7" t="s">
        <v>793</v>
      </c>
      <c r="F24" s="7" t="s">
        <v>375</v>
      </c>
      <c r="G24" s="7" t="s">
        <v>111</v>
      </c>
      <c r="H24" s="7" t="s">
        <v>713</v>
      </c>
      <c r="I24" s="7">
        <v>37018138</v>
      </c>
      <c r="J24" s="7" t="s">
        <v>714</v>
      </c>
      <c r="L24" s="7" t="s">
        <v>711</v>
      </c>
      <c r="M24" s="7" t="s">
        <v>83</v>
      </c>
      <c r="N24" s="7" t="s">
        <v>715</v>
      </c>
      <c r="O24" s="7">
        <v>17</v>
      </c>
      <c r="P24" s="7" t="s">
        <v>275</v>
      </c>
      <c r="Q24" s="7">
        <v>0</v>
      </c>
      <c r="S24" s="7" t="s">
        <v>515</v>
      </c>
      <c r="T24" s="7" t="s">
        <v>75</v>
      </c>
      <c r="U24" s="7" t="s">
        <v>39</v>
      </c>
      <c r="W24" s="7">
        <v>8</v>
      </c>
    </row>
    <row r="25" spans="1:30" ht="15.75" customHeight="1" x14ac:dyDescent="0.3">
      <c r="A25" s="59">
        <v>46100.738641041673</v>
      </c>
      <c r="B25" s="60" t="s">
        <v>493</v>
      </c>
      <c r="C25" s="60" t="s">
        <v>494</v>
      </c>
      <c r="D25" s="61">
        <v>20148300</v>
      </c>
      <c r="E25" s="60" t="s">
        <v>788</v>
      </c>
      <c r="F25" s="60" t="s">
        <v>873</v>
      </c>
      <c r="G25" s="60" t="s">
        <v>45</v>
      </c>
      <c r="H25" s="60" t="s">
        <v>496</v>
      </c>
      <c r="I25" s="61">
        <v>28165460</v>
      </c>
      <c r="J25" s="60" t="s">
        <v>498</v>
      </c>
      <c r="K25" s="60" t="s">
        <v>811</v>
      </c>
      <c r="L25" s="60" t="s">
        <v>493</v>
      </c>
      <c r="M25" s="60" t="s">
        <v>83</v>
      </c>
      <c r="N25" s="60" t="s">
        <v>812</v>
      </c>
      <c r="O25" s="61">
        <v>35</v>
      </c>
      <c r="P25" s="60" t="s">
        <v>67</v>
      </c>
      <c r="Q25" s="61">
        <v>10</v>
      </c>
      <c r="R25" s="60" t="s">
        <v>500</v>
      </c>
      <c r="S25" s="60" t="s">
        <v>515</v>
      </c>
      <c r="T25" s="60" t="s">
        <v>205</v>
      </c>
      <c r="U25" s="60" t="s">
        <v>39</v>
      </c>
      <c r="V25" s="60" t="s">
        <v>874</v>
      </c>
      <c r="W25" s="61">
        <v>7</v>
      </c>
      <c r="X25" s="62" t="s">
        <v>207</v>
      </c>
      <c r="Y25" s="52"/>
      <c r="Z25" s="52"/>
      <c r="AA25" s="52"/>
      <c r="AB25" s="52"/>
      <c r="AC25" s="52"/>
      <c r="AD25" s="52"/>
    </row>
    <row r="26" spans="1:30" ht="15.75" customHeight="1" x14ac:dyDescent="0.3">
      <c r="A26" s="65">
        <v>46099.653042835649</v>
      </c>
      <c r="B26" s="66" t="s">
        <v>875</v>
      </c>
      <c r="C26" s="66" t="s">
        <v>876</v>
      </c>
      <c r="D26" s="66">
        <v>201297</v>
      </c>
      <c r="E26" s="66" t="s">
        <v>788</v>
      </c>
      <c r="F26" s="66" t="s">
        <v>877</v>
      </c>
      <c r="G26" s="66" t="s">
        <v>30</v>
      </c>
      <c r="H26" s="66" t="s">
        <v>878</v>
      </c>
      <c r="I26" s="66">
        <v>34135845</v>
      </c>
      <c r="J26" s="66" t="s">
        <v>878</v>
      </c>
      <c r="K26" s="66"/>
      <c r="L26" s="66" t="s">
        <v>875</v>
      </c>
      <c r="M26" s="66" t="s">
        <v>83</v>
      </c>
      <c r="N26" s="66" t="s">
        <v>173</v>
      </c>
      <c r="O26" s="66">
        <v>35</v>
      </c>
      <c r="P26" s="66" t="s">
        <v>36</v>
      </c>
      <c r="Q26" s="66">
        <v>20</v>
      </c>
      <c r="R26" s="66"/>
      <c r="S26" s="66" t="s">
        <v>37</v>
      </c>
      <c r="T26" s="66" t="s">
        <v>75</v>
      </c>
      <c r="U26" s="66" t="s">
        <v>39</v>
      </c>
      <c r="V26" s="66" t="s">
        <v>879</v>
      </c>
      <c r="W26" s="66">
        <v>2</v>
      </c>
      <c r="X26" s="67" t="s">
        <v>76</v>
      </c>
      <c r="Y26" s="66"/>
      <c r="Z26" s="66"/>
      <c r="AA26" s="66"/>
      <c r="AB26" s="66"/>
      <c r="AC26" s="66"/>
      <c r="AD26" s="66"/>
    </row>
    <row r="27" spans="1:30" ht="15.75" customHeight="1" x14ac:dyDescent="0.3">
      <c r="A27" s="65">
        <v>46100.67856385417</v>
      </c>
      <c r="B27" s="66" t="s">
        <v>880</v>
      </c>
      <c r="C27" s="66" t="s">
        <v>881</v>
      </c>
      <c r="D27" s="66">
        <v>60571800</v>
      </c>
      <c r="E27" s="66" t="s">
        <v>793</v>
      </c>
      <c r="F27" s="66" t="s">
        <v>117</v>
      </c>
      <c r="G27" s="66" t="s">
        <v>45</v>
      </c>
      <c r="H27" s="66" t="s">
        <v>882</v>
      </c>
      <c r="I27" s="66">
        <v>35944364</v>
      </c>
      <c r="J27" s="66" t="s">
        <v>883</v>
      </c>
      <c r="K27" s="66" t="s">
        <v>884</v>
      </c>
      <c r="L27" s="66" t="s">
        <v>885</v>
      </c>
      <c r="M27" s="66" t="s">
        <v>34</v>
      </c>
      <c r="N27" s="66" t="s">
        <v>886</v>
      </c>
      <c r="O27" s="66">
        <v>30</v>
      </c>
      <c r="P27" s="66" t="s">
        <v>36</v>
      </c>
      <c r="Q27" s="66">
        <v>50</v>
      </c>
      <c r="R27" s="66"/>
      <c r="S27" s="66" t="s">
        <v>294</v>
      </c>
      <c r="T27" s="66" t="s">
        <v>75</v>
      </c>
      <c r="U27" s="66" t="s">
        <v>39</v>
      </c>
      <c r="V27" s="66"/>
      <c r="W27" s="66">
        <v>1</v>
      </c>
      <c r="X27" s="67" t="s">
        <v>76</v>
      </c>
      <c r="Y27" s="66"/>
      <c r="Z27" s="66"/>
      <c r="AA27" s="66"/>
      <c r="AB27" s="66"/>
      <c r="AC27" s="66"/>
      <c r="AD27" s="66"/>
    </row>
    <row r="28" spans="1:30" ht="15.75" customHeight="1" x14ac:dyDescent="0.3">
      <c r="A28" s="6">
        <v>46100.642633298608</v>
      </c>
      <c r="B28" s="7" t="s">
        <v>860</v>
      </c>
      <c r="C28" s="7" t="s">
        <v>887</v>
      </c>
      <c r="D28" s="7">
        <v>20116900</v>
      </c>
      <c r="E28" s="7" t="s">
        <v>801</v>
      </c>
      <c r="F28" s="7" t="s">
        <v>888</v>
      </c>
      <c r="G28" s="7" t="s">
        <v>30</v>
      </c>
      <c r="H28" s="7" t="s">
        <v>863</v>
      </c>
      <c r="I28" s="7">
        <v>26988638</v>
      </c>
      <c r="J28" s="7" t="s">
        <v>863</v>
      </c>
      <c r="K28" s="7" t="s">
        <v>864</v>
      </c>
      <c r="L28" s="7" t="s">
        <v>860</v>
      </c>
      <c r="M28" s="7" t="s">
        <v>83</v>
      </c>
      <c r="N28" s="7" t="s">
        <v>889</v>
      </c>
      <c r="O28" s="7">
        <v>35</v>
      </c>
      <c r="P28" s="7" t="s">
        <v>275</v>
      </c>
      <c r="Q28" s="7">
        <v>70</v>
      </c>
      <c r="S28" s="7" t="s">
        <v>294</v>
      </c>
      <c r="T28" s="7" t="s">
        <v>75</v>
      </c>
      <c r="U28" s="7" t="s">
        <v>39</v>
      </c>
      <c r="W28" s="7">
        <v>8</v>
      </c>
      <c r="X28" s="9" t="s">
        <v>76</v>
      </c>
      <c r="AA28" s="7" t="s">
        <v>890</v>
      </c>
    </row>
    <row r="29" spans="1:30" ht="15.75" customHeight="1" x14ac:dyDescent="0.3">
      <c r="A29" s="6">
        <v>46100.636994756947</v>
      </c>
      <c r="B29" s="7" t="s">
        <v>860</v>
      </c>
      <c r="C29" s="7" t="s">
        <v>861</v>
      </c>
      <c r="D29" s="7">
        <v>20116900</v>
      </c>
      <c r="E29" s="7" t="s">
        <v>801</v>
      </c>
      <c r="F29" s="7" t="s">
        <v>888</v>
      </c>
      <c r="G29" s="7" t="s">
        <v>30</v>
      </c>
      <c r="H29" s="7" t="s">
        <v>891</v>
      </c>
      <c r="I29" s="7">
        <v>26988638</v>
      </c>
      <c r="J29" s="7" t="s">
        <v>864</v>
      </c>
      <c r="K29" s="7" t="s">
        <v>892</v>
      </c>
      <c r="L29" s="7" t="s">
        <v>860</v>
      </c>
      <c r="M29" s="7" t="s">
        <v>83</v>
      </c>
      <c r="N29" s="7" t="s">
        <v>889</v>
      </c>
      <c r="O29" s="7">
        <v>35</v>
      </c>
      <c r="P29" s="7" t="s">
        <v>67</v>
      </c>
      <c r="Q29" s="7">
        <v>70</v>
      </c>
      <c r="S29" s="7" t="s">
        <v>515</v>
      </c>
      <c r="T29" s="7" t="s">
        <v>75</v>
      </c>
      <c r="U29" s="7" t="s">
        <v>39</v>
      </c>
      <c r="W29" s="7">
        <v>3</v>
      </c>
      <c r="X29" s="9" t="s">
        <v>76</v>
      </c>
      <c r="AA29" s="7" t="s">
        <v>890</v>
      </c>
    </row>
    <row r="30" spans="1:30" ht="15.75" customHeight="1" x14ac:dyDescent="0.3">
      <c r="A30" s="6">
        <v>46099.655522106477</v>
      </c>
      <c r="B30" s="7" t="s">
        <v>875</v>
      </c>
      <c r="C30" s="7" t="s">
        <v>893</v>
      </c>
      <c r="D30" s="7">
        <v>200866</v>
      </c>
      <c r="E30" s="7" t="s">
        <v>788</v>
      </c>
      <c r="F30" s="7" t="s">
        <v>894</v>
      </c>
      <c r="G30" s="7" t="s">
        <v>30</v>
      </c>
      <c r="H30" s="7" t="s">
        <v>878</v>
      </c>
      <c r="I30" s="7">
        <v>34135845</v>
      </c>
      <c r="J30" s="7" t="s">
        <v>878</v>
      </c>
      <c r="L30" s="7" t="s">
        <v>875</v>
      </c>
      <c r="M30" s="7" t="s">
        <v>83</v>
      </c>
      <c r="N30" s="7" t="s">
        <v>84</v>
      </c>
      <c r="O30" s="7">
        <v>35</v>
      </c>
      <c r="P30" s="7" t="s">
        <v>36</v>
      </c>
      <c r="Q30" s="7">
        <v>20</v>
      </c>
      <c r="S30" s="7" t="s">
        <v>37</v>
      </c>
      <c r="T30" s="7" t="s">
        <v>75</v>
      </c>
      <c r="U30" s="7" t="s">
        <v>39</v>
      </c>
      <c r="V30" s="7" t="s">
        <v>879</v>
      </c>
      <c r="W30" s="7">
        <v>2</v>
      </c>
      <c r="X30" s="9" t="s">
        <v>76</v>
      </c>
      <c r="AA30" s="7" t="s">
        <v>890</v>
      </c>
    </row>
    <row r="31" spans="1:30" ht="15.75" customHeight="1" x14ac:dyDescent="0.3">
      <c r="A31" s="51">
        <v>46099.603140069441</v>
      </c>
      <c r="B31" s="52" t="s">
        <v>895</v>
      </c>
      <c r="C31" s="52" t="s">
        <v>459</v>
      </c>
      <c r="D31" s="53">
        <v>605413</v>
      </c>
      <c r="E31" s="52" t="s">
        <v>793</v>
      </c>
      <c r="F31" s="52" t="s">
        <v>169</v>
      </c>
      <c r="G31" s="52" t="s">
        <v>45</v>
      </c>
      <c r="H31" s="52" t="s">
        <v>896</v>
      </c>
      <c r="I31" s="53">
        <v>34963625</v>
      </c>
      <c r="J31" s="52" t="s">
        <v>897</v>
      </c>
      <c r="K31" s="52" t="s">
        <v>898</v>
      </c>
      <c r="L31" s="52" t="s">
        <v>899</v>
      </c>
      <c r="M31" s="52" t="s">
        <v>56</v>
      </c>
      <c r="N31" s="52" t="s">
        <v>900</v>
      </c>
      <c r="O31" s="53">
        <v>31</v>
      </c>
      <c r="P31" s="52" t="s">
        <v>36</v>
      </c>
      <c r="Q31" s="53">
        <v>5</v>
      </c>
      <c r="R31" s="52" t="s">
        <v>901</v>
      </c>
      <c r="S31" s="52" t="s">
        <v>37</v>
      </c>
      <c r="T31" s="52" t="s">
        <v>75</v>
      </c>
      <c r="U31" s="52" t="s">
        <v>39</v>
      </c>
      <c r="V31" s="52" t="s">
        <v>902</v>
      </c>
      <c r="W31" s="53">
        <v>4</v>
      </c>
      <c r="X31" s="54" t="s">
        <v>76</v>
      </c>
      <c r="Y31" s="52"/>
      <c r="Z31" s="53">
        <f>SUMIF(X57:X101,"turno mañana (9:00 a 12.30 hs.)",O57:O101)</f>
        <v>0</v>
      </c>
      <c r="AA31" s="53">
        <f>SUMIF(X57:X101,"turno tarde (12.30 a 16:00 hs.)",O57:O101)</f>
        <v>0</v>
      </c>
      <c r="AB31" s="53">
        <f>SUMIF(X57:X101,"turno completo (9:00 a 16.00 hs.)",O57:O101)</f>
        <v>0</v>
      </c>
      <c r="AC31" s="53">
        <f>SUM(Z31:AB31)</f>
        <v>0</v>
      </c>
      <c r="AD31" s="52"/>
    </row>
    <row r="32" spans="1:30" ht="15.75" customHeight="1" x14ac:dyDescent="0.3">
      <c r="A32" s="51">
        <v>46099.60621820602</v>
      </c>
      <c r="B32" s="52" t="s">
        <v>895</v>
      </c>
      <c r="C32" s="52" t="s">
        <v>459</v>
      </c>
      <c r="D32" s="53">
        <v>605413</v>
      </c>
      <c r="E32" s="52" t="s">
        <v>805</v>
      </c>
      <c r="F32" s="52" t="s">
        <v>903</v>
      </c>
      <c r="G32" s="52" t="s">
        <v>45</v>
      </c>
      <c r="H32" s="52" t="s">
        <v>896</v>
      </c>
      <c r="I32" s="53">
        <v>34963625</v>
      </c>
      <c r="J32" s="52" t="s">
        <v>897</v>
      </c>
      <c r="K32" s="52" t="s">
        <v>898</v>
      </c>
      <c r="L32" s="52" t="s">
        <v>895</v>
      </c>
      <c r="M32" s="52" t="s">
        <v>56</v>
      </c>
      <c r="N32" s="52" t="s">
        <v>900</v>
      </c>
      <c r="O32" s="53">
        <v>24</v>
      </c>
      <c r="P32" s="52" t="s">
        <v>36</v>
      </c>
      <c r="Q32" s="53">
        <v>5</v>
      </c>
      <c r="R32" s="52" t="s">
        <v>901</v>
      </c>
      <c r="S32" s="52" t="s">
        <v>37</v>
      </c>
      <c r="T32" s="52" t="s">
        <v>75</v>
      </c>
      <c r="U32" s="52" t="s">
        <v>39</v>
      </c>
      <c r="V32" s="52" t="s">
        <v>902</v>
      </c>
      <c r="W32" s="53">
        <v>4</v>
      </c>
      <c r="X32" s="54" t="s">
        <v>76</v>
      </c>
      <c r="Y32" s="52"/>
      <c r="Z32" s="68" t="s">
        <v>794</v>
      </c>
      <c r="AA32" s="68" t="s">
        <v>795</v>
      </c>
      <c r="AB32" s="52"/>
      <c r="AC32" s="52"/>
      <c r="AD32" s="52"/>
    </row>
    <row r="33" spans="1:30" ht="15.75" customHeight="1" x14ac:dyDescent="0.3">
      <c r="A33" s="65">
        <v>46099.954131921288</v>
      </c>
      <c r="B33" s="66" t="s">
        <v>904</v>
      </c>
      <c r="C33" s="66" t="s">
        <v>905</v>
      </c>
      <c r="D33" s="66">
        <v>60521800</v>
      </c>
      <c r="E33" s="66" t="s">
        <v>801</v>
      </c>
      <c r="F33" s="66" t="s">
        <v>906</v>
      </c>
      <c r="G33" s="66" t="s">
        <v>30</v>
      </c>
      <c r="H33" s="66" t="s">
        <v>907</v>
      </c>
      <c r="I33" s="66">
        <v>24530221</v>
      </c>
      <c r="J33" s="66" t="s">
        <v>908</v>
      </c>
      <c r="K33" s="66" t="s">
        <v>909</v>
      </c>
      <c r="L33" s="66" t="s">
        <v>904</v>
      </c>
      <c r="M33" s="66" t="s">
        <v>34</v>
      </c>
      <c r="N33" s="66" t="s">
        <v>910</v>
      </c>
      <c r="O33" s="66">
        <v>35</v>
      </c>
      <c r="P33" s="66" t="s">
        <v>275</v>
      </c>
      <c r="Q33" s="66">
        <v>80</v>
      </c>
      <c r="R33" s="66" t="s">
        <v>911</v>
      </c>
      <c r="S33" s="66" t="s">
        <v>37</v>
      </c>
      <c r="T33" s="66" t="s">
        <v>75</v>
      </c>
      <c r="U33" s="66" t="s">
        <v>39</v>
      </c>
      <c r="V33" s="66" t="s">
        <v>912</v>
      </c>
      <c r="W33" s="66">
        <v>8</v>
      </c>
      <c r="X33" s="67" t="s">
        <v>76</v>
      </c>
      <c r="Y33" s="66"/>
      <c r="Z33" s="66"/>
      <c r="AA33" s="66"/>
      <c r="AB33" s="66"/>
      <c r="AC33" s="66"/>
      <c r="AD33" s="66"/>
    </row>
    <row r="34" spans="1:30" ht="15.75" customHeight="1" x14ac:dyDescent="0.3"/>
    <row r="35" spans="1:30" ht="15.75" customHeight="1" x14ac:dyDescent="0.3"/>
    <row r="36" spans="1:30" ht="15.75" customHeight="1" x14ac:dyDescent="0.3"/>
    <row r="37" spans="1:30" ht="15.75" customHeight="1" x14ac:dyDescent="0.3"/>
    <row r="38" spans="1:30" ht="15.75" customHeight="1" x14ac:dyDescent="0.3"/>
    <row r="39" spans="1:30" ht="15.75" customHeight="1" x14ac:dyDescent="0.3"/>
    <row r="40" spans="1:30" ht="15.75" customHeight="1" x14ac:dyDescent="0.3"/>
    <row r="41" spans="1:30" ht="15.75" customHeight="1" x14ac:dyDescent="0.3"/>
    <row r="42" spans="1:30" ht="15.75" customHeight="1" x14ac:dyDescent="0.3"/>
    <row r="43" spans="1:30" ht="15.75" customHeight="1" x14ac:dyDescent="0.3"/>
    <row r="44" spans="1:30" ht="15.75" customHeight="1" x14ac:dyDescent="0.3"/>
    <row r="45" spans="1:30" ht="15.75" customHeight="1" x14ac:dyDescent="0.3"/>
    <row r="46" spans="1:30" ht="15.75" customHeight="1" x14ac:dyDescent="0.3"/>
    <row r="47" spans="1:30" ht="15.75" customHeight="1" x14ac:dyDescent="0.3"/>
    <row r="48" spans="1:30"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X46"/>
  <sheetViews>
    <sheetView workbookViewId="0"/>
  </sheetViews>
  <sheetFormatPr baseColWidth="10" defaultColWidth="14.44140625" defaultRowHeight="15" customHeight="1" x14ac:dyDescent="0.3"/>
  <sheetData>
    <row r="1" spans="1:24" x14ac:dyDescent="0.3">
      <c r="A1" s="64">
        <v>46099.614874942134</v>
      </c>
      <c r="B1" s="7" t="s">
        <v>507</v>
      </c>
      <c r="C1" s="7" t="s">
        <v>508</v>
      </c>
      <c r="D1" s="7">
        <v>61856700</v>
      </c>
      <c r="E1" s="7" t="s">
        <v>793</v>
      </c>
      <c r="F1" s="7" t="s">
        <v>509</v>
      </c>
      <c r="G1" s="7" t="s">
        <v>30</v>
      </c>
      <c r="H1" s="7" t="s">
        <v>510</v>
      </c>
      <c r="I1" s="7">
        <v>25370290</v>
      </c>
      <c r="J1" s="7" t="s">
        <v>511</v>
      </c>
      <c r="K1" s="7" t="s">
        <v>512</v>
      </c>
      <c r="L1" s="7" t="s">
        <v>507</v>
      </c>
      <c r="M1" s="7" t="s">
        <v>34</v>
      </c>
      <c r="N1" s="7" t="s">
        <v>513</v>
      </c>
      <c r="O1" s="7">
        <v>35</v>
      </c>
      <c r="P1" s="7" t="s">
        <v>36</v>
      </c>
      <c r="Q1" s="7">
        <v>90</v>
      </c>
      <c r="R1" s="7" t="s">
        <v>514</v>
      </c>
      <c r="S1" s="7" t="s">
        <v>515</v>
      </c>
      <c r="T1" s="7" t="s">
        <v>38</v>
      </c>
      <c r="U1" s="7" t="s">
        <v>39</v>
      </c>
      <c r="W1" s="7">
        <v>1</v>
      </c>
      <c r="X1" s="7" t="s">
        <v>40</v>
      </c>
    </row>
    <row r="2" spans="1:24" x14ac:dyDescent="0.3">
      <c r="A2" s="64">
        <v>46100.634208124997</v>
      </c>
      <c r="B2" s="7" t="s">
        <v>516</v>
      </c>
      <c r="C2" s="7" t="s">
        <v>517</v>
      </c>
      <c r="D2" s="7">
        <v>61215200</v>
      </c>
      <c r="E2" s="7" t="s">
        <v>788</v>
      </c>
      <c r="F2" s="7" t="s">
        <v>70</v>
      </c>
      <c r="G2" s="7" t="s">
        <v>111</v>
      </c>
      <c r="H2" s="7" t="s">
        <v>518</v>
      </c>
      <c r="I2" s="7">
        <v>31050184</v>
      </c>
      <c r="J2" s="7" t="s">
        <v>519</v>
      </c>
      <c r="K2" s="7" t="s">
        <v>520</v>
      </c>
      <c r="L2" s="7" t="s">
        <v>516</v>
      </c>
      <c r="M2" s="7" t="s">
        <v>91</v>
      </c>
      <c r="N2" s="7" t="s">
        <v>521</v>
      </c>
      <c r="O2" s="7">
        <v>30</v>
      </c>
      <c r="P2" s="7" t="s">
        <v>36</v>
      </c>
      <c r="Q2" s="7">
        <v>0</v>
      </c>
      <c r="S2" s="7" t="s">
        <v>515</v>
      </c>
      <c r="T2" s="7" t="s">
        <v>38</v>
      </c>
      <c r="U2" s="7" t="s">
        <v>39</v>
      </c>
      <c r="V2" s="7" t="s">
        <v>522</v>
      </c>
      <c r="W2" s="7">
        <v>2</v>
      </c>
      <c r="X2" s="7" t="s">
        <v>40</v>
      </c>
    </row>
    <row r="3" spans="1:24" x14ac:dyDescent="0.3">
      <c r="A3" s="64">
        <v>46099.623820196757</v>
      </c>
      <c r="B3" s="7" t="s">
        <v>523</v>
      </c>
      <c r="C3" s="7" t="s">
        <v>524</v>
      </c>
      <c r="D3" s="7">
        <v>607099</v>
      </c>
      <c r="E3" s="7" t="s">
        <v>788</v>
      </c>
      <c r="F3" s="7" t="s">
        <v>525</v>
      </c>
      <c r="G3" s="7" t="s">
        <v>30</v>
      </c>
      <c r="H3" s="7" t="s">
        <v>526</v>
      </c>
      <c r="I3" s="7">
        <v>37215132</v>
      </c>
      <c r="J3" s="7" t="s">
        <v>527</v>
      </c>
      <c r="L3" s="7" t="s">
        <v>523</v>
      </c>
      <c r="M3" s="7" t="s">
        <v>91</v>
      </c>
      <c r="N3" s="7" t="s">
        <v>528</v>
      </c>
      <c r="O3" s="7">
        <v>24</v>
      </c>
      <c r="P3" s="7" t="s">
        <v>36</v>
      </c>
      <c r="Q3" s="7">
        <v>7</v>
      </c>
      <c r="R3" s="7" t="s">
        <v>529</v>
      </c>
      <c r="S3" s="7" t="s">
        <v>515</v>
      </c>
      <c r="T3" s="7" t="s">
        <v>38</v>
      </c>
      <c r="U3" s="7" t="s">
        <v>39</v>
      </c>
      <c r="V3" s="7" t="s">
        <v>530</v>
      </c>
      <c r="W3" s="7">
        <v>2</v>
      </c>
      <c r="X3" s="7" t="s">
        <v>40</v>
      </c>
    </row>
    <row r="4" spans="1:24" x14ac:dyDescent="0.3">
      <c r="A4" s="64">
        <v>46100.564337650459</v>
      </c>
      <c r="B4" s="7" t="s">
        <v>507</v>
      </c>
      <c r="C4" s="7" t="s">
        <v>531</v>
      </c>
      <c r="D4" s="7">
        <v>61856700</v>
      </c>
      <c r="E4" s="7" t="s">
        <v>796</v>
      </c>
      <c r="F4" s="7" t="s">
        <v>532</v>
      </c>
      <c r="G4" s="7" t="s">
        <v>30</v>
      </c>
      <c r="H4" s="7" t="s">
        <v>533</v>
      </c>
      <c r="I4" s="7">
        <v>25129578</v>
      </c>
      <c r="J4" s="7" t="s">
        <v>534</v>
      </c>
      <c r="K4" s="7" t="s">
        <v>535</v>
      </c>
      <c r="L4" s="7" t="s">
        <v>507</v>
      </c>
      <c r="M4" s="7" t="s">
        <v>34</v>
      </c>
      <c r="N4" s="7" t="s">
        <v>536</v>
      </c>
      <c r="O4" s="7">
        <v>35</v>
      </c>
      <c r="P4" s="7" t="s">
        <v>36</v>
      </c>
      <c r="Q4" s="7">
        <v>90</v>
      </c>
      <c r="R4" s="7" t="s">
        <v>537</v>
      </c>
      <c r="S4" s="7" t="s">
        <v>515</v>
      </c>
      <c r="T4" s="7" t="s">
        <v>38</v>
      </c>
      <c r="U4" s="7" t="s">
        <v>39</v>
      </c>
      <c r="W4" s="7">
        <v>1</v>
      </c>
      <c r="X4" s="7" t="s">
        <v>40</v>
      </c>
    </row>
    <row r="5" spans="1:24" x14ac:dyDescent="0.3">
      <c r="A5" s="64">
        <v>46099.591675347219</v>
      </c>
      <c r="B5" s="7" t="s">
        <v>538</v>
      </c>
      <c r="C5" s="7" t="s">
        <v>539</v>
      </c>
      <c r="D5" s="7">
        <v>62266200</v>
      </c>
      <c r="E5" s="7" t="s">
        <v>799</v>
      </c>
      <c r="F5" s="7" t="s">
        <v>540</v>
      </c>
      <c r="G5" s="7" t="s">
        <v>30</v>
      </c>
      <c r="H5" s="7" t="s">
        <v>541</v>
      </c>
      <c r="I5" s="7">
        <v>40396860</v>
      </c>
      <c r="J5" s="7" t="s">
        <v>542</v>
      </c>
      <c r="K5" s="7" t="s">
        <v>543</v>
      </c>
      <c r="L5" s="7" t="s">
        <v>538</v>
      </c>
      <c r="M5" s="7" t="s">
        <v>91</v>
      </c>
      <c r="N5" s="7" t="s">
        <v>544</v>
      </c>
      <c r="O5" s="7">
        <v>35</v>
      </c>
      <c r="P5" s="7" t="s">
        <v>36</v>
      </c>
      <c r="Q5" s="7">
        <v>50</v>
      </c>
      <c r="S5" s="7" t="s">
        <v>515</v>
      </c>
      <c r="T5" s="7" t="s">
        <v>75</v>
      </c>
      <c r="U5" s="7" t="s">
        <v>39</v>
      </c>
      <c r="V5" s="7" t="s">
        <v>545</v>
      </c>
      <c r="W5" s="7">
        <v>1</v>
      </c>
      <c r="X5" s="7" t="s">
        <v>76</v>
      </c>
    </row>
    <row r="6" spans="1:24" x14ac:dyDescent="0.3">
      <c r="A6" s="64">
        <v>46100.706451331018</v>
      </c>
      <c r="B6" s="7" t="s">
        <v>546</v>
      </c>
      <c r="C6" s="7" t="s">
        <v>547</v>
      </c>
      <c r="D6" s="7">
        <v>20067300</v>
      </c>
      <c r="E6" s="7" t="s">
        <v>793</v>
      </c>
      <c r="F6" s="7" t="s">
        <v>548</v>
      </c>
      <c r="G6" s="7" t="s">
        <v>45</v>
      </c>
      <c r="H6" s="7" t="s">
        <v>549</v>
      </c>
      <c r="I6" s="7">
        <v>37183978</v>
      </c>
      <c r="J6" s="7" t="s">
        <v>550</v>
      </c>
      <c r="L6" s="7" t="s">
        <v>546</v>
      </c>
      <c r="M6" s="7" t="s">
        <v>83</v>
      </c>
      <c r="N6" s="7" t="s">
        <v>551</v>
      </c>
      <c r="O6" s="7">
        <v>29</v>
      </c>
      <c r="P6" s="7" t="s">
        <v>36</v>
      </c>
      <c r="Q6" s="7">
        <v>50</v>
      </c>
      <c r="S6" s="7" t="s">
        <v>515</v>
      </c>
      <c r="T6" s="7" t="s">
        <v>75</v>
      </c>
      <c r="U6" s="7" t="s">
        <v>39</v>
      </c>
      <c r="W6" s="7">
        <v>1</v>
      </c>
      <c r="X6" s="7" t="s">
        <v>76</v>
      </c>
    </row>
    <row r="7" spans="1:24" x14ac:dyDescent="0.3">
      <c r="A7" s="64">
        <v>46101.61894482639</v>
      </c>
      <c r="B7" s="7" t="s">
        <v>552</v>
      </c>
      <c r="C7" s="7" t="s">
        <v>553</v>
      </c>
      <c r="D7" s="7">
        <v>20121400</v>
      </c>
      <c r="E7" s="7" t="s">
        <v>788</v>
      </c>
      <c r="F7" s="7" t="s">
        <v>554</v>
      </c>
      <c r="G7" s="7" t="s">
        <v>30</v>
      </c>
      <c r="H7" s="7" t="s">
        <v>555</v>
      </c>
      <c r="I7" s="7">
        <v>36526221</v>
      </c>
      <c r="J7" s="7" t="s">
        <v>556</v>
      </c>
      <c r="K7" s="7" t="s">
        <v>557</v>
      </c>
      <c r="L7" s="7" t="s">
        <v>552</v>
      </c>
      <c r="M7" s="7" t="s">
        <v>83</v>
      </c>
      <c r="N7" s="7">
        <v>13</v>
      </c>
      <c r="O7" s="7">
        <v>20</v>
      </c>
      <c r="P7" s="7" t="s">
        <v>36</v>
      </c>
      <c r="Q7" s="7">
        <v>50</v>
      </c>
      <c r="S7" s="7" t="s">
        <v>515</v>
      </c>
      <c r="T7" s="7" t="s">
        <v>75</v>
      </c>
      <c r="U7" s="7" t="s">
        <v>39</v>
      </c>
      <c r="W7" s="7">
        <v>1</v>
      </c>
      <c r="X7" s="7" t="s">
        <v>76</v>
      </c>
    </row>
    <row r="8" spans="1:24" x14ac:dyDescent="0.3">
      <c r="A8" s="64">
        <v>46104.983482546297</v>
      </c>
      <c r="B8" s="7" t="s">
        <v>558</v>
      </c>
      <c r="C8" s="7" t="s">
        <v>559</v>
      </c>
      <c r="D8" s="7">
        <v>20169300</v>
      </c>
      <c r="E8" s="7" t="s">
        <v>796</v>
      </c>
      <c r="F8" s="7" t="s">
        <v>560</v>
      </c>
      <c r="G8" s="7" t="s">
        <v>30</v>
      </c>
      <c r="H8" s="7" t="s">
        <v>561</v>
      </c>
      <c r="I8" s="7">
        <v>34321307</v>
      </c>
      <c r="J8" s="7" t="s">
        <v>562</v>
      </c>
      <c r="L8" s="7" t="s">
        <v>558</v>
      </c>
      <c r="M8" s="7" t="s">
        <v>83</v>
      </c>
      <c r="N8" s="7" t="s">
        <v>563</v>
      </c>
      <c r="O8" s="7">
        <v>35</v>
      </c>
      <c r="P8" s="7" t="s">
        <v>36</v>
      </c>
      <c r="Q8" s="7">
        <v>75</v>
      </c>
      <c r="S8" s="7" t="s">
        <v>515</v>
      </c>
      <c r="T8" s="7" t="s">
        <v>75</v>
      </c>
      <c r="U8" s="7" t="s">
        <v>39</v>
      </c>
      <c r="W8" s="7">
        <v>1</v>
      </c>
      <c r="X8" s="7" t="s">
        <v>76</v>
      </c>
    </row>
    <row r="9" spans="1:24" x14ac:dyDescent="0.3">
      <c r="A9" s="64">
        <v>46100.705730694448</v>
      </c>
      <c r="B9" s="7" t="s">
        <v>564</v>
      </c>
      <c r="C9" s="7" t="s">
        <v>565</v>
      </c>
      <c r="D9" s="7">
        <v>20078300</v>
      </c>
      <c r="E9" s="7" t="s">
        <v>788</v>
      </c>
      <c r="F9" s="7" t="s">
        <v>566</v>
      </c>
      <c r="G9" s="7" t="s">
        <v>45</v>
      </c>
      <c r="H9" s="7" t="s">
        <v>567</v>
      </c>
      <c r="I9" s="7">
        <v>34359114</v>
      </c>
      <c r="J9" s="7" t="s">
        <v>568</v>
      </c>
      <c r="L9" s="7" t="s">
        <v>564</v>
      </c>
      <c r="M9" s="7" t="s">
        <v>83</v>
      </c>
      <c r="N9" s="7" t="s">
        <v>569</v>
      </c>
      <c r="O9" s="7">
        <v>35</v>
      </c>
      <c r="P9" s="7" t="s">
        <v>36</v>
      </c>
      <c r="Q9" s="7">
        <v>0</v>
      </c>
      <c r="R9" s="7" t="s">
        <v>570</v>
      </c>
      <c r="S9" s="7" t="s">
        <v>515</v>
      </c>
      <c r="T9" s="7" t="s">
        <v>75</v>
      </c>
      <c r="U9" s="7" t="s">
        <v>39</v>
      </c>
      <c r="V9" s="7" t="s">
        <v>571</v>
      </c>
      <c r="W9" s="7">
        <v>2</v>
      </c>
      <c r="X9" s="7" t="s">
        <v>76</v>
      </c>
    </row>
    <row r="10" spans="1:24" x14ac:dyDescent="0.3">
      <c r="A10" s="64">
        <v>46106.341772222222</v>
      </c>
      <c r="B10" s="7" t="s">
        <v>572</v>
      </c>
      <c r="C10" s="7" t="s">
        <v>573</v>
      </c>
      <c r="D10" s="7">
        <v>20086600</v>
      </c>
      <c r="E10" s="7" t="s">
        <v>788</v>
      </c>
      <c r="F10" s="7" t="s">
        <v>433</v>
      </c>
      <c r="G10" s="7" t="s">
        <v>30</v>
      </c>
      <c r="H10" s="7" t="s">
        <v>574</v>
      </c>
      <c r="I10" s="7">
        <v>32268519</v>
      </c>
      <c r="J10" s="7" t="s">
        <v>575</v>
      </c>
      <c r="K10" s="7" t="s">
        <v>576</v>
      </c>
      <c r="L10" s="7" t="s">
        <v>572</v>
      </c>
      <c r="M10" s="7" t="s">
        <v>83</v>
      </c>
      <c r="N10" s="7" t="s">
        <v>577</v>
      </c>
      <c r="O10" s="7">
        <v>32</v>
      </c>
      <c r="P10" s="7" t="s">
        <v>36</v>
      </c>
      <c r="Q10" s="7">
        <v>20</v>
      </c>
      <c r="S10" s="7" t="s">
        <v>515</v>
      </c>
      <c r="T10" s="7" t="s">
        <v>75</v>
      </c>
      <c r="U10" s="7" t="s">
        <v>39</v>
      </c>
      <c r="W10" s="7">
        <v>2</v>
      </c>
      <c r="X10" s="7" t="s">
        <v>76</v>
      </c>
    </row>
    <row r="11" spans="1:24" x14ac:dyDescent="0.3">
      <c r="A11" s="64">
        <v>46099.683827974543</v>
      </c>
      <c r="B11" s="7" t="s">
        <v>578</v>
      </c>
      <c r="C11" s="7" t="s">
        <v>579</v>
      </c>
      <c r="D11" s="7">
        <v>321</v>
      </c>
      <c r="E11" s="7" t="s">
        <v>788</v>
      </c>
      <c r="F11" s="7" t="s">
        <v>580</v>
      </c>
      <c r="G11" s="7" t="s">
        <v>45</v>
      </c>
      <c r="H11" s="7" t="s">
        <v>81</v>
      </c>
      <c r="I11" s="7">
        <v>26539649</v>
      </c>
      <c r="J11" s="7" t="s">
        <v>581</v>
      </c>
      <c r="L11" s="7" t="s">
        <v>578</v>
      </c>
      <c r="M11" s="7" t="s">
        <v>83</v>
      </c>
      <c r="N11" s="7" t="s">
        <v>582</v>
      </c>
      <c r="O11" s="7">
        <v>16</v>
      </c>
      <c r="P11" s="7" t="s">
        <v>36</v>
      </c>
      <c r="Q11" s="7">
        <v>20</v>
      </c>
      <c r="S11" s="7" t="s">
        <v>515</v>
      </c>
      <c r="T11" s="7" t="s">
        <v>75</v>
      </c>
      <c r="U11" s="7" t="s">
        <v>39</v>
      </c>
      <c r="W11" s="7">
        <v>2</v>
      </c>
      <c r="X11" s="7" t="s">
        <v>76</v>
      </c>
    </row>
    <row r="12" spans="1:24" x14ac:dyDescent="0.3">
      <c r="A12" s="64">
        <v>46099.904877638888</v>
      </c>
      <c r="B12" s="7" t="s">
        <v>583</v>
      </c>
      <c r="C12" s="7" t="s">
        <v>584</v>
      </c>
      <c r="D12" s="7">
        <v>61123600</v>
      </c>
      <c r="E12" s="7" t="s">
        <v>788</v>
      </c>
      <c r="F12" s="7" t="s">
        <v>585</v>
      </c>
      <c r="G12" s="7" t="s">
        <v>45</v>
      </c>
      <c r="H12" s="7" t="s">
        <v>586</v>
      </c>
      <c r="I12" s="7">
        <v>30742678</v>
      </c>
      <c r="J12" s="7" t="s">
        <v>587</v>
      </c>
      <c r="K12" s="7" t="s">
        <v>588</v>
      </c>
      <c r="L12" s="7" t="s">
        <v>583</v>
      </c>
      <c r="M12" s="7" t="s">
        <v>91</v>
      </c>
      <c r="N12" s="7" t="s">
        <v>589</v>
      </c>
      <c r="O12" s="7">
        <v>35</v>
      </c>
      <c r="P12" s="7" t="s">
        <v>36</v>
      </c>
      <c r="Q12" s="7">
        <v>20</v>
      </c>
      <c r="S12" s="7" t="s">
        <v>515</v>
      </c>
      <c r="T12" s="7" t="s">
        <v>75</v>
      </c>
      <c r="U12" s="7" t="s">
        <v>39</v>
      </c>
      <c r="W12" s="7">
        <v>2</v>
      </c>
      <c r="X12" s="7" t="s">
        <v>76</v>
      </c>
    </row>
    <row r="13" spans="1:24" x14ac:dyDescent="0.3">
      <c r="A13" s="64">
        <v>46100.721201018518</v>
      </c>
      <c r="B13" s="7" t="s">
        <v>590</v>
      </c>
      <c r="C13" s="7" t="s">
        <v>591</v>
      </c>
      <c r="D13" s="7">
        <v>60676600</v>
      </c>
      <c r="E13" s="7" t="s">
        <v>788</v>
      </c>
      <c r="F13" s="7" t="s">
        <v>52</v>
      </c>
      <c r="G13" s="7" t="s">
        <v>111</v>
      </c>
      <c r="H13" s="7" t="s">
        <v>592</v>
      </c>
      <c r="I13" s="7">
        <v>26465332</v>
      </c>
      <c r="J13" s="7" t="s">
        <v>593</v>
      </c>
      <c r="K13" s="7" t="s">
        <v>594</v>
      </c>
      <c r="L13" s="7" t="s">
        <v>590</v>
      </c>
      <c r="M13" s="7" t="s">
        <v>91</v>
      </c>
      <c r="N13" s="7" t="s">
        <v>595</v>
      </c>
      <c r="O13" s="7">
        <v>35</v>
      </c>
      <c r="P13" s="7" t="s">
        <v>36</v>
      </c>
      <c r="Q13" s="7">
        <v>0</v>
      </c>
      <c r="S13" s="7" t="s">
        <v>515</v>
      </c>
      <c r="T13" s="7" t="s">
        <v>75</v>
      </c>
      <c r="U13" s="7" t="s">
        <v>39</v>
      </c>
      <c r="W13" s="7">
        <v>2</v>
      </c>
      <c r="X13" s="7" t="s">
        <v>76</v>
      </c>
    </row>
    <row r="14" spans="1:24" x14ac:dyDescent="0.3">
      <c r="A14" s="64">
        <v>46101.650688217589</v>
      </c>
      <c r="B14" s="7" t="s">
        <v>283</v>
      </c>
      <c r="C14" s="7" t="s">
        <v>284</v>
      </c>
      <c r="D14" s="7">
        <v>61924800</v>
      </c>
      <c r="E14" s="7" t="s">
        <v>788</v>
      </c>
      <c r="F14" s="7" t="s">
        <v>149</v>
      </c>
      <c r="G14" s="7" t="s">
        <v>45</v>
      </c>
      <c r="H14" s="7" t="s">
        <v>286</v>
      </c>
      <c r="I14" s="7">
        <v>32311580</v>
      </c>
      <c r="J14" s="7" t="s">
        <v>596</v>
      </c>
      <c r="L14" s="7" t="s">
        <v>283</v>
      </c>
      <c r="M14" s="7" t="s">
        <v>56</v>
      </c>
      <c r="N14" s="7" t="s">
        <v>57</v>
      </c>
      <c r="O14" s="7">
        <v>30</v>
      </c>
      <c r="P14" s="7" t="s">
        <v>36</v>
      </c>
      <c r="Q14" s="7">
        <v>30</v>
      </c>
      <c r="S14" s="7" t="s">
        <v>515</v>
      </c>
      <c r="T14" s="7" t="s">
        <v>75</v>
      </c>
      <c r="U14" s="7" t="s">
        <v>39</v>
      </c>
      <c r="W14" s="7">
        <v>2</v>
      </c>
      <c r="X14" s="7" t="s">
        <v>76</v>
      </c>
    </row>
    <row r="15" spans="1:24" x14ac:dyDescent="0.3">
      <c r="A15" s="64">
        <v>46099.592295821763</v>
      </c>
      <c r="B15" s="7" t="s">
        <v>597</v>
      </c>
      <c r="C15" s="7" t="s">
        <v>598</v>
      </c>
      <c r="D15" s="7">
        <v>20148000</v>
      </c>
      <c r="E15" s="7" t="s">
        <v>788</v>
      </c>
      <c r="F15" s="7" t="s">
        <v>599</v>
      </c>
      <c r="G15" s="7" t="s">
        <v>111</v>
      </c>
      <c r="H15" s="7" t="s">
        <v>600</v>
      </c>
      <c r="I15" s="7">
        <v>30365344</v>
      </c>
      <c r="J15" s="7" t="s">
        <v>601</v>
      </c>
      <c r="L15" s="7" t="s">
        <v>597</v>
      </c>
      <c r="M15" s="7" t="s">
        <v>83</v>
      </c>
      <c r="N15" s="7" t="s">
        <v>114</v>
      </c>
      <c r="O15" s="7">
        <v>22</v>
      </c>
      <c r="P15" s="7" t="s">
        <v>36</v>
      </c>
      <c r="Q15" s="7">
        <v>0</v>
      </c>
      <c r="S15" s="7" t="s">
        <v>515</v>
      </c>
      <c r="T15" s="7" t="s">
        <v>75</v>
      </c>
      <c r="U15" s="7" t="s">
        <v>39</v>
      </c>
      <c r="W15" s="7">
        <v>2</v>
      </c>
      <c r="X15" s="7" t="s">
        <v>76</v>
      </c>
    </row>
    <row r="16" spans="1:24" x14ac:dyDescent="0.3">
      <c r="A16" s="64">
        <v>46099.600662881952</v>
      </c>
      <c r="B16" s="7" t="s">
        <v>602</v>
      </c>
      <c r="C16" s="7" t="s">
        <v>603</v>
      </c>
      <c r="D16" s="7">
        <v>20097600</v>
      </c>
      <c r="E16" s="7" t="s">
        <v>788</v>
      </c>
      <c r="F16" s="7" t="s">
        <v>70</v>
      </c>
      <c r="G16" s="7" t="s">
        <v>111</v>
      </c>
      <c r="H16" s="7" t="s">
        <v>604</v>
      </c>
      <c r="I16" s="7">
        <v>27343139</v>
      </c>
      <c r="J16" s="7" t="s">
        <v>605</v>
      </c>
      <c r="L16" s="7" t="s">
        <v>602</v>
      </c>
      <c r="M16" s="7" t="s">
        <v>83</v>
      </c>
      <c r="N16" s="7" t="s">
        <v>606</v>
      </c>
      <c r="O16" s="7">
        <v>17</v>
      </c>
      <c r="P16" s="7" t="s">
        <v>36</v>
      </c>
      <c r="Q16" s="7">
        <v>0</v>
      </c>
      <c r="S16" s="7" t="s">
        <v>515</v>
      </c>
      <c r="T16" s="7" t="s">
        <v>75</v>
      </c>
      <c r="U16" s="7" t="s">
        <v>39</v>
      </c>
      <c r="W16" s="7">
        <v>2</v>
      </c>
      <c r="X16" s="7" t="s">
        <v>76</v>
      </c>
    </row>
    <row r="17" spans="1:24" x14ac:dyDescent="0.3">
      <c r="A17" s="64">
        <v>46100.328894432867</v>
      </c>
      <c r="B17" s="7" t="s">
        <v>607</v>
      </c>
      <c r="C17" s="7" t="s">
        <v>608</v>
      </c>
      <c r="D17" s="7">
        <v>20294400</v>
      </c>
      <c r="E17" s="7" t="s">
        <v>788</v>
      </c>
      <c r="F17" s="7" t="s">
        <v>609</v>
      </c>
      <c r="G17" s="7" t="s">
        <v>45</v>
      </c>
      <c r="H17" s="7" t="s">
        <v>610</v>
      </c>
      <c r="I17" s="7">
        <v>25559684</v>
      </c>
      <c r="J17" s="7" t="s">
        <v>611</v>
      </c>
      <c r="K17" s="7" t="s">
        <v>612</v>
      </c>
      <c r="L17" s="7" t="s">
        <v>607</v>
      </c>
      <c r="M17" s="7" t="s">
        <v>83</v>
      </c>
      <c r="N17" s="7" t="s">
        <v>613</v>
      </c>
      <c r="O17" s="7">
        <v>30</v>
      </c>
      <c r="P17" s="7" t="s">
        <v>36</v>
      </c>
      <c r="Q17" s="7">
        <v>0</v>
      </c>
      <c r="S17" s="7" t="s">
        <v>515</v>
      </c>
      <c r="T17" s="7" t="s">
        <v>75</v>
      </c>
      <c r="U17" s="7" t="s">
        <v>39</v>
      </c>
      <c r="W17" s="7">
        <v>2</v>
      </c>
      <c r="X17" s="7" t="s">
        <v>76</v>
      </c>
    </row>
    <row r="18" spans="1:24" x14ac:dyDescent="0.3">
      <c r="A18" s="64">
        <v>46100.529260162039</v>
      </c>
      <c r="B18" s="7" t="s">
        <v>614</v>
      </c>
      <c r="C18" s="7" t="s">
        <v>615</v>
      </c>
      <c r="D18" s="7">
        <v>2006490</v>
      </c>
      <c r="E18" s="7" t="s">
        <v>788</v>
      </c>
      <c r="F18" s="7" t="s">
        <v>616</v>
      </c>
      <c r="G18" s="7" t="s">
        <v>30</v>
      </c>
      <c r="H18" s="7" t="s">
        <v>617</v>
      </c>
      <c r="I18" s="7">
        <v>29135308</v>
      </c>
      <c r="J18" s="7" t="s">
        <v>618</v>
      </c>
      <c r="K18" s="7" t="s">
        <v>619</v>
      </c>
      <c r="L18" s="7" t="s">
        <v>614</v>
      </c>
      <c r="M18" s="7" t="s">
        <v>83</v>
      </c>
      <c r="N18" s="7" t="s">
        <v>620</v>
      </c>
      <c r="O18" s="7">
        <v>30</v>
      </c>
      <c r="P18" s="7" t="s">
        <v>67</v>
      </c>
      <c r="Q18" s="7">
        <v>80</v>
      </c>
      <c r="R18" s="7" t="s">
        <v>621</v>
      </c>
      <c r="S18" s="7" t="s">
        <v>515</v>
      </c>
      <c r="T18" s="7" t="s">
        <v>75</v>
      </c>
      <c r="U18" s="7" t="s">
        <v>39</v>
      </c>
      <c r="W18" s="7">
        <v>3</v>
      </c>
      <c r="X18" s="7" t="s">
        <v>76</v>
      </c>
    </row>
    <row r="19" spans="1:24" x14ac:dyDescent="0.3">
      <c r="A19" s="64">
        <v>46100.636994756947</v>
      </c>
      <c r="B19" s="7" t="s">
        <v>860</v>
      </c>
      <c r="C19" s="7" t="s">
        <v>861</v>
      </c>
      <c r="D19" s="7">
        <v>20116900</v>
      </c>
      <c r="E19" s="7" t="s">
        <v>801</v>
      </c>
      <c r="F19" s="7" t="s">
        <v>888</v>
      </c>
      <c r="G19" s="7" t="s">
        <v>30</v>
      </c>
      <c r="H19" s="7" t="s">
        <v>891</v>
      </c>
      <c r="I19" s="7">
        <v>26988638</v>
      </c>
      <c r="J19" s="7" t="s">
        <v>864</v>
      </c>
      <c r="K19" s="7" t="s">
        <v>892</v>
      </c>
      <c r="L19" s="7" t="s">
        <v>860</v>
      </c>
      <c r="M19" s="7" t="s">
        <v>83</v>
      </c>
      <c r="N19" s="7" t="s">
        <v>889</v>
      </c>
      <c r="O19" s="7">
        <v>35</v>
      </c>
      <c r="P19" s="7" t="s">
        <v>67</v>
      </c>
      <c r="Q19" s="7">
        <v>70</v>
      </c>
      <c r="S19" s="7" t="s">
        <v>515</v>
      </c>
      <c r="T19" s="7" t="s">
        <v>75</v>
      </c>
      <c r="U19" s="7" t="s">
        <v>39</v>
      </c>
      <c r="W19" s="7">
        <v>3</v>
      </c>
      <c r="X19" s="7" t="s">
        <v>76</v>
      </c>
    </row>
    <row r="20" spans="1:24" x14ac:dyDescent="0.3">
      <c r="A20" s="64">
        <v>46100.399879328703</v>
      </c>
      <c r="B20" s="7" t="s">
        <v>622</v>
      </c>
      <c r="C20" s="7" t="s">
        <v>623</v>
      </c>
      <c r="D20" s="7">
        <v>20151400</v>
      </c>
      <c r="E20" s="7" t="s">
        <v>796</v>
      </c>
      <c r="F20" s="7" t="s">
        <v>624</v>
      </c>
      <c r="G20" s="7" t="s">
        <v>111</v>
      </c>
      <c r="H20" s="7" t="s">
        <v>625</v>
      </c>
      <c r="I20" s="7">
        <v>32267153</v>
      </c>
      <c r="J20" s="7" t="s">
        <v>626</v>
      </c>
      <c r="L20" s="7" t="s">
        <v>622</v>
      </c>
      <c r="M20" s="7" t="s">
        <v>83</v>
      </c>
      <c r="N20" s="7" t="s">
        <v>114</v>
      </c>
      <c r="O20" s="7">
        <v>32</v>
      </c>
      <c r="P20" s="7" t="s">
        <v>36</v>
      </c>
      <c r="Q20" s="7">
        <v>0</v>
      </c>
      <c r="S20" s="7" t="s">
        <v>515</v>
      </c>
      <c r="T20" s="7" t="s">
        <v>75</v>
      </c>
      <c r="U20" s="7" t="s">
        <v>39</v>
      </c>
      <c r="W20" s="7">
        <v>4</v>
      </c>
      <c r="X20" s="7" t="s">
        <v>76</v>
      </c>
    </row>
    <row r="21" spans="1:24" x14ac:dyDescent="0.3">
      <c r="A21" s="64">
        <v>46100.340398518521</v>
      </c>
      <c r="B21" s="7" t="s">
        <v>627</v>
      </c>
      <c r="C21" s="7" t="s">
        <v>628</v>
      </c>
      <c r="D21" s="7">
        <v>61217100</v>
      </c>
      <c r="E21" s="7" t="s">
        <v>796</v>
      </c>
      <c r="F21" s="7" t="s">
        <v>629</v>
      </c>
      <c r="G21" s="7" t="s">
        <v>111</v>
      </c>
      <c r="H21" s="7" t="s">
        <v>630</v>
      </c>
      <c r="I21" s="7">
        <v>37120954</v>
      </c>
      <c r="J21" s="7" t="s">
        <v>631</v>
      </c>
      <c r="K21" s="7" t="s">
        <v>632</v>
      </c>
      <c r="L21" s="7" t="s">
        <v>627</v>
      </c>
      <c r="M21" s="7" t="s">
        <v>91</v>
      </c>
      <c r="N21" s="7" t="s">
        <v>633</v>
      </c>
      <c r="O21" s="7">
        <v>35</v>
      </c>
      <c r="P21" s="7" t="s">
        <v>36</v>
      </c>
      <c r="Q21" s="7">
        <v>0</v>
      </c>
      <c r="R21" s="7" t="s">
        <v>77</v>
      </c>
      <c r="S21" s="7" t="s">
        <v>515</v>
      </c>
      <c r="T21" s="7" t="s">
        <v>75</v>
      </c>
      <c r="U21" s="7" t="s">
        <v>39</v>
      </c>
      <c r="W21" s="7">
        <v>4</v>
      </c>
      <c r="X21" s="7" t="s">
        <v>76</v>
      </c>
    </row>
    <row r="22" spans="1:24" x14ac:dyDescent="0.3">
      <c r="A22" s="64">
        <v>46099.66726884259</v>
      </c>
      <c r="B22" s="7" t="s">
        <v>634</v>
      </c>
      <c r="C22" s="7" t="s">
        <v>635</v>
      </c>
      <c r="D22" s="7">
        <v>602660</v>
      </c>
      <c r="E22" s="7" t="s">
        <v>796</v>
      </c>
      <c r="F22" s="7" t="s">
        <v>636</v>
      </c>
      <c r="G22" s="7" t="s">
        <v>45</v>
      </c>
      <c r="H22" s="7" t="s">
        <v>637</v>
      </c>
      <c r="I22" s="7">
        <v>28560655</v>
      </c>
      <c r="J22" s="7" t="s">
        <v>638</v>
      </c>
      <c r="K22" s="7" t="s">
        <v>639</v>
      </c>
      <c r="L22" s="7" t="s">
        <v>634</v>
      </c>
      <c r="M22" s="7" t="s">
        <v>56</v>
      </c>
      <c r="N22" s="7" t="s">
        <v>640</v>
      </c>
      <c r="O22" s="7">
        <v>35</v>
      </c>
      <c r="P22" s="7" t="s">
        <v>36</v>
      </c>
      <c r="Q22" s="7">
        <v>40</v>
      </c>
      <c r="R22" s="7" t="s">
        <v>641</v>
      </c>
      <c r="S22" s="7" t="s">
        <v>515</v>
      </c>
      <c r="T22" s="7" t="s">
        <v>75</v>
      </c>
      <c r="U22" s="7" t="s">
        <v>39</v>
      </c>
      <c r="W22" s="7">
        <v>4</v>
      </c>
      <c r="X22" s="7" t="s">
        <v>76</v>
      </c>
    </row>
    <row r="23" spans="1:24" x14ac:dyDescent="0.3">
      <c r="A23" s="64">
        <v>46099.610151956018</v>
      </c>
      <c r="B23" s="7" t="s">
        <v>642</v>
      </c>
      <c r="C23" s="7" t="s">
        <v>643</v>
      </c>
      <c r="D23" s="7">
        <v>613029</v>
      </c>
      <c r="E23" s="7" t="s">
        <v>793</v>
      </c>
      <c r="F23" s="7" t="s">
        <v>185</v>
      </c>
      <c r="G23" s="7" t="s">
        <v>111</v>
      </c>
      <c r="H23" s="7" t="s">
        <v>186</v>
      </c>
      <c r="I23" s="7">
        <v>34476029</v>
      </c>
      <c r="J23" s="7" t="s">
        <v>644</v>
      </c>
      <c r="L23" s="7" t="s">
        <v>645</v>
      </c>
      <c r="M23" s="7" t="s">
        <v>91</v>
      </c>
      <c r="N23" s="7" t="s">
        <v>646</v>
      </c>
      <c r="O23" s="7">
        <v>25</v>
      </c>
      <c r="P23" s="7" t="s">
        <v>36</v>
      </c>
      <c r="Q23" s="7">
        <v>35</v>
      </c>
      <c r="R23" s="7" t="s">
        <v>647</v>
      </c>
      <c r="S23" s="7" t="s">
        <v>515</v>
      </c>
      <c r="T23" s="7" t="s">
        <v>75</v>
      </c>
      <c r="U23" s="7" t="s">
        <v>39</v>
      </c>
      <c r="V23" s="7" t="s">
        <v>648</v>
      </c>
      <c r="W23" s="7">
        <v>4</v>
      </c>
      <c r="X23" s="7" t="s">
        <v>76</v>
      </c>
    </row>
    <row r="24" spans="1:24" x14ac:dyDescent="0.3">
      <c r="A24" s="64">
        <v>46100.694567557868</v>
      </c>
      <c r="B24" s="7" t="s">
        <v>159</v>
      </c>
      <c r="C24" s="7" t="s">
        <v>649</v>
      </c>
      <c r="D24" s="7">
        <v>20117600</v>
      </c>
      <c r="E24" s="7" t="s">
        <v>793</v>
      </c>
      <c r="F24" s="7" t="s">
        <v>650</v>
      </c>
      <c r="G24" s="7" t="s">
        <v>45</v>
      </c>
      <c r="H24" s="7" t="s">
        <v>193</v>
      </c>
      <c r="I24" s="7">
        <v>22824401</v>
      </c>
      <c r="J24" s="7" t="s">
        <v>651</v>
      </c>
      <c r="K24" s="7" t="s">
        <v>652</v>
      </c>
      <c r="L24" s="7" t="s">
        <v>159</v>
      </c>
      <c r="M24" s="7" t="s">
        <v>83</v>
      </c>
      <c r="N24" s="7" t="s">
        <v>653</v>
      </c>
      <c r="O24" s="7">
        <v>29</v>
      </c>
      <c r="P24" s="7" t="s">
        <v>36</v>
      </c>
      <c r="Q24" s="7">
        <v>25</v>
      </c>
      <c r="S24" s="7" t="s">
        <v>515</v>
      </c>
      <c r="T24" s="7" t="s">
        <v>75</v>
      </c>
      <c r="U24" s="7" t="s">
        <v>39</v>
      </c>
      <c r="W24" s="7">
        <v>4</v>
      </c>
      <c r="X24" s="7" t="s">
        <v>76</v>
      </c>
    </row>
    <row r="25" spans="1:24" x14ac:dyDescent="0.3">
      <c r="A25" s="64">
        <v>46100.74203947917</v>
      </c>
      <c r="B25" s="7" t="s">
        <v>654</v>
      </c>
      <c r="C25" s="7" t="s">
        <v>655</v>
      </c>
      <c r="D25" s="7">
        <v>201019</v>
      </c>
      <c r="E25" s="7" t="s">
        <v>796</v>
      </c>
      <c r="F25" s="7" t="s">
        <v>656</v>
      </c>
      <c r="G25" s="7" t="s">
        <v>45</v>
      </c>
      <c r="H25" s="7" t="s">
        <v>657</v>
      </c>
      <c r="I25" s="7">
        <v>34224672</v>
      </c>
      <c r="J25" s="7" t="s">
        <v>658</v>
      </c>
      <c r="K25" s="7" t="s">
        <v>659</v>
      </c>
      <c r="L25" s="7" t="s">
        <v>654</v>
      </c>
      <c r="M25" s="7" t="s">
        <v>83</v>
      </c>
      <c r="N25" s="7" t="s">
        <v>577</v>
      </c>
      <c r="O25" s="7">
        <v>27</v>
      </c>
      <c r="P25" s="7" t="s">
        <v>36</v>
      </c>
      <c r="Q25" s="7">
        <v>20</v>
      </c>
      <c r="S25" s="7" t="s">
        <v>515</v>
      </c>
      <c r="T25" s="7" t="s">
        <v>75</v>
      </c>
      <c r="U25" s="7" t="s">
        <v>39</v>
      </c>
      <c r="W25" s="7">
        <v>4</v>
      </c>
      <c r="X25" s="7" t="s">
        <v>76</v>
      </c>
    </row>
    <row r="26" spans="1:24" x14ac:dyDescent="0.3">
      <c r="A26" s="64">
        <v>46102.440526666673</v>
      </c>
      <c r="B26" s="7" t="s">
        <v>660</v>
      </c>
      <c r="C26" s="7" t="s">
        <v>661</v>
      </c>
      <c r="D26" s="7">
        <v>60818900</v>
      </c>
      <c r="E26" s="7" t="s">
        <v>800</v>
      </c>
      <c r="F26" s="7" t="s">
        <v>580</v>
      </c>
      <c r="G26" s="7" t="s">
        <v>30</v>
      </c>
      <c r="H26" s="7" t="s">
        <v>663</v>
      </c>
      <c r="I26" s="7">
        <v>25764379</v>
      </c>
      <c r="J26" s="7" t="s">
        <v>663</v>
      </c>
      <c r="K26" s="7" t="s">
        <v>664</v>
      </c>
      <c r="L26" s="7" t="s">
        <v>665</v>
      </c>
      <c r="M26" s="7" t="s">
        <v>34</v>
      </c>
      <c r="N26" s="7" t="s">
        <v>666</v>
      </c>
      <c r="O26" s="7">
        <v>20</v>
      </c>
      <c r="P26" s="7" t="s">
        <v>36</v>
      </c>
      <c r="Q26" s="7">
        <v>10</v>
      </c>
      <c r="S26" s="7" t="s">
        <v>515</v>
      </c>
      <c r="T26" s="7" t="s">
        <v>75</v>
      </c>
      <c r="U26" s="7" t="s">
        <v>39</v>
      </c>
      <c r="W26" s="7">
        <v>4</v>
      </c>
      <c r="X26" s="7" t="s">
        <v>76</v>
      </c>
    </row>
    <row r="27" spans="1:24" x14ac:dyDescent="0.3">
      <c r="A27" s="64">
        <v>46104.434416504628</v>
      </c>
      <c r="B27" s="7" t="s">
        <v>667</v>
      </c>
      <c r="C27" s="7" t="s">
        <v>668</v>
      </c>
      <c r="D27" s="7">
        <v>60818900</v>
      </c>
      <c r="E27" s="7" t="s">
        <v>800</v>
      </c>
      <c r="F27" s="7" t="s">
        <v>669</v>
      </c>
      <c r="G27" s="7" t="s">
        <v>30</v>
      </c>
      <c r="H27" s="7" t="s">
        <v>670</v>
      </c>
      <c r="I27" s="7">
        <v>37674685</v>
      </c>
      <c r="J27" s="7" t="s">
        <v>671</v>
      </c>
      <c r="K27" s="7" t="s">
        <v>672</v>
      </c>
      <c r="L27" s="7" t="s">
        <v>667</v>
      </c>
      <c r="M27" s="7" t="s">
        <v>34</v>
      </c>
      <c r="N27" s="7" t="s">
        <v>673</v>
      </c>
      <c r="O27" s="7">
        <v>27</v>
      </c>
      <c r="P27" s="7" t="s">
        <v>67</v>
      </c>
      <c r="Q27" s="7">
        <v>20</v>
      </c>
      <c r="R27" s="7" t="s">
        <v>674</v>
      </c>
      <c r="S27" s="7" t="s">
        <v>515</v>
      </c>
      <c r="T27" s="7" t="s">
        <v>75</v>
      </c>
      <c r="U27" s="7" t="s">
        <v>39</v>
      </c>
      <c r="V27" s="7" t="s">
        <v>675</v>
      </c>
      <c r="W27" s="7">
        <v>8</v>
      </c>
      <c r="X27" s="7" t="s">
        <v>76</v>
      </c>
    </row>
    <row r="28" spans="1:24" x14ac:dyDescent="0.3">
      <c r="A28" s="64">
        <v>46099.823003865742</v>
      </c>
      <c r="B28" s="7" t="s">
        <v>660</v>
      </c>
      <c r="C28" s="7" t="s">
        <v>676</v>
      </c>
      <c r="D28" s="7">
        <v>60818900</v>
      </c>
      <c r="E28" s="7" t="s">
        <v>800</v>
      </c>
      <c r="F28" s="7" t="s">
        <v>580</v>
      </c>
      <c r="G28" s="7" t="s">
        <v>30</v>
      </c>
      <c r="H28" s="7" t="s">
        <v>664</v>
      </c>
      <c r="I28" s="7">
        <v>23123885</v>
      </c>
      <c r="J28" s="7" t="s">
        <v>663</v>
      </c>
      <c r="K28" s="7" t="s">
        <v>677</v>
      </c>
      <c r="L28" s="7" t="s">
        <v>660</v>
      </c>
      <c r="M28" s="7" t="s">
        <v>34</v>
      </c>
      <c r="N28" s="7" t="s">
        <v>673</v>
      </c>
      <c r="O28" s="7">
        <v>35</v>
      </c>
      <c r="P28" s="7" t="s">
        <v>67</v>
      </c>
      <c r="Q28" s="7">
        <v>20</v>
      </c>
      <c r="R28" s="7" t="s">
        <v>678</v>
      </c>
      <c r="S28" s="7" t="s">
        <v>515</v>
      </c>
      <c r="T28" s="7" t="s">
        <v>75</v>
      </c>
      <c r="U28" s="7" t="s">
        <v>39</v>
      </c>
      <c r="W28" s="7">
        <v>8</v>
      </c>
      <c r="X28" s="7" t="s">
        <v>76</v>
      </c>
    </row>
    <row r="29" spans="1:24" x14ac:dyDescent="0.3">
      <c r="A29" s="64">
        <v>46101.350722083327</v>
      </c>
      <c r="B29" s="7" t="s">
        <v>679</v>
      </c>
      <c r="C29" s="7" t="s">
        <v>680</v>
      </c>
      <c r="D29" s="7">
        <v>20120900</v>
      </c>
      <c r="E29" s="7" t="s">
        <v>796</v>
      </c>
      <c r="F29" s="7" t="s">
        <v>117</v>
      </c>
      <c r="G29" s="7" t="s">
        <v>45</v>
      </c>
      <c r="H29" s="7" t="s">
        <v>681</v>
      </c>
      <c r="I29" s="7">
        <v>36070514</v>
      </c>
      <c r="J29" s="7" t="s">
        <v>682</v>
      </c>
      <c r="K29" s="7" t="s">
        <v>683</v>
      </c>
      <c r="L29" s="7" t="s">
        <v>679</v>
      </c>
      <c r="M29" s="7" t="s">
        <v>83</v>
      </c>
      <c r="N29" s="7" t="s">
        <v>684</v>
      </c>
      <c r="O29" s="7">
        <v>20</v>
      </c>
      <c r="P29" s="7" t="s">
        <v>67</v>
      </c>
      <c r="Q29" s="7">
        <v>55</v>
      </c>
      <c r="S29" s="7" t="s">
        <v>515</v>
      </c>
      <c r="T29" s="7" t="s">
        <v>75</v>
      </c>
      <c r="U29" s="7" t="s">
        <v>39</v>
      </c>
      <c r="W29" s="7">
        <v>6</v>
      </c>
      <c r="X29" s="7" t="s">
        <v>76</v>
      </c>
    </row>
    <row r="30" spans="1:24" x14ac:dyDescent="0.3">
      <c r="A30" s="64">
        <v>46099.619362372687</v>
      </c>
      <c r="B30" s="7" t="s">
        <v>685</v>
      </c>
      <c r="C30" s="7" t="s">
        <v>686</v>
      </c>
      <c r="D30" s="7">
        <v>200652</v>
      </c>
      <c r="E30" s="7" t="s">
        <v>796</v>
      </c>
      <c r="F30" s="7" t="s">
        <v>687</v>
      </c>
      <c r="G30" s="7" t="s">
        <v>30</v>
      </c>
      <c r="H30" s="7" t="s">
        <v>688</v>
      </c>
      <c r="I30" s="7">
        <v>28860298</v>
      </c>
      <c r="J30" s="7" t="s">
        <v>689</v>
      </c>
      <c r="K30" s="7" t="s">
        <v>690</v>
      </c>
      <c r="L30" s="7" t="s">
        <v>685</v>
      </c>
      <c r="M30" s="7" t="s">
        <v>83</v>
      </c>
      <c r="N30" s="7" t="s">
        <v>691</v>
      </c>
      <c r="O30" s="7">
        <v>30</v>
      </c>
      <c r="P30" s="7" t="s">
        <v>67</v>
      </c>
      <c r="Q30" s="7">
        <v>75</v>
      </c>
      <c r="S30" s="7" t="s">
        <v>515</v>
      </c>
      <c r="T30" s="7" t="s">
        <v>75</v>
      </c>
      <c r="U30" s="7" t="s">
        <v>39</v>
      </c>
      <c r="V30" s="7" t="s">
        <v>692</v>
      </c>
      <c r="W30" s="7">
        <v>6</v>
      </c>
      <c r="X30" s="7" t="s">
        <v>76</v>
      </c>
    </row>
    <row r="31" spans="1:24" x14ac:dyDescent="0.3">
      <c r="A31" s="64">
        <v>46099.592313831017</v>
      </c>
      <c r="B31" s="7" t="s">
        <v>693</v>
      </c>
      <c r="C31" s="7" t="s">
        <v>694</v>
      </c>
      <c r="D31" s="7">
        <v>60794100</v>
      </c>
      <c r="E31" s="7" t="s">
        <v>788</v>
      </c>
      <c r="F31" s="7" t="s">
        <v>476</v>
      </c>
      <c r="G31" s="7" t="s">
        <v>45</v>
      </c>
      <c r="H31" s="7" t="s">
        <v>695</v>
      </c>
      <c r="I31" s="7">
        <v>32254788</v>
      </c>
      <c r="J31" s="7" t="s">
        <v>696</v>
      </c>
      <c r="K31" s="7" t="s">
        <v>697</v>
      </c>
      <c r="L31" s="7" t="s">
        <v>693</v>
      </c>
      <c r="M31" s="7" t="s">
        <v>34</v>
      </c>
      <c r="N31" s="7" t="s">
        <v>698</v>
      </c>
      <c r="O31" s="7">
        <v>6</v>
      </c>
      <c r="P31" s="7" t="s">
        <v>67</v>
      </c>
      <c r="Q31" s="7">
        <v>0</v>
      </c>
      <c r="S31" s="7" t="s">
        <v>515</v>
      </c>
      <c r="T31" s="7" t="s">
        <v>75</v>
      </c>
      <c r="U31" s="7" t="s">
        <v>39</v>
      </c>
      <c r="W31" s="7">
        <v>7</v>
      </c>
      <c r="X31" s="7" t="s">
        <v>76</v>
      </c>
    </row>
    <row r="32" spans="1:24" x14ac:dyDescent="0.3">
      <c r="A32" s="64">
        <v>46103.470280092602</v>
      </c>
      <c r="B32" s="7" t="s">
        <v>699</v>
      </c>
      <c r="C32" s="7" t="s">
        <v>700</v>
      </c>
      <c r="D32" s="7">
        <v>20307500</v>
      </c>
      <c r="E32" s="7" t="s">
        <v>799</v>
      </c>
      <c r="F32" s="7" t="s">
        <v>701</v>
      </c>
      <c r="G32" s="7" t="s">
        <v>30</v>
      </c>
      <c r="H32" s="7" t="s">
        <v>702</v>
      </c>
      <c r="I32" s="7">
        <v>94250011</v>
      </c>
      <c r="J32" s="7" t="s">
        <v>703</v>
      </c>
      <c r="K32" s="7" t="s">
        <v>704</v>
      </c>
      <c r="L32" s="7" t="s">
        <v>699</v>
      </c>
      <c r="M32" s="7" t="s">
        <v>83</v>
      </c>
      <c r="N32" s="7" t="s">
        <v>352</v>
      </c>
      <c r="O32" s="7">
        <v>16</v>
      </c>
      <c r="P32" s="7" t="s">
        <v>67</v>
      </c>
      <c r="Q32" s="7">
        <v>3</v>
      </c>
      <c r="S32" s="7" t="s">
        <v>515</v>
      </c>
      <c r="T32" s="7" t="s">
        <v>75</v>
      </c>
      <c r="U32" s="7" t="s">
        <v>39</v>
      </c>
      <c r="W32" s="7">
        <v>7</v>
      </c>
      <c r="X32" s="7" t="s">
        <v>76</v>
      </c>
    </row>
    <row r="33" spans="1:24" x14ac:dyDescent="0.3">
      <c r="A33" s="64">
        <v>46100.329273657408</v>
      </c>
      <c r="B33" s="7" t="s">
        <v>705</v>
      </c>
      <c r="C33" s="7" t="s">
        <v>706</v>
      </c>
      <c r="D33" s="7">
        <v>20041500</v>
      </c>
      <c r="E33" s="7" t="s">
        <v>788</v>
      </c>
      <c r="F33" s="7" t="s">
        <v>707</v>
      </c>
      <c r="G33" s="7" t="s">
        <v>45</v>
      </c>
      <c r="H33" s="7" t="s">
        <v>708</v>
      </c>
      <c r="I33" s="7">
        <v>36200336</v>
      </c>
      <c r="J33" s="7" t="s">
        <v>709</v>
      </c>
      <c r="L33" s="7" t="s">
        <v>705</v>
      </c>
      <c r="M33" s="7" t="s">
        <v>83</v>
      </c>
      <c r="N33" s="7" t="s">
        <v>710</v>
      </c>
      <c r="O33" s="7">
        <v>27</v>
      </c>
      <c r="P33" s="7" t="s">
        <v>67</v>
      </c>
      <c r="Q33" s="7">
        <v>20</v>
      </c>
      <c r="S33" s="7" t="s">
        <v>515</v>
      </c>
      <c r="T33" s="7" t="s">
        <v>75</v>
      </c>
      <c r="U33" s="7" t="s">
        <v>77</v>
      </c>
      <c r="W33" s="7">
        <v>7</v>
      </c>
      <c r="X33" s="7" t="s">
        <v>76</v>
      </c>
    </row>
    <row r="34" spans="1:24" x14ac:dyDescent="0.3">
      <c r="A34" s="64">
        <v>46100.526610624998</v>
      </c>
      <c r="B34" s="7" t="s">
        <v>711</v>
      </c>
      <c r="C34" s="7" t="s">
        <v>712</v>
      </c>
      <c r="D34" s="7">
        <v>20134600</v>
      </c>
      <c r="E34" s="7" t="s">
        <v>796</v>
      </c>
      <c r="F34" s="7" t="s">
        <v>375</v>
      </c>
      <c r="G34" s="7" t="s">
        <v>111</v>
      </c>
      <c r="H34" s="7" t="s">
        <v>713</v>
      </c>
      <c r="I34" s="7">
        <v>37018138</v>
      </c>
      <c r="J34" s="7" t="s">
        <v>714</v>
      </c>
      <c r="L34" s="7" t="s">
        <v>711</v>
      </c>
      <c r="M34" s="7" t="s">
        <v>83</v>
      </c>
      <c r="N34" s="7" t="s">
        <v>715</v>
      </c>
      <c r="O34" s="7">
        <v>23</v>
      </c>
      <c r="P34" s="7" t="s">
        <v>275</v>
      </c>
      <c r="Q34" s="7">
        <v>0</v>
      </c>
      <c r="S34" s="7" t="s">
        <v>515</v>
      </c>
      <c r="T34" s="7" t="s">
        <v>75</v>
      </c>
      <c r="U34" s="7" t="s">
        <v>39</v>
      </c>
      <c r="W34" s="7">
        <v>8</v>
      </c>
      <c r="X34" s="7" t="s">
        <v>76</v>
      </c>
    </row>
    <row r="35" spans="1:24" x14ac:dyDescent="0.3">
      <c r="A35" s="64">
        <v>46099.595790601852</v>
      </c>
      <c r="B35" s="7" t="s">
        <v>716</v>
      </c>
      <c r="C35" s="7" t="s">
        <v>717</v>
      </c>
      <c r="D35" s="7">
        <v>61991500</v>
      </c>
      <c r="E35" s="7" t="s">
        <v>793</v>
      </c>
      <c r="F35" s="7" t="s">
        <v>718</v>
      </c>
      <c r="G35" s="7" t="s">
        <v>45</v>
      </c>
      <c r="H35" s="7" t="s">
        <v>465</v>
      </c>
      <c r="I35" s="7">
        <v>38941458</v>
      </c>
      <c r="J35" s="7" t="s">
        <v>719</v>
      </c>
      <c r="L35" s="7" t="s">
        <v>716</v>
      </c>
      <c r="M35" s="7" t="s">
        <v>91</v>
      </c>
      <c r="N35" s="7" t="s">
        <v>720</v>
      </c>
      <c r="O35" s="7">
        <v>32</v>
      </c>
      <c r="P35" s="7" t="s">
        <v>403</v>
      </c>
      <c r="Q35" s="7">
        <v>30</v>
      </c>
      <c r="S35" s="7" t="s">
        <v>515</v>
      </c>
      <c r="T35" s="7" t="s">
        <v>75</v>
      </c>
      <c r="U35" s="7" t="s">
        <v>39</v>
      </c>
      <c r="W35" s="7">
        <v>8</v>
      </c>
      <c r="X35" s="7" t="s">
        <v>76</v>
      </c>
    </row>
    <row r="36" spans="1:24" x14ac:dyDescent="0.3">
      <c r="A36" s="64">
        <v>46101.932558958331</v>
      </c>
      <c r="B36" s="7" t="s">
        <v>721</v>
      </c>
      <c r="C36" s="7" t="s">
        <v>722</v>
      </c>
      <c r="D36" s="7">
        <v>20099800</v>
      </c>
      <c r="E36" s="7" t="s">
        <v>793</v>
      </c>
      <c r="F36" s="7" t="s">
        <v>723</v>
      </c>
      <c r="G36" s="7" t="s">
        <v>45</v>
      </c>
      <c r="H36" s="7" t="s">
        <v>724</v>
      </c>
      <c r="I36" s="7">
        <v>34491360</v>
      </c>
      <c r="J36" s="7" t="s">
        <v>725</v>
      </c>
      <c r="K36" s="7" t="s">
        <v>726</v>
      </c>
      <c r="L36" s="7" t="s">
        <v>721</v>
      </c>
      <c r="M36" s="7" t="s">
        <v>83</v>
      </c>
      <c r="N36" s="7" t="s">
        <v>727</v>
      </c>
      <c r="O36" s="7">
        <v>32</v>
      </c>
      <c r="P36" s="7" t="s">
        <v>67</v>
      </c>
      <c r="Q36" s="7">
        <v>25</v>
      </c>
      <c r="S36" s="7" t="s">
        <v>515</v>
      </c>
      <c r="T36" s="7" t="s">
        <v>75</v>
      </c>
      <c r="U36" s="7" t="s">
        <v>39</v>
      </c>
      <c r="W36" s="7">
        <v>8</v>
      </c>
      <c r="X36" s="7" t="s">
        <v>76</v>
      </c>
    </row>
    <row r="37" spans="1:24" x14ac:dyDescent="0.3">
      <c r="A37" s="64">
        <v>46104.982138159721</v>
      </c>
      <c r="B37" s="7" t="s">
        <v>558</v>
      </c>
      <c r="C37" s="7" t="s">
        <v>559</v>
      </c>
      <c r="D37" s="7">
        <v>20169300</v>
      </c>
      <c r="E37" s="7" t="s">
        <v>793</v>
      </c>
      <c r="F37" s="7" t="s">
        <v>375</v>
      </c>
      <c r="G37" s="7" t="s">
        <v>30</v>
      </c>
      <c r="H37" s="7" t="s">
        <v>561</v>
      </c>
      <c r="I37" s="7">
        <v>34321307</v>
      </c>
      <c r="J37" s="7" t="s">
        <v>728</v>
      </c>
      <c r="L37" s="7" t="s">
        <v>558</v>
      </c>
      <c r="M37" s="7" t="s">
        <v>83</v>
      </c>
      <c r="N37" s="7" t="s">
        <v>563</v>
      </c>
      <c r="O37" s="7">
        <v>35</v>
      </c>
      <c r="P37" s="7" t="s">
        <v>36</v>
      </c>
      <c r="Q37" s="7">
        <v>75</v>
      </c>
      <c r="S37" s="7" t="s">
        <v>515</v>
      </c>
      <c r="T37" s="7" t="s">
        <v>75</v>
      </c>
      <c r="U37" s="7" t="s">
        <v>39</v>
      </c>
      <c r="W37" s="7">
        <v>1</v>
      </c>
      <c r="X37" s="7" t="s">
        <v>76</v>
      </c>
    </row>
    <row r="38" spans="1:24" x14ac:dyDescent="0.3">
      <c r="A38" s="64">
        <v>46099.682297372688</v>
      </c>
      <c r="B38" s="7" t="s">
        <v>578</v>
      </c>
      <c r="C38" s="7" t="s">
        <v>729</v>
      </c>
      <c r="D38" s="7">
        <v>321</v>
      </c>
      <c r="E38" s="7" t="s">
        <v>801</v>
      </c>
      <c r="F38" s="7" t="s">
        <v>731</v>
      </c>
      <c r="G38" s="7" t="s">
        <v>45</v>
      </c>
      <c r="H38" s="7" t="s">
        <v>81</v>
      </c>
      <c r="I38" s="7">
        <v>26539649</v>
      </c>
      <c r="J38" s="7" t="s">
        <v>732</v>
      </c>
      <c r="L38" s="7" t="s">
        <v>578</v>
      </c>
      <c r="M38" s="7" t="s">
        <v>83</v>
      </c>
      <c r="N38" s="7" t="s">
        <v>733</v>
      </c>
      <c r="O38" s="7">
        <v>23</v>
      </c>
      <c r="P38" s="7" t="s">
        <v>36</v>
      </c>
      <c r="Q38" s="7">
        <v>20</v>
      </c>
      <c r="S38" s="7" t="s">
        <v>515</v>
      </c>
      <c r="T38" s="7" t="s">
        <v>75</v>
      </c>
      <c r="U38" s="7" t="s">
        <v>39</v>
      </c>
      <c r="W38" s="7">
        <v>2</v>
      </c>
      <c r="X38" s="7" t="s">
        <v>76</v>
      </c>
    </row>
    <row r="39" spans="1:24" x14ac:dyDescent="0.3">
      <c r="A39" s="64">
        <v>46105.57600390046</v>
      </c>
      <c r="B39" s="7" t="s">
        <v>734</v>
      </c>
      <c r="C39" s="7" t="s">
        <v>735</v>
      </c>
      <c r="D39" s="7">
        <v>200143</v>
      </c>
      <c r="E39" s="7" t="s">
        <v>788</v>
      </c>
      <c r="F39" s="7" t="s">
        <v>736</v>
      </c>
      <c r="G39" s="7" t="s">
        <v>30</v>
      </c>
      <c r="H39" s="7" t="s">
        <v>737</v>
      </c>
      <c r="I39" s="7">
        <v>35467045</v>
      </c>
      <c r="J39" s="7" t="s">
        <v>738</v>
      </c>
      <c r="K39" s="7" t="s">
        <v>739</v>
      </c>
      <c r="L39" s="7" t="s">
        <v>734</v>
      </c>
      <c r="M39" s="7" t="s">
        <v>83</v>
      </c>
      <c r="N39" s="7" t="s">
        <v>740</v>
      </c>
      <c r="O39" s="7">
        <v>35</v>
      </c>
      <c r="P39" s="7" t="s">
        <v>36</v>
      </c>
      <c r="Q39" s="7">
        <v>60</v>
      </c>
      <c r="S39" s="7" t="s">
        <v>515</v>
      </c>
      <c r="T39" s="7" t="s">
        <v>205</v>
      </c>
      <c r="U39" s="7" t="s">
        <v>39</v>
      </c>
      <c r="W39" s="7">
        <v>1</v>
      </c>
      <c r="X39" s="7" t="s">
        <v>207</v>
      </c>
    </row>
    <row r="40" spans="1:24" x14ac:dyDescent="0.3">
      <c r="A40" s="64">
        <v>46099.719837719909</v>
      </c>
      <c r="B40" s="7" t="s">
        <v>741</v>
      </c>
      <c r="C40" s="7" t="s">
        <v>742</v>
      </c>
      <c r="D40" s="7">
        <v>2005000</v>
      </c>
      <c r="E40" s="7" t="s">
        <v>788</v>
      </c>
      <c r="F40" s="7" t="s">
        <v>87</v>
      </c>
      <c r="G40" s="7" t="s">
        <v>30</v>
      </c>
      <c r="H40" s="7" t="s">
        <v>743</v>
      </c>
      <c r="I40" s="7">
        <v>37564196</v>
      </c>
      <c r="J40" s="7" t="s">
        <v>744</v>
      </c>
      <c r="K40" s="7" t="s">
        <v>745</v>
      </c>
      <c r="L40" s="7" t="s">
        <v>741</v>
      </c>
      <c r="M40" s="7" t="s">
        <v>83</v>
      </c>
      <c r="N40" s="7" t="s">
        <v>188</v>
      </c>
      <c r="O40" s="7">
        <v>33</v>
      </c>
      <c r="P40" s="7" t="s">
        <v>36</v>
      </c>
      <c r="Q40" s="7">
        <v>95</v>
      </c>
      <c r="S40" s="7" t="s">
        <v>515</v>
      </c>
      <c r="T40" s="7" t="s">
        <v>205</v>
      </c>
      <c r="U40" s="7" t="s">
        <v>39</v>
      </c>
      <c r="W40" s="7">
        <v>1</v>
      </c>
      <c r="X40" s="7" t="s">
        <v>207</v>
      </c>
    </row>
    <row r="41" spans="1:24" x14ac:dyDescent="0.3">
      <c r="A41" s="64">
        <v>46099.755336909722</v>
      </c>
      <c r="B41" s="7" t="s">
        <v>746</v>
      </c>
      <c r="C41" s="7" t="s">
        <v>747</v>
      </c>
      <c r="D41" s="7">
        <v>2006370</v>
      </c>
      <c r="E41" s="7" t="s">
        <v>796</v>
      </c>
      <c r="F41" s="7" t="s">
        <v>748</v>
      </c>
      <c r="G41" s="7" t="s">
        <v>30</v>
      </c>
      <c r="H41" s="7" t="s">
        <v>201</v>
      </c>
      <c r="I41" s="7">
        <v>36949654</v>
      </c>
      <c r="J41" s="7" t="s">
        <v>749</v>
      </c>
      <c r="K41" s="7" t="s">
        <v>750</v>
      </c>
      <c r="L41" s="7" t="s">
        <v>746</v>
      </c>
      <c r="M41" s="7" t="s">
        <v>83</v>
      </c>
      <c r="N41" s="7" t="s">
        <v>751</v>
      </c>
      <c r="O41" s="7">
        <v>30</v>
      </c>
      <c r="P41" s="7" t="s">
        <v>36</v>
      </c>
      <c r="Q41" s="7">
        <v>100</v>
      </c>
      <c r="S41" s="7" t="s">
        <v>515</v>
      </c>
      <c r="T41" s="7" t="s">
        <v>205</v>
      </c>
      <c r="U41" s="7" t="s">
        <v>39</v>
      </c>
      <c r="W41" s="7">
        <v>1</v>
      </c>
      <c r="X41" s="7" t="s">
        <v>207</v>
      </c>
    </row>
    <row r="42" spans="1:24" x14ac:dyDescent="0.3">
      <c r="A42" s="64">
        <v>46100.393494710654</v>
      </c>
      <c r="B42" s="7" t="s">
        <v>752</v>
      </c>
      <c r="C42" s="7" t="s">
        <v>753</v>
      </c>
      <c r="D42" s="7">
        <v>201520</v>
      </c>
      <c r="E42" s="7" t="s">
        <v>796</v>
      </c>
      <c r="F42" s="7" t="s">
        <v>754</v>
      </c>
      <c r="G42" s="7" t="s">
        <v>45</v>
      </c>
      <c r="H42" s="7" t="s">
        <v>755</v>
      </c>
      <c r="I42" s="7">
        <v>32267153</v>
      </c>
      <c r="J42" s="7" t="s">
        <v>756</v>
      </c>
      <c r="K42" s="7" t="s">
        <v>757</v>
      </c>
      <c r="L42" s="7" t="s">
        <v>752</v>
      </c>
      <c r="M42" s="7" t="s">
        <v>83</v>
      </c>
      <c r="N42" s="7" t="s">
        <v>758</v>
      </c>
      <c r="O42" s="7">
        <v>32</v>
      </c>
      <c r="P42" s="7" t="s">
        <v>36</v>
      </c>
      <c r="Q42" s="7">
        <v>80</v>
      </c>
      <c r="R42" s="7" t="s">
        <v>759</v>
      </c>
      <c r="S42" s="7" t="s">
        <v>515</v>
      </c>
      <c r="T42" s="7" t="s">
        <v>205</v>
      </c>
      <c r="U42" s="7" t="s">
        <v>39</v>
      </c>
      <c r="W42" s="7">
        <v>1</v>
      </c>
      <c r="X42" s="7" t="s">
        <v>207</v>
      </c>
    </row>
    <row r="43" spans="1:24" x14ac:dyDescent="0.3">
      <c r="A43" s="64">
        <v>46099.806720868059</v>
      </c>
      <c r="B43" s="7" t="s">
        <v>760</v>
      </c>
      <c r="C43" s="7" t="s">
        <v>761</v>
      </c>
      <c r="D43" s="7">
        <v>20004500</v>
      </c>
      <c r="E43" s="7" t="s">
        <v>802</v>
      </c>
      <c r="F43" s="7" t="s">
        <v>763</v>
      </c>
      <c r="G43" s="7" t="s">
        <v>30</v>
      </c>
      <c r="H43" s="7" t="s">
        <v>764</v>
      </c>
      <c r="I43" s="7">
        <v>44670216</v>
      </c>
      <c r="J43" s="7" t="s">
        <v>764</v>
      </c>
      <c r="L43" s="7" t="s">
        <v>760</v>
      </c>
      <c r="M43" s="7" t="s">
        <v>83</v>
      </c>
      <c r="N43" s="7" t="s">
        <v>577</v>
      </c>
      <c r="O43" s="7">
        <v>30</v>
      </c>
      <c r="P43" s="7" t="s">
        <v>275</v>
      </c>
      <c r="Q43" s="7">
        <v>70</v>
      </c>
      <c r="R43" s="7" t="s">
        <v>765</v>
      </c>
      <c r="S43" s="7" t="s">
        <v>515</v>
      </c>
      <c r="T43" s="7" t="s">
        <v>205</v>
      </c>
      <c r="U43" s="7" t="s">
        <v>39</v>
      </c>
      <c r="V43" s="7" t="s">
        <v>766</v>
      </c>
      <c r="W43" s="7">
        <v>8</v>
      </c>
      <c r="X43" s="7" t="s">
        <v>207</v>
      </c>
    </row>
    <row r="44" spans="1:24" x14ac:dyDescent="0.3">
      <c r="A44" s="64">
        <v>46099.644767071761</v>
      </c>
      <c r="B44" s="7" t="s">
        <v>767</v>
      </c>
      <c r="C44" s="7" t="s">
        <v>768</v>
      </c>
      <c r="D44" s="7">
        <v>202275</v>
      </c>
      <c r="E44" s="7" t="s">
        <v>793</v>
      </c>
      <c r="F44" s="7" t="s">
        <v>769</v>
      </c>
      <c r="G44" s="7" t="s">
        <v>30</v>
      </c>
      <c r="H44" s="7" t="s">
        <v>770</v>
      </c>
      <c r="I44" s="7">
        <v>27870664</v>
      </c>
      <c r="J44" s="7" t="s">
        <v>771</v>
      </c>
      <c r="K44" s="7" t="s">
        <v>772</v>
      </c>
      <c r="L44" s="7" t="s">
        <v>767</v>
      </c>
      <c r="M44" s="7" t="s">
        <v>83</v>
      </c>
      <c r="N44" s="7" t="s">
        <v>773</v>
      </c>
      <c r="O44" s="7">
        <v>35</v>
      </c>
      <c r="P44" s="7" t="s">
        <v>36</v>
      </c>
      <c r="Q44" s="7">
        <v>20</v>
      </c>
      <c r="S44" s="7" t="s">
        <v>515</v>
      </c>
      <c r="T44" s="7" t="s">
        <v>205</v>
      </c>
      <c r="U44" s="7" t="s">
        <v>39</v>
      </c>
      <c r="V44" s="7" t="s">
        <v>774</v>
      </c>
      <c r="W44" s="7">
        <v>4</v>
      </c>
      <c r="X44" s="7" t="s">
        <v>207</v>
      </c>
    </row>
    <row r="45" spans="1:24" x14ac:dyDescent="0.3">
      <c r="A45" s="64">
        <v>46100.421069062497</v>
      </c>
      <c r="B45" s="7" t="s">
        <v>270</v>
      </c>
      <c r="C45" s="7" t="s">
        <v>271</v>
      </c>
      <c r="D45" s="7">
        <v>20169300</v>
      </c>
      <c r="E45" s="7" t="s">
        <v>793</v>
      </c>
      <c r="F45" s="7" t="s">
        <v>276</v>
      </c>
      <c r="G45" s="7" t="s">
        <v>30</v>
      </c>
      <c r="H45" s="7" t="s">
        <v>775</v>
      </c>
      <c r="I45" s="7">
        <v>30003595</v>
      </c>
      <c r="J45" s="7" t="s">
        <v>273</v>
      </c>
      <c r="L45" s="7" t="s">
        <v>270</v>
      </c>
      <c r="M45" s="7" t="s">
        <v>83</v>
      </c>
      <c r="N45" s="7" t="s">
        <v>274</v>
      </c>
      <c r="O45" s="7">
        <v>28</v>
      </c>
      <c r="P45" s="7" t="s">
        <v>67</v>
      </c>
      <c r="Q45" s="7">
        <v>30</v>
      </c>
      <c r="S45" s="7" t="s">
        <v>515</v>
      </c>
      <c r="T45" s="7" t="s">
        <v>205</v>
      </c>
      <c r="U45" s="7" t="s">
        <v>39</v>
      </c>
      <c r="W45" s="7">
        <v>8</v>
      </c>
      <c r="X45" s="7" t="s">
        <v>207</v>
      </c>
    </row>
    <row r="46" spans="1:24" x14ac:dyDescent="0.3">
      <c r="A46" s="69">
        <v>46102.50571784722</v>
      </c>
      <c r="B46" s="70" t="s">
        <v>287</v>
      </c>
      <c r="C46" s="70" t="s">
        <v>776</v>
      </c>
      <c r="D46" s="70">
        <v>20105100</v>
      </c>
      <c r="E46" s="70" t="s">
        <v>799</v>
      </c>
      <c r="F46" s="70" t="s">
        <v>177</v>
      </c>
      <c r="G46" s="70" t="s">
        <v>30</v>
      </c>
      <c r="H46" s="70" t="s">
        <v>777</v>
      </c>
      <c r="I46" s="70">
        <v>23148853</v>
      </c>
      <c r="J46" s="70" t="s">
        <v>778</v>
      </c>
      <c r="K46" s="70" t="s">
        <v>779</v>
      </c>
      <c r="L46" s="70" t="s">
        <v>287</v>
      </c>
      <c r="M46" s="70" t="s">
        <v>83</v>
      </c>
      <c r="N46" s="70" t="s">
        <v>780</v>
      </c>
      <c r="O46" s="70">
        <v>26</v>
      </c>
      <c r="P46" s="70" t="s">
        <v>67</v>
      </c>
      <c r="Q46" s="70">
        <v>20</v>
      </c>
      <c r="R46" s="70" t="s">
        <v>293</v>
      </c>
      <c r="S46" s="70" t="s">
        <v>515</v>
      </c>
      <c r="T46" s="70" t="s">
        <v>38</v>
      </c>
      <c r="U46" s="70" t="s">
        <v>39</v>
      </c>
      <c r="V46" s="70" t="s">
        <v>293</v>
      </c>
      <c r="W46" s="70">
        <v>7</v>
      </c>
      <c r="X46" s="70"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asignados</vt:lpstr>
      <vt:lpstr>Hoja 2</vt:lpstr>
      <vt:lpstr>rechazados</vt: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Melina</cp:lastModifiedBy>
  <dcterms:created xsi:type="dcterms:W3CDTF">2026-03-25T15:27:49Z</dcterms:created>
  <dcterms:modified xsi:type="dcterms:W3CDTF">2026-04-20T03:32:32Z</dcterms:modified>
</cp:coreProperties>
</file>