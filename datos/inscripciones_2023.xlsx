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lina\Documents\Jorge\AsignacionesPop.jl\datos\"/>
    </mc:Choice>
  </mc:AlternateContent>
  <bookViews>
    <workbookView xWindow="0" yWindow="0" windowWidth="23040" windowHeight="9072"/>
  </bookViews>
  <sheets>
    <sheet name="Respuestas de formulario 1" sheetId="1" r:id="rId1"/>
    <sheet name="Hoja 6" sheetId="2" r:id="rId2"/>
    <sheet name="Corrida de prioridades" sheetId="3" r:id="rId3"/>
    <sheet name="CRUDO MARTES" sheetId="4" r:id="rId4"/>
    <sheet name="Preasignación MARTES" sheetId="5" r:id="rId5"/>
    <sheet name="CRUDO MIÉRCOLES" sheetId="6" r:id="rId6"/>
    <sheet name="Preasignación MIÉRCOLES" sheetId="7" r:id="rId7"/>
    <sheet name="CRUDO JUEVES" sheetId="8" r:id="rId8"/>
    <sheet name="Preasignación JUEVES" sheetId="9" r:id="rId9"/>
    <sheet name="Hoja 5" sheetId="10" r:id="rId10"/>
  </sheets>
  <definedNames>
    <definedName name="_xlnm._FilterDatabase" localSheetId="2" hidden="1">'Corrida de prioridades'!$A$1:$CV$195</definedName>
    <definedName name="_xlnm._FilterDatabase" localSheetId="7" hidden="1">'CRUDO JUEVES'!$A$1:$CV$66</definedName>
    <definedName name="_xlnm._FilterDatabase" localSheetId="3" hidden="1">'CRUDO MARTES'!$A$1:$CV$75</definedName>
    <definedName name="_xlnm._FilterDatabase" localSheetId="5" hidden="1">'CRUDO MIÉRCOLES'!$A$1:$CV$56</definedName>
    <definedName name="_xlnm._FilterDatabase" localSheetId="8" hidden="1">'Preasignación JUEVES'!$A$1:$BO$68</definedName>
    <definedName name="_xlnm._FilterDatabase" localSheetId="4" hidden="1">'Preasignación MARTES'!$A$1:$DK$82</definedName>
    <definedName name="_xlnm._FilterDatabase" localSheetId="6" hidden="1">'Preasignación MIÉRCOLES'!$A$1:$BL$58</definedName>
    <definedName name="_xlnm._FilterDatabase" localSheetId="0" hidden="1">'Respuestas de formulario 1'!$A$1:$CQ$194</definedName>
  </definedNames>
  <calcPr calcId="162913"/>
</workbook>
</file>

<file path=xl/calcChain.xml><?xml version="1.0" encoding="utf-8"?>
<calcChain xmlns="http://schemas.openxmlformats.org/spreadsheetml/2006/main">
  <c r="AV70" i="9" l="1"/>
  <c r="N69" i="9"/>
  <c r="BE66" i="9"/>
  <c r="BC66" i="9"/>
  <c r="AY66" i="9"/>
  <c r="AW66" i="9"/>
  <c r="AV66" i="9"/>
  <c r="AT66" i="9"/>
  <c r="AP66" i="9"/>
  <c r="AL66" i="9"/>
  <c r="AJ66" i="9"/>
  <c r="AF66" i="9"/>
  <c r="AD66" i="9"/>
  <c r="AB66" i="9"/>
  <c r="Y66" i="9"/>
  <c r="X66" i="9"/>
  <c r="W66" i="9"/>
  <c r="BG65" i="9"/>
  <c r="BE65" i="9"/>
  <c r="BC65" i="9"/>
  <c r="BA65" i="9"/>
  <c r="AZ65" i="9"/>
  <c r="AY65" i="9"/>
  <c r="AX65" i="9"/>
  <c r="AW65" i="9"/>
  <c r="AV65" i="9"/>
  <c r="AT65" i="9"/>
  <c r="AR65" i="9"/>
  <c r="AL65" i="9"/>
  <c r="AJ65" i="9"/>
  <c r="AH65" i="9"/>
  <c r="AF65" i="9"/>
  <c r="AD65" i="9"/>
  <c r="Z65" i="9"/>
  <c r="Y65" i="9"/>
  <c r="X65" i="9"/>
  <c r="W65" i="9"/>
  <c r="BG64" i="9"/>
  <c r="BE64" i="9"/>
  <c r="BC64" i="9"/>
  <c r="BA64" i="9"/>
  <c r="AZ64" i="9"/>
  <c r="AY64" i="9"/>
  <c r="AX64" i="9"/>
  <c r="AW64" i="9"/>
  <c r="AV64" i="9"/>
  <c r="AT64" i="9"/>
  <c r="AR64" i="9"/>
  <c r="AL64" i="9"/>
  <c r="AJ64" i="9"/>
  <c r="AH64" i="9"/>
  <c r="AF64" i="9"/>
  <c r="AD64" i="9"/>
  <c r="Z64" i="9"/>
  <c r="Y64" i="9"/>
  <c r="X64" i="9"/>
  <c r="W64" i="9"/>
  <c r="BG63" i="9"/>
  <c r="BE63" i="9"/>
  <c r="BA63" i="9"/>
  <c r="AZ63" i="9"/>
  <c r="AY63" i="9"/>
  <c r="AX63" i="9"/>
  <c r="AW63" i="9"/>
  <c r="AV63" i="9"/>
  <c r="AT63" i="9"/>
  <c r="AR63" i="9"/>
  <c r="AP63" i="9"/>
  <c r="AN63" i="9"/>
  <c r="AL63" i="9"/>
  <c r="AJ63" i="9"/>
  <c r="AH63" i="9"/>
  <c r="AF63" i="9"/>
  <c r="AD63" i="9"/>
  <c r="AB63" i="9"/>
  <c r="Z63" i="9"/>
  <c r="Y63" i="9"/>
  <c r="X63" i="9"/>
  <c r="W63" i="9"/>
  <c r="BG62" i="9"/>
  <c r="BE62" i="9"/>
  <c r="BC62" i="9"/>
  <c r="BA62" i="9"/>
  <c r="AZ62" i="9"/>
  <c r="AY62" i="9"/>
  <c r="AX62" i="9"/>
  <c r="AW62" i="9"/>
  <c r="AV62" i="9"/>
  <c r="AT62" i="9"/>
  <c r="AR62" i="9"/>
  <c r="AP62" i="9"/>
  <c r="AN62" i="9"/>
  <c r="AL62" i="9"/>
  <c r="AJ62" i="9"/>
  <c r="AH62" i="9"/>
  <c r="AF62" i="9"/>
  <c r="AD62" i="9"/>
  <c r="AB62" i="9"/>
  <c r="Z62" i="9"/>
  <c r="Y62" i="9"/>
  <c r="X62" i="9"/>
  <c r="W62" i="9"/>
  <c r="BG61" i="9"/>
  <c r="BE61" i="9"/>
  <c r="BC61" i="9"/>
  <c r="BA61" i="9"/>
  <c r="AY61" i="9"/>
  <c r="AX61" i="9"/>
  <c r="AW61" i="9"/>
  <c r="AV61" i="9"/>
  <c r="AT61" i="9"/>
  <c r="AP61" i="9"/>
  <c r="AN61" i="9"/>
  <c r="AL61" i="9"/>
  <c r="AJ61" i="9"/>
  <c r="AH61" i="9"/>
  <c r="AF61" i="9"/>
  <c r="AD61" i="9"/>
  <c r="AB61" i="9"/>
  <c r="Z61" i="9"/>
  <c r="Y61" i="9"/>
  <c r="W61" i="9"/>
  <c r="BG60" i="9"/>
  <c r="AZ60" i="9"/>
  <c r="AV60" i="9"/>
  <c r="AT60" i="9"/>
  <c r="AL60" i="9"/>
  <c r="AJ60" i="9"/>
  <c r="AD60" i="9"/>
  <c r="Z60" i="9"/>
  <c r="Y60" i="9"/>
  <c r="W60" i="9"/>
  <c r="BG59" i="9"/>
  <c r="BE59" i="9"/>
  <c r="BC59" i="9"/>
  <c r="BA59" i="9"/>
  <c r="AZ59" i="9"/>
  <c r="AY59" i="9"/>
  <c r="AX59" i="9"/>
  <c r="AW59" i="9"/>
  <c r="AV59" i="9"/>
  <c r="AT59" i="9"/>
  <c r="AR59" i="9"/>
  <c r="AP59" i="9"/>
  <c r="AN59" i="9"/>
  <c r="AL59" i="9"/>
  <c r="AJ59" i="9"/>
  <c r="AH59" i="9"/>
  <c r="AF59" i="9"/>
  <c r="AD59" i="9"/>
  <c r="AB59" i="9"/>
  <c r="Z59" i="9"/>
  <c r="Y59" i="9"/>
  <c r="X59" i="9"/>
  <c r="W59" i="9"/>
  <c r="BG58" i="9"/>
  <c r="BC58" i="9"/>
  <c r="BA58" i="9"/>
  <c r="AY58" i="9"/>
  <c r="AX58" i="9"/>
  <c r="AV58" i="9"/>
  <c r="AT58" i="9"/>
  <c r="AR58" i="9"/>
  <c r="AN58" i="9"/>
  <c r="AL58" i="9"/>
  <c r="AJ58" i="9"/>
  <c r="AH58" i="9"/>
  <c r="AF58" i="9"/>
  <c r="AD58" i="9"/>
  <c r="Z58" i="9"/>
  <c r="X58" i="9"/>
  <c r="W58" i="9"/>
  <c r="AW57" i="9"/>
  <c r="AV57" i="9"/>
  <c r="AL57" i="9"/>
  <c r="AJ57" i="9"/>
  <c r="AD57" i="9"/>
  <c r="Z57" i="9"/>
  <c r="Y57" i="9"/>
  <c r="BG56" i="9"/>
  <c r="BE56" i="9"/>
  <c r="AZ56" i="9"/>
  <c r="AY56" i="9"/>
  <c r="AX56" i="9"/>
  <c r="AT56" i="9"/>
  <c r="AR56" i="9"/>
  <c r="AL56" i="9"/>
  <c r="AJ56" i="9"/>
  <c r="AH56" i="9"/>
  <c r="AF56" i="9"/>
  <c r="AD56" i="9"/>
  <c r="Z56" i="9"/>
  <c r="Y56" i="9"/>
  <c r="X56" i="9"/>
  <c r="W56" i="9"/>
  <c r="BG55" i="9"/>
  <c r="BE55" i="9"/>
  <c r="BC55" i="9"/>
  <c r="BA55" i="9"/>
  <c r="AZ55" i="9"/>
  <c r="AY55" i="9"/>
  <c r="AX55" i="9"/>
  <c r="AW55" i="9"/>
  <c r="AV55" i="9"/>
  <c r="AT55" i="9"/>
  <c r="AR55" i="9"/>
  <c r="AP55" i="9"/>
  <c r="AN55" i="9"/>
  <c r="AL55" i="9"/>
  <c r="AJ55" i="9"/>
  <c r="AH55" i="9"/>
  <c r="AF55" i="9"/>
  <c r="AD55" i="9"/>
  <c r="AB55" i="9"/>
  <c r="Z55" i="9"/>
  <c r="Y55" i="9"/>
  <c r="X55" i="9"/>
  <c r="W55" i="9"/>
  <c r="BG54" i="9"/>
  <c r="BE54" i="9"/>
  <c r="BA54" i="9"/>
  <c r="AZ54" i="9"/>
  <c r="AY54" i="9"/>
  <c r="AX54" i="9"/>
  <c r="AW54" i="9"/>
  <c r="AV54" i="9"/>
  <c r="AT54" i="9"/>
  <c r="AR54" i="9"/>
  <c r="AP54" i="9"/>
  <c r="AL54" i="9"/>
  <c r="AJ54" i="9"/>
  <c r="AH54" i="9"/>
  <c r="AF54" i="9"/>
  <c r="AD54" i="9"/>
  <c r="AB54" i="9"/>
  <c r="Z54" i="9"/>
  <c r="Y54" i="9"/>
  <c r="X54" i="9"/>
  <c r="W54" i="9"/>
  <c r="BG53" i="9"/>
  <c r="BE53" i="9"/>
  <c r="AZ53" i="9"/>
  <c r="AY53" i="9"/>
  <c r="AT53" i="9"/>
  <c r="AR53" i="9"/>
  <c r="AJ53" i="9"/>
  <c r="AH53" i="9"/>
  <c r="AF53" i="9"/>
  <c r="Y53" i="9"/>
  <c r="BG52" i="9"/>
  <c r="BE52" i="9"/>
  <c r="AZ52" i="9"/>
  <c r="AY52" i="9"/>
  <c r="AT52" i="9"/>
  <c r="AR52" i="9"/>
  <c r="AJ52" i="9"/>
  <c r="AH52" i="9"/>
  <c r="AF52" i="9"/>
  <c r="Y52" i="9"/>
  <c r="BG51" i="9"/>
  <c r="BE51" i="9"/>
  <c r="BC51" i="9"/>
  <c r="BA51" i="9"/>
  <c r="AZ51" i="9"/>
  <c r="AY51" i="9"/>
  <c r="AX51" i="9"/>
  <c r="AW51" i="9"/>
  <c r="AV51" i="9"/>
  <c r="AT51" i="9"/>
  <c r="AR51" i="9"/>
  <c r="AP51" i="9"/>
  <c r="AN51" i="9"/>
  <c r="AL51" i="9"/>
  <c r="AJ51" i="9"/>
  <c r="AH51" i="9"/>
  <c r="AF51" i="9"/>
  <c r="AD51" i="9"/>
  <c r="AB51" i="9"/>
  <c r="Z51" i="9"/>
  <c r="Y51" i="9"/>
  <c r="W51" i="9"/>
  <c r="BG50" i="9"/>
  <c r="BE50" i="9"/>
  <c r="AZ50" i="9"/>
  <c r="AY50" i="9"/>
  <c r="AX50" i="9"/>
  <c r="AW50" i="9"/>
  <c r="AV50" i="9"/>
  <c r="AT50" i="9"/>
  <c r="AR50" i="9"/>
  <c r="AL50" i="9"/>
  <c r="AJ50" i="9"/>
  <c r="AH50" i="9"/>
  <c r="AF50" i="9"/>
  <c r="Z50" i="9"/>
  <c r="Y50" i="9"/>
  <c r="X50" i="9"/>
  <c r="W50" i="9"/>
  <c r="BG49" i="9"/>
  <c r="BE49" i="9"/>
  <c r="BC49" i="9"/>
  <c r="BA49" i="9"/>
  <c r="AZ49" i="9"/>
  <c r="AY49" i="9"/>
  <c r="AX49" i="9"/>
  <c r="AW49" i="9"/>
  <c r="AV49" i="9"/>
  <c r="AT49" i="9"/>
  <c r="AR49" i="9"/>
  <c r="AP49" i="9"/>
  <c r="AN49" i="9"/>
  <c r="AL49" i="9"/>
  <c r="AJ49" i="9"/>
  <c r="AH49" i="9"/>
  <c r="AF49" i="9"/>
  <c r="AD49" i="9"/>
  <c r="AB49" i="9"/>
  <c r="Z49" i="9"/>
  <c r="Y49" i="9"/>
  <c r="X49" i="9"/>
  <c r="W49" i="9"/>
  <c r="BG48" i="9"/>
  <c r="BE48" i="9"/>
  <c r="BC48" i="9"/>
  <c r="BA48" i="9"/>
  <c r="AZ48" i="9"/>
  <c r="AX48" i="9"/>
  <c r="AW48" i="9"/>
  <c r="AV48" i="9"/>
  <c r="AR48" i="9"/>
  <c r="AP48" i="9"/>
  <c r="AN48" i="9"/>
  <c r="AL48" i="9"/>
  <c r="AJ48" i="9"/>
  <c r="AH48" i="9"/>
  <c r="AF48" i="9"/>
  <c r="AD48" i="9"/>
  <c r="AB48" i="9"/>
  <c r="Z48" i="9"/>
  <c r="X48" i="9"/>
  <c r="BG47" i="9"/>
  <c r="BE47" i="9"/>
  <c r="BC47" i="9"/>
  <c r="BA47" i="9"/>
  <c r="AY47" i="9"/>
  <c r="AX47" i="9"/>
  <c r="AW47" i="9"/>
  <c r="AV47" i="9"/>
  <c r="AT47" i="9"/>
  <c r="AR47" i="9"/>
  <c r="AN47" i="9"/>
  <c r="AL47" i="9"/>
  <c r="AJ47" i="9"/>
  <c r="AH47" i="9"/>
  <c r="AF47" i="9"/>
  <c r="AD47" i="9"/>
  <c r="AB47" i="9"/>
  <c r="Z47" i="9"/>
  <c r="Y47" i="9"/>
  <c r="X47" i="9"/>
  <c r="W47" i="9"/>
  <c r="BG46" i="9"/>
  <c r="BE46" i="9"/>
  <c r="BC46" i="9"/>
  <c r="BA46" i="9"/>
  <c r="AZ46" i="9"/>
  <c r="AY46" i="9"/>
  <c r="AX46" i="9"/>
  <c r="AW46" i="9"/>
  <c r="AT46" i="9"/>
  <c r="AR46" i="9"/>
  <c r="AP46" i="9"/>
  <c r="AN46" i="9"/>
  <c r="AL46" i="9"/>
  <c r="AJ46" i="9"/>
  <c r="AH46" i="9"/>
  <c r="AF46" i="9"/>
  <c r="AD46" i="9"/>
  <c r="AB46" i="9"/>
  <c r="Y46" i="9"/>
  <c r="X46" i="9"/>
  <c r="W46" i="9"/>
  <c r="BG45" i="9"/>
  <c r="BE45" i="9"/>
  <c r="BC45" i="9"/>
  <c r="BA45" i="9"/>
  <c r="AZ45" i="9"/>
  <c r="AY45" i="9"/>
  <c r="AX45" i="9"/>
  <c r="AW45" i="9"/>
  <c r="AT45" i="9"/>
  <c r="AR45" i="9"/>
  <c r="AP45" i="9"/>
  <c r="AN45" i="9"/>
  <c r="AL45" i="9"/>
  <c r="AJ45" i="9"/>
  <c r="AH45" i="9"/>
  <c r="AF45" i="9"/>
  <c r="AD45" i="9"/>
  <c r="AB45" i="9"/>
  <c r="Y45" i="9"/>
  <c r="X45" i="9"/>
  <c r="W45" i="9"/>
  <c r="BG44" i="9"/>
  <c r="BC44" i="9"/>
  <c r="BA44" i="9"/>
  <c r="AZ44" i="9"/>
  <c r="AX44" i="9"/>
  <c r="AV44" i="9"/>
  <c r="AT44" i="9"/>
  <c r="AP44" i="9"/>
  <c r="AN44" i="9"/>
  <c r="AJ44" i="9"/>
  <c r="AH44" i="9"/>
  <c r="AF44" i="9"/>
  <c r="AD44" i="9"/>
  <c r="AB44" i="9"/>
  <c r="Z44" i="9"/>
  <c r="Y44" i="9"/>
  <c r="X44" i="9"/>
  <c r="W44" i="9"/>
  <c r="BG43" i="9"/>
  <c r="BE43" i="9"/>
  <c r="BC43" i="9"/>
  <c r="BA43" i="9"/>
  <c r="AZ43" i="9"/>
  <c r="AY43" i="9"/>
  <c r="AX43" i="9"/>
  <c r="AW43" i="9"/>
  <c r="AV43" i="9"/>
  <c r="AT43" i="9"/>
  <c r="AR43" i="9"/>
  <c r="AP43" i="9"/>
  <c r="AN43" i="9"/>
  <c r="AL43" i="9"/>
  <c r="AJ43" i="9"/>
  <c r="AH43" i="9"/>
  <c r="AF43" i="9"/>
  <c r="AD43" i="9"/>
  <c r="AB43" i="9"/>
  <c r="Z43" i="9"/>
  <c r="Y43" i="9"/>
  <c r="X43" i="9"/>
  <c r="W43" i="9"/>
  <c r="BG42" i="9"/>
  <c r="BE42" i="9"/>
  <c r="BC42" i="9"/>
  <c r="BA42" i="9"/>
  <c r="AZ42" i="9"/>
  <c r="AY42" i="9"/>
  <c r="AX42" i="9"/>
  <c r="AW42" i="9"/>
  <c r="AV42" i="9"/>
  <c r="AT42" i="9"/>
  <c r="AR42" i="9"/>
  <c r="AP42" i="9"/>
  <c r="AN42" i="9"/>
  <c r="AL42" i="9"/>
  <c r="AJ42" i="9"/>
  <c r="AH42" i="9"/>
  <c r="AF42" i="9"/>
  <c r="AD42" i="9"/>
  <c r="AB42" i="9"/>
  <c r="Z42" i="9"/>
  <c r="Y42" i="9"/>
  <c r="X42" i="9"/>
  <c r="W42" i="9"/>
  <c r="BG41" i="9"/>
  <c r="BE41" i="9"/>
  <c r="BC41" i="9"/>
  <c r="BA41" i="9"/>
  <c r="AZ41" i="9"/>
  <c r="AY41" i="9"/>
  <c r="AX41" i="9"/>
  <c r="AW41" i="9"/>
  <c r="AV41" i="9"/>
  <c r="AT41" i="9"/>
  <c r="AR41" i="9"/>
  <c r="AP41" i="9"/>
  <c r="AN41" i="9"/>
  <c r="AL41" i="9"/>
  <c r="AJ41" i="9"/>
  <c r="AH41" i="9"/>
  <c r="AF41" i="9"/>
  <c r="AD41" i="9"/>
  <c r="AB41" i="9"/>
  <c r="Z41" i="9"/>
  <c r="Y41" i="9"/>
  <c r="X41" i="9"/>
  <c r="W41" i="9"/>
  <c r="BC40" i="9"/>
  <c r="BA40" i="9"/>
  <c r="AX40" i="9"/>
  <c r="AW40" i="9"/>
  <c r="AV40" i="9"/>
  <c r="AP40" i="9"/>
  <c r="AN40" i="9"/>
  <c r="AL40" i="9"/>
  <c r="AJ40" i="9"/>
  <c r="AF40" i="9"/>
  <c r="AD40" i="9"/>
  <c r="AB40" i="9"/>
  <c r="Z40" i="9"/>
  <c r="Y40" i="9"/>
  <c r="X40" i="9"/>
  <c r="W40" i="9"/>
  <c r="BG39" i="9"/>
  <c r="BE39" i="9"/>
  <c r="BC39" i="9"/>
  <c r="BA39" i="9"/>
  <c r="AZ39" i="9"/>
  <c r="AY39" i="9"/>
  <c r="AX39" i="9"/>
  <c r="AW39" i="9"/>
  <c r="AV39" i="9"/>
  <c r="AR39" i="9"/>
  <c r="AP39" i="9"/>
  <c r="AN39" i="9"/>
  <c r="AL39" i="9"/>
  <c r="AJ39" i="9"/>
  <c r="AH39" i="9"/>
  <c r="AD39" i="9"/>
  <c r="AB39" i="9"/>
  <c r="Z39" i="9"/>
  <c r="X39" i="9"/>
  <c r="W39" i="9"/>
  <c r="BG38" i="9"/>
  <c r="BE38" i="9"/>
  <c r="BC38" i="9"/>
  <c r="AZ38" i="9"/>
  <c r="AY38" i="9"/>
  <c r="AX38" i="9"/>
  <c r="AW38" i="9"/>
  <c r="AV38" i="9"/>
  <c r="AT38" i="9"/>
  <c r="AR38" i="9"/>
  <c r="AP38" i="9"/>
  <c r="AN38" i="9"/>
  <c r="AL38" i="9"/>
  <c r="AJ38" i="9"/>
  <c r="AH38" i="9"/>
  <c r="AF38" i="9"/>
  <c r="AD38" i="9"/>
  <c r="Z38" i="9"/>
  <c r="Y38" i="9"/>
  <c r="X38" i="9"/>
  <c r="W38" i="9"/>
  <c r="BG37" i="9"/>
  <c r="BE37" i="9"/>
  <c r="BC37" i="9"/>
  <c r="AZ37" i="9"/>
  <c r="AY37" i="9"/>
  <c r="AX37" i="9"/>
  <c r="AW37" i="9"/>
  <c r="AV37" i="9"/>
  <c r="AT37" i="9"/>
  <c r="AR37" i="9"/>
  <c r="AP37" i="9"/>
  <c r="AN37" i="9"/>
  <c r="AL37" i="9"/>
  <c r="AJ37" i="9"/>
  <c r="AH37" i="9"/>
  <c r="AF37" i="9"/>
  <c r="AD37" i="9"/>
  <c r="Z37" i="9"/>
  <c r="Y37" i="9"/>
  <c r="X37" i="9"/>
  <c r="W37" i="9"/>
  <c r="BA36" i="9"/>
  <c r="AY36" i="9"/>
  <c r="AV36" i="9"/>
  <c r="AN36" i="9"/>
  <c r="AL36" i="9"/>
  <c r="AJ36" i="9"/>
  <c r="AB36" i="9"/>
  <c r="Z36" i="9"/>
  <c r="X36" i="9"/>
  <c r="W36" i="9"/>
  <c r="BC35" i="9"/>
  <c r="BA35" i="9"/>
  <c r="AV35" i="9"/>
  <c r="AN35" i="9"/>
  <c r="AL35" i="9"/>
  <c r="AJ35" i="9"/>
  <c r="AB35" i="9"/>
  <c r="Z35" i="9"/>
  <c r="Y35" i="9"/>
  <c r="W35" i="9"/>
  <c r="BC34" i="9"/>
  <c r="BA34" i="9"/>
  <c r="AZ34" i="9"/>
  <c r="AX34" i="9"/>
  <c r="AW34" i="9"/>
  <c r="AV34" i="9"/>
  <c r="AP34" i="9"/>
  <c r="AN34" i="9"/>
  <c r="AL34" i="9"/>
  <c r="AF34" i="9"/>
  <c r="AD34" i="9"/>
  <c r="AB34" i="9"/>
  <c r="Z34" i="9"/>
  <c r="Y34" i="9"/>
  <c r="W34" i="9"/>
  <c r="BG33" i="9"/>
  <c r="BE33" i="9"/>
  <c r="BC33" i="9"/>
  <c r="BA33" i="9"/>
  <c r="AZ33" i="9"/>
  <c r="AY33" i="9"/>
  <c r="AX33" i="9"/>
  <c r="AW33" i="9"/>
  <c r="AV33" i="9"/>
  <c r="AT33" i="9"/>
  <c r="AR33" i="9"/>
  <c r="AP33" i="9"/>
  <c r="AN33" i="9"/>
  <c r="AL33" i="9"/>
  <c r="AJ33" i="9"/>
  <c r="AH33" i="9"/>
  <c r="AF33" i="9"/>
  <c r="AD33" i="9"/>
  <c r="Z33" i="9"/>
  <c r="Y33" i="9"/>
  <c r="X33" i="9"/>
  <c r="W33" i="9"/>
  <c r="BE32" i="9"/>
  <c r="BC32" i="9"/>
  <c r="BA32" i="9"/>
  <c r="AZ32" i="9"/>
  <c r="AX32" i="9"/>
  <c r="AW32" i="9"/>
  <c r="AV32" i="9"/>
  <c r="AT32" i="9"/>
  <c r="AR32" i="9"/>
  <c r="AN32" i="9"/>
  <c r="AL32" i="9"/>
  <c r="AH32" i="9"/>
  <c r="AD32" i="9"/>
  <c r="AB32" i="9"/>
  <c r="Z32" i="9"/>
  <c r="Y32" i="9"/>
  <c r="X32" i="9"/>
  <c r="BG31" i="9"/>
  <c r="BE31" i="9"/>
  <c r="BC31" i="9"/>
  <c r="BA31" i="9"/>
  <c r="AZ31" i="9"/>
  <c r="AY31" i="9"/>
  <c r="AX31" i="9"/>
  <c r="AW31" i="9"/>
  <c r="AV31" i="9"/>
  <c r="AT31" i="9"/>
  <c r="AR31" i="9"/>
  <c r="AP31" i="9"/>
  <c r="AN31" i="9"/>
  <c r="AL31" i="9"/>
  <c r="AJ31" i="9"/>
  <c r="AH31" i="9"/>
  <c r="AF31" i="9"/>
  <c r="AD31" i="9"/>
  <c r="AB31" i="9"/>
  <c r="Z31" i="9"/>
  <c r="Y31" i="9"/>
  <c r="X31" i="9"/>
  <c r="W31" i="9"/>
  <c r="BG30" i="9"/>
  <c r="BE30" i="9"/>
  <c r="BC30" i="9"/>
  <c r="AZ30" i="9"/>
  <c r="AY30" i="9"/>
  <c r="AX30" i="9"/>
  <c r="AT30" i="9"/>
  <c r="AR30" i="9"/>
  <c r="AP30" i="9"/>
  <c r="AJ30" i="9"/>
  <c r="AH30" i="9"/>
  <c r="AF30" i="9"/>
  <c r="AD30" i="9"/>
  <c r="Y30" i="9"/>
  <c r="X30" i="9"/>
  <c r="BG29" i="9"/>
  <c r="BE29" i="9"/>
  <c r="BC29" i="9"/>
  <c r="AZ29" i="9"/>
  <c r="AY29" i="9"/>
  <c r="AX29" i="9"/>
  <c r="AT29" i="9"/>
  <c r="AR29" i="9"/>
  <c r="AP29" i="9"/>
  <c r="AJ29" i="9"/>
  <c r="AH29" i="9"/>
  <c r="AF29" i="9"/>
  <c r="AD29" i="9"/>
  <c r="Z29" i="9"/>
  <c r="Y29" i="9"/>
  <c r="X29" i="9"/>
  <c r="AT28" i="9"/>
  <c r="AR28" i="9"/>
  <c r="AP28" i="9"/>
  <c r="AN28" i="9"/>
  <c r="AL28" i="9"/>
  <c r="AJ28" i="9"/>
  <c r="Y28" i="9"/>
  <c r="W28" i="9"/>
  <c r="BG27" i="9"/>
  <c r="BE27" i="9"/>
  <c r="BC27" i="9"/>
  <c r="BA27" i="9"/>
  <c r="AZ27" i="9"/>
  <c r="AY27" i="9"/>
  <c r="AX27" i="9"/>
  <c r="AW27" i="9"/>
  <c r="AV27" i="9"/>
  <c r="AT27" i="9"/>
  <c r="AR27" i="9"/>
  <c r="AP27" i="9"/>
  <c r="AN27" i="9"/>
  <c r="AL27" i="9"/>
  <c r="AJ27" i="9"/>
  <c r="AH27" i="9"/>
  <c r="AF27" i="9"/>
  <c r="AD27" i="9"/>
  <c r="AB27" i="9"/>
  <c r="Z27" i="9"/>
  <c r="Y27" i="9"/>
  <c r="X27" i="9"/>
  <c r="W27" i="9"/>
  <c r="BE26" i="9"/>
  <c r="AT26" i="9"/>
  <c r="AR26" i="9"/>
  <c r="AP26" i="9"/>
  <c r="AN26" i="9"/>
  <c r="AL26" i="9"/>
  <c r="AJ26" i="9"/>
  <c r="AB26" i="9"/>
  <c r="Z26" i="9"/>
  <c r="Y26" i="9"/>
  <c r="W26" i="9"/>
  <c r="BG25" i="9"/>
  <c r="BE25" i="9"/>
  <c r="BA25" i="9"/>
  <c r="AZ25" i="9"/>
  <c r="AY25" i="9"/>
  <c r="AX25" i="9"/>
  <c r="AT25" i="9"/>
  <c r="AR25" i="9"/>
  <c r="AP25" i="9"/>
  <c r="AJ25" i="9"/>
  <c r="AH25" i="9"/>
  <c r="AF25" i="9"/>
  <c r="AD25" i="9"/>
  <c r="AB25" i="9"/>
  <c r="Y25" i="9"/>
  <c r="X25" i="9"/>
  <c r="W25" i="9"/>
  <c r="BG24" i="9"/>
  <c r="BE24" i="9"/>
  <c r="BC24" i="9"/>
  <c r="BA24" i="9"/>
  <c r="AZ24" i="9"/>
  <c r="AY24" i="9"/>
  <c r="AX24" i="9"/>
  <c r="AW24" i="9"/>
  <c r="AV24" i="9"/>
  <c r="AT24" i="9"/>
  <c r="AR24" i="9"/>
  <c r="AP24" i="9"/>
  <c r="AN24" i="9"/>
  <c r="AL24" i="9"/>
  <c r="AJ24" i="9"/>
  <c r="AH24" i="9"/>
  <c r="AF24" i="9"/>
  <c r="AD24" i="9"/>
  <c r="AB24" i="9"/>
  <c r="Z24" i="9"/>
  <c r="Y24" i="9"/>
  <c r="X24" i="9"/>
  <c r="W24" i="9"/>
  <c r="BG23" i="9"/>
  <c r="BE23" i="9"/>
  <c r="BC23" i="9"/>
  <c r="BA23" i="9"/>
  <c r="AZ23" i="9"/>
  <c r="AY23" i="9"/>
  <c r="AX23" i="9"/>
  <c r="AW23" i="9"/>
  <c r="AV23" i="9"/>
  <c r="AT23" i="9"/>
  <c r="AR23" i="9"/>
  <c r="AP23" i="9"/>
  <c r="AN23" i="9"/>
  <c r="AL23" i="9"/>
  <c r="AJ23" i="9"/>
  <c r="AH23" i="9"/>
  <c r="AF23" i="9"/>
  <c r="AD23" i="9"/>
  <c r="AB23" i="9"/>
  <c r="Z23" i="9"/>
  <c r="Y23" i="9"/>
  <c r="X23" i="9"/>
  <c r="W23" i="9"/>
  <c r="BG22" i="9"/>
  <c r="BE22" i="9"/>
  <c r="BC22" i="9"/>
  <c r="AZ22" i="9"/>
  <c r="AY22" i="9"/>
  <c r="AX22" i="9"/>
  <c r="AV22" i="9"/>
  <c r="AT22" i="9"/>
  <c r="AR22" i="9"/>
  <c r="AN22" i="9"/>
  <c r="AL22" i="9"/>
  <c r="AJ22" i="9"/>
  <c r="AH22" i="9"/>
  <c r="AF22" i="9"/>
  <c r="Y22" i="9"/>
  <c r="X22" i="9"/>
  <c r="W22" i="9"/>
  <c r="BG21" i="9"/>
  <c r="BE21" i="9"/>
  <c r="BC21" i="9"/>
  <c r="BA21" i="9"/>
  <c r="AZ21" i="9"/>
  <c r="AY21" i="9"/>
  <c r="AX21" i="9"/>
  <c r="AW21" i="9"/>
  <c r="AV21" i="9"/>
  <c r="AT21" i="9"/>
  <c r="AR21" i="9"/>
  <c r="AP21" i="9"/>
  <c r="AN21" i="9"/>
  <c r="AL21" i="9"/>
  <c r="AJ21" i="9"/>
  <c r="AH21" i="9"/>
  <c r="AF21" i="9"/>
  <c r="AD21" i="9"/>
  <c r="AB21" i="9"/>
  <c r="Z21" i="9"/>
  <c r="Y21" i="9"/>
  <c r="X21" i="9"/>
  <c r="W21" i="9"/>
  <c r="BG20" i="9"/>
  <c r="BE20" i="9"/>
  <c r="BC20" i="9"/>
  <c r="AZ20" i="9"/>
  <c r="AY20" i="9"/>
  <c r="AX20" i="9"/>
  <c r="AV20" i="9"/>
  <c r="AT20" i="9"/>
  <c r="AR20" i="9"/>
  <c r="AN20" i="9"/>
  <c r="AL20" i="9"/>
  <c r="AJ20" i="9"/>
  <c r="AH20" i="9"/>
  <c r="AF20" i="9"/>
  <c r="Y20" i="9"/>
  <c r="X20" i="9"/>
  <c r="W20" i="9"/>
  <c r="BG19" i="9"/>
  <c r="BE19" i="9"/>
  <c r="AZ19" i="9"/>
  <c r="AY19" i="9"/>
  <c r="AT19" i="9"/>
  <c r="AR19" i="9"/>
  <c r="AJ19" i="9"/>
  <c r="AH19" i="9"/>
  <c r="AF19" i="9"/>
  <c r="X19" i="9"/>
  <c r="BG18" i="9"/>
  <c r="BE18" i="9"/>
  <c r="BA18" i="9"/>
  <c r="AZ18" i="9"/>
  <c r="AY18" i="9"/>
  <c r="AX18" i="9"/>
  <c r="AV18" i="9"/>
  <c r="AT18" i="9"/>
  <c r="AR18" i="9"/>
  <c r="AP18" i="9"/>
  <c r="AN18" i="9"/>
  <c r="AL18" i="9"/>
  <c r="AJ18" i="9"/>
  <c r="AH18" i="9"/>
  <c r="AF18" i="9"/>
  <c r="AD18" i="9"/>
  <c r="AB18" i="9"/>
  <c r="Z18" i="9"/>
  <c r="Y18" i="9"/>
  <c r="X18" i="9"/>
  <c r="W18" i="9"/>
  <c r="BG17" i="9"/>
  <c r="BE17" i="9"/>
  <c r="BC17" i="9"/>
  <c r="BA17" i="9"/>
  <c r="AZ17" i="9"/>
  <c r="AY17" i="9"/>
  <c r="AX17" i="9"/>
  <c r="AW17" i="9"/>
  <c r="AV17" i="9"/>
  <c r="AT17" i="9"/>
  <c r="AR17" i="9"/>
  <c r="AP17" i="9"/>
  <c r="AN17" i="9"/>
  <c r="AL17" i="9"/>
  <c r="AJ17" i="9"/>
  <c r="AH17" i="9"/>
  <c r="AF17" i="9"/>
  <c r="AD17" i="9"/>
  <c r="AB17" i="9"/>
  <c r="Z17" i="9"/>
  <c r="Y17" i="9"/>
  <c r="X17" i="9"/>
  <c r="W17" i="9"/>
  <c r="BG16" i="9"/>
  <c r="BE16" i="9"/>
  <c r="AZ16" i="9"/>
  <c r="AY16" i="9"/>
  <c r="AT16" i="9"/>
  <c r="AR16" i="9"/>
  <c r="AJ16" i="9"/>
  <c r="AH16" i="9"/>
  <c r="AF16" i="9"/>
  <c r="Z16" i="9"/>
  <c r="Y16" i="9"/>
  <c r="X16" i="9"/>
  <c r="BG15" i="9"/>
  <c r="BE15" i="9"/>
  <c r="BC15" i="9"/>
  <c r="BA15" i="9"/>
  <c r="AZ15" i="9"/>
  <c r="AY15" i="9"/>
  <c r="AX15" i="9"/>
  <c r="AW15" i="9"/>
  <c r="AV15" i="9"/>
  <c r="AT15" i="9"/>
  <c r="AR15" i="9"/>
  <c r="AP15" i="9"/>
  <c r="AN15" i="9"/>
  <c r="AL15" i="9"/>
  <c r="AJ15" i="9"/>
  <c r="AH15" i="9"/>
  <c r="AF15" i="9"/>
  <c r="AD15" i="9"/>
  <c r="AB15" i="9"/>
  <c r="Z15" i="9"/>
  <c r="Y15" i="9"/>
  <c r="X15" i="9"/>
  <c r="W15" i="9"/>
  <c r="BG14" i="9"/>
  <c r="BE14" i="9"/>
  <c r="BC14" i="9"/>
  <c r="BA14" i="9"/>
  <c r="AZ14" i="9"/>
  <c r="AY14" i="9"/>
  <c r="AX14" i="9"/>
  <c r="AW14" i="9"/>
  <c r="AV14" i="9"/>
  <c r="AT14" i="9"/>
  <c r="AR14" i="9"/>
  <c r="AP14" i="9"/>
  <c r="AL14" i="9"/>
  <c r="AJ14" i="9"/>
  <c r="AH14" i="9"/>
  <c r="AF14" i="9"/>
  <c r="AD14" i="9"/>
  <c r="Z14" i="9"/>
  <c r="Y14" i="9"/>
  <c r="X14" i="9"/>
  <c r="W14" i="9"/>
  <c r="BG13" i="9"/>
  <c r="BE13" i="9"/>
  <c r="BC13" i="9"/>
  <c r="BA13" i="9"/>
  <c r="AZ13" i="9"/>
  <c r="AY13" i="9"/>
  <c r="AX13" i="9"/>
  <c r="AW13" i="9"/>
  <c r="AV13" i="9"/>
  <c r="AT13" i="9"/>
  <c r="AR13" i="9"/>
  <c r="AP13" i="9"/>
  <c r="AN13" i="9"/>
  <c r="AL13" i="9"/>
  <c r="AJ13" i="9"/>
  <c r="AH13" i="9"/>
  <c r="AF13" i="9"/>
  <c r="AD13" i="9"/>
  <c r="AB13" i="9"/>
  <c r="Z13" i="9"/>
  <c r="Y13" i="9"/>
  <c r="X13" i="9"/>
  <c r="W13" i="9"/>
  <c r="BG12" i="9"/>
  <c r="BE12" i="9"/>
  <c r="BC12" i="9"/>
  <c r="BA12" i="9"/>
  <c r="AZ12" i="9"/>
  <c r="AY12" i="9"/>
  <c r="AX12" i="9"/>
  <c r="AW12" i="9"/>
  <c r="AW68" i="9" s="1"/>
  <c r="AW70" i="9" s="1"/>
  <c r="AV12" i="9"/>
  <c r="AT12" i="9"/>
  <c r="AR12" i="9"/>
  <c r="AP12" i="9"/>
  <c r="AN12" i="9"/>
  <c r="AL12" i="9"/>
  <c r="AJ12" i="9"/>
  <c r="AH12" i="9"/>
  <c r="AF12" i="9"/>
  <c r="AD12" i="9"/>
  <c r="AB12" i="9"/>
  <c r="Z12" i="9"/>
  <c r="Y12" i="9"/>
  <c r="X12" i="9"/>
  <c r="W12" i="9"/>
  <c r="BG11" i="9"/>
  <c r="BE11" i="9"/>
  <c r="BC11" i="9"/>
  <c r="BA11" i="9"/>
  <c r="AZ11" i="9"/>
  <c r="AY11" i="9"/>
  <c r="AX11" i="9"/>
  <c r="AW11" i="9"/>
  <c r="AV11" i="9"/>
  <c r="AT11" i="9"/>
  <c r="AR11" i="9"/>
  <c r="AP11" i="9"/>
  <c r="AN11" i="9"/>
  <c r="AL11" i="9"/>
  <c r="AJ11" i="9"/>
  <c r="AH11" i="9"/>
  <c r="AF11" i="9"/>
  <c r="AD11" i="9"/>
  <c r="AB11" i="9"/>
  <c r="Z11" i="9"/>
  <c r="Y11" i="9"/>
  <c r="X11" i="9"/>
  <c r="W11" i="9"/>
  <c r="BG10" i="9"/>
  <c r="BE10" i="9"/>
  <c r="BC10" i="9"/>
  <c r="BA10" i="9"/>
  <c r="AZ10" i="9"/>
  <c r="AY10" i="9"/>
  <c r="AX10" i="9"/>
  <c r="AW10" i="9"/>
  <c r="AV10" i="9"/>
  <c r="AT10" i="9"/>
  <c r="AR10" i="9"/>
  <c r="AP10" i="9"/>
  <c r="AN10" i="9"/>
  <c r="AL10" i="9"/>
  <c r="AJ10" i="9"/>
  <c r="AH10" i="9"/>
  <c r="AF10" i="9"/>
  <c r="AD10" i="9"/>
  <c r="AB10" i="9"/>
  <c r="Z10" i="9"/>
  <c r="Y10" i="9"/>
  <c r="X10" i="9"/>
  <c r="W10" i="9"/>
  <c r="BG9" i="9"/>
  <c r="BE9" i="9"/>
  <c r="BC9" i="9"/>
  <c r="BA9" i="9"/>
  <c r="AZ9" i="9"/>
  <c r="AY9" i="9"/>
  <c r="AW9" i="9"/>
  <c r="AV9" i="9"/>
  <c r="AT9" i="9"/>
  <c r="AR9" i="9"/>
  <c r="AP9" i="9"/>
  <c r="AN9" i="9"/>
  <c r="AL9" i="9"/>
  <c r="AJ9" i="9"/>
  <c r="AH9" i="9"/>
  <c r="AF9" i="9"/>
  <c r="Z9" i="9"/>
  <c r="Y9" i="9"/>
  <c r="X9" i="9"/>
  <c r="W9" i="9"/>
  <c r="BA8" i="9"/>
  <c r="AZ8" i="9"/>
  <c r="AY8" i="9"/>
  <c r="AX8" i="9"/>
  <c r="AW8" i="9"/>
  <c r="AV8" i="9"/>
  <c r="AH8" i="9"/>
  <c r="Z8" i="9"/>
  <c r="X8" i="9"/>
  <c r="BG7" i="9"/>
  <c r="BE7" i="9"/>
  <c r="BC7" i="9"/>
  <c r="BA7" i="9"/>
  <c r="AZ7" i="9"/>
  <c r="AY7" i="9"/>
  <c r="AX7" i="9"/>
  <c r="AW7" i="9"/>
  <c r="AV7" i="9"/>
  <c r="AT7" i="9"/>
  <c r="AR7" i="9"/>
  <c r="AP7" i="9"/>
  <c r="AN7" i="9"/>
  <c r="AL7" i="9"/>
  <c r="AJ7" i="9"/>
  <c r="AH7" i="9"/>
  <c r="AF7" i="9"/>
  <c r="AD7" i="9"/>
  <c r="AB7" i="9"/>
  <c r="Z7" i="9"/>
  <c r="Y7" i="9"/>
  <c r="X7" i="9"/>
  <c r="W7" i="9"/>
  <c r="BG6" i="9"/>
  <c r="BE6" i="9"/>
  <c r="BC6" i="9"/>
  <c r="BA6" i="9"/>
  <c r="AZ6" i="9"/>
  <c r="AY6" i="9"/>
  <c r="AX6" i="9"/>
  <c r="AV6" i="9"/>
  <c r="AT6" i="9"/>
  <c r="AR6" i="9"/>
  <c r="AN6" i="9"/>
  <c r="AL6" i="9"/>
  <c r="AJ6" i="9"/>
  <c r="AH6" i="9"/>
  <c r="AF6" i="9"/>
  <c r="AD6" i="9"/>
  <c r="AB6" i="9"/>
  <c r="Z6" i="9"/>
  <c r="Y6" i="9"/>
  <c r="X6" i="9"/>
  <c r="W6" i="9"/>
  <c r="BG5" i="9"/>
  <c r="BE5" i="9"/>
  <c r="BC5" i="9"/>
  <c r="BA5" i="9"/>
  <c r="AZ5" i="9"/>
  <c r="AY5" i="9"/>
  <c r="AX5" i="9"/>
  <c r="AW5" i="9"/>
  <c r="AV5" i="9"/>
  <c r="AT5" i="9"/>
  <c r="AR5" i="9"/>
  <c r="AP5" i="9"/>
  <c r="AL5" i="9"/>
  <c r="AJ5" i="9"/>
  <c r="AH5" i="9"/>
  <c r="AF5" i="9"/>
  <c r="AD5" i="9"/>
  <c r="AB5" i="9"/>
  <c r="Z5" i="9"/>
  <c r="Y5" i="9"/>
  <c r="X5" i="9"/>
  <c r="W5" i="9"/>
  <c r="BG4" i="9"/>
  <c r="BE4" i="9"/>
  <c r="BC4" i="9"/>
  <c r="BA4" i="9"/>
  <c r="AZ4" i="9"/>
  <c r="AZ68" i="9" s="1"/>
  <c r="AZ70" i="9" s="1"/>
  <c r="AY4" i="9"/>
  <c r="AY68" i="9" s="1"/>
  <c r="AY70" i="9" s="1"/>
  <c r="AX4" i="9"/>
  <c r="AW4" i="9"/>
  <c r="AV4" i="9"/>
  <c r="AT4" i="9"/>
  <c r="AR4" i="9"/>
  <c r="AP4" i="9"/>
  <c r="AN4" i="9"/>
  <c r="AN68" i="9" s="1"/>
  <c r="AN70" i="9" s="1"/>
  <c r="AL4" i="9"/>
  <c r="AJ4" i="9"/>
  <c r="AH4" i="9"/>
  <c r="AF4" i="9"/>
  <c r="AD4" i="9"/>
  <c r="AB4" i="9"/>
  <c r="Z4" i="9"/>
  <c r="Y4" i="9"/>
  <c r="X4" i="9"/>
  <c r="W4" i="9"/>
  <c r="BG3" i="9"/>
  <c r="BG68" i="9" s="1"/>
  <c r="BG70" i="9" s="1"/>
  <c r="BE3" i="9"/>
  <c r="BE68" i="9" s="1"/>
  <c r="BE70" i="9" s="1"/>
  <c r="BC3" i="9"/>
  <c r="BC68" i="9" s="1"/>
  <c r="BC70" i="9" s="1"/>
  <c r="BA3" i="9"/>
  <c r="BA68" i="9" s="1"/>
  <c r="BA70" i="9" s="1"/>
  <c r="AX3" i="9"/>
  <c r="AX68" i="9" s="1"/>
  <c r="AX70" i="9" s="1"/>
  <c r="AW3" i="9"/>
  <c r="AV3" i="9"/>
  <c r="AT3" i="9"/>
  <c r="AT68" i="9" s="1"/>
  <c r="AT70" i="9" s="1"/>
  <c r="AR3" i="9"/>
  <c r="AR68" i="9" s="1"/>
  <c r="AR70" i="9" s="1"/>
  <c r="AP3" i="9"/>
  <c r="AP68" i="9" s="1"/>
  <c r="AP70" i="9" s="1"/>
  <c r="AL3" i="9"/>
  <c r="AL68" i="9" s="1"/>
  <c r="AL70" i="9" s="1"/>
  <c r="AJ3" i="9"/>
  <c r="AJ68" i="9" s="1"/>
  <c r="AJ70" i="9" s="1"/>
  <c r="AH3" i="9"/>
  <c r="AH68" i="9" s="1"/>
  <c r="AH70" i="9" s="1"/>
  <c r="AF3" i="9"/>
  <c r="AD3" i="9"/>
  <c r="AD68" i="9" s="1"/>
  <c r="AD70" i="9" s="1"/>
  <c r="AB3" i="9"/>
  <c r="AB68" i="9" s="1"/>
  <c r="AB70" i="9" s="1"/>
  <c r="Z3" i="9"/>
  <c r="Z68" i="9" s="1"/>
  <c r="Z70" i="9" s="1"/>
  <c r="Y3" i="9"/>
  <c r="X3" i="9"/>
  <c r="X68" i="9" s="1"/>
  <c r="X70" i="9" s="1"/>
  <c r="W3" i="9"/>
  <c r="W68" i="9" s="1"/>
  <c r="W70" i="9" s="1"/>
  <c r="AF2" i="9"/>
  <c r="AF68" i="9" s="1"/>
  <c r="AF70" i="9" s="1"/>
  <c r="Y2" i="9"/>
  <c r="Y68" i="9" s="1"/>
  <c r="Y70" i="9" s="1"/>
  <c r="N68" i="8"/>
  <c r="AY60" i="7"/>
  <c r="N59" i="7"/>
  <c r="BG56" i="7"/>
  <c r="BE56" i="7"/>
  <c r="BC56" i="7"/>
  <c r="BA56" i="7"/>
  <c r="AZ56" i="7"/>
  <c r="AY56" i="7"/>
  <c r="AX56" i="7"/>
  <c r="AW56" i="7"/>
  <c r="AV56" i="7"/>
  <c r="AT56" i="7"/>
  <c r="AR56" i="7"/>
  <c r="AP56" i="7"/>
  <c r="AN56" i="7"/>
  <c r="AL56" i="7"/>
  <c r="AJ56" i="7"/>
  <c r="AH56" i="7"/>
  <c r="AF56" i="7"/>
  <c r="AD56" i="7"/>
  <c r="AB56" i="7"/>
  <c r="Z56" i="7"/>
  <c r="Y56" i="7"/>
  <c r="X56" i="7"/>
  <c r="W56" i="7"/>
  <c r="BG55" i="7"/>
  <c r="BE55" i="7"/>
  <c r="BC55" i="7"/>
  <c r="BA55" i="7"/>
  <c r="AZ55" i="7"/>
  <c r="AY55" i="7"/>
  <c r="AX55" i="7"/>
  <c r="AW55" i="7"/>
  <c r="AV55" i="7"/>
  <c r="AT55" i="7"/>
  <c r="AR55" i="7"/>
  <c r="AP55" i="7"/>
  <c r="AN55" i="7"/>
  <c r="AL55" i="7"/>
  <c r="AJ55" i="7"/>
  <c r="AH55" i="7"/>
  <c r="AF55" i="7"/>
  <c r="AD55" i="7"/>
  <c r="AB55" i="7"/>
  <c r="Z55" i="7"/>
  <c r="Y55" i="7"/>
  <c r="X55" i="7"/>
  <c r="W55" i="7"/>
  <c r="BG54" i="7"/>
  <c r="BE54" i="7"/>
  <c r="BC54" i="7"/>
  <c r="BA54" i="7"/>
  <c r="AZ54" i="7"/>
  <c r="AY54" i="7"/>
  <c r="AX54" i="7"/>
  <c r="AW54" i="7"/>
  <c r="AV54" i="7"/>
  <c r="AT54" i="7"/>
  <c r="AR54" i="7"/>
  <c r="AP54" i="7"/>
  <c r="AN54" i="7"/>
  <c r="AL54" i="7"/>
  <c r="AJ54" i="7"/>
  <c r="AH54" i="7"/>
  <c r="AF54" i="7"/>
  <c r="AD54" i="7"/>
  <c r="AB54" i="7"/>
  <c r="Z54" i="7"/>
  <c r="Y54" i="7"/>
  <c r="X54" i="7"/>
  <c r="W54" i="7"/>
  <c r="BG53" i="7"/>
  <c r="BE53" i="7"/>
  <c r="BC53" i="7"/>
  <c r="BA53" i="7"/>
  <c r="AZ53" i="7"/>
  <c r="AY53" i="7"/>
  <c r="AX53" i="7"/>
  <c r="AW53" i="7"/>
  <c r="AV53" i="7"/>
  <c r="AT53" i="7"/>
  <c r="AR53" i="7"/>
  <c r="AP53" i="7"/>
  <c r="AN53" i="7"/>
  <c r="AL53" i="7"/>
  <c r="AJ53" i="7"/>
  <c r="AH53" i="7"/>
  <c r="AF53" i="7"/>
  <c r="AD53" i="7"/>
  <c r="AB53" i="7"/>
  <c r="Z53" i="7"/>
  <c r="Y53" i="7"/>
  <c r="X53" i="7"/>
  <c r="W53" i="7"/>
  <c r="BG52" i="7"/>
  <c r="BC52" i="7"/>
  <c r="BA52" i="7"/>
  <c r="AX52" i="7"/>
  <c r="AW52" i="7"/>
  <c r="AV52" i="7"/>
  <c r="AP52" i="7"/>
  <c r="AN52" i="7"/>
  <c r="AL52" i="7"/>
  <c r="AF52" i="7"/>
  <c r="AD52" i="7"/>
  <c r="AB52" i="7"/>
  <c r="Z52" i="7"/>
  <c r="Y52" i="7"/>
  <c r="X52" i="7"/>
  <c r="W52" i="7"/>
  <c r="BC51" i="7"/>
  <c r="BA51" i="7"/>
  <c r="AX51" i="7"/>
  <c r="AW51" i="7"/>
  <c r="AV51" i="7"/>
  <c r="AP51" i="7"/>
  <c r="AN51" i="7"/>
  <c r="AL51" i="7"/>
  <c r="AF51" i="7"/>
  <c r="AD51" i="7"/>
  <c r="AB51" i="7"/>
  <c r="Z51" i="7"/>
  <c r="Y51" i="7"/>
  <c r="BG50" i="7"/>
  <c r="BE50" i="7"/>
  <c r="AZ50" i="7"/>
  <c r="AY50" i="7"/>
  <c r="AT50" i="7"/>
  <c r="AR50" i="7"/>
  <c r="AJ50" i="7"/>
  <c r="AH50" i="7"/>
  <c r="AF50" i="7"/>
  <c r="AB50" i="7"/>
  <c r="Y50" i="7"/>
  <c r="BG49" i="7"/>
  <c r="BE49" i="7"/>
  <c r="BC49" i="7"/>
  <c r="BA49" i="7"/>
  <c r="AZ49" i="7"/>
  <c r="AY49" i="7"/>
  <c r="AX49" i="7"/>
  <c r="AW49" i="7"/>
  <c r="AV49" i="7"/>
  <c r="AT49" i="7"/>
  <c r="AR49" i="7"/>
  <c r="AP49" i="7"/>
  <c r="AN49" i="7"/>
  <c r="AL49" i="7"/>
  <c r="AJ49" i="7"/>
  <c r="AH49" i="7"/>
  <c r="AF49" i="7"/>
  <c r="AD49" i="7"/>
  <c r="AB49" i="7"/>
  <c r="Z49" i="7"/>
  <c r="Y49" i="7"/>
  <c r="X49" i="7"/>
  <c r="W49" i="7"/>
  <c r="BG48" i="7"/>
  <c r="BE48" i="7"/>
  <c r="BC48" i="7"/>
  <c r="BA48" i="7"/>
  <c r="AZ48" i="7"/>
  <c r="AY48" i="7"/>
  <c r="AX48" i="7"/>
  <c r="AW48" i="7"/>
  <c r="AV48" i="7"/>
  <c r="AT48" i="7"/>
  <c r="AR48" i="7"/>
  <c r="AP48" i="7"/>
  <c r="AN48" i="7"/>
  <c r="AL48" i="7"/>
  <c r="AJ48" i="7"/>
  <c r="AH48" i="7"/>
  <c r="AF48" i="7"/>
  <c r="AD48" i="7"/>
  <c r="AB48" i="7"/>
  <c r="Z48" i="7"/>
  <c r="Y48" i="7"/>
  <c r="X48" i="7"/>
  <c r="W48" i="7"/>
  <c r="BG47" i="7"/>
  <c r="BE47" i="7"/>
  <c r="BC47" i="7"/>
  <c r="BA47" i="7"/>
  <c r="AZ47" i="7"/>
  <c r="AY47" i="7"/>
  <c r="AX47" i="7"/>
  <c r="AW47" i="7"/>
  <c r="AV47" i="7"/>
  <c r="AT47" i="7"/>
  <c r="AR47" i="7"/>
  <c r="AP47" i="7"/>
  <c r="AN47" i="7"/>
  <c r="AL47" i="7"/>
  <c r="AJ47" i="7"/>
  <c r="AH47" i="7"/>
  <c r="AF47" i="7"/>
  <c r="AD47" i="7"/>
  <c r="AB47" i="7"/>
  <c r="Z47" i="7"/>
  <c r="Y47" i="7"/>
  <c r="X47" i="7"/>
  <c r="W47" i="7"/>
  <c r="BG46" i="7"/>
  <c r="BE46" i="7"/>
  <c r="BC46" i="7"/>
  <c r="BA46" i="7"/>
  <c r="AZ46" i="7"/>
  <c r="AY46" i="7"/>
  <c r="AX46" i="7"/>
  <c r="AW46" i="7"/>
  <c r="AV46" i="7"/>
  <c r="AT46" i="7"/>
  <c r="AR46" i="7"/>
  <c r="AP46" i="7"/>
  <c r="AN46" i="7"/>
  <c r="AL46" i="7"/>
  <c r="AJ46" i="7"/>
  <c r="AH46" i="7"/>
  <c r="AF46" i="7"/>
  <c r="AD46" i="7"/>
  <c r="AB46" i="7"/>
  <c r="Z46" i="7"/>
  <c r="Y46" i="7"/>
  <c r="X46" i="7"/>
  <c r="W46" i="7"/>
  <c r="BG45" i="7"/>
  <c r="BE45" i="7"/>
  <c r="BC45" i="7"/>
  <c r="BA45" i="7"/>
  <c r="AZ45" i="7"/>
  <c r="AY45" i="7"/>
  <c r="AX45" i="7"/>
  <c r="AW45" i="7"/>
  <c r="AV45" i="7"/>
  <c r="AT45" i="7"/>
  <c r="AR45" i="7"/>
  <c r="AP45" i="7"/>
  <c r="AN45" i="7"/>
  <c r="AL45" i="7"/>
  <c r="AJ45" i="7"/>
  <c r="AH45" i="7"/>
  <c r="AF45" i="7"/>
  <c r="AD45" i="7"/>
  <c r="AB45" i="7"/>
  <c r="Z45" i="7"/>
  <c r="Y45" i="7"/>
  <c r="X45" i="7"/>
  <c r="W45" i="7"/>
  <c r="BG44" i="7"/>
  <c r="BE44" i="7"/>
  <c r="BC44" i="7"/>
  <c r="BA44" i="7"/>
  <c r="AZ44" i="7"/>
  <c r="AY44" i="7"/>
  <c r="AX44" i="7"/>
  <c r="AW44" i="7"/>
  <c r="AV44" i="7"/>
  <c r="AT44" i="7"/>
  <c r="AR44" i="7"/>
  <c r="AP44" i="7"/>
  <c r="AN44" i="7"/>
  <c r="AL44" i="7"/>
  <c r="AJ44" i="7"/>
  <c r="AH44" i="7"/>
  <c r="AF44" i="7"/>
  <c r="AD44" i="7"/>
  <c r="AB44" i="7"/>
  <c r="Z44" i="7"/>
  <c r="Y44" i="7"/>
  <c r="X44" i="7"/>
  <c r="W44" i="7"/>
  <c r="BG43" i="7"/>
  <c r="BE43" i="7"/>
  <c r="BC43" i="7"/>
  <c r="BA43" i="7"/>
  <c r="AZ43" i="7"/>
  <c r="AY43" i="7"/>
  <c r="AX43" i="7"/>
  <c r="AW43" i="7"/>
  <c r="AV43" i="7"/>
  <c r="AT43" i="7"/>
  <c r="AR43" i="7"/>
  <c r="AP43" i="7"/>
  <c r="AN43" i="7"/>
  <c r="AL43" i="7"/>
  <c r="AJ43" i="7"/>
  <c r="AH43" i="7"/>
  <c r="AF43" i="7"/>
  <c r="AD43" i="7"/>
  <c r="AB43" i="7"/>
  <c r="Z43" i="7"/>
  <c r="Y43" i="7"/>
  <c r="X43" i="7"/>
  <c r="W43" i="7"/>
  <c r="BG42" i="7"/>
  <c r="BE42" i="7"/>
  <c r="BC42" i="7"/>
  <c r="BA42" i="7"/>
  <c r="AZ42" i="7"/>
  <c r="AY42" i="7"/>
  <c r="AX42" i="7"/>
  <c r="AW42" i="7"/>
  <c r="AV42" i="7"/>
  <c r="AT42" i="7"/>
  <c r="AR42" i="7"/>
  <c r="AP42" i="7"/>
  <c r="AN42" i="7"/>
  <c r="AL42" i="7"/>
  <c r="AJ42" i="7"/>
  <c r="AH42" i="7"/>
  <c r="AF42" i="7"/>
  <c r="AD42" i="7"/>
  <c r="AB42" i="7"/>
  <c r="Z42" i="7"/>
  <c r="Y42" i="7"/>
  <c r="X42" i="7"/>
  <c r="W42" i="7"/>
  <c r="BG41" i="7"/>
  <c r="BA41" i="7"/>
  <c r="AZ41" i="7"/>
  <c r="AY41" i="7"/>
  <c r="AX41" i="7"/>
  <c r="AW41" i="7"/>
  <c r="AV41" i="7"/>
  <c r="AT41" i="7"/>
  <c r="AR41" i="7"/>
  <c r="AL41" i="7"/>
  <c r="AJ41" i="7"/>
  <c r="AH41" i="7"/>
  <c r="AB41" i="7"/>
  <c r="Z41" i="7"/>
  <c r="W41" i="7"/>
  <c r="BG40" i="7"/>
  <c r="BE40" i="7"/>
  <c r="BC40" i="7"/>
  <c r="BA40" i="7"/>
  <c r="AZ40" i="7"/>
  <c r="AY40" i="7"/>
  <c r="AX40" i="7"/>
  <c r="AW40" i="7"/>
  <c r="AV40" i="7"/>
  <c r="AT40" i="7"/>
  <c r="AR40" i="7"/>
  <c r="AP40" i="7"/>
  <c r="AN40" i="7"/>
  <c r="AL40" i="7"/>
  <c r="AJ40" i="7"/>
  <c r="AH40" i="7"/>
  <c r="AF40" i="7"/>
  <c r="AD40" i="7"/>
  <c r="AB40" i="7"/>
  <c r="Z40" i="7"/>
  <c r="Y40" i="7"/>
  <c r="X40" i="7"/>
  <c r="W40" i="7"/>
  <c r="BG39" i="7"/>
  <c r="BE39" i="7"/>
  <c r="BC39" i="7"/>
  <c r="BA39" i="7"/>
  <c r="BA58" i="7" s="1"/>
  <c r="BA60" i="7" s="1"/>
  <c r="AZ39" i="7"/>
  <c r="AY39" i="7"/>
  <c r="AX39" i="7"/>
  <c r="AW39" i="7"/>
  <c r="AV39" i="7"/>
  <c r="AT39" i="7"/>
  <c r="AR39" i="7"/>
  <c r="AP39" i="7"/>
  <c r="AN39" i="7"/>
  <c r="AL39" i="7"/>
  <c r="AJ39" i="7"/>
  <c r="AH39" i="7"/>
  <c r="AF39" i="7"/>
  <c r="AD39" i="7"/>
  <c r="AB39" i="7"/>
  <c r="Z39" i="7"/>
  <c r="Y39" i="7"/>
  <c r="X39" i="7"/>
  <c r="W39" i="7"/>
  <c r="BG38" i="7"/>
  <c r="BE38" i="7"/>
  <c r="BC38" i="7"/>
  <c r="BA38" i="7"/>
  <c r="AZ38" i="7"/>
  <c r="AY38" i="7"/>
  <c r="AX38" i="7"/>
  <c r="AW38" i="7"/>
  <c r="AV38" i="7"/>
  <c r="AT38" i="7"/>
  <c r="AR38" i="7"/>
  <c r="AP38" i="7"/>
  <c r="AN38" i="7"/>
  <c r="AL38" i="7"/>
  <c r="AJ38" i="7"/>
  <c r="AH38" i="7"/>
  <c r="AF38" i="7"/>
  <c r="AD38" i="7"/>
  <c r="AB38" i="7"/>
  <c r="Z38" i="7"/>
  <c r="Y38" i="7"/>
  <c r="X38" i="7"/>
  <c r="W38" i="7"/>
  <c r="BE37" i="7"/>
  <c r="BA37" i="7"/>
  <c r="AX37" i="7"/>
  <c r="AV37" i="7"/>
  <c r="AR37" i="7"/>
  <c r="AP37" i="7"/>
  <c r="AL37" i="7"/>
  <c r="AF37" i="7"/>
  <c r="AD37" i="7"/>
  <c r="X37" i="7"/>
  <c r="W37" i="7"/>
  <c r="BG36" i="7"/>
  <c r="BE36" i="7"/>
  <c r="BC36" i="7"/>
  <c r="BA36" i="7"/>
  <c r="AZ36" i="7"/>
  <c r="AY36" i="7"/>
  <c r="AX36" i="7"/>
  <c r="AW36" i="7"/>
  <c r="AV36" i="7"/>
  <c r="AT36" i="7"/>
  <c r="AR36" i="7"/>
  <c r="AP36" i="7"/>
  <c r="AN36" i="7"/>
  <c r="AL36" i="7"/>
  <c r="AJ36" i="7"/>
  <c r="AH36" i="7"/>
  <c r="AF36" i="7"/>
  <c r="AD36" i="7"/>
  <c r="AB36" i="7"/>
  <c r="Z36" i="7"/>
  <c r="Y36" i="7"/>
  <c r="X36" i="7"/>
  <c r="W36" i="7"/>
  <c r="BG35" i="7"/>
  <c r="BE35" i="7"/>
  <c r="BA35" i="7"/>
  <c r="AZ35" i="7"/>
  <c r="AY35" i="7"/>
  <c r="AT35" i="7"/>
  <c r="AR35" i="7"/>
  <c r="AJ35" i="7"/>
  <c r="AH35" i="7"/>
  <c r="AF35" i="7"/>
  <c r="AD35" i="7"/>
  <c r="Y35" i="7"/>
  <c r="X35" i="7"/>
  <c r="W35" i="7"/>
  <c r="BG34" i="7"/>
  <c r="BE34" i="7"/>
  <c r="BC34" i="7"/>
  <c r="BA34" i="7"/>
  <c r="AZ34" i="7"/>
  <c r="AY34" i="7"/>
  <c r="AX34" i="7"/>
  <c r="AW34" i="7"/>
  <c r="AV34" i="7"/>
  <c r="AT34" i="7"/>
  <c r="AR34" i="7"/>
  <c r="AP34" i="7"/>
  <c r="AN34" i="7"/>
  <c r="AL34" i="7"/>
  <c r="AJ34" i="7"/>
  <c r="AH34" i="7"/>
  <c r="AF34" i="7"/>
  <c r="AD34" i="7"/>
  <c r="AB34" i="7"/>
  <c r="Z34" i="7"/>
  <c r="Y34" i="7"/>
  <c r="X34" i="7"/>
  <c r="W34" i="7"/>
  <c r="BG33" i="7"/>
  <c r="BE33" i="7"/>
  <c r="BC33" i="7"/>
  <c r="BA33" i="7"/>
  <c r="AZ33" i="7"/>
  <c r="AY33" i="7"/>
  <c r="AT33" i="7"/>
  <c r="AR33" i="7"/>
  <c r="AP33" i="7"/>
  <c r="AJ33" i="7"/>
  <c r="AH33" i="7"/>
  <c r="AF33" i="7"/>
  <c r="Y33" i="7"/>
  <c r="W33" i="7"/>
  <c r="BG32" i="7"/>
  <c r="BE32" i="7"/>
  <c r="BC32" i="7"/>
  <c r="BA32" i="7"/>
  <c r="AZ32" i="7"/>
  <c r="AY32" i="7"/>
  <c r="AW32" i="7"/>
  <c r="AV32" i="7"/>
  <c r="AT32" i="7"/>
  <c r="AR32" i="7"/>
  <c r="AP32" i="7"/>
  <c r="AL32" i="7"/>
  <c r="AJ32" i="7"/>
  <c r="AH32" i="7"/>
  <c r="AF32" i="7"/>
  <c r="AD32" i="7"/>
  <c r="AB32" i="7"/>
  <c r="Z32" i="7"/>
  <c r="Y32" i="7"/>
  <c r="X32" i="7"/>
  <c r="W32" i="7"/>
  <c r="BE31" i="7"/>
  <c r="BC31" i="7"/>
  <c r="BA31" i="7"/>
  <c r="AZ31" i="7"/>
  <c r="AY31" i="7"/>
  <c r="AX31" i="7"/>
  <c r="AW31" i="7"/>
  <c r="AV31" i="7"/>
  <c r="AT31" i="7"/>
  <c r="AR31" i="7"/>
  <c r="AP31" i="7"/>
  <c r="AN31" i="7"/>
  <c r="AL31" i="7"/>
  <c r="AJ31" i="7"/>
  <c r="AH31" i="7"/>
  <c r="AD31" i="7"/>
  <c r="AB31" i="7"/>
  <c r="Z31" i="7"/>
  <c r="Y31" i="7"/>
  <c r="X31" i="7"/>
  <c r="W31" i="7"/>
  <c r="BG30" i="7"/>
  <c r="BE30" i="7"/>
  <c r="BC30" i="7"/>
  <c r="BA30" i="7"/>
  <c r="AZ30" i="7"/>
  <c r="AY30" i="7"/>
  <c r="AX30" i="7"/>
  <c r="AW30" i="7"/>
  <c r="AV30" i="7"/>
  <c r="AT30" i="7"/>
  <c r="AR30" i="7"/>
  <c r="AP30" i="7"/>
  <c r="AN30" i="7"/>
  <c r="AL30" i="7"/>
  <c r="AJ30" i="7"/>
  <c r="AH30" i="7"/>
  <c r="AF30" i="7"/>
  <c r="AD30" i="7"/>
  <c r="AB30" i="7"/>
  <c r="Z30" i="7"/>
  <c r="Y30" i="7"/>
  <c r="X30" i="7"/>
  <c r="W30" i="7"/>
  <c r="BG29" i="7"/>
  <c r="BE29" i="7"/>
  <c r="AZ29" i="7"/>
  <c r="AY29" i="7"/>
  <c r="AX29" i="7"/>
  <c r="AW29" i="7"/>
  <c r="AV29" i="7"/>
  <c r="AT29" i="7"/>
  <c r="AR29" i="7"/>
  <c r="AP29" i="7"/>
  <c r="AL29" i="7"/>
  <c r="AJ29" i="7"/>
  <c r="AH29" i="7"/>
  <c r="Z29" i="7"/>
  <c r="Y29" i="7"/>
  <c r="W29" i="7"/>
  <c r="BC28" i="7"/>
  <c r="BA28" i="7"/>
  <c r="AZ28" i="7"/>
  <c r="AX28" i="7"/>
  <c r="AW28" i="7"/>
  <c r="AV28" i="7"/>
  <c r="AT28" i="7"/>
  <c r="AR28" i="7"/>
  <c r="AL28" i="7"/>
  <c r="AJ28" i="7"/>
  <c r="AH28" i="7"/>
  <c r="AF28" i="7"/>
  <c r="AD28" i="7"/>
  <c r="AB28" i="7"/>
  <c r="Z28" i="7"/>
  <c r="Y28" i="7"/>
  <c r="X28" i="7"/>
  <c r="W28" i="7"/>
  <c r="BG27" i="7"/>
  <c r="BE27" i="7"/>
  <c r="BC27" i="7"/>
  <c r="AZ27" i="7"/>
  <c r="AY27" i="7"/>
  <c r="AX27" i="7"/>
  <c r="AW27" i="7"/>
  <c r="AT27" i="7"/>
  <c r="AP27" i="7"/>
  <c r="AN27" i="7"/>
  <c r="AL27" i="7"/>
  <c r="AJ27" i="7"/>
  <c r="AF27" i="7"/>
  <c r="AB27" i="7"/>
  <c r="Y27" i="7"/>
  <c r="X27" i="7"/>
  <c r="W27" i="7"/>
  <c r="BG26" i="7"/>
  <c r="BE26" i="7"/>
  <c r="BC26" i="7"/>
  <c r="AY26" i="7"/>
  <c r="AX26" i="7"/>
  <c r="AW26" i="7"/>
  <c r="AV26" i="7"/>
  <c r="AT26" i="7"/>
  <c r="AP26" i="7"/>
  <c r="AN26" i="7"/>
  <c r="AL26" i="7"/>
  <c r="AJ26" i="7"/>
  <c r="AH26" i="7"/>
  <c r="AF26" i="7"/>
  <c r="Z26" i="7"/>
  <c r="Y26" i="7"/>
  <c r="W26" i="7"/>
  <c r="BG25" i="7"/>
  <c r="BE25" i="7"/>
  <c r="BA25" i="7"/>
  <c r="AZ25" i="7"/>
  <c r="AY25" i="7"/>
  <c r="AX25" i="7"/>
  <c r="AW25" i="7"/>
  <c r="AV25" i="7"/>
  <c r="AT25" i="7"/>
  <c r="AR25" i="7"/>
  <c r="AJ25" i="7"/>
  <c r="AH25" i="7"/>
  <c r="AF25" i="7"/>
  <c r="AD25" i="7"/>
  <c r="Y25" i="7"/>
  <c r="W25" i="7"/>
  <c r="BE24" i="7"/>
  <c r="BC24" i="7"/>
  <c r="BA24" i="7"/>
  <c r="AZ24" i="7"/>
  <c r="AY24" i="7"/>
  <c r="AX24" i="7"/>
  <c r="AW24" i="7"/>
  <c r="AV24" i="7"/>
  <c r="AT24" i="7"/>
  <c r="AR24" i="7"/>
  <c r="AL24" i="7"/>
  <c r="AJ24" i="7"/>
  <c r="AH24" i="7"/>
  <c r="AF24" i="7"/>
  <c r="AD24" i="7"/>
  <c r="AB24" i="7"/>
  <c r="Z24" i="7"/>
  <c r="Y24" i="7"/>
  <c r="W24" i="7"/>
  <c r="BG23" i="7"/>
  <c r="BE23" i="7"/>
  <c r="BC23" i="7"/>
  <c r="BA23" i="7"/>
  <c r="AZ23" i="7"/>
  <c r="AY23" i="7"/>
  <c r="AX23" i="7"/>
  <c r="AW23" i="7"/>
  <c r="AV23" i="7"/>
  <c r="AT23" i="7"/>
  <c r="AR23" i="7"/>
  <c r="AP23" i="7"/>
  <c r="AN23" i="7"/>
  <c r="AL23" i="7"/>
  <c r="AJ23" i="7"/>
  <c r="AH23" i="7"/>
  <c r="AD23" i="7"/>
  <c r="AB23" i="7"/>
  <c r="Z23" i="7"/>
  <c r="Y23" i="7"/>
  <c r="X23" i="7"/>
  <c r="W23" i="7"/>
  <c r="BG22" i="7"/>
  <c r="BE22" i="7"/>
  <c r="BC22" i="7"/>
  <c r="BA22" i="7"/>
  <c r="AX22" i="7"/>
  <c r="AW22" i="7"/>
  <c r="AV22" i="7"/>
  <c r="AT22" i="7"/>
  <c r="AR22" i="7"/>
  <c r="AP22" i="7"/>
  <c r="AN22" i="7"/>
  <c r="AL22" i="7"/>
  <c r="AJ22" i="7"/>
  <c r="AH22" i="7"/>
  <c r="AF22" i="7"/>
  <c r="AD22" i="7"/>
  <c r="AB22" i="7"/>
  <c r="Z22" i="7"/>
  <c r="Y22" i="7"/>
  <c r="X22" i="7"/>
  <c r="BG20" i="7"/>
  <c r="BE20" i="7"/>
  <c r="BC20" i="7"/>
  <c r="BA20" i="7"/>
  <c r="AZ20" i="7"/>
  <c r="AY20" i="7"/>
  <c r="AX20" i="7"/>
  <c r="AW20" i="7"/>
  <c r="AV20" i="7"/>
  <c r="AT20" i="7"/>
  <c r="AR20" i="7"/>
  <c r="AP20" i="7"/>
  <c r="AN20" i="7"/>
  <c r="AL20" i="7"/>
  <c r="AJ20" i="7"/>
  <c r="AH20" i="7"/>
  <c r="AF20" i="7"/>
  <c r="AD20" i="7"/>
  <c r="AB20" i="7"/>
  <c r="Z20" i="7"/>
  <c r="Y20" i="7"/>
  <c r="X20" i="7"/>
  <c r="W20" i="7"/>
  <c r="BG19" i="7"/>
  <c r="BE19" i="7"/>
  <c r="BA19" i="7"/>
  <c r="AZ19" i="7"/>
  <c r="AY19" i="7"/>
  <c r="AT19" i="7"/>
  <c r="AR19" i="7"/>
  <c r="AJ19" i="7"/>
  <c r="AH19" i="7"/>
  <c r="AF19" i="7"/>
  <c r="AD19" i="7"/>
  <c r="Y19" i="7"/>
  <c r="W19" i="7"/>
  <c r="BG18" i="7"/>
  <c r="BE18" i="7"/>
  <c r="BC18" i="7"/>
  <c r="BA18" i="7"/>
  <c r="AZ18" i="7"/>
  <c r="AY18" i="7"/>
  <c r="AX18" i="7"/>
  <c r="AW18" i="7"/>
  <c r="AT18" i="7"/>
  <c r="AR18" i="7"/>
  <c r="AP18" i="7"/>
  <c r="AN18" i="7"/>
  <c r="AJ18" i="7"/>
  <c r="AH18" i="7"/>
  <c r="AF18" i="7"/>
  <c r="AD18" i="7"/>
  <c r="AB18" i="7"/>
  <c r="Z18" i="7"/>
  <c r="Y18" i="7"/>
  <c r="X18" i="7"/>
  <c r="W18" i="7"/>
  <c r="BG17" i="7"/>
  <c r="BE17" i="7"/>
  <c r="BC17" i="7"/>
  <c r="BA17" i="7"/>
  <c r="AZ17" i="7"/>
  <c r="AY17" i="7"/>
  <c r="AX17" i="7"/>
  <c r="AW17" i="7"/>
  <c r="AV17" i="7"/>
  <c r="AR17" i="7"/>
  <c r="AP17" i="7"/>
  <c r="AN17" i="7"/>
  <c r="AL17" i="7"/>
  <c r="AJ17" i="7"/>
  <c r="AH17" i="7"/>
  <c r="AF17" i="7"/>
  <c r="AD17" i="7"/>
  <c r="AB17" i="7"/>
  <c r="Z17" i="7"/>
  <c r="Y17" i="7"/>
  <c r="X17" i="7"/>
  <c r="W17" i="7"/>
  <c r="BG16" i="7"/>
  <c r="BE16" i="7"/>
  <c r="BC16" i="7"/>
  <c r="BA16" i="7"/>
  <c r="AY16" i="7"/>
  <c r="AX16" i="7"/>
  <c r="AW16" i="7"/>
  <c r="AV16" i="7"/>
  <c r="AR16" i="7"/>
  <c r="AP16" i="7"/>
  <c r="AN16" i="7"/>
  <c r="AL16" i="7"/>
  <c r="AH16" i="7"/>
  <c r="AF16" i="7"/>
  <c r="AD16" i="7"/>
  <c r="AB16" i="7"/>
  <c r="Z16" i="7"/>
  <c r="Y16" i="7"/>
  <c r="X16" i="7"/>
  <c r="W16" i="7"/>
  <c r="BE15" i="7"/>
  <c r="BC15" i="7"/>
  <c r="BA15" i="7"/>
  <c r="AY15" i="7"/>
  <c r="AX15" i="7"/>
  <c r="AW15" i="7"/>
  <c r="AV15" i="7"/>
  <c r="AR15" i="7"/>
  <c r="AN15" i="7"/>
  <c r="AL15" i="7"/>
  <c r="AJ15" i="7"/>
  <c r="AH15" i="7"/>
  <c r="AF15" i="7"/>
  <c r="AD15" i="7"/>
  <c r="AB15" i="7"/>
  <c r="Z15" i="7"/>
  <c r="Y15" i="7"/>
  <c r="X15" i="7"/>
  <c r="W15" i="7"/>
  <c r="BG14" i="7"/>
  <c r="BE14" i="7"/>
  <c r="BC14" i="7"/>
  <c r="BA14" i="7"/>
  <c r="AZ14" i="7"/>
  <c r="AY14" i="7"/>
  <c r="AV14" i="7"/>
  <c r="AT14" i="7"/>
  <c r="AR14" i="7"/>
  <c r="AL14" i="7"/>
  <c r="AJ14" i="7"/>
  <c r="AH14" i="7"/>
  <c r="AF14" i="7"/>
  <c r="AD14" i="7"/>
  <c r="Z14" i="7"/>
  <c r="Y14" i="7"/>
  <c r="X14" i="7"/>
  <c r="W14" i="7"/>
  <c r="BG13" i="7"/>
  <c r="BE13" i="7"/>
  <c r="BC13" i="7"/>
  <c r="BA13" i="7"/>
  <c r="AZ13" i="7"/>
  <c r="AY13" i="7"/>
  <c r="AT13" i="7"/>
  <c r="AR13" i="7"/>
  <c r="AJ13" i="7"/>
  <c r="AH13" i="7"/>
  <c r="AF13" i="7"/>
  <c r="Z13" i="7"/>
  <c r="Y13" i="7"/>
  <c r="X13" i="7"/>
  <c r="W13" i="7"/>
  <c r="BG12" i="7"/>
  <c r="BE12" i="7"/>
  <c r="BC12" i="7"/>
  <c r="BA12" i="7"/>
  <c r="AZ12" i="7"/>
  <c r="AY12" i="7"/>
  <c r="AX12" i="7"/>
  <c r="AW12" i="7"/>
  <c r="AV12" i="7"/>
  <c r="AT12" i="7"/>
  <c r="AR12" i="7"/>
  <c r="AP12" i="7"/>
  <c r="AN12" i="7"/>
  <c r="AJ12" i="7"/>
  <c r="AH12" i="7"/>
  <c r="AF12" i="7"/>
  <c r="AD12" i="7"/>
  <c r="Y12" i="7"/>
  <c r="X12" i="7"/>
  <c r="W12" i="7"/>
  <c r="BG11" i="7"/>
  <c r="BE11" i="7"/>
  <c r="AZ11" i="7"/>
  <c r="AY11" i="7"/>
  <c r="AV11" i="7"/>
  <c r="AT11" i="7"/>
  <c r="AR11" i="7"/>
  <c r="AL11" i="7"/>
  <c r="AJ11" i="7"/>
  <c r="AH11" i="7"/>
  <c r="AF11" i="7"/>
  <c r="AD11" i="7"/>
  <c r="AB11" i="7"/>
  <c r="Z11" i="7"/>
  <c r="W11" i="7"/>
  <c r="BG10" i="7"/>
  <c r="BE10" i="7"/>
  <c r="BC10" i="7"/>
  <c r="BA10" i="7"/>
  <c r="AZ10" i="7"/>
  <c r="AY10" i="7"/>
  <c r="AW10" i="7"/>
  <c r="AV10" i="7"/>
  <c r="AT10" i="7"/>
  <c r="AR10" i="7"/>
  <c r="AP10" i="7"/>
  <c r="AN10" i="7"/>
  <c r="AL10" i="7"/>
  <c r="AJ10" i="7"/>
  <c r="AH10" i="7"/>
  <c r="AF10" i="7"/>
  <c r="AD10" i="7"/>
  <c r="AB10" i="7"/>
  <c r="Z10" i="7"/>
  <c r="Y10" i="7"/>
  <c r="X10" i="7"/>
  <c r="W10" i="7"/>
  <c r="BG9" i="7"/>
  <c r="BE9" i="7"/>
  <c r="BC9" i="7"/>
  <c r="BA9" i="7"/>
  <c r="AZ9" i="7"/>
  <c r="AY9" i="7"/>
  <c r="AX9" i="7"/>
  <c r="AV9" i="7"/>
  <c r="AT9" i="7"/>
  <c r="AR9" i="7"/>
  <c r="AP9" i="7"/>
  <c r="AL9" i="7"/>
  <c r="AJ9" i="7"/>
  <c r="AH9" i="7"/>
  <c r="AF9" i="7"/>
  <c r="AD9" i="7"/>
  <c r="AB9" i="7"/>
  <c r="Z9" i="7"/>
  <c r="Y9" i="7"/>
  <c r="X9" i="7"/>
  <c r="W9" i="7"/>
  <c r="BE8" i="7"/>
  <c r="AL8" i="7"/>
  <c r="AH8" i="7"/>
  <c r="BG7" i="7"/>
  <c r="BE7" i="7"/>
  <c r="BC7" i="7"/>
  <c r="AZ7" i="7"/>
  <c r="AY7" i="7"/>
  <c r="AX7" i="7"/>
  <c r="AX58" i="7" s="1"/>
  <c r="AX60" i="7" s="1"/>
  <c r="AW7" i="7"/>
  <c r="AV7" i="7"/>
  <c r="AT7" i="7"/>
  <c r="AR7" i="7"/>
  <c r="AP7" i="7"/>
  <c r="AJ7" i="7"/>
  <c r="AH7" i="7"/>
  <c r="AF7" i="7"/>
  <c r="AD7" i="7"/>
  <c r="AB7" i="7"/>
  <c r="Y7" i="7"/>
  <c r="X7" i="7"/>
  <c r="W7" i="7"/>
  <c r="BG6" i="7"/>
  <c r="BE6" i="7"/>
  <c r="AZ6" i="7"/>
  <c r="AY6" i="7"/>
  <c r="AT6" i="7"/>
  <c r="AR6" i="7"/>
  <c r="AJ6" i="7"/>
  <c r="AH6" i="7"/>
  <c r="AD6" i="7"/>
  <c r="Y6" i="7"/>
  <c r="W6" i="7"/>
  <c r="BG5" i="7"/>
  <c r="BG58" i="7" s="1"/>
  <c r="BG60" i="7" s="1"/>
  <c r="BE5" i="7"/>
  <c r="BC5" i="7"/>
  <c r="BA5" i="7"/>
  <c r="AT5" i="7"/>
  <c r="AR5" i="7"/>
  <c r="AJ5" i="7"/>
  <c r="AH5" i="7"/>
  <c r="AF5" i="7"/>
  <c r="AD5" i="7"/>
  <c r="AB5" i="7"/>
  <c r="Z5" i="7"/>
  <c r="Y5" i="7"/>
  <c r="X5" i="7"/>
  <c r="W5" i="7"/>
  <c r="BG4" i="7"/>
  <c r="BE4" i="7"/>
  <c r="AZ4" i="7"/>
  <c r="AY4" i="7"/>
  <c r="AW4" i="7"/>
  <c r="AV4" i="7"/>
  <c r="AT4" i="7"/>
  <c r="AT58" i="7" s="1"/>
  <c r="AT60" i="7" s="1"/>
  <c r="AR4" i="7"/>
  <c r="AP4" i="7"/>
  <c r="AP58" i="7" s="1"/>
  <c r="AP60" i="7" s="1"/>
  <c r="AN4" i="7"/>
  <c r="AN58" i="7" s="1"/>
  <c r="AN60" i="7" s="1"/>
  <c r="AL4" i="7"/>
  <c r="AJ4" i="7"/>
  <c r="AH4" i="7"/>
  <c r="AF4" i="7"/>
  <c r="AD4" i="7"/>
  <c r="AD58" i="7" s="1"/>
  <c r="AD60" i="7" s="1"/>
  <c r="AB4" i="7"/>
  <c r="Z4" i="7"/>
  <c r="Z58" i="7" s="1"/>
  <c r="Z60" i="7" s="1"/>
  <c r="Y4" i="7"/>
  <c r="Y58" i="7" s="1"/>
  <c r="Y60" i="7" s="1"/>
  <c r="X4" i="7"/>
  <c r="W4" i="7"/>
  <c r="BG3" i="7"/>
  <c r="BE3" i="7"/>
  <c r="BE58" i="7" s="1"/>
  <c r="BE60" i="7" s="1"/>
  <c r="BC3" i="7"/>
  <c r="BC58" i="7" s="1"/>
  <c r="BC60" i="7" s="1"/>
  <c r="AZ3" i="7"/>
  <c r="AY3" i="7"/>
  <c r="AW3" i="7"/>
  <c r="AW58" i="7" s="1"/>
  <c r="AW60" i="7" s="1"/>
  <c r="AV3" i="7"/>
  <c r="AV58" i="7" s="1"/>
  <c r="AV60" i="7" s="1"/>
  <c r="AT3" i="7"/>
  <c r="AR3" i="7"/>
  <c r="AR58" i="7" s="1"/>
  <c r="AR60" i="7" s="1"/>
  <c r="AP3" i="7"/>
  <c r="AN3" i="7"/>
  <c r="AL3" i="7"/>
  <c r="AL58" i="7" s="1"/>
  <c r="AL60" i="7" s="1"/>
  <c r="AJ3" i="7"/>
  <c r="AH3" i="7"/>
  <c r="AF3" i="7"/>
  <c r="AF58" i="7" s="1"/>
  <c r="AF60" i="7" s="1"/>
  <c r="AB3" i="7"/>
  <c r="AB58" i="7" s="1"/>
  <c r="AB60" i="7" s="1"/>
  <c r="Z3" i="7"/>
  <c r="Y3" i="7"/>
  <c r="X3" i="7"/>
  <c r="X58" i="7" s="1"/>
  <c r="X60" i="7" s="1"/>
  <c r="W3" i="7"/>
  <c r="BG2" i="7"/>
  <c r="AZ2" i="7"/>
  <c r="AZ58" i="7" s="1"/>
  <c r="AZ60" i="7" s="1"/>
  <c r="AT2" i="7"/>
  <c r="AJ2" i="7"/>
  <c r="AJ58" i="7" s="1"/>
  <c r="AJ60" i="7" s="1"/>
  <c r="AH2" i="7"/>
  <c r="AH58" i="7" s="1"/>
  <c r="AH60" i="7" s="1"/>
  <c r="W2" i="7"/>
  <c r="W58" i="7" s="1"/>
  <c r="W60" i="7" s="1"/>
  <c r="N58" i="6"/>
  <c r="N83" i="5"/>
  <c r="BG76" i="5"/>
  <c r="BE76" i="5"/>
  <c r="BC76" i="5"/>
  <c r="BA76" i="5"/>
  <c r="AZ76" i="5"/>
  <c r="AY76" i="5"/>
  <c r="AX76" i="5"/>
  <c r="AW76" i="5"/>
  <c r="AV76" i="5"/>
  <c r="AT76" i="5"/>
  <c r="AR76" i="5"/>
  <c r="AP76" i="5"/>
  <c r="AN76" i="5"/>
  <c r="AL76" i="5"/>
  <c r="AJ76" i="5"/>
  <c r="AH76" i="5"/>
  <c r="AF76" i="5"/>
  <c r="AD76" i="5"/>
  <c r="AB76" i="5"/>
  <c r="Z76" i="5"/>
  <c r="Y76" i="5"/>
  <c r="X76" i="5"/>
  <c r="W76" i="5"/>
  <c r="BG75" i="5"/>
  <c r="BE75" i="5"/>
  <c r="BC75" i="5"/>
  <c r="BA75" i="5"/>
  <c r="AZ75" i="5"/>
  <c r="AY75" i="5"/>
  <c r="AX75" i="5"/>
  <c r="AW75" i="5"/>
  <c r="AV75" i="5"/>
  <c r="AT75" i="5"/>
  <c r="AR75" i="5"/>
  <c r="AP75" i="5"/>
  <c r="AN75" i="5"/>
  <c r="AL75" i="5"/>
  <c r="AJ75" i="5"/>
  <c r="AH75" i="5"/>
  <c r="AF75" i="5"/>
  <c r="AD75" i="5"/>
  <c r="AB75" i="5"/>
  <c r="Z75" i="5"/>
  <c r="Y75" i="5"/>
  <c r="X75" i="5"/>
  <c r="W75" i="5"/>
  <c r="BG74" i="5"/>
  <c r="BE74" i="5"/>
  <c r="BC74" i="5"/>
  <c r="BA74" i="5"/>
  <c r="AZ74" i="5"/>
  <c r="AY74" i="5"/>
  <c r="AX74" i="5"/>
  <c r="AW74" i="5"/>
  <c r="AV74" i="5"/>
  <c r="AT74" i="5"/>
  <c r="AR74" i="5"/>
  <c r="AP74" i="5"/>
  <c r="AN74" i="5"/>
  <c r="AL74" i="5"/>
  <c r="AJ74" i="5"/>
  <c r="AH74" i="5"/>
  <c r="AF74" i="5"/>
  <c r="AD74" i="5"/>
  <c r="AB74" i="5"/>
  <c r="Z74" i="5"/>
  <c r="Y74" i="5"/>
  <c r="X74" i="5"/>
  <c r="W74" i="5"/>
  <c r="BG73" i="5"/>
  <c r="BE73" i="5"/>
  <c r="BC73" i="5"/>
  <c r="BA73" i="5"/>
  <c r="AZ73" i="5"/>
  <c r="AY73" i="5"/>
  <c r="AX73" i="5"/>
  <c r="AW73" i="5"/>
  <c r="AV73" i="5"/>
  <c r="AT73" i="5"/>
  <c r="AR73" i="5"/>
  <c r="AP73" i="5"/>
  <c r="AN73" i="5"/>
  <c r="AL73" i="5"/>
  <c r="AJ73" i="5"/>
  <c r="AH73" i="5"/>
  <c r="AF73" i="5"/>
  <c r="AD73" i="5"/>
  <c r="AB73" i="5"/>
  <c r="Z73" i="5"/>
  <c r="Y73" i="5"/>
  <c r="X73" i="5"/>
  <c r="W73" i="5"/>
  <c r="BG72" i="5"/>
  <c r="BE72" i="5"/>
  <c r="BC72" i="5"/>
  <c r="BA72" i="5"/>
  <c r="AZ72" i="5"/>
  <c r="AY72" i="5"/>
  <c r="AX72" i="5"/>
  <c r="AW72" i="5"/>
  <c r="AV72" i="5"/>
  <c r="AT72" i="5"/>
  <c r="AR72" i="5"/>
  <c r="AP72" i="5"/>
  <c r="AN72" i="5"/>
  <c r="AL72" i="5"/>
  <c r="AJ72" i="5"/>
  <c r="AH72" i="5"/>
  <c r="AF72" i="5"/>
  <c r="AD72" i="5"/>
  <c r="AB72" i="5"/>
  <c r="Z72" i="5"/>
  <c r="Y72" i="5"/>
  <c r="X72" i="5"/>
  <c r="W72" i="5"/>
  <c r="BG71" i="5"/>
  <c r="BE71" i="5"/>
  <c r="BC71" i="5"/>
  <c r="BA71" i="5"/>
  <c r="AZ71" i="5"/>
  <c r="AY71" i="5"/>
  <c r="AX71" i="5"/>
  <c r="AW71" i="5"/>
  <c r="AV71" i="5"/>
  <c r="AT71" i="5"/>
  <c r="AR71" i="5"/>
  <c r="AP71" i="5"/>
  <c r="AN71" i="5"/>
  <c r="AL71" i="5"/>
  <c r="AJ71" i="5"/>
  <c r="AH71" i="5"/>
  <c r="AF71" i="5"/>
  <c r="AD71" i="5"/>
  <c r="AB71" i="5"/>
  <c r="Z71" i="5"/>
  <c r="Y71" i="5"/>
  <c r="X71" i="5"/>
  <c r="W71" i="5"/>
  <c r="BG70" i="5"/>
  <c r="BA70" i="5"/>
  <c r="AZ70" i="5"/>
  <c r="AX70" i="5"/>
  <c r="AV70" i="5"/>
  <c r="AT70" i="5"/>
  <c r="AR70" i="5"/>
  <c r="AN70" i="5"/>
  <c r="AL70" i="5"/>
  <c r="AH70" i="5"/>
  <c r="Z70" i="5"/>
  <c r="Y70" i="5"/>
  <c r="X70" i="5"/>
  <c r="W70" i="5"/>
  <c r="BG69" i="5"/>
  <c r="BE69" i="5"/>
  <c r="BC69" i="5"/>
  <c r="BA69" i="5"/>
  <c r="AZ69" i="5"/>
  <c r="AY69" i="5"/>
  <c r="AX69" i="5"/>
  <c r="AW69" i="5"/>
  <c r="AV69" i="5"/>
  <c r="AT69" i="5"/>
  <c r="AR69" i="5"/>
  <c r="AP69" i="5"/>
  <c r="AN69" i="5"/>
  <c r="AL69" i="5"/>
  <c r="AJ69" i="5"/>
  <c r="AH69" i="5"/>
  <c r="AF69" i="5"/>
  <c r="AD69" i="5"/>
  <c r="AB69" i="5"/>
  <c r="Z69" i="5"/>
  <c r="Y69" i="5"/>
  <c r="X69" i="5"/>
  <c r="W69" i="5"/>
  <c r="BG68" i="5"/>
  <c r="BE68" i="5"/>
  <c r="BC68" i="5"/>
  <c r="BA68" i="5"/>
  <c r="AZ68" i="5"/>
  <c r="AY68" i="5"/>
  <c r="AX68" i="5"/>
  <c r="AW68" i="5"/>
  <c r="AV68" i="5"/>
  <c r="AT68" i="5"/>
  <c r="AR68" i="5"/>
  <c r="AP68" i="5"/>
  <c r="AN68" i="5"/>
  <c r="AL68" i="5"/>
  <c r="AJ68" i="5"/>
  <c r="AH68" i="5"/>
  <c r="AF68" i="5"/>
  <c r="AD68" i="5"/>
  <c r="AB68" i="5"/>
  <c r="Z68" i="5"/>
  <c r="Y68" i="5"/>
  <c r="X68" i="5"/>
  <c r="W68" i="5"/>
  <c r="BG67" i="5"/>
  <c r="BE67" i="5"/>
  <c r="BC67" i="5"/>
  <c r="BA67" i="5"/>
  <c r="AZ67" i="5"/>
  <c r="AY67" i="5"/>
  <c r="AX67" i="5"/>
  <c r="AW67" i="5"/>
  <c r="AV67" i="5"/>
  <c r="AT67" i="5"/>
  <c r="AR67" i="5"/>
  <c r="AP67" i="5"/>
  <c r="AN67" i="5"/>
  <c r="AL67" i="5"/>
  <c r="AJ67" i="5"/>
  <c r="AH67" i="5"/>
  <c r="AF67" i="5"/>
  <c r="AD67" i="5"/>
  <c r="AB67" i="5"/>
  <c r="Z67" i="5"/>
  <c r="Y67" i="5"/>
  <c r="X67" i="5"/>
  <c r="W67" i="5"/>
  <c r="BG66" i="5"/>
  <c r="BE66" i="5"/>
  <c r="BC66" i="5"/>
  <c r="BA66" i="5"/>
  <c r="AZ66" i="5"/>
  <c r="AY66" i="5"/>
  <c r="AX66" i="5"/>
  <c r="AW66" i="5"/>
  <c r="AV66" i="5"/>
  <c r="AT66" i="5"/>
  <c r="AR66" i="5"/>
  <c r="AP66" i="5"/>
  <c r="AN66" i="5"/>
  <c r="AL66" i="5"/>
  <c r="AJ66" i="5"/>
  <c r="AH66" i="5"/>
  <c r="AF66" i="5"/>
  <c r="AD66" i="5"/>
  <c r="AB66" i="5"/>
  <c r="Z66" i="5"/>
  <c r="Y66" i="5"/>
  <c r="X66" i="5"/>
  <c r="W66" i="5"/>
  <c r="BG65" i="5"/>
  <c r="BE65" i="5"/>
  <c r="BC65" i="5"/>
  <c r="BA65" i="5"/>
  <c r="AZ65" i="5"/>
  <c r="AY65" i="5"/>
  <c r="AX65" i="5"/>
  <c r="AW65" i="5"/>
  <c r="AV65" i="5"/>
  <c r="AT65" i="5"/>
  <c r="AR65" i="5"/>
  <c r="AP65" i="5"/>
  <c r="AN65" i="5"/>
  <c r="AL65" i="5"/>
  <c r="AJ65" i="5"/>
  <c r="AH65" i="5"/>
  <c r="AF65" i="5"/>
  <c r="AD65" i="5"/>
  <c r="AB65" i="5"/>
  <c r="Z65" i="5"/>
  <c r="Y65" i="5"/>
  <c r="X65" i="5"/>
  <c r="W65" i="5"/>
  <c r="BG64" i="5"/>
  <c r="BE64" i="5"/>
  <c r="BC64" i="5"/>
  <c r="BA64" i="5"/>
  <c r="AZ64" i="5"/>
  <c r="AY64" i="5"/>
  <c r="AX64" i="5"/>
  <c r="AW64" i="5"/>
  <c r="AV64" i="5"/>
  <c r="AT64" i="5"/>
  <c r="AR64" i="5"/>
  <c r="AP64" i="5"/>
  <c r="AN64" i="5"/>
  <c r="AL64" i="5"/>
  <c r="AJ64" i="5"/>
  <c r="AH64" i="5"/>
  <c r="AF64" i="5"/>
  <c r="AD64" i="5"/>
  <c r="AB64" i="5"/>
  <c r="Z64" i="5"/>
  <c r="Y64" i="5"/>
  <c r="X64" i="5"/>
  <c r="W64" i="5"/>
  <c r="BG63" i="5"/>
  <c r="BE63" i="5"/>
  <c r="BC63" i="5"/>
  <c r="BA63" i="5"/>
  <c r="AZ63" i="5"/>
  <c r="AY63" i="5"/>
  <c r="AX63" i="5"/>
  <c r="AW63" i="5"/>
  <c r="AV63" i="5"/>
  <c r="AT63" i="5"/>
  <c r="AR63" i="5"/>
  <c r="AP63" i="5"/>
  <c r="AN63" i="5"/>
  <c r="AL63" i="5"/>
  <c r="AJ63" i="5"/>
  <c r="AH63" i="5"/>
  <c r="AF63" i="5"/>
  <c r="AD63" i="5"/>
  <c r="AB63" i="5"/>
  <c r="Z63" i="5"/>
  <c r="Y63" i="5"/>
  <c r="X63" i="5"/>
  <c r="W63" i="5"/>
  <c r="BG62" i="5"/>
  <c r="BE62" i="5"/>
  <c r="BC62" i="5"/>
  <c r="BA62" i="5"/>
  <c r="AZ62" i="5"/>
  <c r="AY62" i="5"/>
  <c r="AX62" i="5"/>
  <c r="AW62" i="5"/>
  <c r="AV62" i="5"/>
  <c r="AT62" i="5"/>
  <c r="AR62" i="5"/>
  <c r="AP62" i="5"/>
  <c r="AN62" i="5"/>
  <c r="AL62" i="5"/>
  <c r="AJ62" i="5"/>
  <c r="AH62" i="5"/>
  <c r="AF62" i="5"/>
  <c r="AD62" i="5"/>
  <c r="AB62" i="5"/>
  <c r="Z62" i="5"/>
  <c r="Y62" i="5"/>
  <c r="X62" i="5"/>
  <c r="W62" i="5"/>
  <c r="BG61" i="5"/>
  <c r="BE61" i="5"/>
  <c r="BC61" i="5"/>
  <c r="BA61" i="5"/>
  <c r="AZ61" i="5"/>
  <c r="AY61" i="5"/>
  <c r="AX61" i="5"/>
  <c r="AW61" i="5"/>
  <c r="AV61" i="5"/>
  <c r="AT61" i="5"/>
  <c r="AR61" i="5"/>
  <c r="AP61" i="5"/>
  <c r="AN61" i="5"/>
  <c r="AL61" i="5"/>
  <c r="AJ61" i="5"/>
  <c r="AH61" i="5"/>
  <c r="AF61" i="5"/>
  <c r="AD61" i="5"/>
  <c r="AB61" i="5"/>
  <c r="Z61" i="5"/>
  <c r="Y61" i="5"/>
  <c r="X61" i="5"/>
  <c r="W61" i="5"/>
  <c r="BG60" i="5"/>
  <c r="BE60" i="5"/>
  <c r="BC60" i="5"/>
  <c r="BA60" i="5"/>
  <c r="AZ60" i="5"/>
  <c r="AY60" i="5"/>
  <c r="AX60" i="5"/>
  <c r="AW60" i="5"/>
  <c r="AV60" i="5"/>
  <c r="AT60" i="5"/>
  <c r="AR60" i="5"/>
  <c r="AP60" i="5"/>
  <c r="AN60" i="5"/>
  <c r="AL60" i="5"/>
  <c r="AJ60" i="5"/>
  <c r="AH60" i="5"/>
  <c r="AF60" i="5"/>
  <c r="AD60" i="5"/>
  <c r="AB60" i="5"/>
  <c r="Z60" i="5"/>
  <c r="Y60" i="5"/>
  <c r="X60" i="5"/>
  <c r="W60" i="5"/>
  <c r="BG59" i="5"/>
  <c r="BE59" i="5"/>
  <c r="BC59" i="5"/>
  <c r="BA59" i="5"/>
  <c r="AZ59" i="5"/>
  <c r="AY59" i="5"/>
  <c r="AX59" i="5"/>
  <c r="AW59" i="5"/>
  <c r="AV59" i="5"/>
  <c r="AT59" i="5"/>
  <c r="AR59" i="5"/>
  <c r="AP59" i="5"/>
  <c r="AN59" i="5"/>
  <c r="AL59" i="5"/>
  <c r="AJ59" i="5"/>
  <c r="AH59" i="5"/>
  <c r="AF59" i="5"/>
  <c r="AD59" i="5"/>
  <c r="AB59" i="5"/>
  <c r="Z59" i="5"/>
  <c r="Y59" i="5"/>
  <c r="X59" i="5"/>
  <c r="W59" i="5"/>
  <c r="BG58" i="5"/>
  <c r="BE58" i="5"/>
  <c r="BC58" i="5"/>
  <c r="BA58" i="5"/>
  <c r="AZ58" i="5"/>
  <c r="AY58" i="5"/>
  <c r="AX58" i="5"/>
  <c r="AW58" i="5"/>
  <c r="AV58" i="5"/>
  <c r="AT58" i="5"/>
  <c r="AR58" i="5"/>
  <c r="AP58" i="5"/>
  <c r="AN58" i="5"/>
  <c r="AL58" i="5"/>
  <c r="AJ58" i="5"/>
  <c r="AH58" i="5"/>
  <c r="AF58" i="5"/>
  <c r="AD58" i="5"/>
  <c r="AB58" i="5"/>
  <c r="Z58" i="5"/>
  <c r="Y58" i="5"/>
  <c r="X58" i="5"/>
  <c r="W58" i="5"/>
  <c r="BG57" i="5"/>
  <c r="BE57" i="5"/>
  <c r="BC57" i="5"/>
  <c r="BA57" i="5"/>
  <c r="AZ57" i="5"/>
  <c r="AY57" i="5"/>
  <c r="AX57" i="5"/>
  <c r="AW57" i="5"/>
  <c r="AV57" i="5"/>
  <c r="AT57" i="5"/>
  <c r="AR57" i="5"/>
  <c r="AP57" i="5"/>
  <c r="AN57" i="5"/>
  <c r="AL57" i="5"/>
  <c r="AJ57" i="5"/>
  <c r="AH57" i="5"/>
  <c r="AF57" i="5"/>
  <c r="AD57" i="5"/>
  <c r="AB57" i="5"/>
  <c r="Z57" i="5"/>
  <c r="Y57" i="5"/>
  <c r="X57" i="5"/>
  <c r="W57" i="5"/>
  <c r="BG56" i="5"/>
  <c r="BE56" i="5"/>
  <c r="BC56" i="5"/>
  <c r="BA56" i="5"/>
  <c r="AZ56" i="5"/>
  <c r="AY56" i="5"/>
  <c r="AX56" i="5"/>
  <c r="AW56" i="5"/>
  <c r="AV56" i="5"/>
  <c r="AT56" i="5"/>
  <c r="AR56" i="5"/>
  <c r="AP56" i="5"/>
  <c r="AN56" i="5"/>
  <c r="AL56" i="5"/>
  <c r="AJ56" i="5"/>
  <c r="AH56" i="5"/>
  <c r="AF56" i="5"/>
  <c r="AD56" i="5"/>
  <c r="AB56" i="5"/>
  <c r="Z56" i="5"/>
  <c r="Y56" i="5"/>
  <c r="X56" i="5"/>
  <c r="W56" i="5"/>
  <c r="BG55" i="5"/>
  <c r="BE55" i="5"/>
  <c r="BC55" i="5"/>
  <c r="BA55" i="5"/>
  <c r="AZ55" i="5"/>
  <c r="AY55" i="5"/>
  <c r="AX55" i="5"/>
  <c r="AW55" i="5"/>
  <c r="AV55" i="5"/>
  <c r="AT55" i="5"/>
  <c r="AR55" i="5"/>
  <c r="AP55" i="5"/>
  <c r="AN55" i="5"/>
  <c r="AL55" i="5"/>
  <c r="AJ55" i="5"/>
  <c r="AH55" i="5"/>
  <c r="AF55" i="5"/>
  <c r="AD55" i="5"/>
  <c r="AB55" i="5"/>
  <c r="Z55" i="5"/>
  <c r="Y55" i="5"/>
  <c r="X55" i="5"/>
  <c r="W55" i="5"/>
  <c r="BG54" i="5"/>
  <c r="BE54" i="5"/>
  <c r="BC54" i="5"/>
  <c r="BA54" i="5"/>
  <c r="AZ54" i="5"/>
  <c r="AY54" i="5"/>
  <c r="AX54" i="5"/>
  <c r="AW54" i="5"/>
  <c r="AV54" i="5"/>
  <c r="AT54" i="5"/>
  <c r="AR54" i="5"/>
  <c r="AP54" i="5"/>
  <c r="AN54" i="5"/>
  <c r="AL54" i="5"/>
  <c r="AJ54" i="5"/>
  <c r="AH54" i="5"/>
  <c r="AF54" i="5"/>
  <c r="AD54" i="5"/>
  <c r="AB54" i="5"/>
  <c r="Z54" i="5"/>
  <c r="Y54" i="5"/>
  <c r="X54" i="5"/>
  <c r="W54" i="5"/>
  <c r="BG53" i="5"/>
  <c r="BE53" i="5"/>
  <c r="BC53" i="5"/>
  <c r="BA53" i="5"/>
  <c r="AZ53" i="5"/>
  <c r="AY53" i="5"/>
  <c r="AX53" i="5"/>
  <c r="AW53" i="5"/>
  <c r="AV53" i="5"/>
  <c r="AT53" i="5"/>
  <c r="AR53" i="5"/>
  <c r="AP53" i="5"/>
  <c r="AN53" i="5"/>
  <c r="AL53" i="5"/>
  <c r="AJ53" i="5"/>
  <c r="AH53" i="5"/>
  <c r="AF53" i="5"/>
  <c r="AD53" i="5"/>
  <c r="AB53" i="5"/>
  <c r="Z53" i="5"/>
  <c r="Y53" i="5"/>
  <c r="X53" i="5"/>
  <c r="W53" i="5"/>
  <c r="BG52" i="5"/>
  <c r="BE52" i="5"/>
  <c r="BC52" i="5"/>
  <c r="BA52" i="5"/>
  <c r="AZ52" i="5"/>
  <c r="AY52" i="5"/>
  <c r="AX52" i="5"/>
  <c r="AW52" i="5"/>
  <c r="AV52" i="5"/>
  <c r="AT52" i="5"/>
  <c r="AR52" i="5"/>
  <c r="AP52" i="5"/>
  <c r="AN52" i="5"/>
  <c r="AL52" i="5"/>
  <c r="AJ52" i="5"/>
  <c r="AH52" i="5"/>
  <c r="AF52" i="5"/>
  <c r="AD52" i="5"/>
  <c r="AB52" i="5"/>
  <c r="Z52" i="5"/>
  <c r="Y52" i="5"/>
  <c r="X52" i="5"/>
  <c r="W52" i="5"/>
  <c r="BG51" i="5"/>
  <c r="BE51" i="5"/>
  <c r="BC51" i="5"/>
  <c r="BA51" i="5"/>
  <c r="AZ51" i="5"/>
  <c r="AY51" i="5"/>
  <c r="AX51" i="5"/>
  <c r="AW51" i="5"/>
  <c r="AV51" i="5"/>
  <c r="AT51" i="5"/>
  <c r="AR51" i="5"/>
  <c r="AP51" i="5"/>
  <c r="AN51" i="5"/>
  <c r="AL51" i="5"/>
  <c r="AJ51" i="5"/>
  <c r="AH51" i="5"/>
  <c r="AF51" i="5"/>
  <c r="AD51" i="5"/>
  <c r="AB51" i="5"/>
  <c r="Z51" i="5"/>
  <c r="Y51" i="5"/>
  <c r="X51" i="5"/>
  <c r="W51" i="5"/>
  <c r="BG50" i="5"/>
  <c r="BE50" i="5"/>
  <c r="BC50" i="5"/>
  <c r="BA50" i="5"/>
  <c r="AZ50" i="5"/>
  <c r="AY50" i="5"/>
  <c r="AX50" i="5"/>
  <c r="AW50" i="5"/>
  <c r="AV50" i="5"/>
  <c r="AT50" i="5"/>
  <c r="AR50" i="5"/>
  <c r="AP50" i="5"/>
  <c r="AN50" i="5"/>
  <c r="AL50" i="5"/>
  <c r="AJ50" i="5"/>
  <c r="AH50" i="5"/>
  <c r="AF50" i="5"/>
  <c r="AD50" i="5"/>
  <c r="AB50" i="5"/>
  <c r="Z50" i="5"/>
  <c r="Y50" i="5"/>
  <c r="X50" i="5"/>
  <c r="W50" i="5"/>
  <c r="BG49" i="5"/>
  <c r="BE49" i="5"/>
  <c r="BC49" i="5"/>
  <c r="BA49" i="5"/>
  <c r="AZ49" i="5"/>
  <c r="AY49" i="5"/>
  <c r="AX49" i="5"/>
  <c r="AW49" i="5"/>
  <c r="AV49" i="5"/>
  <c r="AT49" i="5"/>
  <c r="AR49" i="5"/>
  <c r="AP49" i="5"/>
  <c r="AN49" i="5"/>
  <c r="AL49" i="5"/>
  <c r="AJ49" i="5"/>
  <c r="AH49" i="5"/>
  <c r="AF49" i="5"/>
  <c r="AD49" i="5"/>
  <c r="AB49" i="5"/>
  <c r="Z49" i="5"/>
  <c r="Y49" i="5"/>
  <c r="X49" i="5"/>
  <c r="W49" i="5"/>
  <c r="BG48" i="5"/>
  <c r="BE48" i="5"/>
  <c r="BC48" i="5"/>
  <c r="BA48" i="5"/>
  <c r="AZ48" i="5"/>
  <c r="AY48" i="5"/>
  <c r="AX48" i="5"/>
  <c r="AW48" i="5"/>
  <c r="AV48" i="5"/>
  <c r="AT48" i="5"/>
  <c r="AR48" i="5"/>
  <c r="AP48" i="5"/>
  <c r="AN48" i="5"/>
  <c r="AL48" i="5"/>
  <c r="AJ48" i="5"/>
  <c r="AH48" i="5"/>
  <c r="AF48" i="5"/>
  <c r="AD48" i="5"/>
  <c r="AB48" i="5"/>
  <c r="Z48" i="5"/>
  <c r="Y48" i="5"/>
  <c r="X48" i="5"/>
  <c r="W48" i="5"/>
  <c r="BG47" i="5"/>
  <c r="BE47" i="5"/>
  <c r="BC47" i="5"/>
  <c r="BA47" i="5"/>
  <c r="AZ47" i="5"/>
  <c r="AY47" i="5"/>
  <c r="AX47" i="5"/>
  <c r="AW47" i="5"/>
  <c r="AV47" i="5"/>
  <c r="AT47" i="5"/>
  <c r="AR47" i="5"/>
  <c r="AP47" i="5"/>
  <c r="AN47" i="5"/>
  <c r="AL47" i="5"/>
  <c r="AJ47" i="5"/>
  <c r="AH47" i="5"/>
  <c r="AF47" i="5"/>
  <c r="AD47" i="5"/>
  <c r="AB47" i="5"/>
  <c r="Z47" i="5"/>
  <c r="Y47" i="5"/>
  <c r="X47" i="5"/>
  <c r="W47" i="5"/>
  <c r="BG46" i="5"/>
  <c r="BE46" i="5"/>
  <c r="BC46" i="5"/>
  <c r="BA46" i="5"/>
  <c r="AZ46" i="5"/>
  <c r="AY46" i="5"/>
  <c r="AX46" i="5"/>
  <c r="AW46" i="5"/>
  <c r="AV46" i="5"/>
  <c r="AT46" i="5"/>
  <c r="AR46" i="5"/>
  <c r="AP46" i="5"/>
  <c r="AN46" i="5"/>
  <c r="AL46" i="5"/>
  <c r="AJ46" i="5"/>
  <c r="AH46" i="5"/>
  <c r="AF46" i="5"/>
  <c r="AD46" i="5"/>
  <c r="AB46" i="5"/>
  <c r="AB82" i="5" s="1"/>
  <c r="AB84" i="5" s="1"/>
  <c r="Z46" i="5"/>
  <c r="Y46" i="5"/>
  <c r="X46" i="5"/>
  <c r="W46" i="5"/>
  <c r="BG45" i="5"/>
  <c r="BE45" i="5"/>
  <c r="BC45" i="5"/>
  <c r="BA45" i="5"/>
  <c r="AZ45" i="5"/>
  <c r="AY45" i="5"/>
  <c r="AX45" i="5"/>
  <c r="AW45" i="5"/>
  <c r="AV45" i="5"/>
  <c r="AT45" i="5"/>
  <c r="AR45" i="5"/>
  <c r="AP45" i="5"/>
  <c r="AN45" i="5"/>
  <c r="AL45" i="5"/>
  <c r="AJ45" i="5"/>
  <c r="AH45" i="5"/>
  <c r="AF45" i="5"/>
  <c r="AD45" i="5"/>
  <c r="AB45" i="5"/>
  <c r="Z45" i="5"/>
  <c r="Y45" i="5"/>
  <c r="X45" i="5"/>
  <c r="W45" i="5"/>
  <c r="BG44" i="5"/>
  <c r="BE44" i="5"/>
  <c r="BC44" i="5"/>
  <c r="BA44" i="5"/>
  <c r="AZ44" i="5"/>
  <c r="AY44" i="5"/>
  <c r="AX44" i="5"/>
  <c r="AW44" i="5"/>
  <c r="AV44" i="5"/>
  <c r="AT44" i="5"/>
  <c r="AR44" i="5"/>
  <c r="AP44" i="5"/>
  <c r="AN44" i="5"/>
  <c r="AL44" i="5"/>
  <c r="AJ44" i="5"/>
  <c r="AH44" i="5"/>
  <c r="AF44" i="5"/>
  <c r="AD44" i="5"/>
  <c r="AB44" i="5"/>
  <c r="Z44" i="5"/>
  <c r="Y44" i="5"/>
  <c r="X44" i="5"/>
  <c r="W44" i="5"/>
  <c r="BG43" i="5"/>
  <c r="BE43" i="5"/>
  <c r="BC43" i="5"/>
  <c r="BA43" i="5"/>
  <c r="AZ43" i="5"/>
  <c r="AY43" i="5"/>
  <c r="AX43" i="5"/>
  <c r="AW43" i="5"/>
  <c r="AV43" i="5"/>
  <c r="AT43" i="5"/>
  <c r="AR43" i="5"/>
  <c r="AP43" i="5"/>
  <c r="AN43" i="5"/>
  <c r="AL43" i="5"/>
  <c r="AJ43" i="5"/>
  <c r="AH43" i="5"/>
  <c r="AF43" i="5"/>
  <c r="AD43" i="5"/>
  <c r="AB43" i="5"/>
  <c r="Z43" i="5"/>
  <c r="Y43" i="5"/>
  <c r="X43" i="5"/>
  <c r="W43" i="5"/>
  <c r="BG42" i="5"/>
  <c r="BE42" i="5"/>
  <c r="BC42" i="5"/>
  <c r="BA42" i="5"/>
  <c r="AZ42" i="5"/>
  <c r="AY42" i="5"/>
  <c r="AX42" i="5"/>
  <c r="AW42" i="5"/>
  <c r="AV42" i="5"/>
  <c r="AT42" i="5"/>
  <c r="AR42" i="5"/>
  <c r="AP42" i="5"/>
  <c r="AN42" i="5"/>
  <c r="AL42" i="5"/>
  <c r="AJ42" i="5"/>
  <c r="AH42" i="5"/>
  <c r="AF42" i="5"/>
  <c r="AD42" i="5"/>
  <c r="AB42" i="5"/>
  <c r="Z42" i="5"/>
  <c r="Y42" i="5"/>
  <c r="X42" i="5"/>
  <c r="W42" i="5"/>
  <c r="BG41" i="5"/>
  <c r="BC41" i="5"/>
  <c r="BA41" i="5"/>
  <c r="AZ41" i="5"/>
  <c r="AY41" i="5"/>
  <c r="AX41" i="5"/>
  <c r="AV41" i="5"/>
  <c r="AT41" i="5"/>
  <c r="AR41" i="5"/>
  <c r="AN41" i="5"/>
  <c r="AL41" i="5"/>
  <c r="AJ41" i="5"/>
  <c r="AH41" i="5"/>
  <c r="AB41" i="5"/>
  <c r="Y41" i="5"/>
  <c r="BG40" i="5"/>
  <c r="BC40" i="5"/>
  <c r="BA40" i="5"/>
  <c r="AZ40" i="5"/>
  <c r="AY40" i="5"/>
  <c r="AX40" i="5"/>
  <c r="AV40" i="5"/>
  <c r="AT40" i="5"/>
  <c r="AR40" i="5"/>
  <c r="AN40" i="5"/>
  <c r="AL40" i="5"/>
  <c r="AJ40" i="5"/>
  <c r="AH40" i="5"/>
  <c r="AB40" i="5"/>
  <c r="Z40" i="5"/>
  <c r="Y40" i="5"/>
  <c r="X40" i="5"/>
  <c r="W40" i="5"/>
  <c r="BG39" i="5"/>
  <c r="BE39" i="5"/>
  <c r="BC39" i="5"/>
  <c r="AZ39" i="5"/>
  <c r="AY39" i="5"/>
  <c r="AX39" i="5"/>
  <c r="AW39" i="5"/>
  <c r="AV39" i="5"/>
  <c r="AT39" i="5"/>
  <c r="AR39" i="5"/>
  <c r="AP39" i="5"/>
  <c r="AN39" i="5"/>
  <c r="AL39" i="5"/>
  <c r="AJ39" i="5"/>
  <c r="AH39" i="5"/>
  <c r="AF39" i="5"/>
  <c r="AD39" i="5"/>
  <c r="AB39" i="5"/>
  <c r="Z39" i="5"/>
  <c r="Y39" i="5"/>
  <c r="X39" i="5"/>
  <c r="W39" i="5"/>
  <c r="BC38" i="5"/>
  <c r="BA38" i="5"/>
  <c r="AZ38" i="5"/>
  <c r="AY38" i="5"/>
  <c r="AX38" i="5"/>
  <c r="AW38" i="5"/>
  <c r="AV38" i="5"/>
  <c r="AT38" i="5"/>
  <c r="AR38" i="5"/>
  <c r="AP38" i="5"/>
  <c r="AL38" i="5"/>
  <c r="AD38" i="5"/>
  <c r="AB38" i="5"/>
  <c r="Z38" i="5"/>
  <c r="Y38" i="5"/>
  <c r="X38" i="5"/>
  <c r="W38" i="5"/>
  <c r="BG37" i="5"/>
  <c r="BE37" i="5"/>
  <c r="BC37" i="5"/>
  <c r="BA37" i="5"/>
  <c r="AZ37" i="5"/>
  <c r="AY37" i="5"/>
  <c r="AX37" i="5"/>
  <c r="AW37" i="5"/>
  <c r="AV37" i="5"/>
  <c r="AT37" i="5"/>
  <c r="AR37" i="5"/>
  <c r="AP37" i="5"/>
  <c r="AN37" i="5"/>
  <c r="AL37" i="5"/>
  <c r="AJ37" i="5"/>
  <c r="AH37" i="5"/>
  <c r="AF37" i="5"/>
  <c r="AD37" i="5"/>
  <c r="AB37" i="5"/>
  <c r="Z37" i="5"/>
  <c r="Y37" i="5"/>
  <c r="X37" i="5"/>
  <c r="W37" i="5"/>
  <c r="BG36" i="5"/>
  <c r="BE36" i="5"/>
  <c r="BC36" i="5"/>
  <c r="BA36" i="5"/>
  <c r="AZ36" i="5"/>
  <c r="AV36" i="5"/>
  <c r="AT36" i="5"/>
  <c r="AR36" i="5"/>
  <c r="AN36" i="5"/>
  <c r="AL36" i="5"/>
  <c r="AJ36" i="5"/>
  <c r="AH36" i="5"/>
  <c r="AF36" i="5"/>
  <c r="AB36" i="5"/>
  <c r="Z36" i="5"/>
  <c r="Y36" i="5"/>
  <c r="X36" i="5"/>
  <c r="BG35" i="5"/>
  <c r="BE35" i="5"/>
  <c r="BC35" i="5"/>
  <c r="BA35" i="5"/>
  <c r="AZ35" i="5"/>
  <c r="AY35" i="5"/>
  <c r="AX35" i="5"/>
  <c r="AV35" i="5"/>
  <c r="AT35" i="5"/>
  <c r="AR35" i="5"/>
  <c r="AP35" i="5"/>
  <c r="AN35" i="5"/>
  <c r="AJ35" i="5"/>
  <c r="AH35" i="5"/>
  <c r="AF35" i="5"/>
  <c r="AD35" i="5"/>
  <c r="AB35" i="5"/>
  <c r="Y35" i="5"/>
  <c r="X35" i="5"/>
  <c r="W35" i="5"/>
  <c r="BG34" i="5"/>
  <c r="BE34" i="5"/>
  <c r="BC34" i="5"/>
  <c r="AZ34" i="5"/>
  <c r="AY34" i="5"/>
  <c r="AW34" i="5"/>
  <c r="AV34" i="5"/>
  <c r="AT34" i="5"/>
  <c r="AP34" i="5"/>
  <c r="AN34" i="5"/>
  <c r="AL34" i="5"/>
  <c r="AJ34" i="5"/>
  <c r="AH34" i="5"/>
  <c r="AF34" i="5"/>
  <c r="AD34" i="5"/>
  <c r="AB34" i="5"/>
  <c r="Z34" i="5"/>
  <c r="Y34" i="5"/>
  <c r="X34" i="5"/>
  <c r="W34" i="5"/>
  <c r="BG33" i="5"/>
  <c r="BE33" i="5"/>
  <c r="AZ33" i="5"/>
  <c r="AY33" i="5"/>
  <c r="AT33" i="5"/>
  <c r="AR33" i="5"/>
  <c r="AJ33" i="5"/>
  <c r="AH33" i="5"/>
  <c r="AF33" i="5"/>
  <c r="Y33" i="5"/>
  <c r="X33" i="5"/>
  <c r="BG32" i="5"/>
  <c r="BE32" i="5"/>
  <c r="BA32" i="5"/>
  <c r="AZ32" i="5"/>
  <c r="AY32" i="5"/>
  <c r="AX32" i="5"/>
  <c r="AW32" i="5"/>
  <c r="AV32" i="5"/>
  <c r="AT32" i="5"/>
  <c r="AR32" i="5"/>
  <c r="AP32" i="5"/>
  <c r="AL32" i="5"/>
  <c r="AJ32" i="5"/>
  <c r="AH32" i="5"/>
  <c r="AF32" i="5"/>
  <c r="AB32" i="5"/>
  <c r="Z32" i="5"/>
  <c r="Y32" i="5"/>
  <c r="X32" i="5"/>
  <c r="BE31" i="5"/>
  <c r="BC31" i="5"/>
  <c r="AY31" i="5"/>
  <c r="AX31" i="5"/>
  <c r="AW31" i="5"/>
  <c r="AV31" i="5"/>
  <c r="AR31" i="5"/>
  <c r="AP31" i="5"/>
  <c r="AN31" i="5"/>
  <c r="AL31" i="5"/>
  <c r="AJ31" i="5"/>
  <c r="AH31" i="5"/>
  <c r="AF31" i="5"/>
  <c r="AB31" i="5"/>
  <c r="Z31" i="5"/>
  <c r="Y31" i="5"/>
  <c r="X31" i="5"/>
  <c r="W31" i="5"/>
  <c r="BG30" i="5"/>
  <c r="BE30" i="5"/>
  <c r="BC30" i="5"/>
  <c r="BA30" i="5"/>
  <c r="AZ30" i="5"/>
  <c r="AY30" i="5"/>
  <c r="AX30" i="5"/>
  <c r="AW30" i="5"/>
  <c r="AV30" i="5"/>
  <c r="AT30" i="5"/>
  <c r="AR30" i="5"/>
  <c r="AP30" i="5"/>
  <c r="AN30" i="5"/>
  <c r="AL30" i="5"/>
  <c r="AJ30" i="5"/>
  <c r="AH30" i="5"/>
  <c r="AF30" i="5"/>
  <c r="AD30" i="5"/>
  <c r="AB30" i="5"/>
  <c r="Z30" i="5"/>
  <c r="Y30" i="5"/>
  <c r="X30" i="5"/>
  <c r="W30" i="5"/>
  <c r="BG29" i="5"/>
  <c r="BE29" i="5"/>
  <c r="BC29" i="5"/>
  <c r="BA29" i="5"/>
  <c r="AZ29" i="5"/>
  <c r="AY29" i="5"/>
  <c r="AW29" i="5"/>
  <c r="AV29" i="5"/>
  <c r="AT29" i="5"/>
  <c r="AR29" i="5"/>
  <c r="AL29" i="5"/>
  <c r="AJ29" i="5"/>
  <c r="AH29" i="5"/>
  <c r="AF29" i="5"/>
  <c r="AD29" i="5"/>
  <c r="Z29" i="5"/>
  <c r="Y29" i="5"/>
  <c r="X29" i="5"/>
  <c r="W29" i="5"/>
  <c r="BG28" i="5"/>
  <c r="BC28" i="5"/>
  <c r="BA28" i="5"/>
  <c r="AY28" i="5"/>
  <c r="AX28" i="5"/>
  <c r="AW28" i="5"/>
  <c r="AV28" i="5"/>
  <c r="AT28" i="5"/>
  <c r="AR28" i="5"/>
  <c r="AP28" i="5"/>
  <c r="AN28" i="5"/>
  <c r="AL28" i="5"/>
  <c r="AJ28" i="5"/>
  <c r="AH28" i="5"/>
  <c r="AF28" i="5"/>
  <c r="AD28" i="5"/>
  <c r="AB28" i="5"/>
  <c r="Z28" i="5"/>
  <c r="Y28" i="5"/>
  <c r="X28" i="5"/>
  <c r="BC27" i="5"/>
  <c r="BA27" i="5"/>
  <c r="AX27" i="5"/>
  <c r="AW27" i="5"/>
  <c r="AT27" i="5"/>
  <c r="AR27" i="5"/>
  <c r="AP27" i="5"/>
  <c r="AL27" i="5"/>
  <c r="AJ27" i="5"/>
  <c r="AF27" i="5"/>
  <c r="AB27" i="5"/>
  <c r="Z27" i="5"/>
  <c r="Y27" i="5"/>
  <c r="X27" i="5"/>
  <c r="BE26" i="5"/>
  <c r="BC26" i="5"/>
  <c r="BA26" i="5"/>
  <c r="AZ26" i="5"/>
  <c r="AY26" i="5"/>
  <c r="AX26" i="5"/>
  <c r="AW26" i="5"/>
  <c r="AV26" i="5"/>
  <c r="AT26" i="5"/>
  <c r="AR26" i="5"/>
  <c r="AN26" i="5"/>
  <c r="AL26" i="5"/>
  <c r="AJ26" i="5"/>
  <c r="AH26" i="5"/>
  <c r="AF26" i="5"/>
  <c r="Z26" i="5"/>
  <c r="Y26" i="5"/>
  <c r="X26" i="5"/>
  <c r="W26" i="5"/>
  <c r="BG25" i="5"/>
  <c r="BE25" i="5"/>
  <c r="BC25" i="5"/>
  <c r="BA25" i="5"/>
  <c r="AZ25" i="5"/>
  <c r="AY25" i="5"/>
  <c r="AX25" i="5"/>
  <c r="AW25" i="5"/>
  <c r="AV25" i="5"/>
  <c r="AT25" i="5"/>
  <c r="AR25" i="5"/>
  <c r="AP25" i="5"/>
  <c r="AL25" i="5"/>
  <c r="AJ25" i="5"/>
  <c r="AH25" i="5"/>
  <c r="AF25" i="5"/>
  <c r="AD25" i="5"/>
  <c r="AB25" i="5"/>
  <c r="Y25" i="5"/>
  <c r="X25" i="5"/>
  <c r="BG24" i="5"/>
  <c r="BE24" i="5"/>
  <c r="BC24" i="5"/>
  <c r="BA24" i="5"/>
  <c r="AZ24" i="5"/>
  <c r="AY24" i="5"/>
  <c r="AX24" i="5"/>
  <c r="AW24" i="5"/>
  <c r="AV24" i="5"/>
  <c r="AT24" i="5"/>
  <c r="AR24" i="5"/>
  <c r="AP24" i="5"/>
  <c r="AN24" i="5"/>
  <c r="AL24" i="5"/>
  <c r="AJ24" i="5"/>
  <c r="AH24" i="5"/>
  <c r="AF24" i="5"/>
  <c r="AD24" i="5"/>
  <c r="AB24" i="5"/>
  <c r="Z24" i="5"/>
  <c r="Y24" i="5"/>
  <c r="X24" i="5"/>
  <c r="BG23" i="5"/>
  <c r="BE23" i="5"/>
  <c r="BC23" i="5"/>
  <c r="BA23" i="5"/>
  <c r="AZ23" i="5"/>
  <c r="AY23" i="5"/>
  <c r="AX23" i="5"/>
  <c r="AW23" i="5"/>
  <c r="AV23" i="5"/>
  <c r="AT23" i="5"/>
  <c r="AR23" i="5"/>
  <c r="AP23" i="5"/>
  <c r="AN23" i="5"/>
  <c r="AL23" i="5"/>
  <c r="AJ23" i="5"/>
  <c r="AH23" i="5"/>
  <c r="AF23" i="5"/>
  <c r="AD23" i="5"/>
  <c r="AB23" i="5"/>
  <c r="Z23" i="5"/>
  <c r="Y23" i="5"/>
  <c r="X23" i="5"/>
  <c r="BG22" i="5"/>
  <c r="BE22" i="5"/>
  <c r="AZ22" i="5"/>
  <c r="AY22" i="5"/>
  <c r="AT22" i="5"/>
  <c r="AR22" i="5"/>
  <c r="AJ22" i="5"/>
  <c r="AH22" i="5"/>
  <c r="Z22" i="5"/>
  <c r="X22" i="5"/>
  <c r="BG21" i="5"/>
  <c r="BE21" i="5"/>
  <c r="BC21" i="5"/>
  <c r="BA21" i="5"/>
  <c r="AZ21" i="5"/>
  <c r="AY21" i="5"/>
  <c r="AX21" i="5"/>
  <c r="AW21" i="5"/>
  <c r="AV21" i="5"/>
  <c r="AT21" i="5"/>
  <c r="AR21" i="5"/>
  <c r="AP21" i="5"/>
  <c r="AN21" i="5"/>
  <c r="AL21" i="5"/>
  <c r="AJ21" i="5"/>
  <c r="AH21" i="5"/>
  <c r="AF21" i="5"/>
  <c r="AD21" i="5"/>
  <c r="AB21" i="5"/>
  <c r="Z21" i="5"/>
  <c r="Y21" i="5"/>
  <c r="X21" i="5"/>
  <c r="W21" i="5"/>
  <c r="BG20" i="5"/>
  <c r="BE20" i="5"/>
  <c r="BC20" i="5"/>
  <c r="BA20" i="5"/>
  <c r="AZ20" i="5"/>
  <c r="AY20" i="5"/>
  <c r="AW20" i="5"/>
  <c r="AV20" i="5"/>
  <c r="AT20" i="5"/>
  <c r="AR20" i="5"/>
  <c r="AP20" i="5"/>
  <c r="AN20" i="5"/>
  <c r="AL20" i="5"/>
  <c r="AJ20" i="5"/>
  <c r="AH20" i="5"/>
  <c r="AF20" i="5"/>
  <c r="AD20" i="5"/>
  <c r="AB20" i="5"/>
  <c r="Z20" i="5"/>
  <c r="Y20" i="5"/>
  <c r="X20" i="5"/>
  <c r="W20" i="5"/>
  <c r="BG19" i="5"/>
  <c r="BE19" i="5"/>
  <c r="BC19" i="5"/>
  <c r="BA19" i="5"/>
  <c r="AZ19" i="5"/>
  <c r="AY19" i="5"/>
  <c r="AX19" i="5"/>
  <c r="AW19" i="5"/>
  <c r="AV19" i="5"/>
  <c r="AR19" i="5"/>
  <c r="AP19" i="5"/>
  <c r="AL19" i="5"/>
  <c r="AH19" i="5"/>
  <c r="AD19" i="5"/>
  <c r="Z19" i="5"/>
  <c r="Y19" i="5"/>
  <c r="X19" i="5"/>
  <c r="BG17" i="5"/>
  <c r="BC17" i="5"/>
  <c r="BA17" i="5"/>
  <c r="AX17" i="5"/>
  <c r="AW17" i="5"/>
  <c r="AV17" i="5"/>
  <c r="AP17" i="5"/>
  <c r="AN17" i="5"/>
  <c r="AL17" i="5"/>
  <c r="AD17" i="5"/>
  <c r="AB17" i="5"/>
  <c r="Z17" i="5"/>
  <c r="Y17" i="5"/>
  <c r="X17" i="5"/>
  <c r="W17" i="5"/>
  <c r="BG16" i="5"/>
  <c r="BC16" i="5"/>
  <c r="BA16" i="5"/>
  <c r="AZ16" i="5"/>
  <c r="AX16" i="5"/>
  <c r="AW16" i="5"/>
  <c r="AV16" i="5"/>
  <c r="AT16" i="5"/>
  <c r="AR16" i="5"/>
  <c r="AP16" i="5"/>
  <c r="AN16" i="5"/>
  <c r="AL16" i="5"/>
  <c r="AJ16" i="5"/>
  <c r="AH16" i="5"/>
  <c r="AF16" i="5"/>
  <c r="AD16" i="5"/>
  <c r="AB16" i="5"/>
  <c r="Z16" i="5"/>
  <c r="Y16" i="5"/>
  <c r="X16" i="5"/>
  <c r="W16" i="5"/>
  <c r="BG15" i="5"/>
  <c r="BC15" i="5"/>
  <c r="BA15" i="5"/>
  <c r="AZ15" i="5"/>
  <c r="AY15" i="5"/>
  <c r="AX15" i="5"/>
  <c r="AV15" i="5"/>
  <c r="AT15" i="5"/>
  <c r="AR15" i="5"/>
  <c r="AP15" i="5"/>
  <c r="AN15" i="5"/>
  <c r="AL15" i="5"/>
  <c r="AJ15" i="5"/>
  <c r="AH15" i="5"/>
  <c r="Z15" i="5"/>
  <c r="Y15" i="5"/>
  <c r="X15" i="5"/>
  <c r="W15" i="5"/>
  <c r="BG14" i="5"/>
  <c r="BE14" i="5"/>
  <c r="BC14" i="5"/>
  <c r="BA14" i="5"/>
  <c r="AZ14" i="5"/>
  <c r="AY14" i="5"/>
  <c r="AX14" i="5"/>
  <c r="AW14" i="5"/>
  <c r="AV14" i="5"/>
  <c r="AT14" i="5"/>
  <c r="AR14" i="5"/>
  <c r="AN14" i="5"/>
  <c r="AL14" i="5"/>
  <c r="AJ14" i="5"/>
  <c r="AH14" i="5"/>
  <c r="AF14" i="5"/>
  <c r="AD14" i="5"/>
  <c r="AB14" i="5"/>
  <c r="Z14" i="5"/>
  <c r="Y14" i="5"/>
  <c r="X14" i="5"/>
  <c r="W14" i="5"/>
  <c r="AJ13" i="5"/>
  <c r="X13" i="5"/>
  <c r="BG12" i="5"/>
  <c r="BE12" i="5"/>
  <c r="BA12" i="5"/>
  <c r="AZ12" i="5"/>
  <c r="AY12" i="5"/>
  <c r="AV12" i="5"/>
  <c r="AT12" i="5"/>
  <c r="AR12" i="5"/>
  <c r="AL12" i="5"/>
  <c r="AJ12" i="5"/>
  <c r="AH12" i="5"/>
  <c r="AF12" i="5"/>
  <c r="Y12" i="5"/>
  <c r="X12" i="5"/>
  <c r="BG11" i="5"/>
  <c r="BE11" i="5"/>
  <c r="BC11" i="5"/>
  <c r="BA11" i="5"/>
  <c r="AZ11" i="5"/>
  <c r="AY11" i="5"/>
  <c r="AV11" i="5"/>
  <c r="AT11" i="5"/>
  <c r="AR11" i="5"/>
  <c r="AP11" i="5"/>
  <c r="AN11" i="5"/>
  <c r="AL11" i="5"/>
  <c r="AJ11" i="5"/>
  <c r="AH11" i="5"/>
  <c r="AF11" i="5"/>
  <c r="AD11" i="5"/>
  <c r="Z11" i="5"/>
  <c r="Y11" i="5"/>
  <c r="X11" i="5"/>
  <c r="W11" i="5"/>
  <c r="BG10" i="5"/>
  <c r="BE10" i="5"/>
  <c r="AZ10" i="5"/>
  <c r="AY10" i="5"/>
  <c r="AT10" i="5"/>
  <c r="AR10" i="5"/>
  <c r="AJ10" i="5"/>
  <c r="AH10" i="5"/>
  <c r="AF10" i="5"/>
  <c r="Y10" i="5"/>
  <c r="X10" i="5"/>
  <c r="BG9" i="5"/>
  <c r="BE9" i="5"/>
  <c r="BC9" i="5"/>
  <c r="BA9" i="5"/>
  <c r="AZ9" i="5"/>
  <c r="AY9" i="5"/>
  <c r="AX9" i="5"/>
  <c r="AW9" i="5"/>
  <c r="AV9" i="5"/>
  <c r="AT9" i="5"/>
  <c r="AR9" i="5"/>
  <c r="AP9" i="5"/>
  <c r="AN9" i="5"/>
  <c r="AL9" i="5"/>
  <c r="AJ9" i="5"/>
  <c r="AH9" i="5"/>
  <c r="AF9" i="5"/>
  <c r="AD9" i="5"/>
  <c r="AB9" i="5"/>
  <c r="Z9" i="5"/>
  <c r="Y9" i="5"/>
  <c r="X9" i="5"/>
  <c r="W9" i="5"/>
  <c r="BG8" i="5"/>
  <c r="BE8" i="5"/>
  <c r="BC8" i="5"/>
  <c r="BA8" i="5"/>
  <c r="AZ8" i="5"/>
  <c r="AY8" i="5"/>
  <c r="AV8" i="5"/>
  <c r="AT8" i="5"/>
  <c r="AR8" i="5"/>
  <c r="AL8" i="5"/>
  <c r="AJ8" i="5"/>
  <c r="AH8" i="5"/>
  <c r="AF8" i="5"/>
  <c r="AD8" i="5"/>
  <c r="Z8" i="5"/>
  <c r="Y8" i="5"/>
  <c r="X8" i="5"/>
  <c r="W8" i="5"/>
  <c r="BG7" i="5"/>
  <c r="BE7" i="5"/>
  <c r="AZ7" i="5"/>
  <c r="AY7" i="5"/>
  <c r="AV7" i="5"/>
  <c r="AT7" i="5"/>
  <c r="AR7" i="5"/>
  <c r="AL7" i="5"/>
  <c r="AJ7" i="5"/>
  <c r="AH7" i="5"/>
  <c r="AF7" i="5"/>
  <c r="Z7" i="5"/>
  <c r="Y7" i="5"/>
  <c r="X7" i="5"/>
  <c r="W7" i="5"/>
  <c r="BG6" i="5"/>
  <c r="BE6" i="5"/>
  <c r="BC6" i="5"/>
  <c r="BA6" i="5"/>
  <c r="AZ6" i="5"/>
  <c r="AY6" i="5"/>
  <c r="AX6" i="5"/>
  <c r="AW6" i="5"/>
  <c r="AV6" i="5"/>
  <c r="AT6" i="5"/>
  <c r="AR6" i="5"/>
  <c r="AP6" i="5"/>
  <c r="AN6" i="5"/>
  <c r="AL6" i="5"/>
  <c r="AJ6" i="5"/>
  <c r="AH6" i="5"/>
  <c r="AF6" i="5"/>
  <c r="AD6" i="5"/>
  <c r="AB6" i="5"/>
  <c r="Z6" i="5"/>
  <c r="Y6" i="5"/>
  <c r="X6" i="5"/>
  <c r="W6" i="5"/>
  <c r="BG5" i="5"/>
  <c r="BE5" i="5"/>
  <c r="AZ5" i="5"/>
  <c r="AY5" i="5"/>
  <c r="AV5" i="5"/>
  <c r="AT5" i="5"/>
  <c r="AR5" i="5"/>
  <c r="AR82" i="5" s="1"/>
  <c r="AR84" i="5" s="1"/>
  <c r="AP5" i="5"/>
  <c r="AJ5" i="5"/>
  <c r="AH5" i="5"/>
  <c r="AF5" i="5"/>
  <c r="AD5" i="5"/>
  <c r="Y5" i="5"/>
  <c r="X5" i="5"/>
  <c r="BG4" i="5"/>
  <c r="BE4" i="5"/>
  <c r="BC4" i="5"/>
  <c r="BA4" i="5"/>
  <c r="AZ4" i="5"/>
  <c r="AY4" i="5"/>
  <c r="AX4" i="5"/>
  <c r="AW4" i="5"/>
  <c r="AV4" i="5"/>
  <c r="AT4" i="5"/>
  <c r="AR4" i="5"/>
  <c r="AP4" i="5"/>
  <c r="AN4" i="5"/>
  <c r="AL4" i="5"/>
  <c r="AJ4" i="5"/>
  <c r="AH4" i="5"/>
  <c r="AF4" i="5"/>
  <c r="AD4" i="5"/>
  <c r="AB4" i="5"/>
  <c r="Z4" i="5"/>
  <c r="Y4" i="5"/>
  <c r="X4" i="5"/>
  <c r="BG3" i="5"/>
  <c r="BE3" i="5"/>
  <c r="BC3" i="5"/>
  <c r="BC82" i="5" s="1"/>
  <c r="BC84" i="5" s="1"/>
  <c r="BA3" i="5"/>
  <c r="AZ3" i="5"/>
  <c r="AY3" i="5"/>
  <c r="AY82" i="5" s="1"/>
  <c r="AY84" i="5" s="1"/>
  <c r="AW3" i="5"/>
  <c r="AV3" i="5"/>
  <c r="AT3" i="5"/>
  <c r="AR3" i="5"/>
  <c r="AP3" i="5"/>
  <c r="AL3" i="5"/>
  <c r="AJ3" i="5"/>
  <c r="AH3" i="5"/>
  <c r="AD3" i="5"/>
  <c r="AB3" i="5"/>
  <c r="Z3" i="5"/>
  <c r="Y3" i="5"/>
  <c r="X3" i="5"/>
  <c r="X82" i="5" s="1"/>
  <c r="X84" i="5" s="1"/>
  <c r="W3" i="5"/>
  <c r="BG2" i="5"/>
  <c r="BG82" i="5" s="1"/>
  <c r="BG84" i="5" s="1"/>
  <c r="BE2" i="5"/>
  <c r="BE82" i="5" s="1"/>
  <c r="BE84" i="5" s="1"/>
  <c r="BC2" i="5"/>
  <c r="BA2" i="5"/>
  <c r="BA82" i="5" s="1"/>
  <c r="BA84" i="5" s="1"/>
  <c r="AZ2" i="5"/>
  <c r="AZ82" i="5" s="1"/>
  <c r="AZ84" i="5" s="1"/>
  <c r="AX2" i="5"/>
  <c r="AX82" i="5" s="1"/>
  <c r="AX84" i="5" s="1"/>
  <c r="AW2" i="5"/>
  <c r="AW82" i="5" s="1"/>
  <c r="AW84" i="5" s="1"/>
  <c r="AV2" i="5"/>
  <c r="AV82" i="5" s="1"/>
  <c r="AV84" i="5" s="1"/>
  <c r="AT2" i="5"/>
  <c r="AT82" i="5" s="1"/>
  <c r="AT84" i="5" s="1"/>
  <c r="AR2" i="5"/>
  <c r="AP2" i="5"/>
  <c r="AP82" i="5" s="1"/>
  <c r="AP84" i="5" s="1"/>
  <c r="AN2" i="5"/>
  <c r="AN82" i="5" s="1"/>
  <c r="AN84" i="5" s="1"/>
  <c r="AL2" i="5"/>
  <c r="AL82" i="5" s="1"/>
  <c r="AL84" i="5" s="1"/>
  <c r="AJ2" i="5"/>
  <c r="AJ82" i="5" s="1"/>
  <c r="AJ84" i="5" s="1"/>
  <c r="AH2" i="5"/>
  <c r="AH82" i="5" s="1"/>
  <c r="AH84" i="5" s="1"/>
  <c r="AF2" i="5"/>
  <c r="AF82" i="5" s="1"/>
  <c r="AF84" i="5" s="1"/>
  <c r="AD2" i="5"/>
  <c r="AD82" i="5" s="1"/>
  <c r="AD84" i="5" s="1"/>
  <c r="AB2" i="5"/>
  <c r="Z2" i="5"/>
  <c r="Z82" i="5" s="1"/>
  <c r="Z84" i="5" s="1"/>
  <c r="Y2" i="5"/>
  <c r="Y82" i="5" s="1"/>
  <c r="Y84" i="5" s="1"/>
  <c r="X2" i="5"/>
  <c r="W2" i="5"/>
  <c r="W82" i="5" s="1"/>
  <c r="W84" i="5" s="1"/>
  <c r="N77" i="4"/>
  <c r="N210" i="3"/>
  <c r="Q207" i="3"/>
  <c r="N206" i="3"/>
  <c r="N204" i="3"/>
  <c r="N203" i="3"/>
  <c r="N202" i="3"/>
  <c r="R201" i="3"/>
  <c r="N201" i="3"/>
  <c r="R200" i="3"/>
  <c r="N200" i="3"/>
  <c r="R199" i="3"/>
  <c r="N199" i="3"/>
  <c r="R198" i="3"/>
  <c r="N198" i="3"/>
  <c r="N197" i="1"/>
  <c r="W63" i="7" l="1"/>
  <c r="X63" i="7"/>
</calcChain>
</file>

<file path=xl/sharedStrings.xml><?xml version="1.0" encoding="utf-8"?>
<sst xmlns="http://schemas.openxmlformats.org/spreadsheetml/2006/main" count="25943" uniqueCount="1296">
  <si>
    <t>Marca temporal</t>
  </si>
  <si>
    <t>Dirección de correo electrónico</t>
  </si>
  <si>
    <t>Nombre OFICIAL y COMPLETO de la institución educativa</t>
  </si>
  <si>
    <t>codigo unico de escuela (cue)</t>
  </si>
  <si>
    <t>tipo de institucion educativa y orientacion</t>
  </si>
  <si>
    <t>Especifique su orientación</t>
  </si>
  <si>
    <t xml:space="preserve">Gestión </t>
  </si>
  <si>
    <t>Nombre y apellido del/la docente responsable de la visita</t>
  </si>
  <si>
    <t>Nombre y apellido del/la docente acompañante 1</t>
  </si>
  <si>
    <t>Nombre y apellido del/la docente acompañante 2</t>
  </si>
  <si>
    <t>Dirección de correo electrónico para recibir resultado de la asignación</t>
  </si>
  <si>
    <t>ubicacion de la escuela</t>
  </si>
  <si>
    <t>Barrio/Localidad de la escuela</t>
  </si>
  <si>
    <t>cantidad de alumnos que asistiran</t>
  </si>
  <si>
    <t>curso que asistira</t>
  </si>
  <si>
    <t>Conectividad en la institución</t>
  </si>
  <si>
    <t>Acceso a las ciencias exactas y naturales</t>
  </si>
  <si>
    <t>porcentaje aproximado de estudiantes de familias de bajos recursos</t>
  </si>
  <si>
    <t>Exprese observaciones o comentarios que considere pertinentes</t>
  </si>
  <si>
    <t>Turno/s solicitado/s [Turno mañana (9:00 a 12.30 hs.)]</t>
  </si>
  <si>
    <t>Turno/s solicitado/s [Turno tarde (12.30 a 16:00 hs.)]</t>
  </si>
  <si>
    <t>turno solicitado</t>
  </si>
  <si>
    <t>fecha solicitada</t>
  </si>
  <si>
    <t>CHARLAS  [9:30 Redes sociales: la matemática detrás de los "influencers". Rocío Balderrama]</t>
  </si>
  <si>
    <t>CHARLAS  [11:30 La Biblio junto a... la calculadora. Historias que no hacen historia. Juan Carlos Pedraza]</t>
  </si>
  <si>
    <t>CHARLAS  [14:00 ¿Cómo hacer ciencia con Twitter? Sofía del Pozo]</t>
  </si>
  <si>
    <t>ESTACIONES INTERACTIVAS  [9:30]</t>
  </si>
  <si>
    <t>ESTACIONES INTERACTIVAS  [10:30]</t>
  </si>
  <si>
    <t>ESTACIONES INTERACTIVAS  [11:30]</t>
  </si>
  <si>
    <t>ESTACIONES INTERACTIVAS  [13:00]</t>
  </si>
  <si>
    <t>ESTACIONES INTERACTIVAS  [14:00]</t>
  </si>
  <si>
    <t>ESTACIONES INTERACTIVAS  [15:00]</t>
  </si>
  <si>
    <t>TALLERES  [9:30]</t>
  </si>
  <si>
    <t>TALLERES  [10:30]</t>
  </si>
  <si>
    <t>TALLERES  [11:30]</t>
  </si>
  <si>
    <t>TALLERES  [14:00]</t>
  </si>
  <si>
    <t>TALLERES  [15:00]</t>
  </si>
  <si>
    <t>ARTE MATEMÁTICO [9:30]</t>
  </si>
  <si>
    <t>ARTE MATEMÁTICO [10:30]</t>
  </si>
  <si>
    <t>ARTE MATEMÁTICO [11:30]</t>
  </si>
  <si>
    <t>ARTE MATEMÁTICO [14:00]</t>
  </si>
  <si>
    <t>ARTE MATEMÁTICO [15:00]</t>
  </si>
  <si>
    <t>VISITAS GUIADAS TEMÁTICAS [10:30]</t>
  </si>
  <si>
    <t>VISITAS GUIADAS TEMÁTICAS [11:30]</t>
  </si>
  <si>
    <t>VISITAS GUIADAS TEMÁTICAS [14:00]</t>
  </si>
  <si>
    <t>VISITAS GUIADAS TEMÁTICAS [15:00]</t>
  </si>
  <si>
    <t>Exprese cualquier aclaración sobre la solicitud de inscripción que facilite la administración de vacantes.</t>
  </si>
  <si>
    <t>CHARLAS  [9:30 Desorden ordenado, ¡qué caos es esto! Paula Kuna]</t>
  </si>
  <si>
    <t>CHARLAS  [11:30 ¿Tenés una idea para cambiar el mundo? Primero simulalo. Rodrigo Castro]</t>
  </si>
  <si>
    <t>CHARLAS  [14:00 Embaldosados Fractales. Ursula Molter]</t>
  </si>
  <si>
    <t>TALLERES  [9.30]</t>
  </si>
  <si>
    <t>VISITA GUIADA [10:30]</t>
  </si>
  <si>
    <t>VISITA GUIADA [11:30]</t>
  </si>
  <si>
    <t>VISITA GUIADA [14:00]</t>
  </si>
  <si>
    <t>VISITA GUIADA [15:00]</t>
  </si>
  <si>
    <t>CHARLAS  [9:30 Geometría proyectiva, fotografía y la final del mundo. Charly Di Fiore]</t>
  </si>
  <si>
    <t>CHARLAS  [11:30 Detective de datos. Guillermo Solovey]</t>
  </si>
  <si>
    <t>CHARLAS  [14:00 Datos y deportes. Iván Monardo]</t>
  </si>
  <si>
    <t>TALLERES  [10:30 ]</t>
  </si>
  <si>
    <t>sromio@colegioesquiu.edu.ar</t>
  </si>
  <si>
    <t>Instituto Esquiu Asociaciòn Civil</t>
  </si>
  <si>
    <t>000200976</t>
  </si>
  <si>
    <t>10. Liceos / Normales / Colegios / Institutos de otras orientaciones</t>
  </si>
  <si>
    <t xml:space="preserve">Ciencias naturales </t>
  </si>
  <si>
    <t>Privada</t>
  </si>
  <si>
    <t>Luis Rovella</t>
  </si>
  <si>
    <t>Romio Sol</t>
  </si>
  <si>
    <t>CABA</t>
  </si>
  <si>
    <t>Belgrano</t>
  </si>
  <si>
    <t>6º Secundaria (Prov.) / 5º Media (CABA)</t>
  </si>
  <si>
    <t>Si</t>
  </si>
  <si>
    <t>No</t>
  </si>
  <si>
    <t>Jornada simple: sólo turno mañana (9:00 a 12.30 hs.)</t>
  </si>
  <si>
    <t>Jueves 27/4</t>
  </si>
  <si>
    <t>Instituto Esquiu Asociaxion civil</t>
  </si>
  <si>
    <t>Economia y administracion</t>
  </si>
  <si>
    <t>Rovella Luis</t>
  </si>
  <si>
    <t>Palermo</t>
  </si>
  <si>
    <t>yesicagambino@cesfj.edu.ar</t>
  </si>
  <si>
    <t>CENTRO EDUCATIVO SAN FRANCISCO JAVIER (A-136)</t>
  </si>
  <si>
    <t>020010000</t>
  </si>
  <si>
    <t>Bachiller con orientación en Economía y Administración</t>
  </si>
  <si>
    <t>Yesica Paola Gambino</t>
  </si>
  <si>
    <t>Daniela Menzulio</t>
  </si>
  <si>
    <t>Marcos Cayol</t>
  </si>
  <si>
    <t>COLEGIALES</t>
  </si>
  <si>
    <t>Se trata de un colegio parroquial con 100% de subvención estatal.</t>
  </si>
  <si>
    <t>Jornada simple: sólo turno tarde (12.30 a 16:00 hs.)</t>
  </si>
  <si>
    <t>roberto.holub@philips.edu.ar</t>
  </si>
  <si>
    <t>ESCUELA TECNICA PHILIPS ARGENTINA</t>
  </si>
  <si>
    <t>020012900</t>
  </si>
  <si>
    <t>5. Técnicas área producción (electromecánica, mecánica, metalurgia, electricidad, automotores, refrigeración, construcciones, maestro mayor de obras, aeronáutica, naval, aviónico, óptico, en geografía matemática)</t>
  </si>
  <si>
    <t>ELECTROMECANICA</t>
  </si>
  <si>
    <t>ROBERTO HOLUB</t>
  </si>
  <si>
    <t>NATALIA GRIMALDI</t>
  </si>
  <si>
    <t>FACUNDO ALBERINO</t>
  </si>
  <si>
    <t>Devoto</t>
  </si>
  <si>
    <t>5º Secundaria (Prov.) / 4º Media (CABA)</t>
  </si>
  <si>
    <t>Villa Devoto</t>
  </si>
  <si>
    <t>Miércoles 26/4</t>
  </si>
  <si>
    <t>mavisonora@yahoo.com.ar</t>
  </si>
  <si>
    <t>Colegio 19 Luis Pasteur</t>
  </si>
  <si>
    <t>020014300</t>
  </si>
  <si>
    <t>1. Liceos / Normales / Colegios / Institutos  orientados en ciencias naturales y/o exactas</t>
  </si>
  <si>
    <t>Cs Naturales</t>
  </si>
  <si>
    <t>Estatal</t>
  </si>
  <si>
    <t xml:space="preserve">María Virginia Sóñora </t>
  </si>
  <si>
    <t>PAOLA ARENA</t>
  </si>
  <si>
    <t>Paternal</t>
  </si>
  <si>
    <t xml:space="preserve">Colegio 19 Luis Pasteur </t>
  </si>
  <si>
    <t xml:space="preserve">Cs naturales </t>
  </si>
  <si>
    <t xml:space="preserve"> Mtía Virginia Soñora</t>
  </si>
  <si>
    <t>Paola Arena</t>
  </si>
  <si>
    <t>Daniela Bragnolo</t>
  </si>
  <si>
    <t>Floresta</t>
  </si>
  <si>
    <t>mariade.castro@bue.edu.ar</t>
  </si>
  <si>
    <t>Colegio N° 19 DE 17 "Luis Pasteur"</t>
  </si>
  <si>
    <t xml:space="preserve">Naturales </t>
  </si>
  <si>
    <t>Ángeles Castro</t>
  </si>
  <si>
    <t>Verónica Marrano</t>
  </si>
  <si>
    <t>RETIRO</t>
  </si>
  <si>
    <t>barrioluis92@gmail.com</t>
  </si>
  <si>
    <t>ESC. DE COM. Nº 20 DR. JUAN AGUSTIN GARCIA DE 14</t>
  </si>
  <si>
    <t>020015900</t>
  </si>
  <si>
    <t>Comercial</t>
  </si>
  <si>
    <t>Luis Octavio Barrio</t>
  </si>
  <si>
    <t>Mirta Filgueira</t>
  </si>
  <si>
    <t>Retiro</t>
  </si>
  <si>
    <t>Actividades prioritarias:
9:30: Desorden ordenado, ¡qué caos es esto!
10:30: ESTACIONES INTERACTIVAS
11:30: VISITA GUIADA</t>
  </si>
  <si>
    <t>dekergustavo@gmail.com</t>
  </si>
  <si>
    <t>Instituto La Candelaria</t>
  </si>
  <si>
    <t>020017800</t>
  </si>
  <si>
    <t>Economía</t>
  </si>
  <si>
    <t>Gustavo Deker</t>
  </si>
  <si>
    <t>Marcelo Collavino</t>
  </si>
  <si>
    <t>Soledad Deker</t>
  </si>
  <si>
    <t>San Nicolás</t>
  </si>
  <si>
    <t>romina.angulo@bue.edu.ar</t>
  </si>
  <si>
    <t>ESCUELA TECNICA Nº12 "LIBERTADOR GRAL. SAN MARTIN"</t>
  </si>
  <si>
    <t>020050900</t>
  </si>
  <si>
    <t>2. Técnicas en computación, electrónica, informática</t>
  </si>
  <si>
    <t>ELECTRONICA</t>
  </si>
  <si>
    <t>ROMINA ANGULO</t>
  </si>
  <si>
    <t>MICAELA RODRIGUEZ</t>
  </si>
  <si>
    <t>San Telmo</t>
  </si>
  <si>
    <t>Martes 25/4</t>
  </si>
  <si>
    <t>ceciliadiaz@docentes.sanmaron.edu.ar</t>
  </si>
  <si>
    <t>INSTITUTO SAN MARON</t>
  </si>
  <si>
    <t>020056200</t>
  </si>
  <si>
    <t>9. Liceos / Normales / Colegios / Institutos  orientados en ciencias sociales y/o humanidades</t>
  </si>
  <si>
    <t>Sociales y Humanidades</t>
  </si>
  <si>
    <t>Cecilia Díaz</t>
  </si>
  <si>
    <t>Marcela Urbano</t>
  </si>
  <si>
    <t xml:space="preserve">San Telmo </t>
  </si>
  <si>
    <t>rodrical85@hotmail.com</t>
  </si>
  <si>
    <t>INSTITUTO COLEGIO DE NUESTRA SEÑORA</t>
  </si>
  <si>
    <t>020056500</t>
  </si>
  <si>
    <t>Informática</t>
  </si>
  <si>
    <t xml:space="preserve">Ana María Rodríguez </t>
  </si>
  <si>
    <t>Laura López</t>
  </si>
  <si>
    <t>Maria Esther Fabbro</t>
  </si>
  <si>
    <t>Villa Pueyrredón</t>
  </si>
  <si>
    <t>mbusso@huergo.edu.ar</t>
  </si>
  <si>
    <t xml:space="preserve">Instituto industrial Luis A. Huergo </t>
  </si>
  <si>
    <t>020056800</t>
  </si>
  <si>
    <t>Artes</t>
  </si>
  <si>
    <t>María Laura Busso</t>
  </si>
  <si>
    <t>Gabriela Tarcetti</t>
  </si>
  <si>
    <t>Carolina Ruggeri</t>
  </si>
  <si>
    <t>Recoleta</t>
  </si>
  <si>
    <t xml:space="preserve">Instituto Huergo </t>
  </si>
  <si>
    <t xml:space="preserve">Artes </t>
  </si>
  <si>
    <t xml:space="preserve">María Laura Busso </t>
  </si>
  <si>
    <t xml:space="preserve">Carolina Ruggeri </t>
  </si>
  <si>
    <t>Villa Urquiza</t>
  </si>
  <si>
    <t xml:space="preserve">Gabriela Tarcetti </t>
  </si>
  <si>
    <t xml:space="preserve">Monte Castro </t>
  </si>
  <si>
    <t xml:space="preserve">Consideramos interesantes las propuestas para lograr, con nuestros estudiantes destacar el vínculo entre la matemática y las artes </t>
  </si>
  <si>
    <t>Consideramos interesantes las propuestas para lograr, con nuestros estudiantes, destacar el vínculo entre la matemática y las artes.</t>
  </si>
  <si>
    <t>fbeitia@hotmail.com</t>
  </si>
  <si>
    <t>INST.EDUC.ARG.NTRA.SRA.DE LUJAN</t>
  </si>
  <si>
    <t>020059400</t>
  </si>
  <si>
    <t>Bachillerato con orientación en Comunicación Social</t>
  </si>
  <si>
    <t>Fernando Beitia</t>
  </si>
  <si>
    <t>Fernanda Goldaracena</t>
  </si>
  <si>
    <t>Jéssica Maidana</t>
  </si>
  <si>
    <t>CABA Floresta</t>
  </si>
  <si>
    <t xml:space="preserve">INST.EDUC.ARG.NTRA.SRA.DE LUJAN	</t>
  </si>
  <si>
    <t>Bachillerato con orientación en Economía y Administración</t>
  </si>
  <si>
    <t>Barrio Norte</t>
  </si>
  <si>
    <t>Bachillerato con orientación en Informática</t>
  </si>
  <si>
    <t>Constitucion</t>
  </si>
  <si>
    <t>magalimorelli@misericordia.edu.ar</t>
  </si>
  <si>
    <t>INST. NUESTRA SEÑORA DE LA MISERICORDIA</t>
  </si>
  <si>
    <t>020067300</t>
  </si>
  <si>
    <t>Economía y Administración de Empresas / Comunicación</t>
  </si>
  <si>
    <t>Magalí Morelli</t>
  </si>
  <si>
    <t>Andrea Mortati</t>
  </si>
  <si>
    <t>Luciana Perea</t>
  </si>
  <si>
    <t>constitcion</t>
  </si>
  <si>
    <t>4º Secundaria (Prov:) / 3º Media (CABA)</t>
  </si>
  <si>
    <t>En lo posible que sea el jueves 27/04 que es el día que está la docente de Matemática a cargo del curso.</t>
  </si>
  <si>
    <t>lucilazobra@beataimelda.org</t>
  </si>
  <si>
    <t>Instituto Beata Imelda</t>
  </si>
  <si>
    <t>020067400</t>
  </si>
  <si>
    <t>Ciencias Sociales</t>
  </si>
  <si>
    <t>Lucila Zobra</t>
  </si>
  <si>
    <t>Ariel Malatesta</t>
  </si>
  <si>
    <t>Andrea Chiola</t>
  </si>
  <si>
    <t>saavedra</t>
  </si>
  <si>
    <t>nivelsecundario@beataimelda.org</t>
  </si>
  <si>
    <t>Economía y Administración</t>
  </si>
  <si>
    <t>Saavedra</t>
  </si>
  <si>
    <t>rosana.dionisio@bue.edu.ar</t>
  </si>
  <si>
    <t>ESC. DE COM. N° 33 MAIPU DE 18 -Prof Rosana Dionisio</t>
  </si>
  <si>
    <t>020068000</t>
  </si>
  <si>
    <t xml:space="preserve">Administración y economía </t>
  </si>
  <si>
    <t xml:space="preserve">Dionisio Rosana </t>
  </si>
  <si>
    <t xml:space="preserve">Zarlenga Silvina </t>
  </si>
  <si>
    <t xml:space="preserve">Zambonini Verónica </t>
  </si>
  <si>
    <t>Villa Devoto CABA</t>
  </si>
  <si>
    <t>valeria.shuman@bue.edu.ar</t>
  </si>
  <si>
    <t>Ens 6 Vicente Lopez y PlaneS</t>
  </si>
  <si>
    <t>020071700</t>
  </si>
  <si>
    <t>Matemática y Fisica</t>
  </si>
  <si>
    <t>Valeria Shuman</t>
  </si>
  <si>
    <t>Monica Robledo</t>
  </si>
  <si>
    <t>Kelly Dabek</t>
  </si>
  <si>
    <t>Balvanera</t>
  </si>
  <si>
    <t>r.estrella@instcristomaestro.edu.ar</t>
  </si>
  <si>
    <t xml:space="preserve">Instituto Cristo Maestro </t>
  </si>
  <si>
    <t>020072300</t>
  </si>
  <si>
    <t>Bachiller en informática</t>
  </si>
  <si>
    <t>Silvana Rocío Estrella</t>
  </si>
  <si>
    <t>Santiago Mollano</t>
  </si>
  <si>
    <t>Ana Bardauil</t>
  </si>
  <si>
    <t>MONSERRAT</t>
  </si>
  <si>
    <t>Jornada completa: turno completo (9:00 a 16.00 hs.)</t>
  </si>
  <si>
    <t>Todo parece muy interesante , las propuestas con cupo serán enriquecedoras cual sea.</t>
  </si>
  <si>
    <t>secretaria.secundaria@sangregorio.edu.ar</t>
  </si>
  <si>
    <t xml:space="preserve">Instituto educativo san gregorio el iluminador </t>
  </si>
  <si>
    <t>020074000</t>
  </si>
  <si>
    <t xml:space="preserve">Economía y administración </t>
  </si>
  <si>
    <t>Adriana Margossian</t>
  </si>
  <si>
    <t>Adriana Maegossian</t>
  </si>
  <si>
    <t>Mariana Crespo</t>
  </si>
  <si>
    <t>Villa del parque/CABA</t>
  </si>
  <si>
    <t>A pesar de tener la orientación de economía y administración, tenes alumnos interesados en carreras de ciencias exactas y naturales, y desde las materias matematica y química y física fomentamos estas ciencias</t>
  </si>
  <si>
    <t>instituto educativo san gregorio el iluminador</t>
  </si>
  <si>
    <t>Economía y administración</t>
  </si>
  <si>
    <t>Mariana crespo</t>
  </si>
  <si>
    <t>Villa del Parque</t>
  </si>
  <si>
    <t>mariaa.sosa@bue.edu.ar</t>
  </si>
  <si>
    <t>Liceo  N° 01 Jose Figueroa Alcorta DE 02</t>
  </si>
  <si>
    <t>020074400</t>
  </si>
  <si>
    <t>Ciencias Naturales y Exactas</t>
  </si>
  <si>
    <t>Jonathan España</t>
  </si>
  <si>
    <t>Maria Andrea Sosa</t>
  </si>
  <si>
    <t>Nicolas Lovece</t>
  </si>
  <si>
    <t>Liniers</t>
  </si>
  <si>
    <t>biblioteca@casasantacatalina.com.ar</t>
  </si>
  <si>
    <t>Instituto Privado Santa Catalina</t>
  </si>
  <si>
    <t>020076800</t>
  </si>
  <si>
    <t>3. Técnicas en administración de empresas, administración de las organizaciones, servicios turísticos, multimedios</t>
  </si>
  <si>
    <t>Administracion</t>
  </si>
  <si>
    <t>Paz Rozen</t>
  </si>
  <si>
    <t>Alicia Mendella</t>
  </si>
  <si>
    <t>liniers</t>
  </si>
  <si>
    <t>Instituto privado santa catalina</t>
  </si>
  <si>
    <t>comunicacion</t>
  </si>
  <si>
    <t>paz rozen</t>
  </si>
  <si>
    <t>alicia mendella</t>
  </si>
  <si>
    <t>Boedo</t>
  </si>
  <si>
    <t>Colegiales</t>
  </si>
  <si>
    <t xml:space="preserve">Este formulario lo complete ayer pero confundi la orientacion del curso. Puse Técnicas en administración de empresas, administración de las organizaciones, servicios turísticos, multimedios en lugar de 10. Liceos / Normales / Colegios / Institutos de otras orientaciones, mil disculpas. </t>
  </si>
  <si>
    <t>lulizobra@gmail.com</t>
  </si>
  <si>
    <t>Colegio San Francisco Coll</t>
  </si>
  <si>
    <t>020078500</t>
  </si>
  <si>
    <t>Silvina Salvia</t>
  </si>
  <si>
    <t>Macarena Sanguiao</t>
  </si>
  <si>
    <t>Villa General Mitre</t>
  </si>
  <si>
    <t>sfc.lucilazobra@gmail.com</t>
  </si>
  <si>
    <t>Villa Lugano</t>
  </si>
  <si>
    <t>carla.spazzali@gmail.com</t>
  </si>
  <si>
    <t>Instituto Santa María de Nazareth</t>
  </si>
  <si>
    <t>020082200</t>
  </si>
  <si>
    <t>economía y comunicación</t>
  </si>
  <si>
    <t>Carla</t>
  </si>
  <si>
    <t>Spazzali</t>
  </si>
  <si>
    <t xml:space="preserve">Belen Gonzalez </t>
  </si>
  <si>
    <t xml:space="preserve">Balvanera </t>
  </si>
  <si>
    <t>morelli.nicolas.a@gmail.com</t>
  </si>
  <si>
    <t>Colegio Norbridge</t>
  </si>
  <si>
    <t>020082300</t>
  </si>
  <si>
    <t xml:space="preserve">Economía y Administración </t>
  </si>
  <si>
    <t>Nicolás Morelli</t>
  </si>
  <si>
    <t>Liliana Villena</t>
  </si>
  <si>
    <t>Alejandra Sánchez</t>
  </si>
  <si>
    <t>Almagro</t>
  </si>
  <si>
    <t>Llevamos todos los años a nuestro 5to año a la Semana De la Matemática y los estudiantes la disfrutan mucho!</t>
  </si>
  <si>
    <t>Nos gustaría poder hacer la visita guiada ya que el  año pasado no pudimos.</t>
  </si>
  <si>
    <t>nicolas.morelli@colegionorbridge.edu.ar</t>
  </si>
  <si>
    <t>Analía Mezzelani</t>
  </si>
  <si>
    <t>Caballito</t>
  </si>
  <si>
    <t>Realicé una inscripción para el día martes, y por un problema de agenda de la Rectora me pidió cambiarlo a jueves. Pido por favor desestimar esa inscripción y tomar como válida esta. Vamos todos los años y los chicos disfrutan mucho la experiencia. Gracias por todo el trabajo!</t>
  </si>
  <si>
    <t>Pido si por favor podemos tener la visita guiada. El año pasado no pudimos tenerla y los chicos se quedaron con muchas ganas de hacerla. Muchas gracias.</t>
  </si>
  <si>
    <t>ariadna.rio@bue.edu.ar</t>
  </si>
  <si>
    <t>ESC. DE COM. Nº 11 DR JOSE PERALTA DE 17</t>
  </si>
  <si>
    <t>020085900</t>
  </si>
  <si>
    <t xml:space="preserve">economía </t>
  </si>
  <si>
    <t xml:space="preserve">Ariadna Rio </t>
  </si>
  <si>
    <t>Magdalena aguiar</t>
  </si>
  <si>
    <t>Barracas</t>
  </si>
  <si>
    <t>El porcentaje es estimativo. No tengo los datos. Pero los estudiantes vienen mayormente del barrio ejército de los andes y ese porcentaje es el beneficiario de las becas.</t>
  </si>
  <si>
    <t xml:space="preserve">Marcamos varias opciones porque nos gustan todas y para poder hacer alguna en el horario de 10:30 y otra en el de 11:30  dejamos a criterio de la disponibilidad que tengan </t>
  </si>
  <si>
    <t>nariv@misericordiadevoto.edu.ar</t>
  </si>
  <si>
    <t>Colegio Nuestra Señora de la Misericordia de devoto A-110</t>
  </si>
  <si>
    <t>020086000</t>
  </si>
  <si>
    <t>Humanidades y Cs. Sociales</t>
  </si>
  <si>
    <t>Victoria Anahí Nari</t>
  </si>
  <si>
    <t>Maria Adriana Lopez</t>
  </si>
  <si>
    <t>Ignacio Gonzalez</t>
  </si>
  <si>
    <t xml:space="preserve">Villa Devoto </t>
  </si>
  <si>
    <t xml:space="preserve">Victoria Anahí Nari </t>
  </si>
  <si>
    <t xml:space="preserve">Caballito </t>
  </si>
  <si>
    <t>natalia.grandal@bue.edu.ar</t>
  </si>
  <si>
    <t>ENS EN LENGUAS VIVAS Nº 02 MARIANO ACOSTA DE 06</t>
  </si>
  <si>
    <t>020086600</t>
  </si>
  <si>
    <t>Físico-Matemático</t>
  </si>
  <si>
    <t>Natalia Grandal</t>
  </si>
  <si>
    <t>Clarisa Redin</t>
  </si>
  <si>
    <t>Liniers CABA</t>
  </si>
  <si>
    <t>yaninasdiaz86@gmail.com</t>
  </si>
  <si>
    <t>ENS N°2 "Mariano Acosta"</t>
  </si>
  <si>
    <t>Normal</t>
  </si>
  <si>
    <t>Diaz Yanina</t>
  </si>
  <si>
    <t>Falabella Alberto</t>
  </si>
  <si>
    <t>Tupone Gustavo</t>
  </si>
  <si>
    <t>Nuñez</t>
  </si>
  <si>
    <t>Redin Clarisa</t>
  </si>
  <si>
    <t>Grandal Natalia</t>
  </si>
  <si>
    <t>yaninas.diaz@bue.edu.ar</t>
  </si>
  <si>
    <t>Balvanera - Ciudad Autónoma de Buenos Aires</t>
  </si>
  <si>
    <t>marisa_mariani@yahoo.com.ar</t>
  </si>
  <si>
    <t>INSTITUTO RAUL SCALABRINI ORTIZ</t>
  </si>
  <si>
    <t>020086700</t>
  </si>
  <si>
    <t>EN ECONOMIA Y AMINISTRACION</t>
  </si>
  <si>
    <t>MARISA MARIANI</t>
  </si>
  <si>
    <t>PATRICIA MIIZRAJI</t>
  </si>
  <si>
    <t>LAURA VITULLO</t>
  </si>
  <si>
    <t>Mataderos</t>
  </si>
  <si>
    <t>EN ECONOMIA Y ADMINISTRACION</t>
  </si>
  <si>
    <t>PATRICIA MIZRAJI</t>
  </si>
  <si>
    <t>CABALLITO</t>
  </si>
  <si>
    <t>maria.chiodini@bue.edu.ar</t>
  </si>
  <si>
    <t>ESC. TEC. Nº 24 DEFENSA DE BUENOS AIRES DE 17</t>
  </si>
  <si>
    <t>020090300</t>
  </si>
  <si>
    <t xml:space="preserve">Computación </t>
  </si>
  <si>
    <t>Chiodini María Teresa</t>
  </si>
  <si>
    <t>Sinisi Carina</t>
  </si>
  <si>
    <t>Ciriza Lilian</t>
  </si>
  <si>
    <t>Adrogué</t>
  </si>
  <si>
    <t>Computación</t>
  </si>
  <si>
    <t>María Teresa Chiodini</t>
  </si>
  <si>
    <t>Claypole, Almirante Brown</t>
  </si>
  <si>
    <t>De la pregunta anterior tengo poco conocimiento aproximado</t>
  </si>
  <si>
    <t>Si es posible ir con los dos cursos solicitados. Gracias</t>
  </si>
  <si>
    <t>Bernal Oeste</t>
  </si>
  <si>
    <t xml:space="preserve">Esta inscripción ya la realice el día Viernes 17, pero tuve que modificar cantidad de alumnos. Disculpas </t>
  </si>
  <si>
    <t>profececiliamoran@gmail.com</t>
  </si>
  <si>
    <t>escuela de comercio 32</t>
  </si>
  <si>
    <t>020093000</t>
  </si>
  <si>
    <t>Maria Cecilia Moran Salgueiro</t>
  </si>
  <si>
    <t>Jimena Montes</t>
  </si>
  <si>
    <t>Natalia Dangelo</t>
  </si>
  <si>
    <t>Bernal oeste</t>
  </si>
  <si>
    <t>jimemontes@gmail.com</t>
  </si>
  <si>
    <t>comercial 32</t>
  </si>
  <si>
    <t>comercial</t>
  </si>
  <si>
    <t>Maria Salgueiro</t>
  </si>
  <si>
    <t xml:space="preserve">Bernal Oeste </t>
  </si>
  <si>
    <t>reboiras.juan@colegioesclavas.edu.ar</t>
  </si>
  <si>
    <t>Instituto Esclavas del Sagrado Corazón de Jesús (A-14)</t>
  </si>
  <si>
    <t>020094900</t>
  </si>
  <si>
    <t>Ciencias Naturales</t>
  </si>
  <si>
    <t>Juan Martín Reboiras</t>
  </si>
  <si>
    <t>Patricia Julia Castro</t>
  </si>
  <si>
    <t>Virreyes</t>
  </si>
  <si>
    <t>profelaueltaller@gmail.com</t>
  </si>
  <si>
    <t>Instituto secundario El Taller</t>
  </si>
  <si>
    <t>020095800</t>
  </si>
  <si>
    <t xml:space="preserve">Comunicación </t>
  </si>
  <si>
    <t>Rosana Prieto</t>
  </si>
  <si>
    <t xml:space="preserve">Carolina Puente </t>
  </si>
  <si>
    <t>Ciudad Jardin</t>
  </si>
  <si>
    <t>Nos resultan interesantes las actividades para luego llevarlas al aula y trabajarlas para la muestra anual del colegio.</t>
  </si>
  <si>
    <t>mmcannilla@gmail.com</t>
  </si>
  <si>
    <t xml:space="preserve">COLEGIO LINCOLN </t>
  </si>
  <si>
    <t>020097800</t>
  </si>
  <si>
    <t>Bachiller Bilingue con Orientación en letras y ciencias sociales</t>
  </si>
  <si>
    <t>María Marta Cannilla</t>
  </si>
  <si>
    <t>Guadalupe Rosso</t>
  </si>
  <si>
    <t>Mercedes Álvarez</t>
  </si>
  <si>
    <t>Lanús</t>
  </si>
  <si>
    <t>ciademaria_nivelmedio@yahoo.com.ar</t>
  </si>
  <si>
    <t>Instituto Compañía de María</t>
  </si>
  <si>
    <t>020099900</t>
  </si>
  <si>
    <t>Bachiller en Economía y Administración</t>
  </si>
  <si>
    <t>Mara Barbagallo</t>
  </si>
  <si>
    <t>Claudia Vezzaro</t>
  </si>
  <si>
    <t>Guadalupe Carrillo</t>
  </si>
  <si>
    <t>Lanus</t>
  </si>
  <si>
    <t xml:space="preserve">Bachiller en Humanidades y Ciencias Sociales </t>
  </si>
  <si>
    <t>Caludia Vezzaro</t>
  </si>
  <si>
    <t>Guadalupe Carillo</t>
  </si>
  <si>
    <t>villa madero</t>
  </si>
  <si>
    <t>mariadelcarmencandeloro1@gmail.com</t>
  </si>
  <si>
    <t>INSTITUTO SAGRADA FAMILIA A 70</t>
  </si>
  <si>
    <t>020100400</t>
  </si>
  <si>
    <t>María del Carmen Candeloro</t>
  </si>
  <si>
    <t>Guadalupe Dominguez</t>
  </si>
  <si>
    <t>Victor Sacco</t>
  </si>
  <si>
    <t>Villa tesei</t>
  </si>
  <si>
    <t>Haedo, Morón</t>
  </si>
  <si>
    <t>liliana.molina@bue.edu.ar</t>
  </si>
  <si>
    <t>E.E.M.N°1 DE 20 Biblioteca del Congreso de la Nación</t>
  </si>
  <si>
    <t>020106200</t>
  </si>
  <si>
    <t>4. Artísticas de todas las orientaciones</t>
  </si>
  <si>
    <t>Artes Visuales</t>
  </si>
  <si>
    <t>Liliana Ines Molina</t>
  </si>
  <si>
    <t>Carolina Rivarola</t>
  </si>
  <si>
    <t>Candela García</t>
  </si>
  <si>
    <t>Ciudad jardin lomas del palomar</t>
  </si>
  <si>
    <t>3º Secundaria (Prov.) / 2º Media (CABA)</t>
  </si>
  <si>
    <t>laurabusso@bue.edu.ar</t>
  </si>
  <si>
    <t xml:space="preserve">Escuela Normal N°9 Domingo F Sarmiento </t>
  </si>
  <si>
    <t>020113300</t>
  </si>
  <si>
    <t>Educación</t>
  </si>
  <si>
    <t>María Fernanda Faggionatto</t>
  </si>
  <si>
    <t>Gonzalo Godoy</t>
  </si>
  <si>
    <t xml:space="preserve">Villa Madero </t>
  </si>
  <si>
    <t xml:space="preserve">Nos resulta una propuesta complementaria para un proyecto que estamos armando con los estudiantes. </t>
  </si>
  <si>
    <t xml:space="preserve">Nuestra salida esta autorizada hasta las 12.15hs </t>
  </si>
  <si>
    <t>j.ferrero.1964@gmail.com</t>
  </si>
  <si>
    <t xml:space="preserve">Escuela Normal Superior N°9 Sarmiento </t>
  </si>
  <si>
    <t>020117700</t>
  </si>
  <si>
    <t xml:space="preserve">Ciencias Naturales </t>
  </si>
  <si>
    <t xml:space="preserve">Javier Ferrero </t>
  </si>
  <si>
    <t>Sabrina Bobinac</t>
  </si>
  <si>
    <t>-</t>
  </si>
  <si>
    <t>Villa madero</t>
  </si>
  <si>
    <t>gabriela.lucca@bue.edu.ar</t>
  </si>
  <si>
    <t>ENS Nº 10 JUAN BAUTISTA ALBERDI DE 10</t>
  </si>
  <si>
    <t>020121400</t>
  </si>
  <si>
    <t>Naturales</t>
  </si>
  <si>
    <t>Gabriela Lucca</t>
  </si>
  <si>
    <t>Cecilia Accorinti</t>
  </si>
  <si>
    <t>Alejandra Falconi</t>
  </si>
  <si>
    <t>Gregorio de Laferrere</t>
  </si>
  <si>
    <t>son 41 alumnos en total, si van todos.</t>
  </si>
  <si>
    <t>Priorizamos primero la charla de 9.30; y la de 11.30 en este último caso de no ser posible, nos anotamos en arte matemático, taller o visita guiada. Podemos quedarnos hasta las 12.45 aprox.</t>
  </si>
  <si>
    <t>rodrigog.diaz@bue.edu.ar</t>
  </si>
  <si>
    <t>INSTITUTO INMACULADA CONCEPCIÓN A-86</t>
  </si>
  <si>
    <t>020122500</t>
  </si>
  <si>
    <t>RODRIGO GASTÓN DÍAZ</t>
  </si>
  <si>
    <t>MARIANA CHIESA</t>
  </si>
  <si>
    <t>NAZARENO AGUIRRE</t>
  </si>
  <si>
    <t>Vicente López</t>
  </si>
  <si>
    <t>Importante porcentaje de alumnos cursando UBA XXI en carreras afines a la temática.</t>
  </si>
  <si>
    <t>RODRIGO DIAZ</t>
  </si>
  <si>
    <t>Vicente Lopez</t>
  </si>
  <si>
    <t>Corresponde a otra división de la orientación</t>
  </si>
  <si>
    <t>Importante porcentaje de alumnos cursando UBA XXI en carreras afines.</t>
  </si>
  <si>
    <t>silveiga@yahoo.com.ar</t>
  </si>
  <si>
    <t>ENS Nº 4 ESTANISLAO ZEBALLOS</t>
  </si>
  <si>
    <t>020129700</t>
  </si>
  <si>
    <t>Matemática y física</t>
  </si>
  <si>
    <t>Silvia Ana Veiga</t>
  </si>
  <si>
    <t xml:space="preserve">Gisela Serrano </t>
  </si>
  <si>
    <t>Mónica Sivila</t>
  </si>
  <si>
    <t>Victoria, San Fernando</t>
  </si>
  <si>
    <t>Vamos a la semana de la Matemática todos los años con nuestros 5º bach matemática y Física</t>
  </si>
  <si>
    <t>Vamos con los chicos de 5º orientación Matemática y Física todos los años desde que comenzó la semana de la Matemática.</t>
  </si>
  <si>
    <t>Anabella.caceres@bue.edu.ar</t>
  </si>
  <si>
    <t>Escuela Normal Superior n5 "Martin Miguel de Güemes"</t>
  </si>
  <si>
    <t>020132800</t>
  </si>
  <si>
    <t>Matematica y Fisica</t>
  </si>
  <si>
    <t xml:space="preserve">A. Carolina Cáceres </t>
  </si>
  <si>
    <t>Lorena Paniagua</t>
  </si>
  <si>
    <t>Gustavo Catuara</t>
  </si>
  <si>
    <t>AVELLANEDA</t>
  </si>
  <si>
    <t>Escuela Normal Superior n5 " Martin Miguel de Güemes"</t>
  </si>
  <si>
    <t xml:space="preserve">Los Eucaliptus/ San Francisco Solano </t>
  </si>
  <si>
    <t>d.ana.gomez@sanrafael.esc.edu.ar</t>
  </si>
  <si>
    <t>Instituto San Rafael (A-120)</t>
  </si>
  <si>
    <t>020133700</t>
  </si>
  <si>
    <t xml:space="preserve">Administración de empresas </t>
  </si>
  <si>
    <t xml:space="preserve">Ana Paula Gómez Tascón </t>
  </si>
  <si>
    <t>Franco Luciano Mazzoli</t>
  </si>
  <si>
    <t>Valentín Alsina</t>
  </si>
  <si>
    <t xml:space="preserve">Consideré q cada actividad dura una hora. Por ello, me anoté con este fixture:
 9:30 charla de redes/ 10:30 taller del hacer matemático / 11:30 charla de calculadora </t>
  </si>
  <si>
    <t xml:space="preserve">Administración </t>
  </si>
  <si>
    <t>Ana Paula Gómez Tascón</t>
  </si>
  <si>
    <t>Gabriel Giberti</t>
  </si>
  <si>
    <t>Villa Jardín, Lanús Oeste</t>
  </si>
  <si>
    <t xml:space="preserve">Me encantaría q los estudiantes de 5to año vean algo de fractales pero si cada posta es de una hora, no nos darán los tiempos. Muchas gracias </t>
  </si>
  <si>
    <t xml:space="preserve">Franco Luciano Mazzoli </t>
  </si>
  <si>
    <t>Castelar</t>
  </si>
  <si>
    <t>andreoniraquel@institutourquiza.edu.ar</t>
  </si>
  <si>
    <t>Instituto General Justo José de Urquiza A 40</t>
  </si>
  <si>
    <t>020134800</t>
  </si>
  <si>
    <t>Economía y administración / Comunicación</t>
  </si>
  <si>
    <t>Raquel Andreoni</t>
  </si>
  <si>
    <t>Micaela Barbalace</t>
  </si>
  <si>
    <t>Mercedes González</t>
  </si>
  <si>
    <t>La Plata</t>
  </si>
  <si>
    <t>veronica.garces@bue.edu.ar</t>
  </si>
  <si>
    <t>COLEGIO N 17 DE 7</t>
  </si>
  <si>
    <t>020135200</t>
  </si>
  <si>
    <t xml:space="preserve">Bachiller con orientación Ciencias Sociales </t>
  </si>
  <si>
    <t xml:space="preserve">Verónica Garcés </t>
  </si>
  <si>
    <t>Laura Mancuso</t>
  </si>
  <si>
    <t>Claudia Uzal</t>
  </si>
  <si>
    <t xml:space="preserve">Villa Adelina </t>
  </si>
  <si>
    <t>laya.marconi@cristoforocolombo.org.ar</t>
  </si>
  <si>
    <t>ESCUELA ITALIANA CRISTOFORO COLOMBO</t>
  </si>
  <si>
    <t>020148000</t>
  </si>
  <si>
    <t>cientìfico</t>
  </si>
  <si>
    <t>Laya Marconi</t>
  </si>
  <si>
    <t>Giosafat Nasta</t>
  </si>
  <si>
    <t>Quilmes Oeste</t>
  </si>
  <si>
    <t>CIENCIAS</t>
  </si>
  <si>
    <t>LAYA MARCONI</t>
  </si>
  <si>
    <t>GIOSAFAT NASTA</t>
  </si>
  <si>
    <t xml:space="preserve">Quilmes </t>
  </si>
  <si>
    <t>gabrielaterenzani@institutovelez.edu.ar</t>
  </si>
  <si>
    <t>Instituto Dr. Dalmacio Vélez Sarsfield</t>
  </si>
  <si>
    <t>020148300</t>
  </si>
  <si>
    <t>Bachiller en Educación Física (3°A EF TM)</t>
  </si>
  <si>
    <t>Gabriela Terenzani</t>
  </si>
  <si>
    <t>Andrea Lares</t>
  </si>
  <si>
    <t xml:space="preserve">Troncos del talar , Tigre </t>
  </si>
  <si>
    <t>PORCENTAJE SOLICITADO ES APROXIMADO</t>
  </si>
  <si>
    <t>3° A EF TM 38 alumnos</t>
  </si>
  <si>
    <t>gabrielaterenzani@institutoveolez.edu.ar</t>
  </si>
  <si>
    <t>Instituto Dr. Dalmacio Velez Sarsfield</t>
  </si>
  <si>
    <t>Bachiller en Educación Física</t>
  </si>
  <si>
    <t>Troncos del Talar</t>
  </si>
  <si>
    <t>Porcentaje solicitado aproximado</t>
  </si>
  <si>
    <t>3° B EF TM 37 alumnos</t>
  </si>
  <si>
    <t>Morón</t>
  </si>
  <si>
    <t>3° B EF TM 37 alumnos (AL NO RECIBIR MAIL DE CONFIRMACIÓN AL RELLENAR EL FORMULARIO PARA ESTE CURSO, LO COMPLETÉ NUEVAMENTE, aviso por las dudas por si reciben otro formulario para este curso).</t>
  </si>
  <si>
    <t>Villa Ballester</t>
  </si>
  <si>
    <t>Porcentaje solicitado estimativo</t>
  </si>
  <si>
    <t>3° A EF TT 30 alumnos</t>
  </si>
  <si>
    <t>Bachiller en Comunicación</t>
  </si>
  <si>
    <t xml:space="preserve">Villa Ballester </t>
  </si>
  <si>
    <t>3° A COM TM 36 alumnos</t>
  </si>
  <si>
    <t>San Isidro</t>
  </si>
  <si>
    <t>El porcentaje solicitado es estimativo. La cantidad es de alumnos, no incluye a los acompañantes.</t>
  </si>
  <si>
    <t>3° A COM TM 34 alumnos</t>
  </si>
  <si>
    <t>agustina.cafiero@ort.edu.ar</t>
  </si>
  <si>
    <t>Escuela ORT N°2</t>
  </si>
  <si>
    <t>020149400</t>
  </si>
  <si>
    <t>TIC/HUMANIDADES</t>
  </si>
  <si>
    <t>Agustina Cafiero</t>
  </si>
  <si>
    <t>Dalmiro Dellechiaie</t>
  </si>
  <si>
    <t>San Justo, La Matanza</t>
  </si>
  <si>
    <t>Los grupos estarán conformados por alumnos de 3ro, 4to y 5to (ciclo superior)</t>
  </si>
  <si>
    <t>Luis Perez</t>
  </si>
  <si>
    <t>Mariana Gartner</t>
  </si>
  <si>
    <t>Bella Vista</t>
  </si>
  <si>
    <t>mariamarta82@gmail.com</t>
  </si>
  <si>
    <t>Instituto San Francisco de Asís</t>
  </si>
  <si>
    <t>020150400</t>
  </si>
  <si>
    <t>Economía y Admistración</t>
  </si>
  <si>
    <t>María Marta Sosa</t>
  </si>
  <si>
    <t xml:space="preserve">Patricia Cabrera </t>
  </si>
  <si>
    <t>Gonzalo Gallo</t>
  </si>
  <si>
    <t>Berazategui</t>
  </si>
  <si>
    <t xml:space="preserve">Instituto San Francisco de Asís </t>
  </si>
  <si>
    <t>Artes visuales</t>
  </si>
  <si>
    <t>Patricia Cabrera</t>
  </si>
  <si>
    <t>La Cava San Isidro</t>
  </si>
  <si>
    <t>gonzalez.mercedes.sango@gmail.com</t>
  </si>
  <si>
    <t xml:space="preserve">Instituto San José </t>
  </si>
  <si>
    <t>020169900</t>
  </si>
  <si>
    <t>Gestión</t>
  </si>
  <si>
    <t>Mercedes GONZALEZ</t>
  </si>
  <si>
    <t>Carolina Malter</t>
  </si>
  <si>
    <t>Diego Pozzi</t>
  </si>
  <si>
    <t>gonzalez.mercedes.sanjo@gmail.com</t>
  </si>
  <si>
    <t xml:space="preserve">Belén de Escobar </t>
  </si>
  <si>
    <t xml:space="preserve">Según el horario que ustedes nos otorguen deseamos realizar una visita guiada, participar de las estaciones interactivas y del Arte Matemático. </t>
  </si>
  <si>
    <t>Comunicación</t>
  </si>
  <si>
    <t>Mercedes Gonzalez</t>
  </si>
  <si>
    <t>Escobar</t>
  </si>
  <si>
    <t>Según los horarios que ustedes dispongan deseamos participar de VISITA GUIADA, ESTACIONES INTERACTIVAS y ARTE MATEMÁTICO.</t>
  </si>
  <si>
    <t>Instituto San José</t>
  </si>
  <si>
    <t>Gestión y economía</t>
  </si>
  <si>
    <t>Florencio Varela</t>
  </si>
  <si>
    <t>nadia.cura@bue.edu.ar</t>
  </si>
  <si>
    <t>Centro de Formación Profesional nro 10</t>
  </si>
  <si>
    <t>020200700</t>
  </si>
  <si>
    <t>13. Formación permanente de jóvenes y adultos</t>
  </si>
  <si>
    <t>Bachiller on orientación en Informática</t>
  </si>
  <si>
    <t>Nadia Cura</t>
  </si>
  <si>
    <t>Fabiana Suanno</t>
  </si>
  <si>
    <t>Juan Castellarin</t>
  </si>
  <si>
    <t>boulogne</t>
  </si>
  <si>
    <t>secundaria@santiagoapostol.edu.ar</t>
  </si>
  <si>
    <t>Instituto Argentino Gallego Santiago Apóstol</t>
  </si>
  <si>
    <t>020212700</t>
  </si>
  <si>
    <t>Bachiller en Ciencias Sociales y Humanidades</t>
  </si>
  <si>
    <t>Ángeles Sananez</t>
  </si>
  <si>
    <t>Bibiana Rodríguez</t>
  </si>
  <si>
    <t>Rocío Da Silva</t>
  </si>
  <si>
    <t>San José, Almirante Brown</t>
  </si>
  <si>
    <t>Tildé muchas opciones de turnos para que nos asignen las que ustedes consideren.</t>
  </si>
  <si>
    <t>santiago.campagna@bue.edu.ar</t>
  </si>
  <si>
    <t>Escuela Técnica N° 20</t>
  </si>
  <si>
    <t>020307500</t>
  </si>
  <si>
    <t>Tecnicatura en Tecnologías de la Información. Tecnicatura en Producción Multimedial.</t>
  </si>
  <si>
    <t>Hita Desposorio</t>
  </si>
  <si>
    <t>Santiago Nehuen Campagna</t>
  </si>
  <si>
    <t>Almirante brown</t>
  </si>
  <si>
    <t>nruderman@gmail.com</t>
  </si>
  <si>
    <t>Escuela Superior de Comercio Carlos Pellegrini</t>
  </si>
  <si>
    <t>029000800</t>
  </si>
  <si>
    <t>Nicolas Ruderman</t>
  </si>
  <si>
    <t xml:space="preserve">Eva Antal </t>
  </si>
  <si>
    <t>Quilmes</t>
  </si>
  <si>
    <t>mapaulasuarez@yahoo.com.ar</t>
  </si>
  <si>
    <t>INSTITUTO SOCIAL MILITAR DOCTOR DAMASO CENTENO</t>
  </si>
  <si>
    <t>029003000</t>
  </si>
  <si>
    <t>CIENCIAS NATURALES</t>
  </si>
  <si>
    <t>FLAVIA TERRIZZANO</t>
  </si>
  <si>
    <t>ANTONIO VUISSO</t>
  </si>
  <si>
    <t>ESTEFANIA DENIS</t>
  </si>
  <si>
    <t>Tigre/Tigre</t>
  </si>
  <si>
    <t>MARIA PAULA SUAREZ</t>
  </si>
  <si>
    <t>ADRIANA HOZ</t>
  </si>
  <si>
    <t>BRUNO BAGNIOLE</t>
  </si>
  <si>
    <t>villa sarmiento</t>
  </si>
  <si>
    <t>COMO TODOS LOS AÑOS, ESPERAMOS PODER VISITARLOS CON ESTE NUEVO GRUPO DE ALUMNOS</t>
  </si>
  <si>
    <t>LISETTE MENDEZ</t>
  </si>
  <si>
    <t>FLORENCIA LOPEZ DE VOLVER</t>
  </si>
  <si>
    <t>ALVARO CORTES CONTI</t>
  </si>
  <si>
    <t>Hurlingham</t>
  </si>
  <si>
    <t>milagrosmcervio@gmail.com</t>
  </si>
  <si>
    <t>INSTITUTO NUESTRA SEÑORA DE LUJAN</t>
  </si>
  <si>
    <t>060266000</t>
  </si>
  <si>
    <t>Economía y Administración de Empresas</t>
  </si>
  <si>
    <t>Milagros María Clara Cervio</t>
  </si>
  <si>
    <t>Claudia Wavrenchuk</t>
  </si>
  <si>
    <t>Nazareno Lazaro</t>
  </si>
  <si>
    <t>ÁREA METROPOLITANA DE BUENOS AIRES</t>
  </si>
  <si>
    <t>Ricardo Rojas. Tigre</t>
  </si>
  <si>
    <t>zelayaandrea@hotmail.com</t>
  </si>
  <si>
    <t>Escuela el Ave Maria</t>
  </si>
  <si>
    <t>060364300</t>
  </si>
  <si>
    <t xml:space="preserve">Bachiller </t>
  </si>
  <si>
    <t>Zelaya maria Andrea</t>
  </si>
  <si>
    <t xml:space="preserve">Pedro Paredes </t>
  </si>
  <si>
    <t>Zelayaandrea@hotmail.com</t>
  </si>
  <si>
    <t>INTERIOR DE LA PROVINCIA DE BUENOS AIRES</t>
  </si>
  <si>
    <t>Virrey del Pino</t>
  </si>
  <si>
    <t>Queremos participar de la semana de las coencias con nuestros estudiantes!</t>
  </si>
  <si>
    <t>analiabarrionuevo@proyeccionxxi.com.ar</t>
  </si>
  <si>
    <t>Instituto Proyección XXI</t>
  </si>
  <si>
    <t>060455500</t>
  </si>
  <si>
    <t>Sociales</t>
  </si>
  <si>
    <t>Analía Barrionuevo</t>
  </si>
  <si>
    <t>Paola Flosi</t>
  </si>
  <si>
    <t xml:space="preserve">La Loma/ Gregorio de Laferrere </t>
  </si>
  <si>
    <t>valeriatardioli@gmail.com</t>
  </si>
  <si>
    <t xml:space="preserve">Instituto Proyección XXI </t>
  </si>
  <si>
    <t>Paola Flossi</t>
  </si>
  <si>
    <t>Estrella Lopez</t>
  </si>
  <si>
    <t xml:space="preserve">Valeria Tardioli </t>
  </si>
  <si>
    <t xml:space="preserve">Los polvorines </t>
  </si>
  <si>
    <t>Campos Salles/San Nicolas de los arroyos</t>
  </si>
  <si>
    <t>baini.jesica@sanpablo-virreyes.edu.ar</t>
  </si>
  <si>
    <t>COLEGIO PARROQUIAL SAN PABLO</t>
  </si>
  <si>
    <t>060486800</t>
  </si>
  <si>
    <t>Secundaria Básica</t>
  </si>
  <si>
    <t>Jesica Baini</t>
  </si>
  <si>
    <t>Stefania Gabba</t>
  </si>
  <si>
    <t>Yesica Gimenéz</t>
  </si>
  <si>
    <t>Boulogne Sur mer</t>
  </si>
  <si>
    <t>gabba.stefania@sanpablo-virreyes.edu.ar</t>
  </si>
  <si>
    <t>Secunaria Básica</t>
  </si>
  <si>
    <t>Baini Jesica</t>
  </si>
  <si>
    <t>Tigre</t>
  </si>
  <si>
    <t>vanina.acuna89@gmail.com</t>
  </si>
  <si>
    <t>Instituto Palomar de Caseros</t>
  </si>
  <si>
    <t>060522400</t>
  </si>
  <si>
    <t xml:space="preserve">COMUNICACIONES Y CIENCIAS SOCIALES </t>
  </si>
  <si>
    <t>Vanina Acuña</t>
  </si>
  <si>
    <t>Roxana politino</t>
  </si>
  <si>
    <t xml:space="preserve">Tigre </t>
  </si>
  <si>
    <t>pamelamartinezz111@gmail.com</t>
  </si>
  <si>
    <t>Instituto Cristo Rey</t>
  </si>
  <si>
    <t>060541300</t>
  </si>
  <si>
    <t>Martinez Pamela</t>
  </si>
  <si>
    <t>Barrionuevo Nicolas</t>
  </si>
  <si>
    <t>Shamun Julieta</t>
  </si>
  <si>
    <t>pamelamartinez111@gmail.com</t>
  </si>
  <si>
    <t>Villa ballester</t>
  </si>
  <si>
    <t>Pamela Martinez</t>
  </si>
  <si>
    <t>Las Tunas, General Pacheco</t>
  </si>
  <si>
    <t>Ya se envió inscripcion previa para otro curso</t>
  </si>
  <si>
    <t>jgzalla41@gmail.com</t>
  </si>
  <si>
    <t>EEST N°10</t>
  </si>
  <si>
    <t>060551700</t>
  </si>
  <si>
    <t>informatica / maestro mayor de obras</t>
  </si>
  <si>
    <t>gabriel zalla</t>
  </si>
  <si>
    <t>rosana samos</t>
  </si>
  <si>
    <t>luciana di mare</t>
  </si>
  <si>
    <t>Belen de Escobar</t>
  </si>
  <si>
    <t>gallinamensajera@hotmail.com</t>
  </si>
  <si>
    <t>Escuela de educación secundaria n° 2 " Juan Lavalle"</t>
  </si>
  <si>
    <t>060554600</t>
  </si>
  <si>
    <t>Ciencias naturales</t>
  </si>
  <si>
    <t xml:space="preserve">Cristina morandi </t>
  </si>
  <si>
    <t>Juan ceballos</t>
  </si>
  <si>
    <t>Vanesa</t>
  </si>
  <si>
    <t xml:space="preserve">Vicente López </t>
  </si>
  <si>
    <t>jp.alvarez29@gmail.com</t>
  </si>
  <si>
    <t>Instituto Parroquial Cristo Obrero</t>
  </si>
  <si>
    <t>060571800</t>
  </si>
  <si>
    <t>Sociales y Economía</t>
  </si>
  <si>
    <t>Juan Pablo Alvarez</t>
  </si>
  <si>
    <t>Norma Certo</t>
  </si>
  <si>
    <t>Antonella Toranza</t>
  </si>
  <si>
    <t xml:space="preserve">Son tres cursos de 6to. El colegio pide que se unifique en un solo día, por lo que realizo una sola inscripción. </t>
  </si>
  <si>
    <t>aespinosa@colegiociudadjardin.edu.ar</t>
  </si>
  <si>
    <t xml:space="preserve">Colegio ciudad jardín </t>
  </si>
  <si>
    <t>060578200</t>
  </si>
  <si>
    <t>sociales</t>
  </si>
  <si>
    <t>Espinosa Andrea</t>
  </si>
  <si>
    <t>Valeria Gridel</t>
  </si>
  <si>
    <t>Constanza Barucco</t>
  </si>
  <si>
    <t>Instituto Almirante Guillermo Brown</t>
  </si>
  <si>
    <t>060627100</t>
  </si>
  <si>
    <t>Micaela Borda</t>
  </si>
  <si>
    <t>Nahuel Furchi</t>
  </si>
  <si>
    <t xml:space="preserve">Son tres divisiones de 6to. No realizo la inscripción de manera separada, ya que el colegio solicita que se vayan con los tres cursos el mismo día. </t>
  </si>
  <si>
    <t>profeluciadiaz@gmail.com</t>
  </si>
  <si>
    <t>ESCUELA POLIMODAL Nº11 ALMIRANTE GUILLERMO BROWN</t>
  </si>
  <si>
    <t>060657500</t>
  </si>
  <si>
    <t>Maria Lucia Diaz</t>
  </si>
  <si>
    <t>Cruz Miguel</t>
  </si>
  <si>
    <t>Realizo dos inscripciones dado que me gustaria llevar a mis dos cursos del mismo colegio</t>
  </si>
  <si>
    <t>profediazlucia@gmail.com</t>
  </si>
  <si>
    <t>Diaz Maria Lucia</t>
  </si>
  <si>
    <t>Miguel Cruz</t>
  </si>
  <si>
    <t>resto del curso que no ingreso en la inscripcion anterior</t>
  </si>
  <si>
    <t>es el resto de mis alumnos que no pude inscribir en el pedido anterior</t>
  </si>
  <si>
    <t>julieta.ojedasanese@gmail.com</t>
  </si>
  <si>
    <t xml:space="preserve">	INSTITUTO ESCUELA JUAN PABLO II</t>
  </si>
  <si>
    <t>060668300</t>
  </si>
  <si>
    <t>Economía y gestión de las organizaciones</t>
  </si>
  <si>
    <t>Julieta Ojeda Sanese</t>
  </si>
  <si>
    <t>Verónica Garay</t>
  </si>
  <si>
    <t>Camila Castelli</t>
  </si>
  <si>
    <t xml:space="preserve">Economía y gestión de las organizaciones </t>
  </si>
  <si>
    <t>Julieta Ojeda</t>
  </si>
  <si>
    <t>cami_zabala@yahoo.com.ar</t>
  </si>
  <si>
    <t>Instituto Madre Maria Luisa Clarac</t>
  </si>
  <si>
    <t>060703300</t>
  </si>
  <si>
    <t>Zabala Lindermann Camila</t>
  </si>
  <si>
    <t>Fernandez Mariela</t>
  </si>
  <si>
    <t>Medina Andrea</t>
  </si>
  <si>
    <t>Camila Zabala Lindermann</t>
  </si>
  <si>
    <t>Gutierrez Karina</t>
  </si>
  <si>
    <t>monicaguillem@gmail.com</t>
  </si>
  <si>
    <t>colegio michael ham</t>
  </si>
  <si>
    <t>060750000</t>
  </si>
  <si>
    <t>bachiller</t>
  </si>
  <si>
    <t>M. Guillermina Marquez de Oliveira</t>
  </si>
  <si>
    <t>Gustavo Jaimes</t>
  </si>
  <si>
    <t>Ramiro Sere</t>
  </si>
  <si>
    <t>2º Secundaria (Prov.) / 1º Media (CABA)</t>
  </si>
  <si>
    <t>El año pasado concurrimos y el alumnado quedó muy entusiasmado con la propuesta</t>
  </si>
  <si>
    <t>M Guillermina Marquez de Oliveira</t>
  </si>
  <si>
    <t>Jaimes Gustavo</t>
  </si>
  <si>
    <t>colegio Michael Ham</t>
  </si>
  <si>
    <t>colegio michaelham</t>
  </si>
  <si>
    <t>Gloria Virasoro</t>
  </si>
  <si>
    <t>andreromero6@abc.gob.ar</t>
  </si>
  <si>
    <t>Secundaria 2 "Hernando Arias de Saavedra"</t>
  </si>
  <si>
    <t>060765300</t>
  </si>
  <si>
    <t>ROMERO ANDREA</t>
  </si>
  <si>
    <t>QUINTANA ANDREA</t>
  </si>
  <si>
    <t>VARGAS ELIZABETH</t>
  </si>
  <si>
    <t>germanpugliese@yahoo.com.ar</t>
  </si>
  <si>
    <t>INSTITUTO PIO XII</t>
  </si>
  <si>
    <t>060771600</t>
  </si>
  <si>
    <t>CIENCIAS SOCIALES</t>
  </si>
  <si>
    <t>German Omar</t>
  </si>
  <si>
    <t>MATIAS RAZZETTO</t>
  </si>
  <si>
    <t>AYELEN HAWRYLISZYN</t>
  </si>
  <si>
    <t>ECONOMIA Y ADMINISTRACION</t>
  </si>
  <si>
    <t>GERMAN OMAR PUGLIESE</t>
  </si>
  <si>
    <t>FACUNDO PEREYRA</t>
  </si>
  <si>
    <t>daniela_carlacabrera@live.com</t>
  </si>
  <si>
    <t>Escuela de Educación Secundaria N°10 Anexo 1</t>
  </si>
  <si>
    <t>060772301</t>
  </si>
  <si>
    <t xml:space="preserve">Economía y Gestión de las Organizaciones </t>
  </si>
  <si>
    <t xml:space="preserve">CARLA DANIELA CABRERA </t>
  </si>
  <si>
    <t xml:space="preserve">Alicia Rodriguez </t>
  </si>
  <si>
    <t xml:space="preserve">Micaela Romano Valladares </t>
  </si>
  <si>
    <t xml:space="preserve">Contamos con netbooks en la escuela, pero están bloqueadas. Los alumnos realizan proyectos en matemática con material que traen de sus casas o lleva la docente. </t>
  </si>
  <si>
    <t xml:space="preserve">Buenas tardes, me interesa mucho la charla sobre datos y redes sociales de 9 30 hs. También arte matemático. Y estaciones interactivas, para los juegos así luego pueden recrear algunos en la escuela. Seleccioné algunos con superposición por si no hay vacantes. Gracias  </t>
  </si>
  <si>
    <t>dgubitosi@sagradoalcal.edu.ar</t>
  </si>
  <si>
    <t>Instituto Sagrado Corazón ALCAL</t>
  </si>
  <si>
    <t>0607823</t>
  </si>
  <si>
    <t>Tecnicatura en Programación</t>
  </si>
  <si>
    <t>Dulcinea Gubitosi</t>
  </si>
  <si>
    <t>Es importante conseguir financiamiento para el micro que nos lleve hasta allá. Esperamos poder concretar la visita!</t>
  </si>
  <si>
    <t>tperasso@sagradoalcal.edu.ar</t>
  </si>
  <si>
    <t>INSTITUTO SAGRADO CORAZÓN ALCAL</t>
  </si>
  <si>
    <t>060782300</t>
  </si>
  <si>
    <t>Técnica en Programación</t>
  </si>
  <si>
    <t>Esteban De Bonis</t>
  </si>
  <si>
    <t>Damián Nery</t>
  </si>
  <si>
    <t>edebonis@sagradoalcal.edu.ar</t>
  </si>
  <si>
    <t>abasoalto@abc.gob.ar</t>
  </si>
  <si>
    <t>ESCUELA DE EDUCACIÓN SECUNDARIA Nº21 JOSÉ HERNANDEZ</t>
  </si>
  <si>
    <t>060861200</t>
  </si>
  <si>
    <t>Ana Vanina Basoalto</t>
  </si>
  <si>
    <t>Noelia Colman</t>
  </si>
  <si>
    <t>Claudia Escudero</t>
  </si>
  <si>
    <t>basoaltoanav@gmail.com</t>
  </si>
  <si>
    <t>Esperamos la asignación de la inscripción dado que son muchos los estudiantes que desean continuar sus estudios en Exactas</t>
  </si>
  <si>
    <t>Ana Basoalto</t>
  </si>
  <si>
    <t>Gustavo Oliveira</t>
  </si>
  <si>
    <t>Instituto El Castillo</t>
  </si>
  <si>
    <t>060863900</t>
  </si>
  <si>
    <t>Economia</t>
  </si>
  <si>
    <t>Almaraz Griselda</t>
  </si>
  <si>
    <t>Griselda Almaraz</t>
  </si>
  <si>
    <t>monicaaperez@gmail.com</t>
  </si>
  <si>
    <t>Escuela de Educación Secundaria Técnica Nº 3 "Fray Luis Beltrán", La Plata.</t>
  </si>
  <si>
    <t>060890800</t>
  </si>
  <si>
    <t>electomecanica</t>
  </si>
  <si>
    <t>Mónica Pérez</t>
  </si>
  <si>
    <t>Juan</t>
  </si>
  <si>
    <t>Gabriela</t>
  </si>
  <si>
    <t>1º Secundaria (Prov.)</t>
  </si>
  <si>
    <t>horarios seleccionados de charlas, talleres y demás se pueden ajustar a su intinerario (se seleccionan sin saber tiempo de duración de cada actividad</t>
  </si>
  <si>
    <t>olmosnoe15@gmail.com</t>
  </si>
  <si>
    <t>ESCUELA DE EDUCACION SECUNDARIA TECNICA N° 1 EDUARDO ADER</t>
  </si>
  <si>
    <t>060958100</t>
  </si>
  <si>
    <t xml:space="preserve">TECNICO EN PROGRAMACION </t>
  </si>
  <si>
    <t>Noemi Olmos</t>
  </si>
  <si>
    <t xml:space="preserve">Insaurralde </t>
  </si>
  <si>
    <t>santiagoandreanoemi@gmail.com</t>
  </si>
  <si>
    <t xml:space="preserve">Escuela de Educación Secundaria N °3 Francisco Salustio </t>
  </si>
  <si>
    <t>061000200</t>
  </si>
  <si>
    <t>Bachillerato en Cs Sociales y en Cs Naturales</t>
  </si>
  <si>
    <t xml:space="preserve">Andrea Santiago </t>
  </si>
  <si>
    <t>Desireé Mandile</t>
  </si>
  <si>
    <t xml:space="preserve">Gabriela Cortés </t>
  </si>
  <si>
    <t>La salida educativa es parte del proyecto institucional "Matemática: vocación científica posible"</t>
  </si>
  <si>
    <t>Priorizo visita antes que charla a las 14 hs</t>
  </si>
  <si>
    <t>mcappussi@yahoo.com.ar</t>
  </si>
  <si>
    <t xml:space="preserve">E.E.S N°2 Francisco Ramírez </t>
  </si>
  <si>
    <t>061024600</t>
  </si>
  <si>
    <t>Naturales y Economía</t>
  </si>
  <si>
    <t>Mercedes Cappussi</t>
  </si>
  <si>
    <t xml:space="preserve">Romina Fonés </t>
  </si>
  <si>
    <t>Es Sexto con Orientación a Naturales</t>
  </si>
  <si>
    <t xml:space="preserve">EES n 2 Francisco Ramírez </t>
  </si>
  <si>
    <t>Guillen Herrera Marisol</t>
  </si>
  <si>
    <t>noemi.gomez@midlandscollege.edu.ar</t>
  </si>
  <si>
    <t>Instituto Cultural Mancedo</t>
  </si>
  <si>
    <t>061038900</t>
  </si>
  <si>
    <t xml:space="preserve">Ciencias Sociales </t>
  </si>
  <si>
    <t>Noemí Gómez</t>
  </si>
  <si>
    <t xml:space="preserve">Patricia Agüero </t>
  </si>
  <si>
    <t xml:space="preserve">Franco Gesto </t>
  </si>
  <si>
    <t>Caputtobustamanteflorencia@gmail.com</t>
  </si>
  <si>
    <t>Instituto Incorporado Fernando Fader</t>
  </si>
  <si>
    <t>061063300</t>
  </si>
  <si>
    <t xml:space="preserve">Matemáticas </t>
  </si>
  <si>
    <t xml:space="preserve">Florencia soledad Caputto Bustamante </t>
  </si>
  <si>
    <t xml:space="preserve">Maria Alejandra Suarez </t>
  </si>
  <si>
    <t xml:space="preserve">Gisela Soledad Del Grosso </t>
  </si>
  <si>
    <t>caputtobustamanteflorencia@gmail.com</t>
  </si>
  <si>
    <t>soledaddelgrosso@gmail.com</t>
  </si>
  <si>
    <t>Cs Sociales</t>
  </si>
  <si>
    <t>Gisela Soledad Del Grosso</t>
  </si>
  <si>
    <t>María Alejandra Suarez</t>
  </si>
  <si>
    <t>Florencia Soledad Caputto Bustamante</t>
  </si>
  <si>
    <t>Nos gustaría asistir un día miércoles 26/04 , con los 3 4tos años que tiene la escuela. Necesitaríamos que sea el mismo día para todos ya que por cuestiones organizativa y monetaria de las familias es lo mejor. Lo económico seguramente será un impedimento para que todos los estudiantes asistan. Cargamos una solicitud por cada curso; pero, reitero, necesitamos poder ir el mismo día miércoles 27/04</t>
  </si>
  <si>
    <t>Soledad Del Grosso</t>
  </si>
  <si>
    <t>Florencia Caputto</t>
  </si>
  <si>
    <t>profe.basoalto.math2021@gmail.com</t>
  </si>
  <si>
    <t>ESCUELA DE EDUCACIÓN SECUNDARIA TÉCNICA Nº1 DR. DALMACIO VELEZ SARSFIELD</t>
  </si>
  <si>
    <t>061115600</t>
  </si>
  <si>
    <t>Electrónica</t>
  </si>
  <si>
    <t>Fernanda Quiroga</t>
  </si>
  <si>
    <t>Muchos estudiantes quieren continuar sus estudios superiores en Exactas</t>
  </si>
  <si>
    <t>1ESCUELA DE EDUCACIÓN SECUNDARIA TÉCNICA Nº1 DR. DALMACIO VELEZ SARSFIELD</t>
  </si>
  <si>
    <t>laura_p_lencina@yahoo.com.ar</t>
  </si>
  <si>
    <t>Instituto Santa Ana</t>
  </si>
  <si>
    <t>061123600</t>
  </si>
  <si>
    <t>Cs sociales</t>
  </si>
  <si>
    <t>Lencina Laura</t>
  </si>
  <si>
    <t>Gagliano Cecilia</t>
  </si>
  <si>
    <t>Instituto santa ana</t>
  </si>
  <si>
    <t>Cs Nat</t>
  </si>
  <si>
    <t xml:space="preserve">Laura Lencina </t>
  </si>
  <si>
    <t xml:space="preserve">Cecilia Gagliano </t>
  </si>
  <si>
    <t xml:space="preserve">Instituto santa ana </t>
  </si>
  <si>
    <t xml:space="preserve">Economía </t>
  </si>
  <si>
    <t xml:space="preserve">Lencina Laura </t>
  </si>
  <si>
    <t>Cintia Merchan</t>
  </si>
  <si>
    <t>malarcon1012@gmail.com</t>
  </si>
  <si>
    <t>Escuela de Educación Secundaria Técnica Nª1</t>
  </si>
  <si>
    <t>061213800</t>
  </si>
  <si>
    <t>en construcción .los alumnos egresan con el titulo Maestro Mayor de Obra</t>
  </si>
  <si>
    <t>Mirna Alarcón</t>
  </si>
  <si>
    <t>Sandra Casan</t>
  </si>
  <si>
    <t>Roberto Tignianelli</t>
  </si>
  <si>
    <t>7º Técnica (Prov.) / 6º Técnica (CABA)</t>
  </si>
  <si>
    <t>La mayoría de los alumnos son de barrios carenciados</t>
  </si>
  <si>
    <t>Estaremos muy satisfecho, en las aérea o talleres  que uds nos designen</t>
  </si>
  <si>
    <t>auniversidad@goethe.edu.ar</t>
  </si>
  <si>
    <t>INSTITUTO ESCOLAR GOETHE</t>
  </si>
  <si>
    <t>061215200</t>
  </si>
  <si>
    <t>Tatiana Wolff</t>
  </si>
  <si>
    <t>Melina Seifert</t>
  </si>
  <si>
    <t>Matthias FaBit</t>
  </si>
  <si>
    <t>gustavo.rolhaiser@hotmail.com</t>
  </si>
  <si>
    <t>General José de San Martín</t>
  </si>
  <si>
    <t>061220600</t>
  </si>
  <si>
    <t>Rolhaiser Gustavo Nicolás</t>
  </si>
  <si>
    <t>Parlatto Marcela</t>
  </si>
  <si>
    <t>Salvucci</t>
  </si>
  <si>
    <t>secundaria3sanisidro@abc.gob.ar</t>
  </si>
  <si>
    <t>magamba1@abc.gob.ar</t>
  </si>
  <si>
    <t>Escuela de educación secundaria N° 12 Roberto Arlt</t>
  </si>
  <si>
    <t>061220900</t>
  </si>
  <si>
    <t>Mariano Gamba</t>
  </si>
  <si>
    <t>Claudio Rodríguez</t>
  </si>
  <si>
    <t>Brian Monzón</t>
  </si>
  <si>
    <t>Sin comentarios</t>
  </si>
  <si>
    <t>Son 35 estudiantes distribuidos en distintos cursos</t>
  </si>
  <si>
    <t>Dr Manuel Obarrio EESN° 13</t>
  </si>
  <si>
    <t>061228000</t>
  </si>
  <si>
    <t>Quiroga Valeria Rocío</t>
  </si>
  <si>
    <t>Mango María de los Ángeles</t>
  </si>
  <si>
    <t>Ingrese los mismos horarios en todos los talleres, ya que en dónde quede lugar disponible para que podamos asistir y participar, les agradecemos.</t>
  </si>
  <si>
    <t>imc.secundaria@hotmail.com.ar</t>
  </si>
  <si>
    <t>Instituto Miguel Cané</t>
  </si>
  <si>
    <t>061237500</t>
  </si>
  <si>
    <t>Bachiller en Arte - Artes Visuales</t>
  </si>
  <si>
    <t>Facundo Peredo</t>
  </si>
  <si>
    <t>Victoria Porgi</t>
  </si>
  <si>
    <t>Christian Martínez Leguizamón</t>
  </si>
  <si>
    <t>Osvaldo Volturo</t>
  </si>
  <si>
    <t>Patricia Maldonado</t>
  </si>
  <si>
    <t>jesihoyos@hotmail.com</t>
  </si>
  <si>
    <t>Instituto Manuel Dorrego</t>
  </si>
  <si>
    <t>061270500</t>
  </si>
  <si>
    <t>Jesica Hoyos</t>
  </si>
  <si>
    <t>Claudia Palumbo</t>
  </si>
  <si>
    <t>Horacio Giordano</t>
  </si>
  <si>
    <t>mpflosi@gmail.com</t>
  </si>
  <si>
    <t>Escuela del Sol</t>
  </si>
  <si>
    <t>061296100</t>
  </si>
  <si>
    <t xml:space="preserve">Flosi Maria Paola </t>
  </si>
  <si>
    <t xml:space="preserve">Liliana Zacarías </t>
  </si>
  <si>
    <t xml:space="preserve">Ayelen Ferreyra </t>
  </si>
  <si>
    <t>Esc. de Educacion secundaria Santo Domingo Savio</t>
  </si>
  <si>
    <t>061307100</t>
  </si>
  <si>
    <t>Arte</t>
  </si>
  <si>
    <t>Mirna Alarcon</t>
  </si>
  <si>
    <t>Gastón Errecart</t>
  </si>
  <si>
    <t>Isabel Oruè Barceló</t>
  </si>
  <si>
    <t>malarcon10122@gmail.com</t>
  </si>
  <si>
    <t>El colegio Sto Dgo Savio es un colegio parroquial y los alumnos son de bajos recursos</t>
  </si>
  <si>
    <t>nos adaptamos a lo que uds dispongan, para nosotros todo es novedad y aprendizaje</t>
  </si>
  <si>
    <t>smorel@sanvicenteescobar.edu.ar</t>
  </si>
  <si>
    <t>Instituto San Vicente de Paúl</t>
  </si>
  <si>
    <t>061310300</t>
  </si>
  <si>
    <t xml:space="preserve">Silvana Morel </t>
  </si>
  <si>
    <t xml:space="preserve">Lorena Medina </t>
  </si>
  <si>
    <t>Se suma a la preinscripción de lmedina@sanvicenteescobar.edu.ar</t>
  </si>
  <si>
    <t>Se adjunta con solicitud de lmedina@sanvicenteescobar.edu.ar</t>
  </si>
  <si>
    <t>lmedina@sanvicenteescobar.edu.ar</t>
  </si>
  <si>
    <t>Instituto San Vicente de Paul -Escobar</t>
  </si>
  <si>
    <t>Lorena Medina</t>
  </si>
  <si>
    <t>Instituto Don Orione</t>
  </si>
  <si>
    <t>061338200</t>
  </si>
  <si>
    <t>Bachiller ,Naturales</t>
  </si>
  <si>
    <t>Gluozzi sandra</t>
  </si>
  <si>
    <t>.</t>
  </si>
  <si>
    <t>profe.basoalto.math@gmail.com</t>
  </si>
  <si>
    <t>INSTITUTO PROFESORA VIRGINIA GAMBA</t>
  </si>
  <si>
    <t>061364200</t>
  </si>
  <si>
    <t>Ciencias sociales</t>
  </si>
  <si>
    <t>Los estudiantes están muy interesados en seguir estudios superiores en la UBA</t>
  </si>
  <si>
    <t xml:space="preserve">Ana Basoalto </t>
  </si>
  <si>
    <t>jacquelineottaviano@gmail.com</t>
  </si>
  <si>
    <t>COLEGIO PARROQUIAL NUESTRA SEÑORA DEL REFUGIO</t>
  </si>
  <si>
    <t>061465900</t>
  </si>
  <si>
    <t xml:space="preserve">ciencias sociales </t>
  </si>
  <si>
    <t>jacqueline ottaviano</t>
  </si>
  <si>
    <t>florencia ibarra</t>
  </si>
  <si>
    <t>Puse todas las opciones disponibles</t>
  </si>
  <si>
    <t>lencinaluisalberto@gmail.com</t>
  </si>
  <si>
    <t>EES 15</t>
  </si>
  <si>
    <t>061544600</t>
  </si>
  <si>
    <t>Cs. Sociales</t>
  </si>
  <si>
    <t>Lencina Luis</t>
  </si>
  <si>
    <t>Quevedo Matías</t>
  </si>
  <si>
    <t>gabriela.gonzalog@gmail.com</t>
  </si>
  <si>
    <t>Colegio irlandes</t>
  </si>
  <si>
    <t>061602200</t>
  </si>
  <si>
    <t>Maria Gabriela Gonzalo Grilo</t>
  </si>
  <si>
    <t>Sabrina alvarenga</t>
  </si>
  <si>
    <t>Romina ramos</t>
  </si>
  <si>
    <t>vicedireccionsagradocorazon@gmail.com</t>
  </si>
  <si>
    <t>Colegio Sagrado Corazon de jesus</t>
  </si>
  <si>
    <t>061607500</t>
  </si>
  <si>
    <t>Claudio Bedoya</t>
  </si>
  <si>
    <t>Gabriela Lujan</t>
  </si>
  <si>
    <t>Ileana Benedetti</t>
  </si>
  <si>
    <t xml:space="preserve">De ser necesario, para poder aprovechar todas las actividades, podemos quedarnos en el turno tarde también. </t>
  </si>
  <si>
    <t>Colegio Sagrado Corazon de Jesus</t>
  </si>
  <si>
    <t>De ser necesario, para participar de todas las actividades, nos podemos quedar en el turno tarde.</t>
  </si>
  <si>
    <t>patferre@gmail.com</t>
  </si>
  <si>
    <t>Colegio de la Reconquista</t>
  </si>
  <si>
    <t>061629100</t>
  </si>
  <si>
    <t xml:space="preserve">Patricia Ferreyra </t>
  </si>
  <si>
    <t>Karina Barrientos</t>
  </si>
  <si>
    <t>Liliana Descalzo</t>
  </si>
  <si>
    <t>Fernando Mora</t>
  </si>
  <si>
    <t>Lucia Saetone</t>
  </si>
  <si>
    <t>Lia Baldoma</t>
  </si>
  <si>
    <t>Estan muy entusiasmado por ir. Pueden separse en pequeños grupos.</t>
  </si>
  <si>
    <t>marisofernandez3@abc.gob.ar</t>
  </si>
  <si>
    <t>E.E.S N° 45</t>
  </si>
  <si>
    <t>061804300</t>
  </si>
  <si>
    <t>matematica</t>
  </si>
  <si>
    <t>MARISOL FERNANDEZ</t>
  </si>
  <si>
    <t>CLAUDIA PACHECO</t>
  </si>
  <si>
    <t>TERESA MONTES</t>
  </si>
  <si>
    <t>E.E.S N°45</t>
  </si>
  <si>
    <t>MATEMATICA</t>
  </si>
  <si>
    <t>FERNADEZ MARISOL</t>
  </si>
  <si>
    <t>TERESA CULLARI</t>
  </si>
  <si>
    <t>betsabescerba@gmail.com</t>
  </si>
  <si>
    <t>EES N°15</t>
  </si>
  <si>
    <t>061805000</t>
  </si>
  <si>
    <t>Aldana Scerba</t>
  </si>
  <si>
    <t>Griselda Mendez</t>
  </si>
  <si>
    <t>Romina Grillo</t>
  </si>
  <si>
    <t>gladis_espinoza@hotmail.com</t>
  </si>
  <si>
    <t>Escuela de Educación Secundaria N° 34</t>
  </si>
  <si>
    <t>061829300</t>
  </si>
  <si>
    <t>Gladis Espinoza</t>
  </si>
  <si>
    <t>Andrea Gonzalez</t>
  </si>
  <si>
    <t>Miryam Calderón</t>
  </si>
  <si>
    <t>Es muy importante para nuestros alumnos poder conocer otros ámbitos educativos, ampliando su visión mas alla de su entorno, viendo posibilidades y distintas realidades. Participar junto a otros jóvenes estudiantes les permitirá sentirse parte y ver que otro futuro es posible.</t>
  </si>
  <si>
    <t>Nos gustaría poder participar en al menos una charla, el Taller y Arte matemático. Asegurar esa participación y en el tiempo restante recorrer las Estaciones Interactivas y la facultad.
Gracias!</t>
  </si>
  <si>
    <t>a.m.sosa@hotmail.com</t>
  </si>
  <si>
    <t>Escuela de Educación Secundaria N° 120</t>
  </si>
  <si>
    <t>061846600</t>
  </si>
  <si>
    <t>Álvaro Miguel Sosa</t>
  </si>
  <si>
    <t>Jorge Andrada</t>
  </si>
  <si>
    <t>Silvana Alderete</t>
  </si>
  <si>
    <t>Estamos con muchas ganas de asistir nuevamente a la facultad, es de gran aprendizaje la experiencia para mis alumnos, dado que no tienen la posibilidad de ir por sus propios medios. Ojalá nos den una vacante para la visita, ya que sería nuestra primera semana de la Matemática. Saludos.</t>
  </si>
  <si>
    <t>Me anote en el mismo horario en talleres y Arte matemático porque indican que el cupo es reducido. Voy a ir con 35 alumnos que podrían dividirse en dos grupos para participar en ambos talleres.</t>
  </si>
  <si>
    <t>analiairiel1985@gmail.com</t>
  </si>
  <si>
    <t>Escuela de Educación Secundaria nro 32</t>
  </si>
  <si>
    <t>061849500</t>
  </si>
  <si>
    <t>Economía y Administración/ arte-musica</t>
  </si>
  <si>
    <t xml:space="preserve">Romero Iriel </t>
  </si>
  <si>
    <t>Villaroya Mirta</t>
  </si>
  <si>
    <t>Paola Juarez</t>
  </si>
  <si>
    <t>Venimos en transporte público ya que no nos salió el subsidio. Por favor considerar eso a la hora de asignar las actividades. Grqcias</t>
  </si>
  <si>
    <t xml:space="preserve">Ojalá podamos participar en todo gracias </t>
  </si>
  <si>
    <t>gebs2323@gmail.com</t>
  </si>
  <si>
    <t>Cant. 2021	Buenos Aires	61856700	ESCUELA DE EDUCACIÓN SECUNDARIA Nº108	REAÑO 6748  LA LOMA	GREGORIO DE LAFERRERE	LA MATANZA	Urbano	Estatal	Ed. Común	Secundaria Común	Sin datos	1</t>
  </si>
  <si>
    <t>061856700</t>
  </si>
  <si>
    <t>Noelia Lezica</t>
  </si>
  <si>
    <t xml:space="preserve">Gloria Benítez </t>
  </si>
  <si>
    <t xml:space="preserve">Mariela Soto </t>
  </si>
  <si>
    <t>Son chicos que demuestran interés y curiosidad por conocer y progresar. La falta de conectividad los límita para investigar. Ellos plantearon también la posibilidad de visitar y conocer universidades y ofertas académicas.</t>
  </si>
  <si>
    <t xml:space="preserve">Debido a la distancia y tiempo de viaje estimamos no llegar para las actividades de las 9 30 hs. Si la charla de geometría proyectiva se presenta también en otro horario nos gustaría participar. </t>
  </si>
  <si>
    <t>profesoralezica@gmail.com</t>
  </si>
  <si>
    <t>Escuela de educacion secundaria N°108</t>
  </si>
  <si>
    <t>Arte y Comunicación</t>
  </si>
  <si>
    <t>Graciela Velazquez</t>
  </si>
  <si>
    <t>Analia Perez</t>
  </si>
  <si>
    <t>Son estudiantes de bajos recursos que están transitando su último año en la escuela secundaria y solicitan visitar la universidad. Habiendo transitado 4to año en el 2021 en contexto pandemia y restricciones salidas educativas; no tuvieron la experiencia de visitar la semana de la ciencia ni ninguna otra muestra similiar, a la que los estudiantes suelen asistir con sus docentes de matemática, fisica y biologia. Entonces este año estaríamos visitando la semana de la ciencia con la doble finalidad de  *Acercar a los estudiantes a la matemática y la ciencia de datos y ; *Que conozcan UBA como una alternativa para sus estudios superiores.</t>
  </si>
  <si>
    <t>Aclaración: Son dos grupos de 35. Por una cuestión de organización, logística y costos ambos, deberían ir el jueves 27 de abril. Marcamos varias opciones de horario y estamos predispuestos a la posibilidad de que mientras un grupo esta en una charla o taller el otro este en otra. Desde ya muchas gracias.</t>
  </si>
  <si>
    <t>EES 32</t>
  </si>
  <si>
    <t>061859200</t>
  </si>
  <si>
    <t>Lencina Luis Alberto</t>
  </si>
  <si>
    <t>Malfatto Silvina</t>
  </si>
  <si>
    <t>leagonzalez@abc.gob.ar</t>
  </si>
  <si>
    <t xml:space="preserve">EESN12 </t>
  </si>
  <si>
    <t>061866200</t>
  </si>
  <si>
    <t>CS Naturales</t>
  </si>
  <si>
    <t>Alaniz Pablo</t>
  </si>
  <si>
    <t xml:space="preserve">Aragón Miguel </t>
  </si>
  <si>
    <t>Jofre Gisel</t>
  </si>
  <si>
    <t>marescorihuela@abc.gob.ar</t>
  </si>
  <si>
    <t>Escuela de educación secundaria n 14 "Lola Mora"</t>
  </si>
  <si>
    <t>061876300</t>
  </si>
  <si>
    <t>11. Rurales de todas las orientaciones</t>
  </si>
  <si>
    <t>María Elena Esorihuela</t>
  </si>
  <si>
    <t>Daniela De Leon</t>
  </si>
  <si>
    <t>Mónica Mabel Escorihuela</t>
  </si>
  <si>
    <t>sarmarc2012@gmail.com</t>
  </si>
  <si>
    <t>Escuela de educación secundaria n° 1 Boulogne Sur mer</t>
  </si>
  <si>
    <t>062026100</t>
  </si>
  <si>
    <t>Gestión de empresas y ciencias sociales</t>
  </si>
  <si>
    <t>Marcelo sarti</t>
  </si>
  <si>
    <t>José Sosa Iacona</t>
  </si>
  <si>
    <t>Gustavo Martino</t>
  </si>
  <si>
    <t>arstefani@gmail.com</t>
  </si>
  <si>
    <t xml:space="preserve">Hans christian andersen </t>
  </si>
  <si>
    <t>062196200</t>
  </si>
  <si>
    <t>Ciencias naturales exactas</t>
  </si>
  <si>
    <t xml:space="preserve">Andrea Rita Stefani </t>
  </si>
  <si>
    <t xml:space="preserve">Romina Gonzales </t>
  </si>
  <si>
    <t>Camila ferrero</t>
  </si>
  <si>
    <t xml:space="preserve">Camila Ferrero </t>
  </si>
  <si>
    <t>Ciencias naturales y exactas</t>
  </si>
  <si>
    <t xml:space="preserve">Andrea Rita  Stefani </t>
  </si>
  <si>
    <t>borellocecilia@gmail.com</t>
  </si>
  <si>
    <t>Colegio parroquial nuestra señora de la merced</t>
  </si>
  <si>
    <t>062222700</t>
  </si>
  <si>
    <t xml:space="preserve">Borello cecilia </t>
  </si>
  <si>
    <t>Gaetani magali</t>
  </si>
  <si>
    <t>Vanini maximiliano</t>
  </si>
  <si>
    <t>pmeugeniamantovani@gmail.com</t>
  </si>
  <si>
    <t>Instituto Club Atlético Lanus</t>
  </si>
  <si>
    <t>062277700</t>
  </si>
  <si>
    <t>Educación física</t>
  </si>
  <si>
    <t xml:space="preserve">María Eugenia Mantovani </t>
  </si>
  <si>
    <t xml:space="preserve">Claudia villar </t>
  </si>
  <si>
    <t>Johana Tello</t>
  </si>
  <si>
    <t xml:space="preserve">Instituto Club Atlético Lanus </t>
  </si>
  <si>
    <t>María Eugenia Mantovani</t>
  </si>
  <si>
    <t>Claudia Villar</t>
  </si>
  <si>
    <t>smorel@mariaguadalupe.org.ar</t>
  </si>
  <si>
    <t>Colegio secundario tecnico Maria de Guadalupe</t>
  </si>
  <si>
    <t>062331200</t>
  </si>
  <si>
    <t>Silvana Morel</t>
  </si>
  <si>
    <t>Rocío Nowell</t>
  </si>
  <si>
    <t>Se adjunta con solicitud de rnowell@mariaguadalupe.org.ar</t>
  </si>
  <si>
    <t>rnowell@mariaguadalupe.org.ar</t>
  </si>
  <si>
    <t>Colegio secundario técnico María de Guadalupe</t>
  </si>
  <si>
    <t>Rocio Nowell</t>
  </si>
  <si>
    <t>se adjunta con solicitud de smorel@mariaguadalupe.org.ar</t>
  </si>
  <si>
    <t>lilianamercado@colegioubaescobar.gob.ar</t>
  </si>
  <si>
    <t>Colegio Ramon Cereijo</t>
  </si>
  <si>
    <t>062396000</t>
  </si>
  <si>
    <t>Ciencias Naturales y Arte</t>
  </si>
  <si>
    <t>Liliana Mercado</t>
  </si>
  <si>
    <t>Sandra Leonardi</t>
  </si>
  <si>
    <t>Guillermo Silva</t>
  </si>
  <si>
    <t>Visitan Exactas por primera vez</t>
  </si>
  <si>
    <t>Cualquier actividad turno mañana</t>
  </si>
  <si>
    <t>Ciencias naturales y arte</t>
  </si>
  <si>
    <t>Son dos cursos de tercer año</t>
  </si>
  <si>
    <t>Son dos cursos de tercer año que pueden realizar actividades por la mañana</t>
  </si>
  <si>
    <t>Irina Gallina</t>
  </si>
  <si>
    <t xml:space="preserve">Son dos cursos de tercer año visitando el turno tarde </t>
  </si>
  <si>
    <t>Son dos cursos de 35 cada uno visitando el miercoles 25</t>
  </si>
  <si>
    <t>Valeria Benjardino</t>
  </si>
  <si>
    <t>son dos cursos</t>
  </si>
  <si>
    <t xml:space="preserve">Son dos cursos </t>
  </si>
  <si>
    <t>gabrielanet@liceobrown.edu.ar</t>
  </si>
  <si>
    <t xml:space="preserve">LICEO NAVAL MILITAR ALMIRANTE GUILLERMO BROWN </t>
  </si>
  <si>
    <t>069003200</t>
  </si>
  <si>
    <t xml:space="preserve">Gabriela Patricia Net </t>
  </si>
  <si>
    <t>Ariel Brandani</t>
  </si>
  <si>
    <t xml:space="preserve">Cynthia Castro </t>
  </si>
  <si>
    <t>Gabriela Net</t>
  </si>
  <si>
    <t xml:space="preserve">Ariel Brandani </t>
  </si>
  <si>
    <t>Liceos / Normales / Colegios / Institutos de otras orientaciones</t>
  </si>
  <si>
    <t>Técnicas área producción (electromecánica, mecánica, metalurgia, electricidad, automotores, refrigeración, construcciones, maestro mayor de obras, aeronáutica, naval, aviónico, óptico, en geografía matemática)</t>
  </si>
  <si>
    <t>Liceos / Normales / Colegios / Institutos  orientados en ciencias naturales y/o exactas</t>
  </si>
  <si>
    <t>Técnicas en computación, electrónica, informática</t>
  </si>
  <si>
    <t>Liceos / Normales / Colegios / Institutos  orientados en ciencias sociales y/o humanidades</t>
  </si>
  <si>
    <t>Técnicas en administración de empresas, administración de las organizaciones, servicios turísticos, multimedios</t>
  </si>
  <si>
    <t>Artísticas de todas las orientaciones</t>
  </si>
  <si>
    <t>Formación permanente de jóvenes y adultos</t>
  </si>
  <si>
    <t>Rurales de todas las orientaciones</t>
  </si>
  <si>
    <t>Código Único de Escuela (CUE)</t>
  </si>
  <si>
    <t xml:space="preserve">Tipo de escuela y orientación </t>
  </si>
  <si>
    <t>Ubicación general de la escuela</t>
  </si>
  <si>
    <t>Cantidad de alumnos que asistirán</t>
  </si>
  <si>
    <t>Curso que asistirá</t>
  </si>
  <si>
    <t xml:space="preserve">Porcentaje aproximado de estudiantes de familias de bajos recursos  </t>
  </si>
  <si>
    <t>Fecha solicitada</t>
  </si>
  <si>
    <t>macharreun@yahoo.com.ar</t>
  </si>
  <si>
    <t>Escuela Secundaria N°11 Martin Miguel de Guemes</t>
  </si>
  <si>
    <t>060766200</t>
  </si>
  <si>
    <t>Bachiller en ciencias naturales</t>
  </si>
  <si>
    <t>Charreun Monica</t>
  </si>
  <si>
    <t>Paola Moccia</t>
  </si>
  <si>
    <t>Monte Chingolo. Lanús Este</t>
  </si>
  <si>
    <t>En el mes de febrero se solicitó el subsidio para poder ir con los alumnos, ya que se nos hace muy dificil economicamente solventar el alquiler de un micro.</t>
  </si>
  <si>
    <t>Tipos</t>
  </si>
  <si>
    <t>6to hasta 50%</t>
  </si>
  <si>
    <t>Todos los 6tos</t>
  </si>
  <si>
    <t>hasta 70%</t>
  </si>
  <si>
    <t>hasta 50%</t>
  </si>
  <si>
    <t>SECTOR</t>
  </si>
  <si>
    <t xml:space="preserve">SECTOR </t>
  </si>
  <si>
    <t>TIPO DE ACTIVIDAD ASIGNADA 9.30</t>
  </si>
  <si>
    <t>TIPO DE ACTIVIDAD ASIGNADA 10.30</t>
  </si>
  <si>
    <t>TIPO DE ACTIVIDAD ASIGNADA 11.30</t>
  </si>
  <si>
    <t>TIPO DE ACTIVIDAD ASIGNADA 14</t>
  </si>
  <si>
    <t>TIPO DE ACTIVIDAD ASIGNADA 15</t>
  </si>
  <si>
    <t>ASIGNACIÓN VISITA</t>
  </si>
  <si>
    <t>Horario de la visita</t>
  </si>
  <si>
    <t>CERO + INF</t>
  </si>
  <si>
    <t>LOS PREMIOS (TALLER 10)</t>
  </si>
  <si>
    <t>12.30 a 16</t>
  </si>
  <si>
    <t>CHARLA CARRERA</t>
  </si>
  <si>
    <t>9 a 12.30</t>
  </si>
  <si>
    <t>VACANTE</t>
  </si>
  <si>
    <t>PAB I</t>
  </si>
  <si>
    <t>VISITA 3</t>
  </si>
  <si>
    <t>VISITA 1</t>
  </si>
  <si>
    <t>TALLER 2</t>
  </si>
  <si>
    <t>9 a 16</t>
  </si>
  <si>
    <t>TALLER 3</t>
  </si>
  <si>
    <t>VISITA 2</t>
  </si>
  <si>
    <t>10 a 16</t>
  </si>
  <si>
    <t xml:space="preserve">        INSTITUTO ESCUELA JUAN PABLO II</t>
  </si>
  <si>
    <t>9 a 15</t>
  </si>
  <si>
    <t>BUSQUEDA DEL TESORO</t>
  </si>
  <si>
    <t>TALLER 1</t>
  </si>
  <si>
    <t>11 a 16</t>
  </si>
  <si>
    <t>9 a 14</t>
  </si>
  <si>
    <t>Sí</t>
  </si>
  <si>
    <t>13.30 a 16</t>
  </si>
  <si>
    <t>rbustamante@holycross.edu.ar</t>
  </si>
  <si>
    <t>Colegio Holy Cross Mujeres</t>
  </si>
  <si>
    <t>Maia Lanusse</t>
  </si>
  <si>
    <t>Beccar</t>
  </si>
  <si>
    <t>fcarreiro@csn.edu.ar</t>
  </si>
  <si>
    <t>Colegio San Nicolás</t>
  </si>
  <si>
    <t>Cs. Naturales y Cs. Sociales.</t>
  </si>
  <si>
    <t>Carolina Sznák</t>
  </si>
  <si>
    <t>Olivos</t>
  </si>
  <si>
    <t>roxanasmfl@gmail.com</t>
  </si>
  <si>
    <t>Instituto Santa María del Rosario (A-75)</t>
  </si>
  <si>
    <t>Roxana Mamani</t>
  </si>
  <si>
    <t>Taller + búsqueda</t>
  </si>
  <si>
    <t>TALLER 7</t>
  </si>
  <si>
    <t>9 a 12:30</t>
  </si>
  <si>
    <t>CERO +INF</t>
  </si>
  <si>
    <t>BÚSQUEDA TESORO</t>
  </si>
  <si>
    <t>TALLER 5</t>
  </si>
  <si>
    <t>TALLER 4</t>
  </si>
  <si>
    <t>12:30 a 16</t>
  </si>
  <si>
    <t>TALLER 11</t>
  </si>
  <si>
    <t>10 a 15</t>
  </si>
  <si>
    <t>TALLER  6</t>
  </si>
  <si>
    <t>10 a 14</t>
  </si>
  <si>
    <t>11 a 14</t>
  </si>
  <si>
    <t>14 a 16</t>
  </si>
  <si>
    <t>TALLER 6</t>
  </si>
  <si>
    <t>VACANTE VISITA 1</t>
  </si>
  <si>
    <t>NOMBRE ESCUELA</t>
  </si>
  <si>
    <t>DOCENTE RESPONSABLE</t>
  </si>
  <si>
    <t>FAMILIAS BAJOS RECURSOS</t>
  </si>
  <si>
    <t>TURNO MAÑANA</t>
  </si>
  <si>
    <t>TURNO TARDE</t>
  </si>
  <si>
    <t>TALLER 9</t>
  </si>
  <si>
    <t>11 a 15</t>
  </si>
  <si>
    <t>CERO+ INF</t>
  </si>
  <si>
    <t>SE ANOTO DOS VECESESC. TEC. Nº 24 DEFENSA DE BUENOS AIRES DE 17</t>
  </si>
  <si>
    <t xml:space="preserve">ESCUELA DE EDUCACIÓN SECUNDARIA Nº108  </t>
  </si>
  <si>
    <t>LOS PREMIOS(TALLER 10)</t>
  </si>
  <si>
    <t>13 a 16</t>
  </si>
  <si>
    <t>cero</t>
  </si>
  <si>
    <t>PABI</t>
  </si>
  <si>
    <t>TALLER 8</t>
  </si>
  <si>
    <t>NO ASIGNAR VISITA BIBLIO NI RESERVA</t>
  </si>
  <si>
    <t>Nombre de la Escuela</t>
  </si>
  <si>
    <t>tipo de gestion de la institucion educativa</t>
  </si>
  <si>
    <t>apellido y nombre del/la docente responsable de la visita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</si>
</sst>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5" x14ac:knownFonts="1">
    <font>
      <sz val="10"/>
      <color rgb="FF000000"/>
      <name val="Arial"/>
      <scheme val="minor"/>
    </font>
    <font>
      <sz val="10"/>
      <color theme="1"/>
      <name val="Arial"/>
      <scheme val="minor"/>
    </font>
    <font>
      <b/>
      <sz val="10"/>
      <color theme="1"/>
      <name val="Arial"/>
      <scheme val="minor"/>
    </font>
    <font>
      <sz val="10"/>
      <color theme="1"/>
      <name val="Arial"/>
    </font>
    <font>
      <b/>
      <sz val="10"/>
      <color theme="1"/>
      <name val="Arial"/>
    </font>
  </fonts>
  <fills count="9">
    <fill>
      <patternFill patternType="none"/>
    </fill>
    <fill>
      <patternFill patternType="gray125"/>
    </fill>
    <fill>
      <patternFill patternType="solid">
        <fgColor rgb="FFFF0000"/>
        <bgColor rgb="FFFF0000"/>
      </patternFill>
    </fill>
    <fill>
      <patternFill patternType="solid">
        <fgColor rgb="FFFF9900"/>
        <bgColor rgb="FFFF9900"/>
      </patternFill>
    </fill>
    <fill>
      <patternFill patternType="solid">
        <fgColor rgb="FF00FF00"/>
        <bgColor rgb="FF00FF00"/>
      </patternFill>
    </fill>
    <fill>
      <patternFill patternType="solid">
        <fgColor rgb="FFFFFFFF"/>
        <bgColor rgb="FFFFFFFF"/>
      </patternFill>
    </fill>
    <fill>
      <patternFill patternType="solid">
        <fgColor rgb="FFFFE599"/>
        <bgColor rgb="FFFFE599"/>
      </patternFill>
    </fill>
    <fill>
      <patternFill patternType="solid">
        <fgColor rgb="FFD9EAD3"/>
        <bgColor rgb="FFD9EAD3"/>
      </patternFill>
    </fill>
    <fill>
      <patternFill patternType="solid">
        <fgColor rgb="FFCFE2F3"/>
        <bgColor rgb="FFCFE2F3"/>
      </patternFill>
    </fill>
  </fills>
  <borders count="1">
    <border>
      <left/>
      <right/>
      <top/>
      <bottom/>
      <diagonal/>
    </border>
  </borders>
  <cellStyleXfs count="1">
    <xf numFmtId="0" fontId="0" fillId="0" borderId="0"/>
  </cellStyleXfs>
  <cellXfs count="51">
    <xf numFmtId="0" fontId="0" fillId="0" borderId="0" xfId="0" applyFont="1" applyAlignment="1"/>
    <xf numFmtId="0" fontId="1" fillId="0" borderId="0" xfId="0" applyFont="1"/>
    <xf numFmtId="0" fontId="1" fillId="0" borderId="0" xfId="0" applyFont="1" applyAlignment="1"/>
    <xf numFmtId="164" fontId="1" fillId="0" borderId="0" xfId="0" applyNumberFormat="1" applyFont="1" applyAlignment="1"/>
    <xf numFmtId="0" fontId="1" fillId="0" borderId="0" xfId="0" applyFont="1" applyAlignment="1"/>
    <xf numFmtId="49" fontId="1" fillId="0" borderId="0" xfId="0" quotePrefix="1" applyNumberFormat="1" applyFont="1" applyAlignment="1"/>
    <xf numFmtId="0" fontId="1" fillId="0" borderId="0" xfId="0" quotePrefix="1" applyFont="1" applyAlignment="1"/>
    <xf numFmtId="49" fontId="1" fillId="0" borderId="0" xfId="0" applyNumberFormat="1" applyFont="1" applyAlignment="1"/>
    <xf numFmtId="0" fontId="1" fillId="2" borderId="0" xfId="0" quotePrefix="1" applyFont="1" applyFill="1" applyAlignment="1"/>
    <xf numFmtId="164" fontId="1" fillId="3" borderId="0" xfId="0" applyNumberFormat="1" applyFont="1" applyFill="1" applyAlignment="1"/>
    <xf numFmtId="0" fontId="1" fillId="3" borderId="0" xfId="0" applyFont="1" applyFill="1" applyAlignment="1"/>
    <xf numFmtId="49" fontId="1" fillId="3" borderId="0" xfId="0" quotePrefix="1" applyNumberFormat="1" applyFont="1" applyFill="1" applyAlignment="1"/>
    <xf numFmtId="0" fontId="1" fillId="3" borderId="0" xfId="0" quotePrefix="1" applyFont="1" applyFill="1" applyAlignment="1"/>
    <xf numFmtId="0" fontId="1" fillId="3" borderId="0" xfId="0" applyFont="1" applyFill="1"/>
    <xf numFmtId="0" fontId="1" fillId="0" borderId="0" xfId="0" applyFont="1"/>
    <xf numFmtId="0" fontId="1" fillId="0" borderId="0" xfId="0" applyFont="1" applyAlignment="1">
      <alignment wrapText="1"/>
    </xf>
    <xf numFmtId="0" fontId="1" fillId="0" borderId="0" xfId="0" applyFont="1" applyAlignment="1">
      <alignment wrapText="1"/>
    </xf>
    <xf numFmtId="0" fontId="2" fillId="0" borderId="0" xfId="0" applyFont="1"/>
    <xf numFmtId="0" fontId="2" fillId="0" borderId="0" xfId="0" applyFont="1"/>
    <xf numFmtId="0" fontId="2" fillId="0" borderId="0" xfId="0" applyFont="1" applyAlignment="1">
      <alignment wrapText="1"/>
    </xf>
    <xf numFmtId="0" fontId="2" fillId="0" borderId="0" xfId="0" applyFont="1" applyAlignment="1">
      <alignment wrapText="1"/>
    </xf>
    <xf numFmtId="0" fontId="2" fillId="0" borderId="0" xfId="0" applyFont="1" applyAlignment="1">
      <alignment wrapText="1"/>
    </xf>
    <xf numFmtId="164" fontId="1" fillId="4" borderId="0" xfId="0" applyNumberFormat="1" applyFont="1" applyFill="1" applyAlignment="1"/>
    <xf numFmtId="0" fontId="1" fillId="4" borderId="0" xfId="0" applyFont="1" applyFill="1" applyAlignment="1"/>
    <xf numFmtId="49" fontId="1" fillId="4" borderId="0" xfId="0" applyNumberFormat="1" applyFont="1" applyFill="1" applyAlignment="1"/>
    <xf numFmtId="0" fontId="1" fillId="4" borderId="0" xfId="0" applyFont="1" applyFill="1"/>
    <xf numFmtId="0" fontId="1" fillId="4" borderId="0" xfId="0" quotePrefix="1" applyFont="1" applyFill="1" applyAlignment="1"/>
    <xf numFmtId="0" fontId="3" fillId="4" borderId="0" xfId="0" applyFont="1" applyFill="1" applyAlignment="1"/>
    <xf numFmtId="0" fontId="3" fillId="4" borderId="0" xfId="0" applyFont="1" applyFill="1" applyAlignment="1"/>
    <xf numFmtId="49" fontId="1" fillId="4" borderId="0" xfId="0" quotePrefix="1" applyNumberFormat="1" applyFont="1" applyFill="1" applyAlignment="1"/>
    <xf numFmtId="164" fontId="1" fillId="2" borderId="0" xfId="0" applyNumberFormat="1" applyFont="1" applyFill="1" applyAlignment="1"/>
    <xf numFmtId="0" fontId="1" fillId="2" borderId="0" xfId="0" applyFont="1" applyFill="1" applyAlignment="1"/>
    <xf numFmtId="49" fontId="1" fillId="2" borderId="0" xfId="0" quotePrefix="1" applyNumberFormat="1" applyFont="1" applyFill="1" applyAlignment="1"/>
    <xf numFmtId="0" fontId="1" fillId="2" borderId="0" xfId="0" applyFont="1" applyFill="1"/>
    <xf numFmtId="0" fontId="3" fillId="2" borderId="0" xfId="0" applyFont="1" applyFill="1" applyAlignment="1"/>
    <xf numFmtId="0" fontId="3" fillId="2" borderId="0" xfId="0" applyFont="1" applyFill="1" applyAlignment="1"/>
    <xf numFmtId="49" fontId="1" fillId="2" borderId="0" xfId="0" applyNumberFormat="1" applyFont="1" applyFill="1" applyAlignment="1"/>
    <xf numFmtId="0" fontId="3" fillId="0" borderId="0" xfId="0" applyFont="1" applyAlignment="1"/>
    <xf numFmtId="0" fontId="2" fillId="4" borderId="0" xfId="0" applyFont="1" applyFill="1" applyAlignment="1"/>
    <xf numFmtId="0" fontId="1" fillId="5" borderId="0" xfId="0" applyFont="1" applyFill="1" applyAlignment="1"/>
    <xf numFmtId="0" fontId="1" fillId="5" borderId="0" xfId="0" applyFont="1" applyFill="1"/>
    <xf numFmtId="0" fontId="2" fillId="2" borderId="0" xfId="0" applyFont="1" applyFill="1" applyAlignment="1">
      <alignment wrapText="1"/>
    </xf>
    <xf numFmtId="164" fontId="1" fillId="5" borderId="0" xfId="0" applyNumberFormat="1" applyFont="1" applyFill="1" applyAlignment="1"/>
    <xf numFmtId="49" fontId="1" fillId="5" borderId="0" xfId="0" quotePrefix="1" applyNumberFormat="1" applyFont="1" applyFill="1" applyAlignment="1"/>
    <xf numFmtId="0" fontId="1" fillId="5" borderId="0" xfId="0" quotePrefix="1" applyFont="1" applyFill="1" applyAlignment="1"/>
    <xf numFmtId="0" fontId="3" fillId="5" borderId="0" xfId="0" applyFont="1" applyFill="1" applyAlignment="1"/>
    <xf numFmtId="0" fontId="2" fillId="0" borderId="0" xfId="0" applyFont="1" applyAlignment="1">
      <alignment wrapText="1"/>
    </xf>
    <xf numFmtId="0" fontId="4" fillId="0" borderId="0" xfId="0" applyFont="1" applyAlignment="1">
      <alignment wrapText="1"/>
    </xf>
    <xf numFmtId="0" fontId="3" fillId="6" borderId="0" xfId="0" applyFont="1" applyFill="1" applyAlignment="1">
      <alignment wrapText="1"/>
    </xf>
    <xf numFmtId="0" fontId="3" fillId="7" borderId="0" xfId="0" applyFont="1" applyFill="1" applyAlignment="1">
      <alignment wrapText="1"/>
    </xf>
    <xf numFmtId="0" fontId="3" fillId="8" borderId="0" xfId="0" applyFont="1" applyFill="1" applyAlignment="1">
      <alignment wrapText="1"/>
    </xf>
  </cellXfs>
  <cellStyles count="1">
    <cellStyle name="Normal" xfId="0" builtinId="0"/>
  </cellStyles>
  <dxfs count="3">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pieChart>
        <c:varyColors val="1"/>
        <c:ser>
          <c:idx val="0"/>
          <c:order val="0"/>
          <c:tx>
            <c:strRef>
              <c:f>'Corrida de prioridades'!$N$197</c:f>
              <c:strCache>
                <c:ptCount val="1"/>
              </c:strCache>
            </c:strRef>
          </c:tx>
          <c:dPt>
            <c:idx val="0"/>
            <c:bubble3D val="0"/>
            <c:spPr>
              <a:solidFill>
                <a:srgbClr val="4285F4"/>
              </a:solidFill>
            </c:spPr>
            <c:extLst>
              <c:ext xmlns:c16="http://schemas.microsoft.com/office/drawing/2014/chart" uri="{C3380CC4-5D6E-409C-BE32-E72D297353CC}">
                <c16:uniqueId val="{00000001-B00C-4248-B8B2-421F2A484161}"/>
              </c:ext>
            </c:extLst>
          </c:dPt>
          <c:dPt>
            <c:idx val="1"/>
            <c:bubble3D val="0"/>
            <c:spPr>
              <a:solidFill>
                <a:srgbClr val="EA4335"/>
              </a:solidFill>
            </c:spPr>
            <c:extLst>
              <c:ext xmlns:c16="http://schemas.microsoft.com/office/drawing/2014/chart" uri="{C3380CC4-5D6E-409C-BE32-E72D297353CC}">
                <c16:uniqueId val="{00000003-B00C-4248-B8B2-421F2A484161}"/>
              </c:ext>
            </c:extLst>
          </c:dPt>
          <c:dPt>
            <c:idx val="2"/>
            <c:bubble3D val="0"/>
            <c:spPr>
              <a:solidFill>
                <a:srgbClr val="FBBC04"/>
              </a:solidFill>
            </c:spPr>
            <c:extLst>
              <c:ext xmlns:c16="http://schemas.microsoft.com/office/drawing/2014/chart" uri="{C3380CC4-5D6E-409C-BE32-E72D297353CC}">
                <c16:uniqueId val="{00000005-B00C-4248-B8B2-421F2A484161}"/>
              </c:ext>
            </c:extLst>
          </c:dPt>
          <c:dPt>
            <c:idx val="3"/>
            <c:bubble3D val="0"/>
            <c:spPr>
              <a:solidFill>
                <a:srgbClr val="34A853"/>
              </a:solidFill>
            </c:spPr>
            <c:extLst>
              <c:ext xmlns:c16="http://schemas.microsoft.com/office/drawing/2014/chart" uri="{C3380CC4-5D6E-409C-BE32-E72D297353CC}">
                <c16:uniqueId val="{00000007-B00C-4248-B8B2-421F2A484161}"/>
              </c:ext>
            </c:extLst>
          </c:dPt>
          <c:dPt>
            <c:idx val="4"/>
            <c:bubble3D val="0"/>
            <c:spPr>
              <a:solidFill>
                <a:srgbClr val="FF6D01"/>
              </a:solidFill>
            </c:spPr>
            <c:extLst>
              <c:ext xmlns:c16="http://schemas.microsoft.com/office/drawing/2014/chart" uri="{C3380CC4-5D6E-409C-BE32-E72D297353CC}">
                <c16:uniqueId val="{00000009-B00C-4248-B8B2-421F2A484161}"/>
              </c:ext>
            </c:extLst>
          </c:dPt>
          <c:dPt>
            <c:idx val="5"/>
            <c:bubble3D val="0"/>
            <c:spPr>
              <a:solidFill>
                <a:srgbClr val="46BDC6"/>
              </a:solidFill>
            </c:spPr>
            <c:extLst>
              <c:ext xmlns:c16="http://schemas.microsoft.com/office/drawing/2014/chart" uri="{C3380CC4-5D6E-409C-BE32-E72D297353CC}">
                <c16:uniqueId val="{0000000B-B00C-4248-B8B2-421F2A484161}"/>
              </c:ext>
            </c:extLst>
          </c:dPt>
          <c:dPt>
            <c:idx val="6"/>
            <c:bubble3D val="0"/>
            <c:spPr>
              <a:solidFill>
                <a:srgbClr val="7BAAF7"/>
              </a:solidFill>
            </c:spPr>
            <c:extLst>
              <c:ext xmlns:c16="http://schemas.microsoft.com/office/drawing/2014/chart" uri="{C3380CC4-5D6E-409C-BE32-E72D297353CC}">
                <c16:uniqueId val="{0000000D-B00C-4248-B8B2-421F2A484161}"/>
              </c:ext>
            </c:extLst>
          </c:dPt>
          <c:dPt>
            <c:idx val="7"/>
            <c:bubble3D val="0"/>
            <c:spPr>
              <a:solidFill>
                <a:srgbClr val="F07B72"/>
              </a:solidFill>
            </c:spPr>
            <c:extLst>
              <c:ext xmlns:c16="http://schemas.microsoft.com/office/drawing/2014/chart" uri="{C3380CC4-5D6E-409C-BE32-E72D297353CC}">
                <c16:uniqueId val="{0000000F-B00C-4248-B8B2-421F2A484161}"/>
              </c:ext>
            </c:extLst>
          </c:dPt>
          <c:dPt>
            <c:idx val="8"/>
            <c:bubble3D val="0"/>
            <c:spPr>
              <a:solidFill>
                <a:srgbClr val="FCD04F"/>
              </a:solidFill>
            </c:spPr>
            <c:extLst>
              <c:ext xmlns:c16="http://schemas.microsoft.com/office/drawing/2014/chart" uri="{C3380CC4-5D6E-409C-BE32-E72D297353CC}">
                <c16:uniqueId val="{00000011-B00C-4248-B8B2-421F2A484161}"/>
              </c:ext>
            </c:extLst>
          </c:dPt>
          <c:dPt>
            <c:idx val="9"/>
            <c:bubble3D val="0"/>
            <c:extLst>
              <c:ext xmlns:c16="http://schemas.microsoft.com/office/drawing/2014/chart" uri="{C3380CC4-5D6E-409C-BE32-E72D297353CC}">
                <c16:uniqueId val="{00000012-B00C-4248-B8B2-421F2A484161}"/>
              </c:ext>
            </c:extLst>
          </c:dPt>
          <c:cat>
            <c:strRef>
              <c:f>'Corrida de prioridades'!$M$198:$M$207</c:f>
              <c:strCache>
                <c:ptCount val="9"/>
                <c:pt idx="0">
                  <c:v>1. Liceos / Normales / Colegios / Institutos  orientados en ciencias naturales y/o exactas</c:v>
                </c:pt>
                <c:pt idx="1">
                  <c:v>2. Técnicas en computación, electrónica, informática</c:v>
                </c:pt>
                <c:pt idx="2">
                  <c:v>3. Técnicas en administración de empresas, administración de las organizaciones, servicios turísticos, multimedios</c:v>
                </c:pt>
                <c:pt idx="3">
                  <c:v>4. Artísticas de todas las orientaciones</c:v>
                </c:pt>
                <c:pt idx="4">
                  <c:v>5. Técnicas área producción (electromecánica, mecánica, metalurgia, electricidad, automotores, refrigeración, construcciones, maestro mayor de obras, aeronáutica, naval, aviónico, óptico, en geografía matemática)</c:v>
                </c:pt>
                <c:pt idx="5">
                  <c:v>9. Liceos / Normales / Colegios / Institutos  orientados en ciencias sociales y/o humanidades</c:v>
                </c:pt>
                <c:pt idx="6">
                  <c:v>10. Liceos / Normales / Colegios / Institutos de otras orientaciones</c:v>
                </c:pt>
                <c:pt idx="7">
                  <c:v>11. Rurales de todas las orientaciones</c:v>
                </c:pt>
                <c:pt idx="8">
                  <c:v>13. Formación permanente de jóvenes y adultos</c:v>
                </c:pt>
              </c:strCache>
            </c:strRef>
          </c:cat>
          <c:val>
            <c:numRef>
              <c:f>'Corrida de prioridades'!$N$198:$N$207</c:f>
              <c:numCache>
                <c:formatCode>General</c:formatCode>
                <c:ptCount val="10"/>
                <c:pt idx="0">
                  <c:v>2367</c:v>
                </c:pt>
                <c:pt idx="1">
                  <c:v>493</c:v>
                </c:pt>
                <c:pt idx="2">
                  <c:v>191</c:v>
                </c:pt>
                <c:pt idx="3">
                  <c:v>148</c:v>
                </c:pt>
                <c:pt idx="4">
                  <c:v>133</c:v>
                </c:pt>
                <c:pt idx="5">
                  <c:v>1173</c:v>
                </c:pt>
                <c:pt idx="6">
                  <c:v>1390</c:v>
                </c:pt>
                <c:pt idx="7">
                  <c:v>20</c:v>
                </c:pt>
                <c:pt idx="8">
                  <c:v>78</c:v>
                </c:pt>
              </c:numCache>
            </c:numRef>
          </c:val>
          <c:extLst>
            <c:ext xmlns:c16="http://schemas.microsoft.com/office/drawing/2014/chart" uri="{C3380CC4-5D6E-409C-BE32-E72D297353CC}">
              <c16:uniqueId val="{00000013-B00C-4248-B8B2-421F2A48416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1009650</xdr:colOff>
      <xdr:row>201</xdr:row>
      <xdr:rowOff>142875</xdr:rowOff>
    </xdr:from>
    <xdr:ext cx="5715000" cy="3533775"/>
    <xdr:graphicFrame macro="">
      <xdr:nvGraphicFramePr>
        <xdr:cNvPr id="2" name="Chart 1" title="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W197"/>
  <sheetViews>
    <sheetView tabSelected="1" topLeftCell="C1" workbookViewId="0">
      <pane ySplit="1" topLeftCell="A2" activePane="bottomLeft" state="frozen"/>
      <selection pane="bottomLeft" activeCell="H1" sqref="H1"/>
    </sheetView>
  </sheetViews>
  <sheetFormatPr baseColWidth="10" defaultColWidth="12.6640625" defaultRowHeight="15.75" customHeight="1" x14ac:dyDescent="0.25"/>
  <cols>
    <col min="1" max="2" width="18.88671875" customWidth="1"/>
    <col min="3" max="3" width="56.88671875" customWidth="1"/>
    <col min="4" max="4" width="18.88671875" customWidth="1"/>
    <col min="5" max="5" width="31" customWidth="1"/>
    <col min="6" max="10" width="18.88671875" customWidth="1"/>
    <col min="11" max="11" width="33.21875" customWidth="1"/>
    <col min="12" max="19" width="18.88671875" customWidth="1"/>
    <col min="20" max="20" width="31" customWidth="1"/>
    <col min="21" max="22" width="36.21875" customWidth="1"/>
    <col min="23" max="101" width="18.88671875" customWidth="1"/>
  </cols>
  <sheetData>
    <row r="1" spans="1:95" ht="13.2" x14ac:dyDescent="0.25">
      <c r="A1" s="1" t="s">
        <v>0</v>
      </c>
      <c r="B1" s="1" t="s">
        <v>1</v>
      </c>
      <c r="C1" s="1" t="s">
        <v>2</v>
      </c>
      <c r="D1" s="2" t="s">
        <v>3</v>
      </c>
      <c r="E1" s="2" t="s">
        <v>4</v>
      </c>
      <c r="F1" s="1" t="s">
        <v>5</v>
      </c>
      <c r="G1" s="1" t="s">
        <v>1294</v>
      </c>
      <c r="H1" s="1" t="s">
        <v>1295</v>
      </c>
      <c r="I1" s="1" t="s">
        <v>8</v>
      </c>
      <c r="J1" s="1" t="s">
        <v>9</v>
      </c>
      <c r="K1" s="1" t="s">
        <v>10</v>
      </c>
      <c r="L1" s="2" t="s">
        <v>11</v>
      </c>
      <c r="M1" s="1" t="s">
        <v>12</v>
      </c>
      <c r="N1" s="2" t="s">
        <v>13</v>
      </c>
      <c r="O1" s="2" t="s">
        <v>14</v>
      </c>
      <c r="P1" s="1" t="s">
        <v>15</v>
      </c>
      <c r="Q1" s="1" t="s">
        <v>16</v>
      </c>
      <c r="R1" s="2" t="s">
        <v>17</v>
      </c>
      <c r="S1" s="1" t="s">
        <v>18</v>
      </c>
      <c r="T1" s="1" t="s">
        <v>19</v>
      </c>
      <c r="U1" s="1"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26</v>
      </c>
      <c r="AZ1" s="1" t="s">
        <v>27</v>
      </c>
      <c r="BA1" s="1" t="s">
        <v>28</v>
      </c>
      <c r="BB1" s="1" t="s">
        <v>29</v>
      </c>
      <c r="BC1" s="1" t="s">
        <v>30</v>
      </c>
      <c r="BD1" s="1" t="s">
        <v>31</v>
      </c>
      <c r="BE1" s="1" t="s">
        <v>50</v>
      </c>
      <c r="BF1" s="1" t="s">
        <v>33</v>
      </c>
      <c r="BG1" s="1" t="s">
        <v>34</v>
      </c>
      <c r="BH1" s="1" t="s">
        <v>35</v>
      </c>
      <c r="BI1" s="1" t="s">
        <v>36</v>
      </c>
      <c r="BJ1" s="1" t="s">
        <v>37</v>
      </c>
      <c r="BK1" s="1" t="s">
        <v>38</v>
      </c>
      <c r="BL1" s="1" t="s">
        <v>39</v>
      </c>
      <c r="BM1" s="1" t="s">
        <v>40</v>
      </c>
      <c r="BN1" s="1" t="s">
        <v>41</v>
      </c>
      <c r="BO1" s="1" t="s">
        <v>51</v>
      </c>
      <c r="BP1" s="1" t="s">
        <v>52</v>
      </c>
      <c r="BQ1" s="1" t="s">
        <v>53</v>
      </c>
      <c r="BR1" s="1" t="s">
        <v>54</v>
      </c>
      <c r="BS1" s="1" t="s">
        <v>46</v>
      </c>
      <c r="BT1" s="1" t="s">
        <v>55</v>
      </c>
      <c r="BU1" s="1" t="s">
        <v>56</v>
      </c>
      <c r="BV1" s="1" t="s">
        <v>57</v>
      </c>
      <c r="BW1" s="1" t="s">
        <v>26</v>
      </c>
      <c r="BX1" s="1" t="s">
        <v>27</v>
      </c>
      <c r="BY1" s="1" t="s">
        <v>28</v>
      </c>
      <c r="BZ1" s="1" t="s">
        <v>29</v>
      </c>
      <c r="CA1" s="1" t="s">
        <v>30</v>
      </c>
      <c r="CB1" s="1" t="s">
        <v>31</v>
      </c>
      <c r="CC1" s="1" t="s">
        <v>32</v>
      </c>
      <c r="CD1" s="1" t="s">
        <v>58</v>
      </c>
      <c r="CE1" s="1" t="s">
        <v>34</v>
      </c>
      <c r="CF1" s="1" t="s">
        <v>35</v>
      </c>
      <c r="CG1" s="1" t="s">
        <v>36</v>
      </c>
      <c r="CH1" s="1" t="s">
        <v>37</v>
      </c>
      <c r="CI1" s="1" t="s">
        <v>38</v>
      </c>
      <c r="CJ1" s="1" t="s">
        <v>39</v>
      </c>
      <c r="CK1" s="1" t="s">
        <v>40</v>
      </c>
      <c r="CL1" s="1" t="s">
        <v>41</v>
      </c>
      <c r="CM1" s="1" t="s">
        <v>51</v>
      </c>
      <c r="CN1" s="1" t="s">
        <v>52</v>
      </c>
      <c r="CO1" s="1" t="s">
        <v>53</v>
      </c>
      <c r="CP1" s="1" t="s">
        <v>54</v>
      </c>
      <c r="CQ1" s="1" t="s">
        <v>46</v>
      </c>
    </row>
    <row r="2" spans="1:95" ht="13.2" x14ac:dyDescent="0.25">
      <c r="A2" s="3">
        <v>45006.451086111112</v>
      </c>
      <c r="B2" s="4" t="s">
        <v>59</v>
      </c>
      <c r="C2" s="4" t="s">
        <v>60</v>
      </c>
      <c r="D2" s="5" t="s">
        <v>61</v>
      </c>
      <c r="E2" s="4" t="s">
        <v>62</v>
      </c>
      <c r="F2" s="4" t="s">
        <v>63</v>
      </c>
      <c r="G2" s="4" t="s">
        <v>64</v>
      </c>
      <c r="H2" s="4" t="s">
        <v>65</v>
      </c>
      <c r="I2" s="4" t="s">
        <v>66</v>
      </c>
      <c r="K2" s="4" t="s">
        <v>59</v>
      </c>
      <c r="L2" s="4" t="s">
        <v>67</v>
      </c>
      <c r="M2" s="4" t="s">
        <v>68</v>
      </c>
      <c r="N2" s="4">
        <v>19</v>
      </c>
      <c r="O2" s="4" t="s">
        <v>69</v>
      </c>
      <c r="P2" s="4">
        <v>5</v>
      </c>
      <c r="Q2" s="4">
        <v>5</v>
      </c>
      <c r="R2" s="4">
        <v>0</v>
      </c>
      <c r="T2" s="4" t="s">
        <v>70</v>
      </c>
      <c r="U2" s="4" t="s">
        <v>71</v>
      </c>
      <c r="V2" s="4" t="s">
        <v>72</v>
      </c>
      <c r="W2" s="6" t="s">
        <v>73</v>
      </c>
      <c r="BT2" s="4" t="s">
        <v>70</v>
      </c>
      <c r="BU2" s="4" t="s">
        <v>71</v>
      </c>
      <c r="BV2" s="4" t="s">
        <v>71</v>
      </c>
      <c r="BW2" s="4" t="s">
        <v>71</v>
      </c>
      <c r="BX2" s="4" t="s">
        <v>70</v>
      </c>
      <c r="BY2" s="4" t="s">
        <v>70</v>
      </c>
      <c r="BZ2" s="4" t="s">
        <v>71</v>
      </c>
      <c r="CA2" s="4" t="s">
        <v>71</v>
      </c>
      <c r="CB2" s="4" t="s">
        <v>71</v>
      </c>
      <c r="CC2" s="4" t="s">
        <v>71</v>
      </c>
      <c r="CD2" s="4" t="s">
        <v>70</v>
      </c>
      <c r="CE2" s="4" t="s">
        <v>70</v>
      </c>
      <c r="CF2" s="4" t="s">
        <v>71</v>
      </c>
      <c r="CG2" s="4" t="s">
        <v>71</v>
      </c>
      <c r="CH2" s="4" t="s">
        <v>71</v>
      </c>
      <c r="CI2" s="4" t="s">
        <v>71</v>
      </c>
      <c r="CJ2" s="4" t="s">
        <v>71</v>
      </c>
      <c r="CK2" s="4" t="s">
        <v>71</v>
      </c>
      <c r="CL2" s="4" t="s">
        <v>71</v>
      </c>
      <c r="CM2" s="4" t="s">
        <v>71</v>
      </c>
      <c r="CN2" s="4" t="s">
        <v>71</v>
      </c>
      <c r="CO2" s="4" t="s">
        <v>71</v>
      </c>
      <c r="CP2" s="4" t="s">
        <v>71</v>
      </c>
    </row>
    <row r="3" spans="1:95" ht="13.2" x14ac:dyDescent="0.25">
      <c r="A3" s="3">
        <v>45006.454249375005</v>
      </c>
      <c r="B3" s="4" t="s">
        <v>59</v>
      </c>
      <c r="C3" s="4" t="s">
        <v>74</v>
      </c>
      <c r="D3" s="5" t="s">
        <v>61</v>
      </c>
      <c r="E3" s="4" t="s">
        <v>62</v>
      </c>
      <c r="F3" s="4" t="s">
        <v>75</v>
      </c>
      <c r="G3" s="4" t="s">
        <v>64</v>
      </c>
      <c r="H3" s="4" t="s">
        <v>66</v>
      </c>
      <c r="I3" s="4" t="s">
        <v>76</v>
      </c>
      <c r="K3" s="4" t="s">
        <v>59</v>
      </c>
      <c r="L3" s="4" t="s">
        <v>67</v>
      </c>
      <c r="M3" s="4" t="s">
        <v>68</v>
      </c>
      <c r="N3" s="4">
        <v>23</v>
      </c>
      <c r="O3" s="4" t="s">
        <v>69</v>
      </c>
      <c r="P3" s="4">
        <v>5</v>
      </c>
      <c r="Q3" s="4">
        <v>5</v>
      </c>
      <c r="R3" s="4">
        <v>0</v>
      </c>
      <c r="T3" s="4" t="s">
        <v>70</v>
      </c>
      <c r="U3" s="4" t="s">
        <v>71</v>
      </c>
      <c r="V3" s="4" t="s">
        <v>72</v>
      </c>
      <c r="W3" s="6" t="s">
        <v>73</v>
      </c>
      <c r="BT3" s="4" t="s">
        <v>70</v>
      </c>
      <c r="BU3" s="4" t="s">
        <v>71</v>
      </c>
      <c r="BV3" s="4" t="s">
        <v>71</v>
      </c>
      <c r="BW3" s="4" t="s">
        <v>71</v>
      </c>
      <c r="BX3" s="4" t="s">
        <v>70</v>
      </c>
      <c r="BY3" s="4" t="s">
        <v>70</v>
      </c>
      <c r="BZ3" s="4" t="s">
        <v>71</v>
      </c>
      <c r="CA3" s="4" t="s">
        <v>71</v>
      </c>
      <c r="CB3" s="4" t="s">
        <v>71</v>
      </c>
      <c r="CC3" s="4" t="s">
        <v>71</v>
      </c>
      <c r="CD3" s="4" t="s">
        <v>70</v>
      </c>
      <c r="CE3" s="4" t="s">
        <v>70</v>
      </c>
      <c r="CF3" s="4" t="s">
        <v>71</v>
      </c>
      <c r="CG3" s="4" t="s">
        <v>71</v>
      </c>
      <c r="CH3" s="4" t="s">
        <v>71</v>
      </c>
      <c r="CI3" s="4" t="s">
        <v>71</v>
      </c>
      <c r="CJ3" s="4" t="s">
        <v>71</v>
      </c>
      <c r="CK3" s="4" t="s">
        <v>71</v>
      </c>
      <c r="CL3" s="4" t="s">
        <v>71</v>
      </c>
      <c r="CM3" s="4" t="s">
        <v>71</v>
      </c>
      <c r="CN3" s="4" t="s">
        <v>71</v>
      </c>
      <c r="CO3" s="4" t="s">
        <v>71</v>
      </c>
      <c r="CP3" s="4" t="s">
        <v>71</v>
      </c>
    </row>
    <row r="4" spans="1:95" ht="13.2" x14ac:dyDescent="0.25">
      <c r="A4" s="3">
        <v>45003.415186446757</v>
      </c>
      <c r="B4" s="4" t="s">
        <v>78</v>
      </c>
      <c r="C4" s="4" t="s">
        <v>79</v>
      </c>
      <c r="D4" s="5" t="s">
        <v>80</v>
      </c>
      <c r="E4" s="4" t="s">
        <v>62</v>
      </c>
      <c r="F4" s="4" t="s">
        <v>81</v>
      </c>
      <c r="G4" s="4" t="s">
        <v>64</v>
      </c>
      <c r="H4" s="4" t="s">
        <v>82</v>
      </c>
      <c r="I4" s="4" t="s">
        <v>83</v>
      </c>
      <c r="J4" s="4" t="s">
        <v>84</v>
      </c>
      <c r="K4" s="4" t="s">
        <v>78</v>
      </c>
      <c r="L4" s="4" t="s">
        <v>67</v>
      </c>
      <c r="M4" s="4" t="s">
        <v>77</v>
      </c>
      <c r="N4" s="4">
        <v>15</v>
      </c>
      <c r="O4" s="4" t="s">
        <v>69</v>
      </c>
      <c r="P4" s="4">
        <v>3</v>
      </c>
      <c r="Q4" s="4">
        <v>2</v>
      </c>
      <c r="R4" s="4">
        <v>40</v>
      </c>
      <c r="S4" s="4" t="s">
        <v>86</v>
      </c>
      <c r="T4" s="4" t="s">
        <v>71</v>
      </c>
      <c r="U4" s="4" t="s">
        <v>70</v>
      </c>
      <c r="V4" s="4" t="s">
        <v>87</v>
      </c>
      <c r="W4" s="6" t="s">
        <v>73</v>
      </c>
      <c r="BT4" s="4" t="s">
        <v>71</v>
      </c>
      <c r="BU4" s="4" t="s">
        <v>71</v>
      </c>
      <c r="BV4" s="4" t="s">
        <v>70</v>
      </c>
      <c r="BW4" s="4" t="s">
        <v>71</v>
      </c>
      <c r="BX4" s="4" t="s">
        <v>71</v>
      </c>
      <c r="BY4" s="4" t="s">
        <v>71</v>
      </c>
      <c r="BZ4" s="4" t="s">
        <v>71</v>
      </c>
      <c r="CA4" s="4" t="s">
        <v>70</v>
      </c>
      <c r="CB4" s="4" t="s">
        <v>70</v>
      </c>
      <c r="CC4" s="4" t="s">
        <v>71</v>
      </c>
      <c r="CD4" s="4" t="s">
        <v>71</v>
      </c>
      <c r="CE4" s="4" t="s">
        <v>71</v>
      </c>
      <c r="CF4" s="4" t="s">
        <v>70</v>
      </c>
      <c r="CG4" s="4" t="s">
        <v>70</v>
      </c>
      <c r="CH4" s="4" t="s">
        <v>71</v>
      </c>
      <c r="CI4" s="4" t="s">
        <v>71</v>
      </c>
      <c r="CJ4" s="4" t="s">
        <v>71</v>
      </c>
      <c r="CK4" s="4" t="s">
        <v>70</v>
      </c>
      <c r="CL4" s="4" t="s">
        <v>70</v>
      </c>
      <c r="CM4" s="4" t="s">
        <v>71</v>
      </c>
      <c r="CN4" s="4" t="s">
        <v>71</v>
      </c>
      <c r="CO4" s="4" t="s">
        <v>70</v>
      </c>
      <c r="CP4" s="4" t="s">
        <v>70</v>
      </c>
    </row>
    <row r="5" spans="1:95" ht="13.2" x14ac:dyDescent="0.25">
      <c r="A5" s="3">
        <v>45005.552069733792</v>
      </c>
      <c r="B5" s="4" t="s">
        <v>88</v>
      </c>
      <c r="C5" s="4" t="s">
        <v>89</v>
      </c>
      <c r="D5" s="5" t="s">
        <v>90</v>
      </c>
      <c r="E5" s="4" t="s">
        <v>91</v>
      </c>
      <c r="F5" s="4" t="s">
        <v>92</v>
      </c>
      <c r="G5" s="4" t="s">
        <v>64</v>
      </c>
      <c r="H5" s="4" t="s">
        <v>93</v>
      </c>
      <c r="I5" s="4" t="s">
        <v>94</v>
      </c>
      <c r="J5" s="4" t="s">
        <v>95</v>
      </c>
      <c r="K5" s="4" t="s">
        <v>88</v>
      </c>
      <c r="L5" s="4" t="s">
        <v>67</v>
      </c>
      <c r="M5" s="4" t="s">
        <v>85</v>
      </c>
      <c r="N5" s="4">
        <v>29</v>
      </c>
      <c r="O5" s="4" t="s">
        <v>97</v>
      </c>
      <c r="P5" s="4">
        <v>5</v>
      </c>
      <c r="Q5" s="4">
        <v>4</v>
      </c>
      <c r="R5" s="4">
        <v>0</v>
      </c>
      <c r="T5" s="4" t="s">
        <v>70</v>
      </c>
      <c r="U5" s="4" t="s">
        <v>71</v>
      </c>
      <c r="V5" s="4" t="s">
        <v>72</v>
      </c>
      <c r="W5" s="6" t="s">
        <v>73</v>
      </c>
      <c r="BT5" s="4" t="s">
        <v>71</v>
      </c>
      <c r="BU5" s="4" t="s">
        <v>70</v>
      </c>
      <c r="BV5" s="4" t="s">
        <v>71</v>
      </c>
      <c r="BW5" s="4" t="s">
        <v>71</v>
      </c>
      <c r="BX5" s="4" t="s">
        <v>70</v>
      </c>
      <c r="BY5" s="4" t="s">
        <v>71</v>
      </c>
      <c r="BZ5" s="4" t="s">
        <v>71</v>
      </c>
      <c r="CA5" s="4" t="s">
        <v>71</v>
      </c>
      <c r="CB5" s="4" t="s">
        <v>71</v>
      </c>
      <c r="CC5" s="4" t="s">
        <v>70</v>
      </c>
      <c r="CD5" s="4" t="s">
        <v>71</v>
      </c>
      <c r="CE5" s="4" t="s">
        <v>71</v>
      </c>
      <c r="CF5" s="4" t="s">
        <v>71</v>
      </c>
      <c r="CG5" s="4" t="s">
        <v>71</v>
      </c>
      <c r="CH5" s="4" t="s">
        <v>71</v>
      </c>
      <c r="CI5" s="4" t="s">
        <v>71</v>
      </c>
      <c r="CJ5" s="4" t="s">
        <v>71</v>
      </c>
      <c r="CK5" s="4" t="s">
        <v>71</v>
      </c>
      <c r="CL5" s="4" t="s">
        <v>71</v>
      </c>
      <c r="CM5" s="4" t="s">
        <v>71</v>
      </c>
      <c r="CN5" s="4" t="s">
        <v>71</v>
      </c>
      <c r="CO5" s="4" t="s">
        <v>71</v>
      </c>
      <c r="CP5" s="4" t="s">
        <v>71</v>
      </c>
    </row>
    <row r="6" spans="1:95" ht="13.2" x14ac:dyDescent="0.25">
      <c r="A6" s="3">
        <v>45005.547353912036</v>
      </c>
      <c r="B6" s="4" t="s">
        <v>88</v>
      </c>
      <c r="C6" s="4" t="s">
        <v>89</v>
      </c>
      <c r="D6" s="5" t="s">
        <v>90</v>
      </c>
      <c r="E6" s="4" t="s">
        <v>91</v>
      </c>
      <c r="F6" s="4" t="s">
        <v>92</v>
      </c>
      <c r="G6" s="4" t="s">
        <v>64</v>
      </c>
      <c r="H6" s="4" t="s">
        <v>93</v>
      </c>
      <c r="I6" s="4" t="s">
        <v>94</v>
      </c>
      <c r="J6" s="4" t="s">
        <v>95</v>
      </c>
      <c r="K6" s="4" t="s">
        <v>88</v>
      </c>
      <c r="L6" s="4" t="s">
        <v>67</v>
      </c>
      <c r="M6" s="4" t="s">
        <v>85</v>
      </c>
      <c r="N6" s="4">
        <v>31</v>
      </c>
      <c r="O6" s="4" t="s">
        <v>69</v>
      </c>
      <c r="P6" s="4">
        <v>5</v>
      </c>
      <c r="Q6" s="4">
        <v>4</v>
      </c>
      <c r="R6" s="4">
        <v>0</v>
      </c>
      <c r="T6" s="4" t="s">
        <v>70</v>
      </c>
      <c r="U6" s="4" t="s">
        <v>71</v>
      </c>
      <c r="V6" s="4" t="s">
        <v>72</v>
      </c>
      <c r="W6" s="6" t="s">
        <v>99</v>
      </c>
      <c r="AV6" s="4" t="s">
        <v>71</v>
      </c>
      <c r="AW6" s="4" t="s">
        <v>70</v>
      </c>
      <c r="AX6" s="4" t="s">
        <v>71</v>
      </c>
      <c r="AY6" s="4" t="s">
        <v>71</v>
      </c>
      <c r="AZ6" s="4" t="s">
        <v>70</v>
      </c>
      <c r="BA6" s="4" t="s">
        <v>71</v>
      </c>
      <c r="BB6" s="4" t="s">
        <v>71</v>
      </c>
      <c r="BC6" s="4" t="s">
        <v>71</v>
      </c>
      <c r="BD6" s="4" t="s">
        <v>71</v>
      </c>
      <c r="BE6" s="4" t="s">
        <v>70</v>
      </c>
      <c r="BF6" s="4" t="s">
        <v>71</v>
      </c>
      <c r="BG6" s="4" t="s">
        <v>71</v>
      </c>
      <c r="BH6" s="4" t="s">
        <v>71</v>
      </c>
      <c r="BI6" s="4" t="s">
        <v>71</v>
      </c>
      <c r="BJ6" s="4" t="s">
        <v>71</v>
      </c>
      <c r="BK6" s="4" t="s">
        <v>71</v>
      </c>
      <c r="BL6" s="4" t="s">
        <v>71</v>
      </c>
      <c r="BM6" s="4" t="s">
        <v>71</v>
      </c>
      <c r="BN6" s="4" t="s">
        <v>71</v>
      </c>
      <c r="BO6" s="4" t="s">
        <v>71</v>
      </c>
      <c r="BP6" s="4" t="s">
        <v>71</v>
      </c>
      <c r="BQ6" s="4" t="s">
        <v>71</v>
      </c>
      <c r="BR6" s="4" t="s">
        <v>71</v>
      </c>
    </row>
    <row r="7" spans="1:95" ht="13.2" x14ac:dyDescent="0.25">
      <c r="A7" s="3">
        <v>45000.677367638884</v>
      </c>
      <c r="B7" s="4" t="s">
        <v>100</v>
      </c>
      <c r="C7" s="4" t="s">
        <v>101</v>
      </c>
      <c r="D7" s="7" t="s">
        <v>102</v>
      </c>
      <c r="E7" s="4" t="s">
        <v>103</v>
      </c>
      <c r="F7" s="4" t="s">
        <v>104</v>
      </c>
      <c r="G7" s="4" t="s">
        <v>105</v>
      </c>
      <c r="H7" s="4" t="s">
        <v>106</v>
      </c>
      <c r="I7" s="4" t="s">
        <v>107</v>
      </c>
      <c r="K7" s="4" t="s">
        <v>100</v>
      </c>
      <c r="L7" s="4" t="s">
        <v>67</v>
      </c>
      <c r="M7" s="4" t="s">
        <v>96</v>
      </c>
      <c r="N7" s="4">
        <v>25</v>
      </c>
      <c r="O7" s="4" t="s">
        <v>97</v>
      </c>
      <c r="P7" s="4">
        <v>3</v>
      </c>
      <c r="Q7" s="4">
        <v>3</v>
      </c>
      <c r="R7" s="4">
        <v>80</v>
      </c>
      <c r="T7" s="4" t="s">
        <v>70</v>
      </c>
      <c r="U7" s="4" t="s">
        <v>71</v>
      </c>
      <c r="V7" s="4" t="s">
        <v>72</v>
      </c>
      <c r="W7" s="6" t="s">
        <v>99</v>
      </c>
      <c r="AV7" s="4" t="s">
        <v>71</v>
      </c>
      <c r="AW7" s="4" t="s">
        <v>70</v>
      </c>
      <c r="AX7" s="4" t="s">
        <v>71</v>
      </c>
      <c r="AY7" s="4" t="s">
        <v>71</v>
      </c>
      <c r="AZ7" s="4" t="s">
        <v>71</v>
      </c>
      <c r="BA7" s="4" t="s">
        <v>71</v>
      </c>
      <c r="BB7" s="4" t="s">
        <v>70</v>
      </c>
      <c r="BC7" s="4" t="s">
        <v>71</v>
      </c>
      <c r="BD7" s="4" t="s">
        <v>71</v>
      </c>
    </row>
    <row r="8" spans="1:95" ht="13.2" x14ac:dyDescent="0.25">
      <c r="A8" s="3">
        <v>45000.679748055554</v>
      </c>
      <c r="B8" s="4" t="s">
        <v>100</v>
      </c>
      <c r="C8" s="4" t="s">
        <v>109</v>
      </c>
      <c r="D8" s="7" t="s">
        <v>102</v>
      </c>
      <c r="E8" s="4" t="s">
        <v>103</v>
      </c>
      <c r="F8" s="4" t="s">
        <v>110</v>
      </c>
      <c r="G8" s="4" t="s">
        <v>105</v>
      </c>
      <c r="H8" s="4" t="s">
        <v>111</v>
      </c>
      <c r="I8" s="4" t="s">
        <v>112</v>
      </c>
      <c r="J8" s="4" t="s">
        <v>113</v>
      </c>
      <c r="K8" s="4" t="s">
        <v>100</v>
      </c>
      <c r="L8" s="4" t="s">
        <v>67</v>
      </c>
      <c r="M8" s="4" t="s">
        <v>96</v>
      </c>
      <c r="N8" s="4">
        <v>25</v>
      </c>
      <c r="O8" s="4" t="s">
        <v>97</v>
      </c>
      <c r="P8" s="4">
        <v>3</v>
      </c>
      <c r="Q8" s="4">
        <v>3</v>
      </c>
      <c r="R8" s="4">
        <v>80</v>
      </c>
      <c r="T8" s="4" t="s">
        <v>71</v>
      </c>
      <c r="U8" s="4" t="s">
        <v>70</v>
      </c>
      <c r="V8" s="4" t="s">
        <v>87</v>
      </c>
      <c r="W8" s="6" t="s">
        <v>99</v>
      </c>
      <c r="AV8" s="4" t="s">
        <v>71</v>
      </c>
      <c r="AW8" s="4" t="s">
        <v>71</v>
      </c>
      <c r="AX8" s="4" t="s">
        <v>70</v>
      </c>
      <c r="AY8" s="4" t="s">
        <v>71</v>
      </c>
      <c r="AZ8" s="4" t="s">
        <v>71</v>
      </c>
      <c r="BA8" s="4" t="s">
        <v>71</v>
      </c>
      <c r="BB8" s="4" t="s">
        <v>71</v>
      </c>
      <c r="BC8" s="4" t="s">
        <v>71</v>
      </c>
      <c r="BD8" s="4" t="s">
        <v>70</v>
      </c>
    </row>
    <row r="9" spans="1:95" ht="13.2" x14ac:dyDescent="0.25">
      <c r="A9" s="3">
        <v>45001.52091958333</v>
      </c>
      <c r="B9" s="4" t="s">
        <v>115</v>
      </c>
      <c r="C9" s="4" t="s">
        <v>116</v>
      </c>
      <c r="D9" s="7" t="s">
        <v>102</v>
      </c>
      <c r="E9" s="4" t="s">
        <v>103</v>
      </c>
      <c r="F9" s="4" t="s">
        <v>117</v>
      </c>
      <c r="G9" s="4" t="s">
        <v>105</v>
      </c>
      <c r="H9" s="4" t="s">
        <v>118</v>
      </c>
      <c r="I9" s="4" t="s">
        <v>119</v>
      </c>
      <c r="K9" s="4" t="s">
        <v>115</v>
      </c>
      <c r="L9" s="4" t="s">
        <v>67</v>
      </c>
      <c r="M9" s="4" t="s">
        <v>98</v>
      </c>
      <c r="N9" s="4">
        <v>35</v>
      </c>
      <c r="O9" s="4" t="s">
        <v>69</v>
      </c>
      <c r="P9" s="4">
        <v>4</v>
      </c>
      <c r="Q9" s="4">
        <v>1</v>
      </c>
      <c r="R9" s="4">
        <v>50</v>
      </c>
      <c r="T9" s="4" t="s">
        <v>71</v>
      </c>
      <c r="U9" s="4" t="s">
        <v>70</v>
      </c>
      <c r="V9" s="4" t="s">
        <v>87</v>
      </c>
      <c r="W9" s="6" t="s">
        <v>73</v>
      </c>
      <c r="BT9" s="4" t="s">
        <v>71</v>
      </c>
      <c r="BU9" s="4" t="s">
        <v>70</v>
      </c>
      <c r="BV9" s="4" t="s">
        <v>70</v>
      </c>
      <c r="BW9" s="4" t="s">
        <v>71</v>
      </c>
      <c r="BX9" s="4" t="s">
        <v>71</v>
      </c>
      <c r="BY9" s="4" t="s">
        <v>71</v>
      </c>
      <c r="BZ9" s="4" t="s">
        <v>70</v>
      </c>
      <c r="CA9" s="4" t="s">
        <v>71</v>
      </c>
      <c r="CB9" s="4" t="s">
        <v>71</v>
      </c>
      <c r="CC9" s="4" t="s">
        <v>71</v>
      </c>
      <c r="CD9" s="4" t="s">
        <v>71</v>
      </c>
      <c r="CE9" s="4" t="s">
        <v>71</v>
      </c>
      <c r="CF9" s="4" t="s">
        <v>71</v>
      </c>
      <c r="CG9" s="4" t="s">
        <v>70</v>
      </c>
      <c r="CH9" s="4" t="s">
        <v>71</v>
      </c>
      <c r="CI9" s="4" t="s">
        <v>71</v>
      </c>
      <c r="CJ9" s="4" t="s">
        <v>71</v>
      </c>
      <c r="CK9" s="4" t="s">
        <v>71</v>
      </c>
      <c r="CL9" s="4" t="s">
        <v>70</v>
      </c>
      <c r="CM9" s="4" t="s">
        <v>71</v>
      </c>
      <c r="CN9" s="4" t="s">
        <v>71</v>
      </c>
      <c r="CO9" s="4" t="s">
        <v>71</v>
      </c>
      <c r="CP9" s="4" t="s">
        <v>70</v>
      </c>
    </row>
    <row r="10" spans="1:95" ht="18" customHeight="1" x14ac:dyDescent="0.25">
      <c r="A10" s="3">
        <v>45005.865266979163</v>
      </c>
      <c r="B10" s="4" t="s">
        <v>121</v>
      </c>
      <c r="C10" s="4" t="s">
        <v>122</v>
      </c>
      <c r="D10" s="5" t="s">
        <v>123</v>
      </c>
      <c r="E10" s="4" t="s">
        <v>62</v>
      </c>
      <c r="F10" s="4" t="s">
        <v>124</v>
      </c>
      <c r="G10" s="4" t="s">
        <v>105</v>
      </c>
      <c r="H10" s="4" t="s">
        <v>125</v>
      </c>
      <c r="I10" s="4" t="s">
        <v>126</v>
      </c>
      <c r="K10" s="4" t="s">
        <v>121</v>
      </c>
      <c r="L10" s="4" t="s">
        <v>67</v>
      </c>
      <c r="M10" s="4" t="s">
        <v>108</v>
      </c>
      <c r="N10" s="4">
        <v>20</v>
      </c>
      <c r="O10" s="4" t="s">
        <v>69</v>
      </c>
      <c r="P10" s="4">
        <v>4</v>
      </c>
      <c r="Q10" s="4">
        <v>2</v>
      </c>
      <c r="R10" s="4">
        <v>40</v>
      </c>
      <c r="T10" s="4" t="s">
        <v>70</v>
      </c>
      <c r="U10" s="4" t="s">
        <v>71</v>
      </c>
      <c r="V10" s="4" t="s">
        <v>72</v>
      </c>
      <c r="W10" s="6" t="s">
        <v>99</v>
      </c>
      <c r="AV10" s="4" t="s">
        <v>70</v>
      </c>
      <c r="AW10" s="4" t="s">
        <v>70</v>
      </c>
      <c r="AX10" s="4" t="s">
        <v>71</v>
      </c>
      <c r="AY10" s="4" t="s">
        <v>70</v>
      </c>
      <c r="AZ10" s="4" t="s">
        <v>70</v>
      </c>
      <c r="BA10" s="4" t="s">
        <v>70</v>
      </c>
      <c r="BB10" s="4" t="s">
        <v>71</v>
      </c>
      <c r="BC10" s="4" t="s">
        <v>71</v>
      </c>
      <c r="BD10" s="4" t="s">
        <v>71</v>
      </c>
      <c r="BE10" s="4" t="s">
        <v>70</v>
      </c>
      <c r="BF10" s="4" t="s">
        <v>70</v>
      </c>
      <c r="BG10" s="4" t="s">
        <v>70</v>
      </c>
      <c r="BH10" s="4" t="s">
        <v>71</v>
      </c>
      <c r="BI10" s="4" t="s">
        <v>71</v>
      </c>
      <c r="BJ10" s="4" t="s">
        <v>71</v>
      </c>
      <c r="BK10" s="4" t="s">
        <v>71</v>
      </c>
      <c r="BL10" s="4" t="s">
        <v>71</v>
      </c>
      <c r="BM10" s="4" t="s">
        <v>71</v>
      </c>
      <c r="BN10" s="4" t="s">
        <v>71</v>
      </c>
      <c r="BO10" s="4" t="s">
        <v>70</v>
      </c>
      <c r="BP10" s="4" t="s">
        <v>70</v>
      </c>
      <c r="BS10" s="4" t="s">
        <v>128</v>
      </c>
    </row>
    <row r="11" spans="1:95" ht="13.2" x14ac:dyDescent="0.25">
      <c r="A11" s="3">
        <v>45006.502719733791</v>
      </c>
      <c r="B11" s="4" t="s">
        <v>129</v>
      </c>
      <c r="C11" s="4" t="s">
        <v>130</v>
      </c>
      <c r="D11" s="6" t="s">
        <v>131</v>
      </c>
      <c r="E11" s="4" t="s">
        <v>62</v>
      </c>
      <c r="F11" s="4" t="s">
        <v>132</v>
      </c>
      <c r="G11" s="4" t="s">
        <v>64</v>
      </c>
      <c r="H11" s="4" t="s">
        <v>133</v>
      </c>
      <c r="I11" s="4" t="s">
        <v>134</v>
      </c>
      <c r="J11" s="4" t="s">
        <v>135</v>
      </c>
      <c r="K11" s="4" t="s">
        <v>129</v>
      </c>
      <c r="L11" s="4" t="s">
        <v>67</v>
      </c>
      <c r="M11" s="4" t="s">
        <v>114</v>
      </c>
      <c r="N11" s="4">
        <v>35</v>
      </c>
      <c r="O11" s="4" t="s">
        <v>97</v>
      </c>
      <c r="P11" s="4">
        <v>3</v>
      </c>
      <c r="Q11" s="4">
        <v>3</v>
      </c>
      <c r="R11" s="4">
        <v>5</v>
      </c>
      <c r="T11" s="4" t="s">
        <v>70</v>
      </c>
      <c r="U11" s="4" t="s">
        <v>71</v>
      </c>
      <c r="V11" s="4" t="s">
        <v>72</v>
      </c>
      <c r="W11" s="6" t="s">
        <v>99</v>
      </c>
      <c r="AV11" s="4" t="s">
        <v>70</v>
      </c>
      <c r="AW11" s="4" t="s">
        <v>70</v>
      </c>
      <c r="AX11" s="4" t="s">
        <v>70</v>
      </c>
      <c r="AY11" s="4" t="s">
        <v>70</v>
      </c>
      <c r="AZ11" s="4" t="s">
        <v>70</v>
      </c>
      <c r="BA11" s="4" t="s">
        <v>70</v>
      </c>
      <c r="BB11" s="4" t="s">
        <v>70</v>
      </c>
      <c r="BC11" s="4" t="s">
        <v>70</v>
      </c>
      <c r="BD11" s="4" t="s">
        <v>70</v>
      </c>
      <c r="BE11" s="4" t="s">
        <v>70</v>
      </c>
      <c r="BF11" s="4" t="s">
        <v>70</v>
      </c>
      <c r="BG11" s="4" t="s">
        <v>70</v>
      </c>
      <c r="BH11" s="4" t="s">
        <v>70</v>
      </c>
      <c r="BI11" s="4" t="s">
        <v>70</v>
      </c>
      <c r="BJ11" s="4" t="s">
        <v>71</v>
      </c>
      <c r="BK11" s="4" t="s">
        <v>71</v>
      </c>
      <c r="BL11" s="4" t="s">
        <v>70</v>
      </c>
      <c r="BM11" s="4" t="s">
        <v>71</v>
      </c>
      <c r="BN11" s="4" t="s">
        <v>71</v>
      </c>
      <c r="BO11" s="4" t="s">
        <v>71</v>
      </c>
      <c r="BP11" s="4" t="s">
        <v>71</v>
      </c>
      <c r="BQ11" s="4" t="s">
        <v>71</v>
      </c>
      <c r="BR11" s="4" t="s">
        <v>71</v>
      </c>
    </row>
    <row r="12" spans="1:95" ht="13.2" x14ac:dyDescent="0.25">
      <c r="A12" s="3">
        <v>45003.486368124999</v>
      </c>
      <c r="B12" s="4" t="s">
        <v>137</v>
      </c>
      <c r="C12" s="4" t="s">
        <v>138</v>
      </c>
      <c r="D12" s="7" t="s">
        <v>139</v>
      </c>
      <c r="E12" s="4" t="s">
        <v>140</v>
      </c>
      <c r="F12" s="4" t="s">
        <v>141</v>
      </c>
      <c r="G12" s="4" t="s">
        <v>105</v>
      </c>
      <c r="H12" s="4" t="s">
        <v>142</v>
      </c>
      <c r="I12" s="4" t="s">
        <v>143</v>
      </c>
      <c r="K12" s="4" t="s">
        <v>137</v>
      </c>
      <c r="L12" s="4" t="s">
        <v>67</v>
      </c>
      <c r="M12" s="4" t="s">
        <v>120</v>
      </c>
      <c r="N12" s="4">
        <v>17</v>
      </c>
      <c r="O12" s="4" t="s">
        <v>97</v>
      </c>
      <c r="P12" s="4">
        <v>3</v>
      </c>
      <c r="Q12" s="4">
        <v>3</v>
      </c>
      <c r="R12" s="4">
        <v>90</v>
      </c>
      <c r="T12" s="4" t="s">
        <v>71</v>
      </c>
      <c r="U12" s="4" t="s">
        <v>70</v>
      </c>
      <c r="V12" s="4" t="s">
        <v>87</v>
      </c>
      <c r="W12" s="6" t="s">
        <v>145</v>
      </c>
      <c r="X12" s="4" t="s">
        <v>71</v>
      </c>
      <c r="Y12" s="4" t="s">
        <v>71</v>
      </c>
      <c r="Z12" s="4" t="s">
        <v>70</v>
      </c>
      <c r="AA12" s="4" t="s">
        <v>71</v>
      </c>
      <c r="AB12" s="4" t="s">
        <v>71</v>
      </c>
      <c r="AC12" s="4" t="s">
        <v>71</v>
      </c>
      <c r="AD12" s="4" t="s">
        <v>70</v>
      </c>
      <c r="AE12" s="4" t="s">
        <v>71</v>
      </c>
      <c r="AF12" s="4" t="s">
        <v>71</v>
      </c>
      <c r="AG12" s="4" t="s">
        <v>71</v>
      </c>
      <c r="AH12" s="4" t="s">
        <v>71</v>
      </c>
      <c r="AI12" s="4" t="s">
        <v>71</v>
      </c>
      <c r="AJ12" s="4" t="s">
        <v>71</v>
      </c>
      <c r="AK12" s="4" t="s">
        <v>70</v>
      </c>
      <c r="AL12" s="4" t="s">
        <v>71</v>
      </c>
      <c r="AM12" s="4" t="s">
        <v>71</v>
      </c>
      <c r="AN12" s="4" t="s">
        <v>71</v>
      </c>
      <c r="AO12" s="4" t="s">
        <v>70</v>
      </c>
      <c r="AP12" s="4" t="s">
        <v>71</v>
      </c>
      <c r="AQ12" s="4" t="s">
        <v>71</v>
      </c>
      <c r="AR12" s="4" t="s">
        <v>71</v>
      </c>
      <c r="AS12" s="4" t="s">
        <v>71</v>
      </c>
      <c r="AT12" s="4" t="s">
        <v>71</v>
      </c>
    </row>
    <row r="13" spans="1:95" ht="13.2" x14ac:dyDescent="0.25">
      <c r="A13" s="3">
        <v>45002.995239270836</v>
      </c>
      <c r="B13" s="4" t="s">
        <v>146</v>
      </c>
      <c r="C13" s="4" t="s">
        <v>147</v>
      </c>
      <c r="D13" s="5" t="s">
        <v>148</v>
      </c>
      <c r="E13" s="4" t="s">
        <v>149</v>
      </c>
      <c r="F13" s="4" t="s">
        <v>150</v>
      </c>
      <c r="G13" s="4" t="s">
        <v>64</v>
      </c>
      <c r="H13" s="4" t="s">
        <v>151</v>
      </c>
      <c r="I13" s="4" t="s">
        <v>152</v>
      </c>
      <c r="K13" s="4" t="s">
        <v>146</v>
      </c>
      <c r="L13" s="4" t="s">
        <v>67</v>
      </c>
      <c r="M13" s="4" t="s">
        <v>127</v>
      </c>
      <c r="N13" s="4">
        <v>25</v>
      </c>
      <c r="O13" s="4" t="s">
        <v>69</v>
      </c>
      <c r="P13" s="4">
        <v>4</v>
      </c>
      <c r="Q13" s="4">
        <v>3</v>
      </c>
      <c r="R13" s="4">
        <v>8</v>
      </c>
      <c r="T13" s="4" t="s">
        <v>70</v>
      </c>
      <c r="U13" s="4" t="s">
        <v>71</v>
      </c>
      <c r="V13" s="4" t="s">
        <v>72</v>
      </c>
      <c r="W13" s="6" t="s">
        <v>145</v>
      </c>
      <c r="X13" s="4" t="s">
        <v>70</v>
      </c>
      <c r="Y13" s="4" t="s">
        <v>71</v>
      </c>
      <c r="Z13" s="4" t="s">
        <v>71</v>
      </c>
      <c r="AA13" s="4" t="s">
        <v>71</v>
      </c>
      <c r="AB13" s="4" t="s">
        <v>71</v>
      </c>
      <c r="AC13" s="4" t="s">
        <v>71</v>
      </c>
      <c r="AD13" s="4" t="s">
        <v>70</v>
      </c>
      <c r="AE13" s="4" t="s">
        <v>71</v>
      </c>
      <c r="AF13" s="4" t="s">
        <v>71</v>
      </c>
      <c r="AG13" s="4" t="s">
        <v>71</v>
      </c>
      <c r="AH13" s="4" t="s">
        <v>70</v>
      </c>
      <c r="AI13" s="4" t="s">
        <v>71</v>
      </c>
      <c r="AJ13" s="4" t="s">
        <v>71</v>
      </c>
      <c r="AK13" s="4" t="s">
        <v>71</v>
      </c>
      <c r="AL13" s="4" t="s">
        <v>71</v>
      </c>
      <c r="AM13" s="4" t="s">
        <v>71</v>
      </c>
      <c r="AN13" s="4" t="s">
        <v>70</v>
      </c>
      <c r="AO13" s="4" t="s">
        <v>71</v>
      </c>
      <c r="AP13" s="4" t="s">
        <v>71</v>
      </c>
      <c r="AQ13" s="4" t="s">
        <v>71</v>
      </c>
      <c r="AR13" s="4" t="s">
        <v>71</v>
      </c>
      <c r="AS13" s="4" t="s">
        <v>71</v>
      </c>
      <c r="AT13" s="4" t="s">
        <v>71</v>
      </c>
    </row>
    <row r="14" spans="1:95" ht="13.2" x14ac:dyDescent="0.25">
      <c r="A14" s="3">
        <v>45000.830369236108</v>
      </c>
      <c r="B14" s="4" t="s">
        <v>154</v>
      </c>
      <c r="C14" s="4" t="s">
        <v>155</v>
      </c>
      <c r="D14" s="5" t="s">
        <v>156</v>
      </c>
      <c r="E14" s="4" t="s">
        <v>62</v>
      </c>
      <c r="F14" s="4" t="s">
        <v>157</v>
      </c>
      <c r="G14" s="4" t="s">
        <v>64</v>
      </c>
      <c r="H14" s="4" t="s">
        <v>158</v>
      </c>
      <c r="I14" s="4" t="s">
        <v>159</v>
      </c>
      <c r="J14" s="4" t="s">
        <v>160</v>
      </c>
      <c r="K14" s="4" t="s">
        <v>154</v>
      </c>
      <c r="L14" s="4" t="s">
        <v>67</v>
      </c>
      <c r="M14" s="4" t="s">
        <v>136</v>
      </c>
      <c r="N14" s="4">
        <v>20</v>
      </c>
      <c r="O14" s="4" t="s">
        <v>69</v>
      </c>
      <c r="P14" s="4">
        <v>5</v>
      </c>
      <c r="Q14" s="4">
        <v>4</v>
      </c>
      <c r="R14" s="4">
        <v>10</v>
      </c>
      <c r="T14" s="4" t="s">
        <v>70</v>
      </c>
      <c r="U14" s="4" t="s">
        <v>71</v>
      </c>
      <c r="V14" s="4" t="s">
        <v>72</v>
      </c>
      <c r="W14" s="6" t="s">
        <v>73</v>
      </c>
      <c r="BT14" s="4" t="s">
        <v>70</v>
      </c>
      <c r="BU14" s="4" t="s">
        <v>71</v>
      </c>
      <c r="BV14" s="4" t="s">
        <v>71</v>
      </c>
      <c r="BW14" s="4" t="s">
        <v>71</v>
      </c>
      <c r="BX14" s="4" t="s">
        <v>71</v>
      </c>
      <c r="BY14" s="4" t="s">
        <v>70</v>
      </c>
      <c r="BZ14" s="4" t="s">
        <v>71</v>
      </c>
      <c r="CA14" s="4" t="s">
        <v>71</v>
      </c>
      <c r="CB14" s="4" t="s">
        <v>71</v>
      </c>
      <c r="CC14" s="4" t="s">
        <v>71</v>
      </c>
      <c r="CD14" s="4" t="s">
        <v>70</v>
      </c>
      <c r="CE14" s="4" t="s">
        <v>71</v>
      </c>
      <c r="CF14" s="4" t="s">
        <v>71</v>
      </c>
      <c r="CG14" s="4" t="s">
        <v>71</v>
      </c>
      <c r="CH14" s="4" t="s">
        <v>71</v>
      </c>
      <c r="CI14" s="4" t="s">
        <v>71</v>
      </c>
      <c r="CJ14" s="4" t="s">
        <v>71</v>
      </c>
      <c r="CK14" s="4" t="s">
        <v>71</v>
      </c>
      <c r="CL14" s="4" t="s">
        <v>71</v>
      </c>
      <c r="CM14" s="4" t="s">
        <v>71</v>
      </c>
      <c r="CN14" s="4" t="s">
        <v>71</v>
      </c>
      <c r="CO14" s="4" t="s">
        <v>71</v>
      </c>
      <c r="CP14" s="4" t="s">
        <v>71</v>
      </c>
    </row>
    <row r="15" spans="1:95" ht="13.2" x14ac:dyDescent="0.25">
      <c r="A15" s="3">
        <v>45001.486748229167</v>
      </c>
      <c r="B15" s="4" t="s">
        <v>162</v>
      </c>
      <c r="C15" s="4" t="s">
        <v>163</v>
      </c>
      <c r="D15" s="5" t="s">
        <v>164</v>
      </c>
      <c r="E15" s="4" t="s">
        <v>62</v>
      </c>
      <c r="F15" s="4" t="s">
        <v>165</v>
      </c>
      <c r="G15" s="4" t="s">
        <v>64</v>
      </c>
      <c r="H15" s="4" t="s">
        <v>166</v>
      </c>
      <c r="I15" s="4" t="s">
        <v>167</v>
      </c>
      <c r="J15" s="4" t="s">
        <v>168</v>
      </c>
      <c r="K15" s="4" t="s">
        <v>162</v>
      </c>
      <c r="L15" s="4" t="s">
        <v>67</v>
      </c>
      <c r="M15" s="4" t="s">
        <v>144</v>
      </c>
      <c r="N15" s="4">
        <v>32</v>
      </c>
      <c r="O15" s="4" t="s">
        <v>97</v>
      </c>
      <c r="P15" s="4">
        <v>4</v>
      </c>
      <c r="Q15" s="4">
        <v>4</v>
      </c>
      <c r="R15" s="4">
        <v>0</v>
      </c>
      <c r="T15" s="4" t="s">
        <v>70</v>
      </c>
      <c r="U15" s="4" t="s">
        <v>71</v>
      </c>
      <c r="V15" s="4" t="s">
        <v>72</v>
      </c>
      <c r="W15" s="6" t="s">
        <v>73</v>
      </c>
      <c r="BT15" s="4" t="s">
        <v>70</v>
      </c>
      <c r="BU15" s="4" t="s">
        <v>71</v>
      </c>
      <c r="BV15" s="4" t="s">
        <v>71</v>
      </c>
      <c r="BW15" s="4" t="s">
        <v>71</v>
      </c>
      <c r="BX15" s="4" t="s">
        <v>71</v>
      </c>
      <c r="BY15" s="4" t="s">
        <v>71</v>
      </c>
      <c r="BZ15" s="4" t="s">
        <v>71</v>
      </c>
      <c r="CA15" s="4" t="s">
        <v>71</v>
      </c>
      <c r="CB15" s="4" t="s">
        <v>71</v>
      </c>
      <c r="CC15" s="4" t="s">
        <v>71</v>
      </c>
      <c r="CD15" s="4" t="s">
        <v>70</v>
      </c>
      <c r="CE15" s="4" t="s">
        <v>71</v>
      </c>
      <c r="CF15" s="4" t="s">
        <v>71</v>
      </c>
      <c r="CG15" s="4" t="s">
        <v>71</v>
      </c>
      <c r="CH15" s="4" t="s">
        <v>71</v>
      </c>
      <c r="CI15" s="4" t="s">
        <v>71</v>
      </c>
      <c r="CJ15" s="4" t="s">
        <v>70</v>
      </c>
      <c r="CK15" s="4" t="s">
        <v>71</v>
      </c>
      <c r="CL15" s="4" t="s">
        <v>71</v>
      </c>
      <c r="CM15" s="4" t="s">
        <v>71</v>
      </c>
      <c r="CN15" s="4" t="s">
        <v>71</v>
      </c>
      <c r="CO15" s="4" t="s">
        <v>71</v>
      </c>
      <c r="CP15" s="4" t="s">
        <v>71</v>
      </c>
    </row>
    <row r="16" spans="1:95" ht="13.2" x14ac:dyDescent="0.25">
      <c r="A16" s="3">
        <v>45001.488910428241</v>
      </c>
      <c r="B16" s="4" t="s">
        <v>162</v>
      </c>
      <c r="C16" s="4" t="s">
        <v>170</v>
      </c>
      <c r="D16" s="5" t="s">
        <v>164</v>
      </c>
      <c r="E16" s="4" t="s">
        <v>62</v>
      </c>
      <c r="F16" s="4" t="s">
        <v>171</v>
      </c>
      <c r="G16" s="4" t="s">
        <v>64</v>
      </c>
      <c r="H16" s="4" t="s">
        <v>172</v>
      </c>
      <c r="I16" s="4" t="s">
        <v>167</v>
      </c>
      <c r="J16" s="4" t="s">
        <v>173</v>
      </c>
      <c r="K16" s="4" t="s">
        <v>162</v>
      </c>
      <c r="L16" s="4" t="s">
        <v>67</v>
      </c>
      <c r="M16" s="4" t="s">
        <v>153</v>
      </c>
      <c r="N16" s="4">
        <v>32</v>
      </c>
      <c r="O16" s="4" t="s">
        <v>97</v>
      </c>
      <c r="P16" s="4">
        <v>4</v>
      </c>
      <c r="Q16" s="4">
        <v>4</v>
      </c>
      <c r="R16" s="4">
        <v>0</v>
      </c>
      <c r="T16" s="4" t="s">
        <v>70</v>
      </c>
      <c r="U16" s="4" t="s">
        <v>71</v>
      </c>
      <c r="V16" s="4" t="s">
        <v>72</v>
      </c>
      <c r="W16" s="6" t="s">
        <v>73</v>
      </c>
      <c r="BT16" s="4" t="s">
        <v>70</v>
      </c>
      <c r="BU16" s="4" t="s">
        <v>71</v>
      </c>
      <c r="BV16" s="4" t="s">
        <v>71</v>
      </c>
      <c r="BW16" s="4" t="s">
        <v>71</v>
      </c>
      <c r="BX16" s="4" t="s">
        <v>71</v>
      </c>
      <c r="BY16" s="4" t="s">
        <v>71</v>
      </c>
      <c r="BZ16" s="4" t="s">
        <v>71</v>
      </c>
      <c r="CA16" s="4" t="s">
        <v>71</v>
      </c>
      <c r="CB16" s="4" t="s">
        <v>71</v>
      </c>
      <c r="CC16" s="4" t="s">
        <v>71</v>
      </c>
      <c r="CD16" s="4" t="s">
        <v>70</v>
      </c>
      <c r="CE16" s="4" t="s">
        <v>71</v>
      </c>
      <c r="CF16" s="4" t="s">
        <v>71</v>
      </c>
      <c r="CG16" s="4" t="s">
        <v>71</v>
      </c>
      <c r="CH16" s="4" t="s">
        <v>71</v>
      </c>
      <c r="CI16" s="4" t="s">
        <v>71</v>
      </c>
      <c r="CJ16" s="4" t="s">
        <v>70</v>
      </c>
      <c r="CK16" s="4" t="s">
        <v>71</v>
      </c>
      <c r="CL16" s="4" t="s">
        <v>71</v>
      </c>
      <c r="CM16" s="4" t="s">
        <v>71</v>
      </c>
      <c r="CN16" s="4" t="s">
        <v>71</v>
      </c>
      <c r="CO16" s="4" t="s">
        <v>71</v>
      </c>
      <c r="CP16" s="4" t="s">
        <v>71</v>
      </c>
    </row>
    <row r="17" spans="1:95" ht="13.2" x14ac:dyDescent="0.25">
      <c r="A17" s="3">
        <v>45001.648040856482</v>
      </c>
      <c r="B17" s="4" t="s">
        <v>162</v>
      </c>
      <c r="C17" s="4" t="s">
        <v>170</v>
      </c>
      <c r="D17" s="5" t="s">
        <v>164</v>
      </c>
      <c r="E17" s="4" t="s">
        <v>62</v>
      </c>
      <c r="F17" s="4" t="s">
        <v>165</v>
      </c>
      <c r="G17" s="4" t="s">
        <v>64</v>
      </c>
      <c r="H17" s="4" t="s">
        <v>172</v>
      </c>
      <c r="I17" s="4" t="s">
        <v>175</v>
      </c>
      <c r="J17" s="4" t="s">
        <v>173</v>
      </c>
      <c r="K17" s="4" t="s">
        <v>162</v>
      </c>
      <c r="L17" s="4" t="s">
        <v>67</v>
      </c>
      <c r="M17" s="4" t="s">
        <v>153</v>
      </c>
      <c r="N17" s="4">
        <v>30</v>
      </c>
      <c r="O17" s="4" t="s">
        <v>97</v>
      </c>
      <c r="P17" s="4">
        <v>4</v>
      </c>
      <c r="Q17" s="4">
        <v>4</v>
      </c>
      <c r="R17" s="4">
        <v>0</v>
      </c>
      <c r="S17" s="4" t="s">
        <v>177</v>
      </c>
      <c r="T17" s="4" t="s">
        <v>70</v>
      </c>
      <c r="U17" s="4" t="s">
        <v>71</v>
      </c>
      <c r="V17" s="4" t="s">
        <v>72</v>
      </c>
      <c r="W17" s="6" t="s">
        <v>73</v>
      </c>
      <c r="BT17" s="4" t="s">
        <v>70</v>
      </c>
      <c r="BU17" s="4" t="s">
        <v>71</v>
      </c>
      <c r="BV17" s="4" t="s">
        <v>71</v>
      </c>
      <c r="BW17" s="4" t="s">
        <v>71</v>
      </c>
      <c r="BX17" s="4" t="s">
        <v>71</v>
      </c>
      <c r="BY17" s="4" t="s">
        <v>71</v>
      </c>
      <c r="BZ17" s="4" t="s">
        <v>71</v>
      </c>
      <c r="CA17" s="4" t="s">
        <v>71</v>
      </c>
      <c r="CB17" s="4" t="s">
        <v>71</v>
      </c>
      <c r="CC17" s="4" t="s">
        <v>71</v>
      </c>
      <c r="CD17" s="4" t="s">
        <v>70</v>
      </c>
      <c r="CE17" s="4" t="s">
        <v>71</v>
      </c>
      <c r="CF17" s="4" t="s">
        <v>71</v>
      </c>
      <c r="CG17" s="4" t="s">
        <v>71</v>
      </c>
      <c r="CH17" s="4" t="s">
        <v>71</v>
      </c>
      <c r="CI17" s="4" t="s">
        <v>71</v>
      </c>
      <c r="CJ17" s="4" t="s">
        <v>70</v>
      </c>
      <c r="CK17" s="4" t="s">
        <v>71</v>
      </c>
      <c r="CL17" s="4" t="s">
        <v>71</v>
      </c>
      <c r="CM17" s="4" t="s">
        <v>71</v>
      </c>
      <c r="CN17" s="4" t="s">
        <v>71</v>
      </c>
      <c r="CO17" s="4" t="s">
        <v>71</v>
      </c>
      <c r="CP17" s="4" t="s">
        <v>71</v>
      </c>
      <c r="CQ17" s="4" t="s">
        <v>178</v>
      </c>
    </row>
    <row r="18" spans="1:95" ht="13.2" x14ac:dyDescent="0.25">
      <c r="A18" s="3">
        <v>45004.57079096065</v>
      </c>
      <c r="B18" s="4" t="s">
        <v>179</v>
      </c>
      <c r="C18" s="4" t="s">
        <v>180</v>
      </c>
      <c r="D18" s="5" t="s">
        <v>181</v>
      </c>
      <c r="E18" s="4" t="s">
        <v>62</v>
      </c>
      <c r="F18" s="4" t="s">
        <v>182</v>
      </c>
      <c r="G18" s="4" t="s">
        <v>64</v>
      </c>
      <c r="H18" s="4" t="s">
        <v>183</v>
      </c>
      <c r="I18" s="4" t="s">
        <v>184</v>
      </c>
      <c r="J18" s="4" t="s">
        <v>185</v>
      </c>
      <c r="K18" s="4" t="s">
        <v>179</v>
      </c>
      <c r="L18" s="4" t="s">
        <v>67</v>
      </c>
      <c r="M18" s="4" t="s">
        <v>161</v>
      </c>
      <c r="N18" s="4">
        <v>34</v>
      </c>
      <c r="O18" s="4" t="s">
        <v>69</v>
      </c>
      <c r="P18" s="4">
        <v>4</v>
      </c>
      <c r="Q18" s="4">
        <v>4</v>
      </c>
      <c r="R18" s="4">
        <v>15</v>
      </c>
      <c r="T18" s="4" t="s">
        <v>70</v>
      </c>
      <c r="U18" s="4" t="s">
        <v>71</v>
      </c>
      <c r="V18" s="4" t="s">
        <v>72</v>
      </c>
      <c r="W18" s="6" t="s">
        <v>145</v>
      </c>
      <c r="X18" s="4" t="s">
        <v>70</v>
      </c>
      <c r="Y18" s="4" t="s">
        <v>70</v>
      </c>
      <c r="Z18" s="4" t="s">
        <v>71</v>
      </c>
      <c r="AA18" s="4" t="s">
        <v>71</v>
      </c>
      <c r="AB18" s="4" t="s">
        <v>70</v>
      </c>
      <c r="AC18" s="4" t="s">
        <v>71</v>
      </c>
      <c r="AD18" s="4" t="s">
        <v>71</v>
      </c>
      <c r="AE18" s="4" t="s">
        <v>71</v>
      </c>
      <c r="AF18" s="4" t="s">
        <v>71</v>
      </c>
      <c r="AG18" s="4" t="s">
        <v>71</v>
      </c>
      <c r="AH18" s="4" t="s">
        <v>71</v>
      </c>
      <c r="AI18" s="4" t="s">
        <v>71</v>
      </c>
      <c r="AJ18" s="4" t="s">
        <v>71</v>
      </c>
      <c r="AK18" s="4" t="s">
        <v>71</v>
      </c>
      <c r="AL18" s="4" t="s">
        <v>71</v>
      </c>
      <c r="AM18" s="4" t="s">
        <v>71</v>
      </c>
      <c r="AN18" s="4" t="s">
        <v>71</v>
      </c>
      <c r="AO18" s="4" t="s">
        <v>71</v>
      </c>
      <c r="AP18" s="4" t="s">
        <v>71</v>
      </c>
      <c r="AQ18" s="4" t="s">
        <v>71</v>
      </c>
      <c r="AR18" s="4" t="s">
        <v>71</v>
      </c>
      <c r="AS18" s="4" t="s">
        <v>71</v>
      </c>
      <c r="AT18" s="4" t="s">
        <v>71</v>
      </c>
    </row>
    <row r="19" spans="1:95" ht="13.2" x14ac:dyDescent="0.25">
      <c r="A19" s="3">
        <v>45004.572966157408</v>
      </c>
      <c r="B19" s="4" t="s">
        <v>179</v>
      </c>
      <c r="C19" s="4" t="s">
        <v>187</v>
      </c>
      <c r="D19" s="5" t="s">
        <v>181</v>
      </c>
      <c r="E19" s="4" t="s">
        <v>62</v>
      </c>
      <c r="F19" s="4" t="s">
        <v>188</v>
      </c>
      <c r="G19" s="4" t="s">
        <v>64</v>
      </c>
      <c r="H19" s="4" t="s">
        <v>185</v>
      </c>
      <c r="I19" s="4" t="s">
        <v>184</v>
      </c>
      <c r="J19" s="4" t="s">
        <v>183</v>
      </c>
      <c r="K19" s="4" t="s">
        <v>179</v>
      </c>
      <c r="L19" s="4" t="s">
        <v>67</v>
      </c>
      <c r="M19" s="4" t="s">
        <v>161</v>
      </c>
      <c r="N19" s="4">
        <v>35</v>
      </c>
      <c r="O19" s="4" t="s">
        <v>69</v>
      </c>
      <c r="P19" s="4">
        <v>4</v>
      </c>
      <c r="Q19" s="4">
        <v>4</v>
      </c>
      <c r="R19" s="4">
        <v>15</v>
      </c>
      <c r="T19" s="4" t="s">
        <v>70</v>
      </c>
      <c r="U19" s="4" t="s">
        <v>71</v>
      </c>
      <c r="V19" s="4" t="s">
        <v>72</v>
      </c>
      <c r="W19" s="6" t="s">
        <v>145</v>
      </c>
      <c r="X19" s="4" t="s">
        <v>70</v>
      </c>
      <c r="Y19" s="4" t="s">
        <v>70</v>
      </c>
      <c r="Z19" s="4" t="s">
        <v>71</v>
      </c>
      <c r="AA19" s="4" t="s">
        <v>71</v>
      </c>
      <c r="AB19" s="4" t="s">
        <v>70</v>
      </c>
      <c r="AC19" s="4" t="s">
        <v>71</v>
      </c>
      <c r="AD19" s="4" t="s">
        <v>71</v>
      </c>
      <c r="AE19" s="4" t="s">
        <v>71</v>
      </c>
      <c r="AF19" s="4" t="s">
        <v>71</v>
      </c>
      <c r="AG19" s="4" t="s">
        <v>71</v>
      </c>
      <c r="AH19" s="4" t="s">
        <v>70</v>
      </c>
      <c r="AI19" s="4" t="s">
        <v>71</v>
      </c>
      <c r="AJ19" s="4" t="s">
        <v>71</v>
      </c>
      <c r="AK19" s="4" t="s">
        <v>71</v>
      </c>
      <c r="AL19" s="4" t="s">
        <v>71</v>
      </c>
      <c r="AM19" s="4" t="s">
        <v>71</v>
      </c>
      <c r="AN19" s="4" t="s">
        <v>71</v>
      </c>
      <c r="AO19" s="4" t="s">
        <v>71</v>
      </c>
      <c r="AP19" s="4" t="s">
        <v>71</v>
      </c>
      <c r="AQ19" s="4" t="s">
        <v>71</v>
      </c>
      <c r="AR19" s="4" t="s">
        <v>71</v>
      </c>
      <c r="AS19" s="4" t="s">
        <v>71</v>
      </c>
      <c r="AT19" s="4" t="s">
        <v>71</v>
      </c>
    </row>
    <row r="20" spans="1:95" ht="13.2" x14ac:dyDescent="0.25">
      <c r="A20" s="3">
        <v>45004.574748125</v>
      </c>
      <c r="B20" s="4" t="s">
        <v>179</v>
      </c>
      <c r="C20" s="4" t="s">
        <v>187</v>
      </c>
      <c r="D20" s="5" t="s">
        <v>181</v>
      </c>
      <c r="E20" s="4" t="s">
        <v>62</v>
      </c>
      <c r="F20" s="4" t="s">
        <v>190</v>
      </c>
      <c r="G20" s="4" t="s">
        <v>64</v>
      </c>
      <c r="H20" s="4" t="s">
        <v>185</v>
      </c>
      <c r="I20" s="4" t="s">
        <v>184</v>
      </c>
      <c r="J20" s="4" t="s">
        <v>183</v>
      </c>
      <c r="K20" s="4" t="s">
        <v>179</v>
      </c>
      <c r="L20" s="4" t="s">
        <v>67</v>
      </c>
      <c r="M20" s="4" t="s">
        <v>161</v>
      </c>
      <c r="N20" s="4">
        <v>33</v>
      </c>
      <c r="O20" s="4" t="s">
        <v>69</v>
      </c>
      <c r="P20" s="4">
        <v>4</v>
      </c>
      <c r="Q20" s="4">
        <v>4</v>
      </c>
      <c r="R20" s="4">
        <v>15</v>
      </c>
      <c r="T20" s="4" t="s">
        <v>70</v>
      </c>
      <c r="U20" s="4" t="s">
        <v>71</v>
      </c>
      <c r="V20" s="4" t="s">
        <v>72</v>
      </c>
      <c r="W20" s="6" t="s">
        <v>145</v>
      </c>
      <c r="X20" s="4" t="s">
        <v>70</v>
      </c>
      <c r="Y20" s="4" t="s">
        <v>70</v>
      </c>
      <c r="Z20" s="4" t="s">
        <v>71</v>
      </c>
      <c r="AA20" s="4" t="s">
        <v>71</v>
      </c>
      <c r="AB20" s="4" t="s">
        <v>70</v>
      </c>
      <c r="AC20" s="4" t="s">
        <v>71</v>
      </c>
      <c r="AD20" s="4" t="s">
        <v>71</v>
      </c>
      <c r="AE20" s="4" t="s">
        <v>71</v>
      </c>
      <c r="AF20" s="4" t="s">
        <v>71</v>
      </c>
      <c r="AG20" s="4" t="s">
        <v>71</v>
      </c>
      <c r="AH20" s="4" t="s">
        <v>70</v>
      </c>
      <c r="AI20" s="4" t="s">
        <v>71</v>
      </c>
      <c r="AJ20" s="4" t="s">
        <v>71</v>
      </c>
      <c r="AK20" s="4" t="s">
        <v>71</v>
      </c>
      <c r="AL20" s="4" t="s">
        <v>71</v>
      </c>
      <c r="AM20" s="4" t="s">
        <v>70</v>
      </c>
      <c r="AN20" s="4" t="s">
        <v>71</v>
      </c>
      <c r="AO20" s="4" t="s">
        <v>71</v>
      </c>
      <c r="AP20" s="4" t="s">
        <v>71</v>
      </c>
      <c r="AQ20" s="4" t="s">
        <v>71</v>
      </c>
      <c r="AR20" s="4" t="s">
        <v>70</v>
      </c>
      <c r="AS20" s="4" t="s">
        <v>71</v>
      </c>
      <c r="AT20" s="4" t="s">
        <v>71</v>
      </c>
    </row>
    <row r="21" spans="1:95" ht="13.2" x14ac:dyDescent="0.25">
      <c r="A21" s="3">
        <v>45001.805744733792</v>
      </c>
      <c r="B21" s="4" t="s">
        <v>192</v>
      </c>
      <c r="C21" s="4" t="s">
        <v>193</v>
      </c>
      <c r="D21" s="5" t="s">
        <v>194</v>
      </c>
      <c r="E21" s="4" t="s">
        <v>149</v>
      </c>
      <c r="F21" s="4" t="s">
        <v>195</v>
      </c>
      <c r="G21" s="4" t="s">
        <v>64</v>
      </c>
      <c r="H21" s="4" t="s">
        <v>196</v>
      </c>
      <c r="I21" s="4" t="s">
        <v>197</v>
      </c>
      <c r="J21" s="4" t="s">
        <v>198</v>
      </c>
      <c r="K21" s="4" t="s">
        <v>192</v>
      </c>
      <c r="L21" s="4" t="s">
        <v>67</v>
      </c>
      <c r="M21" s="4" t="s">
        <v>169</v>
      </c>
      <c r="N21" s="4">
        <v>29</v>
      </c>
      <c r="O21" s="4" t="s">
        <v>200</v>
      </c>
      <c r="P21" s="4">
        <v>3</v>
      </c>
      <c r="Q21" s="4">
        <v>3</v>
      </c>
      <c r="R21" s="4">
        <v>50</v>
      </c>
      <c r="S21" s="4" t="s">
        <v>201</v>
      </c>
      <c r="T21" s="4" t="s">
        <v>70</v>
      </c>
      <c r="U21" s="4" t="s">
        <v>71</v>
      </c>
      <c r="V21" s="4" t="s">
        <v>72</v>
      </c>
      <c r="W21" s="6" t="s">
        <v>73</v>
      </c>
      <c r="BT21" s="4" t="s">
        <v>71</v>
      </c>
      <c r="BU21" s="4" t="s">
        <v>70</v>
      </c>
      <c r="BV21" s="4" t="s">
        <v>70</v>
      </c>
      <c r="BW21" s="4" t="s">
        <v>70</v>
      </c>
      <c r="BX21" s="4" t="s">
        <v>70</v>
      </c>
      <c r="BY21" s="4" t="s">
        <v>70</v>
      </c>
      <c r="BZ21" s="4" t="s">
        <v>71</v>
      </c>
      <c r="CA21" s="4" t="s">
        <v>71</v>
      </c>
      <c r="CB21" s="4" t="s">
        <v>71</v>
      </c>
      <c r="CC21" s="4" t="s">
        <v>70</v>
      </c>
      <c r="CD21" s="4" t="s">
        <v>70</v>
      </c>
      <c r="CE21" s="4" t="s">
        <v>70</v>
      </c>
      <c r="CF21" s="4" t="s">
        <v>71</v>
      </c>
      <c r="CG21" s="4" t="s">
        <v>71</v>
      </c>
      <c r="CH21" s="4" t="s">
        <v>70</v>
      </c>
      <c r="CI21" s="4" t="s">
        <v>70</v>
      </c>
      <c r="CJ21" s="4" t="s">
        <v>70</v>
      </c>
      <c r="CK21" s="4" t="s">
        <v>71</v>
      </c>
      <c r="CL21" s="4" t="s">
        <v>71</v>
      </c>
      <c r="CM21" s="4" t="s">
        <v>71</v>
      </c>
      <c r="CN21" s="4" t="s">
        <v>71</v>
      </c>
      <c r="CO21" s="4" t="s">
        <v>71</v>
      </c>
      <c r="CP21" s="4" t="s">
        <v>71</v>
      </c>
    </row>
    <row r="22" spans="1:95" ht="13.2" x14ac:dyDescent="0.25">
      <c r="A22" s="3">
        <v>45001.40658141204</v>
      </c>
      <c r="B22" s="4" t="s">
        <v>202</v>
      </c>
      <c r="C22" s="4" t="s">
        <v>203</v>
      </c>
      <c r="D22" s="5" t="s">
        <v>204</v>
      </c>
      <c r="E22" s="4" t="s">
        <v>149</v>
      </c>
      <c r="F22" s="4" t="s">
        <v>205</v>
      </c>
      <c r="G22" s="4" t="s">
        <v>64</v>
      </c>
      <c r="H22" s="4" t="s">
        <v>206</v>
      </c>
      <c r="I22" s="4" t="s">
        <v>207</v>
      </c>
      <c r="J22" s="4" t="s">
        <v>208</v>
      </c>
      <c r="K22" s="4" t="s">
        <v>202</v>
      </c>
      <c r="L22" s="4" t="s">
        <v>67</v>
      </c>
      <c r="M22" s="4" t="s">
        <v>174</v>
      </c>
      <c r="N22" s="4">
        <v>30</v>
      </c>
      <c r="O22" s="4" t="s">
        <v>97</v>
      </c>
      <c r="P22" s="4">
        <v>4</v>
      </c>
      <c r="Q22" s="4">
        <v>4</v>
      </c>
      <c r="R22" s="4">
        <v>20</v>
      </c>
      <c r="T22" s="4" t="s">
        <v>70</v>
      </c>
      <c r="U22" s="4" t="s">
        <v>71</v>
      </c>
      <c r="V22" s="4" t="s">
        <v>72</v>
      </c>
      <c r="W22" s="6" t="s">
        <v>73</v>
      </c>
      <c r="BT22" s="4" t="s">
        <v>70</v>
      </c>
      <c r="BU22" s="4" t="s">
        <v>71</v>
      </c>
      <c r="BV22" s="4" t="s">
        <v>71</v>
      </c>
      <c r="BW22" s="4" t="s">
        <v>71</v>
      </c>
      <c r="BX22" s="4" t="s">
        <v>70</v>
      </c>
      <c r="BY22" s="4" t="s">
        <v>70</v>
      </c>
      <c r="BZ22" s="4" t="s">
        <v>71</v>
      </c>
      <c r="CA22" s="4" t="s">
        <v>71</v>
      </c>
      <c r="CB22" s="4" t="s">
        <v>71</v>
      </c>
      <c r="CC22" s="4" t="s">
        <v>71</v>
      </c>
      <c r="CD22" s="4" t="s">
        <v>70</v>
      </c>
      <c r="CE22" s="4" t="s">
        <v>70</v>
      </c>
      <c r="CF22" s="4" t="s">
        <v>71</v>
      </c>
      <c r="CG22" s="4" t="s">
        <v>71</v>
      </c>
      <c r="CH22" s="4" t="s">
        <v>71</v>
      </c>
      <c r="CI22" s="4" t="s">
        <v>70</v>
      </c>
      <c r="CJ22" s="4" t="s">
        <v>70</v>
      </c>
      <c r="CK22" s="4" t="s">
        <v>71</v>
      </c>
      <c r="CL22" s="4" t="s">
        <v>71</v>
      </c>
      <c r="CM22" s="4" t="s">
        <v>71</v>
      </c>
      <c r="CN22" s="4" t="s">
        <v>71</v>
      </c>
      <c r="CO22" s="4" t="s">
        <v>71</v>
      </c>
      <c r="CP22" s="4" t="s">
        <v>71</v>
      </c>
    </row>
    <row r="23" spans="1:95" ht="13.2" x14ac:dyDescent="0.25">
      <c r="A23" s="3">
        <v>45001.410837557865</v>
      </c>
      <c r="B23" s="4" t="s">
        <v>210</v>
      </c>
      <c r="C23" s="4" t="s">
        <v>203</v>
      </c>
      <c r="D23" s="5" t="s">
        <v>204</v>
      </c>
      <c r="E23" s="4" t="s">
        <v>62</v>
      </c>
      <c r="F23" s="4" t="s">
        <v>211</v>
      </c>
      <c r="G23" s="4" t="s">
        <v>64</v>
      </c>
      <c r="H23" s="4" t="s">
        <v>208</v>
      </c>
      <c r="I23" s="4" t="s">
        <v>206</v>
      </c>
      <c r="J23" s="4" t="s">
        <v>207</v>
      </c>
      <c r="K23" s="4" t="s">
        <v>210</v>
      </c>
      <c r="L23" s="4" t="s">
        <v>67</v>
      </c>
      <c r="M23" s="4" t="s">
        <v>174</v>
      </c>
      <c r="N23" s="4">
        <v>34</v>
      </c>
      <c r="O23" s="4" t="s">
        <v>97</v>
      </c>
      <c r="P23" s="4">
        <v>4</v>
      </c>
      <c r="Q23" s="4">
        <v>4</v>
      </c>
      <c r="R23" s="4">
        <v>10</v>
      </c>
      <c r="T23" s="4" t="s">
        <v>70</v>
      </c>
      <c r="U23" s="4" t="s">
        <v>71</v>
      </c>
      <c r="V23" s="4" t="s">
        <v>72</v>
      </c>
      <c r="W23" s="6" t="s">
        <v>73</v>
      </c>
      <c r="BT23" s="4" t="s">
        <v>70</v>
      </c>
      <c r="BU23" s="4" t="s">
        <v>71</v>
      </c>
      <c r="BV23" s="4" t="s">
        <v>71</v>
      </c>
      <c r="BW23" s="4" t="s">
        <v>71</v>
      </c>
      <c r="BX23" s="4" t="s">
        <v>70</v>
      </c>
      <c r="BY23" s="4" t="s">
        <v>70</v>
      </c>
      <c r="BZ23" s="4" t="s">
        <v>71</v>
      </c>
      <c r="CA23" s="4" t="s">
        <v>71</v>
      </c>
      <c r="CB23" s="4" t="s">
        <v>71</v>
      </c>
      <c r="CC23" s="4" t="s">
        <v>71</v>
      </c>
      <c r="CD23" s="4" t="s">
        <v>70</v>
      </c>
      <c r="CE23" s="4" t="s">
        <v>70</v>
      </c>
      <c r="CF23" s="4" t="s">
        <v>71</v>
      </c>
      <c r="CG23" s="4" t="s">
        <v>71</v>
      </c>
      <c r="CH23" s="4" t="s">
        <v>71</v>
      </c>
      <c r="CI23" s="4" t="s">
        <v>70</v>
      </c>
      <c r="CJ23" s="4" t="s">
        <v>70</v>
      </c>
      <c r="CK23" s="4" t="s">
        <v>71</v>
      </c>
      <c r="CL23" s="4" t="s">
        <v>71</v>
      </c>
      <c r="CM23" s="4" t="s">
        <v>71</v>
      </c>
      <c r="CN23" s="4" t="s">
        <v>71</v>
      </c>
      <c r="CO23" s="4" t="s">
        <v>71</v>
      </c>
      <c r="CP23" s="4" t="s">
        <v>71</v>
      </c>
    </row>
    <row r="24" spans="1:95" ht="13.2" x14ac:dyDescent="0.25">
      <c r="A24" s="3">
        <v>45005.588681226851</v>
      </c>
      <c r="B24" s="4" t="s">
        <v>213</v>
      </c>
      <c r="C24" s="4" t="s">
        <v>214</v>
      </c>
      <c r="D24" s="7" t="s">
        <v>215</v>
      </c>
      <c r="E24" s="4" t="s">
        <v>62</v>
      </c>
      <c r="F24" s="4" t="s">
        <v>216</v>
      </c>
      <c r="G24" s="4" t="s">
        <v>105</v>
      </c>
      <c r="H24" s="4" t="s">
        <v>217</v>
      </c>
      <c r="I24" s="4" t="s">
        <v>218</v>
      </c>
      <c r="J24" s="4" t="s">
        <v>219</v>
      </c>
      <c r="K24" s="4" t="s">
        <v>213</v>
      </c>
      <c r="L24" s="4" t="s">
        <v>67</v>
      </c>
      <c r="M24" s="4" t="s">
        <v>176</v>
      </c>
      <c r="N24" s="4">
        <v>35</v>
      </c>
      <c r="O24" s="4" t="s">
        <v>69</v>
      </c>
      <c r="P24" s="4">
        <v>4</v>
      </c>
      <c r="Q24" s="4">
        <v>4</v>
      </c>
      <c r="R24" s="4">
        <v>40</v>
      </c>
      <c r="T24" s="4" t="s">
        <v>70</v>
      </c>
      <c r="U24" s="4" t="s">
        <v>71</v>
      </c>
      <c r="V24" s="4" t="s">
        <v>72</v>
      </c>
      <c r="W24" s="6" t="s">
        <v>73</v>
      </c>
      <c r="BT24" s="4" t="s">
        <v>70</v>
      </c>
      <c r="BU24" s="4" t="s">
        <v>71</v>
      </c>
      <c r="BV24" s="4" t="s">
        <v>71</v>
      </c>
      <c r="BW24" s="4" t="s">
        <v>71</v>
      </c>
      <c r="BX24" s="4" t="s">
        <v>70</v>
      </c>
      <c r="BY24" s="4" t="s">
        <v>71</v>
      </c>
      <c r="BZ24" s="4" t="s">
        <v>71</v>
      </c>
      <c r="CA24" s="4" t="s">
        <v>71</v>
      </c>
      <c r="CB24" s="4" t="s">
        <v>71</v>
      </c>
      <c r="CC24" s="4" t="s">
        <v>71</v>
      </c>
      <c r="CD24" s="4" t="s">
        <v>71</v>
      </c>
      <c r="CE24" s="4" t="s">
        <v>70</v>
      </c>
      <c r="CF24" s="4" t="s">
        <v>71</v>
      </c>
      <c r="CG24" s="4" t="s">
        <v>71</v>
      </c>
      <c r="CH24" s="4" t="s">
        <v>71</v>
      </c>
      <c r="CI24" s="4" t="s">
        <v>71</v>
      </c>
      <c r="CJ24" s="4" t="s">
        <v>71</v>
      </c>
      <c r="CK24" s="4" t="s">
        <v>71</v>
      </c>
      <c r="CL24" s="4" t="s">
        <v>71</v>
      </c>
      <c r="CM24" s="4" t="s">
        <v>70</v>
      </c>
      <c r="CN24" s="4" t="s">
        <v>70</v>
      </c>
      <c r="CO24" s="4" t="s">
        <v>71</v>
      </c>
      <c r="CP24" s="4" t="s">
        <v>71</v>
      </c>
    </row>
    <row r="25" spans="1:95" ht="13.2" x14ac:dyDescent="0.25">
      <c r="A25" s="3">
        <v>45001.750830023149</v>
      </c>
      <c r="B25" s="4" t="s">
        <v>221</v>
      </c>
      <c r="C25" s="4" t="s">
        <v>222</v>
      </c>
      <c r="D25" s="7" t="s">
        <v>223</v>
      </c>
      <c r="E25" s="4" t="s">
        <v>103</v>
      </c>
      <c r="F25" s="4" t="s">
        <v>224</v>
      </c>
      <c r="G25" s="4" t="s">
        <v>105</v>
      </c>
      <c r="H25" s="4" t="s">
        <v>225</v>
      </c>
      <c r="I25" s="4" t="s">
        <v>226</v>
      </c>
      <c r="J25" s="4" t="s">
        <v>227</v>
      </c>
      <c r="K25" s="4" t="s">
        <v>221</v>
      </c>
      <c r="L25" s="4" t="s">
        <v>67</v>
      </c>
      <c r="M25" s="4" t="s">
        <v>77</v>
      </c>
      <c r="N25" s="4">
        <v>27</v>
      </c>
      <c r="O25" s="4" t="s">
        <v>69</v>
      </c>
      <c r="P25" s="4">
        <v>4</v>
      </c>
      <c r="Q25" s="4">
        <v>3</v>
      </c>
      <c r="R25" s="4">
        <v>60</v>
      </c>
      <c r="T25" s="4" t="s">
        <v>70</v>
      </c>
      <c r="U25" s="4" t="s">
        <v>71</v>
      </c>
      <c r="V25" s="4" t="s">
        <v>72</v>
      </c>
      <c r="W25" s="6" t="s">
        <v>99</v>
      </c>
      <c r="AV25" s="4" t="s">
        <v>70</v>
      </c>
      <c r="AW25" s="4" t="s">
        <v>71</v>
      </c>
      <c r="AX25" s="4" t="s">
        <v>71</v>
      </c>
      <c r="AY25" s="4" t="s">
        <v>71</v>
      </c>
      <c r="AZ25" s="4" t="s">
        <v>70</v>
      </c>
      <c r="BA25" s="4" t="s">
        <v>71</v>
      </c>
      <c r="BB25" s="4" t="s">
        <v>71</v>
      </c>
      <c r="BC25" s="4" t="s">
        <v>71</v>
      </c>
      <c r="BD25" s="4" t="s">
        <v>71</v>
      </c>
      <c r="BE25" s="4" t="s">
        <v>71</v>
      </c>
      <c r="BF25" s="4" t="s">
        <v>71</v>
      </c>
      <c r="BG25" s="4" t="s">
        <v>70</v>
      </c>
      <c r="BH25" s="4" t="s">
        <v>71</v>
      </c>
      <c r="BI25" s="4" t="s">
        <v>71</v>
      </c>
      <c r="BJ25" s="4" t="s">
        <v>71</v>
      </c>
      <c r="BK25" s="4" t="s">
        <v>71</v>
      </c>
      <c r="BL25" s="4" t="s">
        <v>70</v>
      </c>
      <c r="BM25" s="4" t="s">
        <v>71</v>
      </c>
      <c r="BN25" s="4" t="s">
        <v>71</v>
      </c>
      <c r="BO25" s="4" t="s">
        <v>71</v>
      </c>
      <c r="BP25" s="4" t="s">
        <v>71</v>
      </c>
      <c r="BQ25" s="4" t="s">
        <v>71</v>
      </c>
      <c r="BR25" s="4" t="s">
        <v>71</v>
      </c>
    </row>
    <row r="26" spans="1:95" ht="13.2" x14ac:dyDescent="0.25">
      <c r="A26" s="3">
        <v>45005.821687916672</v>
      </c>
      <c r="B26" s="4" t="s">
        <v>229</v>
      </c>
      <c r="C26" s="4" t="s">
        <v>230</v>
      </c>
      <c r="D26" s="6" t="s">
        <v>231</v>
      </c>
      <c r="E26" s="4" t="s">
        <v>140</v>
      </c>
      <c r="F26" s="4" t="s">
        <v>232</v>
      </c>
      <c r="G26" s="4" t="s">
        <v>64</v>
      </c>
      <c r="H26" s="4" t="s">
        <v>233</v>
      </c>
      <c r="I26" s="4" t="s">
        <v>234</v>
      </c>
      <c r="J26" s="4" t="s">
        <v>235</v>
      </c>
      <c r="K26" s="4" t="s">
        <v>229</v>
      </c>
      <c r="L26" s="4" t="s">
        <v>67</v>
      </c>
      <c r="M26" s="4" t="s">
        <v>186</v>
      </c>
      <c r="N26" s="4">
        <v>25</v>
      </c>
      <c r="O26" s="4" t="s">
        <v>69</v>
      </c>
      <c r="P26" s="4">
        <v>4</v>
      </c>
      <c r="Q26" s="4">
        <v>3</v>
      </c>
      <c r="R26" s="4">
        <v>40</v>
      </c>
      <c r="T26" s="4" t="s">
        <v>70</v>
      </c>
      <c r="U26" s="4" t="s">
        <v>70</v>
      </c>
      <c r="V26" s="4" t="s">
        <v>237</v>
      </c>
      <c r="W26" s="6" t="s">
        <v>73</v>
      </c>
      <c r="BT26" s="4" t="s">
        <v>70</v>
      </c>
      <c r="BU26" s="4" t="s">
        <v>70</v>
      </c>
      <c r="BV26" s="4" t="s">
        <v>70</v>
      </c>
      <c r="BW26" s="4" t="s">
        <v>71</v>
      </c>
      <c r="BX26" s="4" t="s">
        <v>70</v>
      </c>
      <c r="BY26" s="4" t="s">
        <v>70</v>
      </c>
      <c r="BZ26" s="4" t="s">
        <v>70</v>
      </c>
      <c r="CA26" s="4" t="s">
        <v>70</v>
      </c>
      <c r="CB26" s="4" t="s">
        <v>70</v>
      </c>
      <c r="CC26" s="4" t="s">
        <v>71</v>
      </c>
      <c r="CD26" s="4" t="s">
        <v>70</v>
      </c>
      <c r="CE26" s="4" t="s">
        <v>70</v>
      </c>
      <c r="CF26" s="4" t="s">
        <v>70</v>
      </c>
      <c r="CG26" s="4" t="s">
        <v>70</v>
      </c>
      <c r="CH26" s="4" t="s">
        <v>71</v>
      </c>
      <c r="CI26" s="4" t="s">
        <v>70</v>
      </c>
      <c r="CJ26" s="4" t="s">
        <v>70</v>
      </c>
      <c r="CK26" s="4" t="s">
        <v>70</v>
      </c>
      <c r="CL26" s="4" t="s">
        <v>70</v>
      </c>
      <c r="CM26" s="4" t="s">
        <v>70</v>
      </c>
      <c r="CN26" s="4" t="s">
        <v>70</v>
      </c>
      <c r="CO26" s="4" t="s">
        <v>70</v>
      </c>
      <c r="CP26" s="4" t="s">
        <v>70</v>
      </c>
      <c r="CQ26" s="4" t="s">
        <v>238</v>
      </c>
    </row>
    <row r="27" spans="1:95" ht="13.2" x14ac:dyDescent="0.25">
      <c r="A27" s="3">
        <v>45002.545335844909</v>
      </c>
      <c r="B27" s="4" t="s">
        <v>239</v>
      </c>
      <c r="C27" s="4" t="s">
        <v>240</v>
      </c>
      <c r="D27" s="7" t="s">
        <v>241</v>
      </c>
      <c r="E27" s="4" t="s">
        <v>62</v>
      </c>
      <c r="F27" s="4" t="s">
        <v>242</v>
      </c>
      <c r="G27" s="4" t="s">
        <v>64</v>
      </c>
      <c r="H27" s="4" t="s">
        <v>243</v>
      </c>
      <c r="I27" s="4" t="s">
        <v>244</v>
      </c>
      <c r="J27" s="4" t="s">
        <v>245</v>
      </c>
      <c r="K27" s="4" t="s">
        <v>239</v>
      </c>
      <c r="L27" s="4" t="s">
        <v>67</v>
      </c>
      <c r="M27" s="4" t="s">
        <v>77</v>
      </c>
      <c r="N27" s="4">
        <v>24</v>
      </c>
      <c r="O27" s="4" t="s">
        <v>69</v>
      </c>
      <c r="P27" s="4">
        <v>4</v>
      </c>
      <c r="Q27" s="4">
        <v>4</v>
      </c>
      <c r="R27" s="4">
        <v>30</v>
      </c>
      <c r="S27" s="4" t="s">
        <v>247</v>
      </c>
      <c r="T27" s="4" t="s">
        <v>70</v>
      </c>
      <c r="U27" s="4" t="s">
        <v>71</v>
      </c>
      <c r="V27" s="4" t="s">
        <v>72</v>
      </c>
      <c r="W27" s="6" t="s">
        <v>145</v>
      </c>
      <c r="X27" s="4" t="s">
        <v>70</v>
      </c>
      <c r="Y27" s="4" t="s">
        <v>71</v>
      </c>
      <c r="Z27" s="4" t="s">
        <v>70</v>
      </c>
      <c r="AA27" s="4" t="s">
        <v>71</v>
      </c>
      <c r="AB27" s="4" t="s">
        <v>70</v>
      </c>
      <c r="AC27" s="4" t="s">
        <v>70</v>
      </c>
      <c r="AD27" s="4" t="s">
        <v>71</v>
      </c>
      <c r="AE27" s="4" t="s">
        <v>71</v>
      </c>
      <c r="AF27" s="4" t="s">
        <v>71</v>
      </c>
      <c r="AG27" s="4" t="s">
        <v>71</v>
      </c>
      <c r="AH27" s="4" t="s">
        <v>70</v>
      </c>
      <c r="AI27" s="4" t="s">
        <v>70</v>
      </c>
      <c r="AJ27" s="4" t="s">
        <v>71</v>
      </c>
      <c r="AK27" s="4" t="s">
        <v>71</v>
      </c>
      <c r="AL27" s="4" t="s">
        <v>71</v>
      </c>
      <c r="AM27" s="4" t="s">
        <v>70</v>
      </c>
      <c r="AN27" s="4" t="s">
        <v>70</v>
      </c>
      <c r="AO27" s="4" t="s">
        <v>71</v>
      </c>
      <c r="AP27" s="4" t="s">
        <v>71</v>
      </c>
      <c r="AQ27" s="4" t="s">
        <v>70</v>
      </c>
      <c r="AR27" s="4" t="s">
        <v>70</v>
      </c>
      <c r="AS27" s="4" t="s">
        <v>71</v>
      </c>
      <c r="AT27" s="4" t="s">
        <v>71</v>
      </c>
    </row>
    <row r="28" spans="1:95" ht="13.2" x14ac:dyDescent="0.25">
      <c r="A28" s="3">
        <v>45003.740165891199</v>
      </c>
      <c r="B28" s="4" t="s">
        <v>239</v>
      </c>
      <c r="C28" s="4" t="s">
        <v>248</v>
      </c>
      <c r="D28" s="5" t="s">
        <v>241</v>
      </c>
      <c r="E28" s="4" t="s">
        <v>62</v>
      </c>
      <c r="F28" s="4" t="s">
        <v>249</v>
      </c>
      <c r="G28" s="4" t="s">
        <v>64</v>
      </c>
      <c r="H28" s="4" t="s">
        <v>243</v>
      </c>
      <c r="I28" s="4" t="s">
        <v>243</v>
      </c>
      <c r="J28" s="4" t="s">
        <v>250</v>
      </c>
      <c r="K28" s="4" t="s">
        <v>239</v>
      </c>
      <c r="L28" s="4" t="s">
        <v>67</v>
      </c>
      <c r="M28" s="4" t="s">
        <v>77</v>
      </c>
      <c r="N28" s="4">
        <v>25</v>
      </c>
      <c r="O28" s="4" t="s">
        <v>69</v>
      </c>
      <c r="P28" s="4">
        <v>4</v>
      </c>
      <c r="Q28" s="4">
        <v>4</v>
      </c>
      <c r="R28" s="4">
        <v>30</v>
      </c>
      <c r="S28" s="4" t="s">
        <v>247</v>
      </c>
      <c r="T28" s="4" t="s">
        <v>70</v>
      </c>
      <c r="U28" s="4" t="s">
        <v>71</v>
      </c>
      <c r="V28" s="4" t="s">
        <v>72</v>
      </c>
      <c r="W28" s="6" t="s">
        <v>145</v>
      </c>
      <c r="X28" s="4" t="s">
        <v>70</v>
      </c>
      <c r="Y28" s="4" t="s">
        <v>71</v>
      </c>
      <c r="Z28" s="4" t="s">
        <v>71</v>
      </c>
      <c r="AA28" s="4" t="s">
        <v>71</v>
      </c>
      <c r="AB28" s="4" t="s">
        <v>70</v>
      </c>
      <c r="AC28" s="4" t="s">
        <v>70</v>
      </c>
      <c r="AD28" s="4" t="s">
        <v>71</v>
      </c>
      <c r="AE28" s="4" t="s">
        <v>71</v>
      </c>
      <c r="AF28" s="4" t="s">
        <v>71</v>
      </c>
      <c r="AG28" s="4" t="s">
        <v>71</v>
      </c>
      <c r="AH28" s="4" t="s">
        <v>70</v>
      </c>
      <c r="AI28" s="4" t="s">
        <v>70</v>
      </c>
      <c r="AJ28" s="4" t="s">
        <v>71</v>
      </c>
      <c r="AK28" s="4" t="s">
        <v>71</v>
      </c>
      <c r="AL28" s="4" t="s">
        <v>71</v>
      </c>
      <c r="AM28" s="4" t="s">
        <v>70</v>
      </c>
      <c r="AN28" s="4" t="s">
        <v>70</v>
      </c>
      <c r="AO28" s="4" t="s">
        <v>71</v>
      </c>
      <c r="AP28" s="4" t="s">
        <v>71</v>
      </c>
      <c r="AQ28" s="4" t="s">
        <v>70</v>
      </c>
      <c r="AR28" s="4" t="s">
        <v>70</v>
      </c>
      <c r="AS28" s="4" t="s">
        <v>71</v>
      </c>
      <c r="AT28" s="4" t="s">
        <v>71</v>
      </c>
    </row>
    <row r="29" spans="1:95" ht="13.2" x14ac:dyDescent="0.25">
      <c r="A29" s="3">
        <v>45001.3768016088</v>
      </c>
      <c r="B29" s="4" t="s">
        <v>252</v>
      </c>
      <c r="C29" s="4" t="s">
        <v>253</v>
      </c>
      <c r="D29" s="5" t="s">
        <v>254</v>
      </c>
      <c r="E29" s="4" t="s">
        <v>103</v>
      </c>
      <c r="F29" s="4" t="s">
        <v>255</v>
      </c>
      <c r="G29" s="4" t="s">
        <v>105</v>
      </c>
      <c r="H29" s="4" t="s">
        <v>256</v>
      </c>
      <c r="I29" s="4" t="s">
        <v>257</v>
      </c>
      <c r="J29" s="4" t="s">
        <v>258</v>
      </c>
      <c r="K29" s="4" t="s">
        <v>252</v>
      </c>
      <c r="L29" s="4" t="s">
        <v>67</v>
      </c>
      <c r="M29" s="4" t="s">
        <v>189</v>
      </c>
      <c r="N29" s="4">
        <v>40</v>
      </c>
      <c r="O29" s="4" t="s">
        <v>69</v>
      </c>
      <c r="P29" s="4">
        <v>4</v>
      </c>
      <c r="Q29" s="4">
        <v>3</v>
      </c>
      <c r="R29" s="4">
        <v>80</v>
      </c>
      <c r="T29" s="4" t="s">
        <v>70</v>
      </c>
      <c r="U29" s="4" t="s">
        <v>70</v>
      </c>
      <c r="V29" s="4" t="s">
        <v>237</v>
      </c>
      <c r="W29" s="6" t="s">
        <v>73</v>
      </c>
      <c r="BT29" s="4" t="s">
        <v>70</v>
      </c>
      <c r="BU29" s="4" t="s">
        <v>70</v>
      </c>
      <c r="BV29" s="4" t="s">
        <v>70</v>
      </c>
      <c r="BW29" s="4" t="s">
        <v>70</v>
      </c>
      <c r="BX29" s="4" t="s">
        <v>70</v>
      </c>
      <c r="BY29" s="4" t="s">
        <v>70</v>
      </c>
      <c r="BZ29" s="4" t="s">
        <v>70</v>
      </c>
      <c r="CA29" s="4" t="s">
        <v>70</v>
      </c>
      <c r="CB29" s="4" t="s">
        <v>70</v>
      </c>
      <c r="CC29" s="4" t="s">
        <v>70</v>
      </c>
      <c r="CD29" s="4" t="s">
        <v>70</v>
      </c>
      <c r="CE29" s="4" t="s">
        <v>70</v>
      </c>
      <c r="CF29" s="4" t="s">
        <v>70</v>
      </c>
      <c r="CG29" s="4" t="s">
        <v>70</v>
      </c>
      <c r="CH29" s="4" t="s">
        <v>71</v>
      </c>
      <c r="CI29" s="4" t="s">
        <v>71</v>
      </c>
      <c r="CJ29" s="4" t="s">
        <v>71</v>
      </c>
      <c r="CK29" s="4" t="s">
        <v>71</v>
      </c>
      <c r="CL29" s="4" t="s">
        <v>71</v>
      </c>
      <c r="CM29" s="4" t="s">
        <v>70</v>
      </c>
      <c r="CN29" s="4" t="s">
        <v>70</v>
      </c>
      <c r="CO29" s="4" t="s">
        <v>70</v>
      </c>
      <c r="CP29" s="4" t="s">
        <v>70</v>
      </c>
    </row>
    <row r="30" spans="1:95" ht="13.2" x14ac:dyDescent="0.25">
      <c r="A30" s="3">
        <v>45001.496991921296</v>
      </c>
      <c r="B30" s="4" t="s">
        <v>260</v>
      </c>
      <c r="C30" s="4" t="s">
        <v>261</v>
      </c>
      <c r="D30" s="5" t="s">
        <v>262</v>
      </c>
      <c r="E30" s="4" t="s">
        <v>263</v>
      </c>
      <c r="F30" s="4" t="s">
        <v>264</v>
      </c>
      <c r="G30" s="4" t="s">
        <v>64</v>
      </c>
      <c r="H30" s="4" t="s">
        <v>265</v>
      </c>
      <c r="I30" s="4" t="s">
        <v>266</v>
      </c>
      <c r="K30" s="4" t="s">
        <v>260</v>
      </c>
      <c r="L30" s="4" t="s">
        <v>67</v>
      </c>
      <c r="M30" s="4" t="s">
        <v>191</v>
      </c>
      <c r="N30" s="4">
        <v>35</v>
      </c>
      <c r="O30" s="4" t="s">
        <v>69</v>
      </c>
      <c r="P30" s="4">
        <v>3</v>
      </c>
      <c r="Q30" s="4">
        <v>2</v>
      </c>
      <c r="R30" s="4">
        <v>20</v>
      </c>
      <c r="T30" s="4" t="s">
        <v>70</v>
      </c>
      <c r="U30" s="4" t="s">
        <v>71</v>
      </c>
      <c r="V30" s="4" t="s">
        <v>72</v>
      </c>
      <c r="W30" s="8" t="s">
        <v>145</v>
      </c>
      <c r="X30" s="4" t="s">
        <v>70</v>
      </c>
      <c r="Y30" s="4" t="s">
        <v>70</v>
      </c>
      <c r="Z30" s="4" t="s">
        <v>71</v>
      </c>
      <c r="AA30" s="4" t="s">
        <v>70</v>
      </c>
      <c r="AB30" s="4" t="s">
        <v>70</v>
      </c>
      <c r="AC30" s="4" t="s">
        <v>70</v>
      </c>
      <c r="AD30" s="4" t="s">
        <v>71</v>
      </c>
      <c r="AE30" s="4" t="s">
        <v>71</v>
      </c>
      <c r="AF30" s="4" t="s">
        <v>71</v>
      </c>
      <c r="AG30" s="4" t="s">
        <v>70</v>
      </c>
      <c r="AH30" s="4" t="s">
        <v>70</v>
      </c>
      <c r="AI30" s="4" t="s">
        <v>70</v>
      </c>
      <c r="AJ30" s="4" t="s">
        <v>71</v>
      </c>
      <c r="AK30" s="4" t="s">
        <v>71</v>
      </c>
      <c r="AL30" s="4" t="s">
        <v>70</v>
      </c>
      <c r="AM30" s="4" t="s">
        <v>70</v>
      </c>
      <c r="AN30" s="4" t="s">
        <v>70</v>
      </c>
      <c r="AO30" s="4" t="s">
        <v>71</v>
      </c>
      <c r="AP30" s="4" t="s">
        <v>71</v>
      </c>
      <c r="AQ30" s="4" t="s">
        <v>70</v>
      </c>
      <c r="AR30" s="4" t="s">
        <v>70</v>
      </c>
      <c r="AS30" s="4" t="s">
        <v>71</v>
      </c>
      <c r="AT30" s="4" t="s">
        <v>71</v>
      </c>
    </row>
    <row r="31" spans="1:95" ht="13.2" x14ac:dyDescent="0.25">
      <c r="A31" s="3">
        <v>45001.498919201389</v>
      </c>
      <c r="B31" s="4" t="s">
        <v>260</v>
      </c>
      <c r="C31" s="4" t="s">
        <v>268</v>
      </c>
      <c r="D31" s="5" t="s">
        <v>262</v>
      </c>
      <c r="E31" s="4" t="s">
        <v>62</v>
      </c>
      <c r="F31" s="4" t="s">
        <v>269</v>
      </c>
      <c r="G31" s="4" t="s">
        <v>64</v>
      </c>
      <c r="H31" s="4" t="s">
        <v>270</v>
      </c>
      <c r="I31" s="4" t="s">
        <v>271</v>
      </c>
      <c r="K31" s="4" t="s">
        <v>260</v>
      </c>
      <c r="L31" s="4" t="s">
        <v>67</v>
      </c>
      <c r="M31" s="4" t="s">
        <v>199</v>
      </c>
      <c r="N31" s="4">
        <v>35</v>
      </c>
      <c r="O31" s="4" t="s">
        <v>69</v>
      </c>
      <c r="P31" s="4">
        <v>3</v>
      </c>
      <c r="Q31" s="4">
        <v>2</v>
      </c>
      <c r="R31" s="4">
        <v>20</v>
      </c>
      <c r="T31" s="4" t="s">
        <v>70</v>
      </c>
      <c r="U31" s="4" t="s">
        <v>71</v>
      </c>
      <c r="V31" s="4" t="s">
        <v>72</v>
      </c>
      <c r="W31" s="6" t="s">
        <v>73</v>
      </c>
      <c r="BT31" s="4" t="s">
        <v>70</v>
      </c>
      <c r="BU31" s="4" t="s">
        <v>70</v>
      </c>
      <c r="BV31" s="4" t="s">
        <v>71</v>
      </c>
      <c r="BW31" s="4" t="s">
        <v>70</v>
      </c>
      <c r="BX31" s="4" t="s">
        <v>70</v>
      </c>
      <c r="BY31" s="4" t="s">
        <v>70</v>
      </c>
      <c r="BZ31" s="4" t="s">
        <v>71</v>
      </c>
      <c r="CA31" s="4" t="s">
        <v>71</v>
      </c>
      <c r="CB31" s="4" t="s">
        <v>71</v>
      </c>
      <c r="CC31" s="4" t="s">
        <v>70</v>
      </c>
      <c r="CD31" s="4" t="s">
        <v>70</v>
      </c>
      <c r="CE31" s="4" t="s">
        <v>70</v>
      </c>
      <c r="CF31" s="4" t="s">
        <v>71</v>
      </c>
      <c r="CG31" s="4" t="s">
        <v>71</v>
      </c>
      <c r="CH31" s="4" t="s">
        <v>70</v>
      </c>
      <c r="CI31" s="4" t="s">
        <v>70</v>
      </c>
      <c r="CJ31" s="4" t="s">
        <v>70</v>
      </c>
      <c r="CK31" s="4" t="s">
        <v>71</v>
      </c>
      <c r="CL31" s="4" t="s">
        <v>71</v>
      </c>
      <c r="CM31" s="4" t="s">
        <v>70</v>
      </c>
      <c r="CN31" s="4" t="s">
        <v>70</v>
      </c>
      <c r="CO31" s="4" t="s">
        <v>71</v>
      </c>
      <c r="CP31" s="4" t="s">
        <v>71</v>
      </c>
    </row>
    <row r="32" spans="1:95" ht="13.2" x14ac:dyDescent="0.25">
      <c r="A32" s="3">
        <v>45002.339845150462</v>
      </c>
      <c r="B32" s="4" t="s">
        <v>260</v>
      </c>
      <c r="C32" s="4" t="s">
        <v>268</v>
      </c>
      <c r="D32" s="5" t="s">
        <v>262</v>
      </c>
      <c r="E32" s="4" t="s">
        <v>62</v>
      </c>
      <c r="F32" s="4" t="s">
        <v>211</v>
      </c>
      <c r="G32" s="4" t="s">
        <v>64</v>
      </c>
      <c r="H32" s="4" t="s">
        <v>265</v>
      </c>
      <c r="I32" s="4" t="s">
        <v>266</v>
      </c>
      <c r="K32" s="4" t="s">
        <v>260</v>
      </c>
      <c r="L32" s="4" t="s">
        <v>67</v>
      </c>
      <c r="M32" s="4" t="s">
        <v>191</v>
      </c>
      <c r="N32" s="4">
        <v>35</v>
      </c>
      <c r="O32" s="4" t="s">
        <v>69</v>
      </c>
      <c r="P32" s="4">
        <v>3</v>
      </c>
      <c r="Q32" s="4">
        <v>2</v>
      </c>
      <c r="R32" s="4">
        <v>20</v>
      </c>
      <c r="S32" s="4" t="s">
        <v>274</v>
      </c>
      <c r="T32" s="4" t="s">
        <v>70</v>
      </c>
      <c r="U32" s="4" t="s">
        <v>71</v>
      </c>
      <c r="V32" s="4" t="s">
        <v>72</v>
      </c>
      <c r="W32" s="8" t="s">
        <v>145</v>
      </c>
      <c r="X32" s="4" t="s">
        <v>70</v>
      </c>
      <c r="Y32" s="4" t="s">
        <v>70</v>
      </c>
      <c r="Z32" s="4" t="s">
        <v>71</v>
      </c>
      <c r="AA32" s="4" t="s">
        <v>70</v>
      </c>
      <c r="AB32" s="4" t="s">
        <v>70</v>
      </c>
      <c r="AC32" s="4" t="s">
        <v>70</v>
      </c>
      <c r="AD32" s="4" t="s">
        <v>71</v>
      </c>
      <c r="AE32" s="4" t="s">
        <v>71</v>
      </c>
      <c r="AF32" s="4" t="s">
        <v>71</v>
      </c>
      <c r="AG32" s="4" t="s">
        <v>70</v>
      </c>
      <c r="AH32" s="4" t="s">
        <v>70</v>
      </c>
      <c r="AI32" s="4" t="s">
        <v>70</v>
      </c>
      <c r="AJ32" s="4" t="s">
        <v>71</v>
      </c>
      <c r="AK32" s="4" t="s">
        <v>71</v>
      </c>
      <c r="AL32" s="4" t="s">
        <v>70</v>
      </c>
      <c r="AM32" s="4" t="s">
        <v>70</v>
      </c>
      <c r="AN32" s="4" t="s">
        <v>70</v>
      </c>
      <c r="AO32" s="4" t="s">
        <v>71</v>
      </c>
      <c r="AP32" s="4" t="s">
        <v>71</v>
      </c>
      <c r="AQ32" s="4" t="s">
        <v>70</v>
      </c>
      <c r="AR32" s="4" t="s">
        <v>70</v>
      </c>
      <c r="AS32" s="4" t="s">
        <v>71</v>
      </c>
      <c r="AT32" s="4" t="s">
        <v>71</v>
      </c>
    </row>
    <row r="33" spans="1:95" ht="13.2" x14ac:dyDescent="0.25">
      <c r="A33" s="3">
        <v>45002.736449976852</v>
      </c>
      <c r="B33" s="4" t="s">
        <v>275</v>
      </c>
      <c r="C33" s="4" t="s">
        <v>276</v>
      </c>
      <c r="D33" s="5" t="s">
        <v>277</v>
      </c>
      <c r="E33" s="4" t="s">
        <v>62</v>
      </c>
      <c r="F33" s="4" t="s">
        <v>211</v>
      </c>
      <c r="G33" s="4" t="s">
        <v>64</v>
      </c>
      <c r="H33" s="4" t="s">
        <v>206</v>
      </c>
      <c r="I33" s="4" t="s">
        <v>278</v>
      </c>
      <c r="J33" s="4" t="s">
        <v>279</v>
      </c>
      <c r="K33" s="4" t="s">
        <v>275</v>
      </c>
      <c r="L33" s="4" t="s">
        <v>67</v>
      </c>
      <c r="M33" s="4" t="s">
        <v>174</v>
      </c>
      <c r="N33" s="4">
        <v>31</v>
      </c>
      <c r="O33" s="4" t="s">
        <v>69</v>
      </c>
      <c r="P33" s="4">
        <v>4</v>
      </c>
      <c r="Q33" s="4">
        <v>4</v>
      </c>
      <c r="R33" s="4">
        <v>25</v>
      </c>
      <c r="T33" s="4" t="s">
        <v>70</v>
      </c>
      <c r="U33" s="4" t="s">
        <v>71</v>
      </c>
      <c r="V33" s="4" t="s">
        <v>72</v>
      </c>
      <c r="W33" s="6" t="s">
        <v>145</v>
      </c>
      <c r="X33" s="4" t="s">
        <v>70</v>
      </c>
      <c r="Y33" s="4" t="s">
        <v>71</v>
      </c>
      <c r="Z33" s="4" t="s">
        <v>71</v>
      </c>
      <c r="AA33" s="4" t="s">
        <v>71</v>
      </c>
      <c r="AB33" s="4" t="s">
        <v>70</v>
      </c>
      <c r="AC33" s="4" t="s">
        <v>70</v>
      </c>
      <c r="AD33" s="4" t="s">
        <v>71</v>
      </c>
      <c r="AE33" s="4" t="s">
        <v>71</v>
      </c>
      <c r="AF33" s="4" t="s">
        <v>71</v>
      </c>
      <c r="AG33" s="4" t="s">
        <v>71</v>
      </c>
      <c r="AH33" s="4" t="s">
        <v>70</v>
      </c>
      <c r="AI33" s="4" t="s">
        <v>70</v>
      </c>
      <c r="AJ33" s="4" t="s">
        <v>71</v>
      </c>
      <c r="AK33" s="4" t="s">
        <v>71</v>
      </c>
      <c r="AL33" s="4" t="s">
        <v>71</v>
      </c>
      <c r="AM33" s="4" t="s">
        <v>70</v>
      </c>
      <c r="AN33" s="4" t="s">
        <v>70</v>
      </c>
      <c r="AO33" s="4" t="s">
        <v>71</v>
      </c>
      <c r="AP33" s="4" t="s">
        <v>71</v>
      </c>
      <c r="AQ33" s="4" t="s">
        <v>71</v>
      </c>
      <c r="AR33" s="4" t="s">
        <v>71</v>
      </c>
      <c r="AS33" s="4" t="s">
        <v>71</v>
      </c>
      <c r="AT33" s="4" t="s">
        <v>71</v>
      </c>
    </row>
    <row r="34" spans="1:95" ht="13.2" x14ac:dyDescent="0.25">
      <c r="A34" s="3">
        <v>45002.738249467591</v>
      </c>
      <c r="B34" s="4" t="s">
        <v>281</v>
      </c>
      <c r="C34" s="4" t="s">
        <v>276</v>
      </c>
      <c r="D34" s="5" t="s">
        <v>277</v>
      </c>
      <c r="E34" s="4" t="s">
        <v>62</v>
      </c>
      <c r="F34" s="4" t="s">
        <v>211</v>
      </c>
      <c r="G34" s="4" t="s">
        <v>64</v>
      </c>
      <c r="H34" s="4" t="s">
        <v>206</v>
      </c>
      <c r="I34" s="4" t="s">
        <v>278</v>
      </c>
      <c r="J34" s="4" t="s">
        <v>279</v>
      </c>
      <c r="K34" s="4" t="s">
        <v>281</v>
      </c>
      <c r="L34" s="4" t="s">
        <v>67</v>
      </c>
      <c r="M34" s="4" t="s">
        <v>174</v>
      </c>
      <c r="N34" s="4">
        <v>34</v>
      </c>
      <c r="O34" s="4" t="s">
        <v>69</v>
      </c>
      <c r="P34" s="4">
        <v>4</v>
      </c>
      <c r="Q34" s="4">
        <v>4</v>
      </c>
      <c r="R34" s="4">
        <v>25</v>
      </c>
      <c r="T34" s="4" t="s">
        <v>70</v>
      </c>
      <c r="U34" s="4" t="s">
        <v>71</v>
      </c>
      <c r="V34" s="4" t="s">
        <v>72</v>
      </c>
      <c r="W34" s="6" t="s">
        <v>145</v>
      </c>
      <c r="X34" s="4" t="s">
        <v>70</v>
      </c>
      <c r="Y34" s="4" t="s">
        <v>71</v>
      </c>
      <c r="Z34" s="4" t="s">
        <v>71</v>
      </c>
      <c r="AA34" s="4" t="s">
        <v>71</v>
      </c>
      <c r="AB34" s="4" t="s">
        <v>70</v>
      </c>
      <c r="AC34" s="4" t="s">
        <v>70</v>
      </c>
      <c r="AD34" s="4" t="s">
        <v>71</v>
      </c>
      <c r="AE34" s="4" t="s">
        <v>71</v>
      </c>
      <c r="AF34" s="4" t="s">
        <v>71</v>
      </c>
      <c r="AG34" s="4" t="s">
        <v>71</v>
      </c>
      <c r="AH34" s="4" t="s">
        <v>70</v>
      </c>
      <c r="AI34" s="4" t="s">
        <v>70</v>
      </c>
      <c r="AJ34" s="4" t="s">
        <v>71</v>
      </c>
      <c r="AK34" s="4" t="s">
        <v>71</v>
      </c>
      <c r="AL34" s="4" t="s">
        <v>71</v>
      </c>
      <c r="AM34" s="4" t="s">
        <v>70</v>
      </c>
      <c r="AN34" s="4" t="s">
        <v>70</v>
      </c>
      <c r="AO34" s="4" t="s">
        <v>71</v>
      </c>
      <c r="AP34" s="4" t="s">
        <v>71</v>
      </c>
      <c r="AQ34" s="4" t="s">
        <v>71</v>
      </c>
      <c r="AR34" s="4" t="s">
        <v>71</v>
      </c>
      <c r="AS34" s="4" t="s">
        <v>71</v>
      </c>
      <c r="AT34" s="4" t="s">
        <v>71</v>
      </c>
    </row>
    <row r="35" spans="1:95" ht="13.2" x14ac:dyDescent="0.25">
      <c r="A35" s="3">
        <v>45001.757350115746</v>
      </c>
      <c r="B35" s="4" t="s">
        <v>283</v>
      </c>
      <c r="C35" s="4" t="s">
        <v>284</v>
      </c>
      <c r="D35" s="5" t="s">
        <v>285</v>
      </c>
      <c r="E35" s="4" t="s">
        <v>62</v>
      </c>
      <c r="F35" s="4" t="s">
        <v>286</v>
      </c>
      <c r="G35" s="4" t="s">
        <v>64</v>
      </c>
      <c r="H35" s="4" t="s">
        <v>287</v>
      </c>
      <c r="I35" s="4" t="s">
        <v>288</v>
      </c>
      <c r="J35" s="4" t="s">
        <v>289</v>
      </c>
      <c r="K35" s="4" t="s">
        <v>283</v>
      </c>
      <c r="L35" s="4" t="s">
        <v>67</v>
      </c>
      <c r="M35" s="4" t="s">
        <v>209</v>
      </c>
      <c r="N35" s="4">
        <v>40</v>
      </c>
      <c r="O35" s="4" t="s">
        <v>69</v>
      </c>
      <c r="P35" s="4">
        <v>3</v>
      </c>
      <c r="Q35" s="4">
        <v>3</v>
      </c>
      <c r="R35" s="4">
        <v>5</v>
      </c>
      <c r="T35" s="4" t="s">
        <v>70</v>
      </c>
      <c r="U35" s="4" t="s">
        <v>71</v>
      </c>
      <c r="V35" s="4" t="s">
        <v>72</v>
      </c>
      <c r="W35" s="6" t="s">
        <v>145</v>
      </c>
      <c r="X35" s="4" t="s">
        <v>70</v>
      </c>
      <c r="Y35" s="4" t="s">
        <v>70</v>
      </c>
      <c r="Z35" s="4" t="s">
        <v>71</v>
      </c>
      <c r="AA35" s="4" t="s">
        <v>70</v>
      </c>
      <c r="AB35" s="4" t="s">
        <v>70</v>
      </c>
      <c r="AC35" s="4" t="s">
        <v>70</v>
      </c>
      <c r="AD35" s="4" t="s">
        <v>71</v>
      </c>
      <c r="AE35" s="4" t="s">
        <v>71</v>
      </c>
      <c r="AF35" s="4" t="s">
        <v>71</v>
      </c>
      <c r="AG35" s="4" t="s">
        <v>70</v>
      </c>
      <c r="AH35" s="4" t="s">
        <v>70</v>
      </c>
      <c r="AI35" s="4" t="s">
        <v>70</v>
      </c>
      <c r="AJ35" s="4" t="s">
        <v>71</v>
      </c>
      <c r="AK35" s="4" t="s">
        <v>71</v>
      </c>
      <c r="AL35" s="4" t="s">
        <v>70</v>
      </c>
      <c r="AM35" s="4" t="s">
        <v>70</v>
      </c>
      <c r="AN35" s="4" t="s">
        <v>70</v>
      </c>
      <c r="AO35" s="4" t="s">
        <v>71</v>
      </c>
      <c r="AP35" s="4" t="s">
        <v>71</v>
      </c>
      <c r="AQ35" s="4" t="s">
        <v>70</v>
      </c>
      <c r="AR35" s="4" t="s">
        <v>70</v>
      </c>
      <c r="AS35" s="4" t="s">
        <v>71</v>
      </c>
      <c r="AT35" s="4" t="s">
        <v>71</v>
      </c>
    </row>
    <row r="36" spans="1:95" ht="13.2" x14ac:dyDescent="0.25">
      <c r="A36" s="3">
        <v>45000.670496446764</v>
      </c>
      <c r="B36" s="4" t="s">
        <v>291</v>
      </c>
      <c r="C36" s="4" t="s">
        <v>292</v>
      </c>
      <c r="D36" s="5" t="s">
        <v>293</v>
      </c>
      <c r="E36" s="4" t="s">
        <v>62</v>
      </c>
      <c r="F36" s="4" t="s">
        <v>294</v>
      </c>
      <c r="G36" s="4" t="s">
        <v>64</v>
      </c>
      <c r="H36" s="4" t="s">
        <v>295</v>
      </c>
      <c r="I36" s="4" t="s">
        <v>296</v>
      </c>
      <c r="J36" s="4" t="s">
        <v>297</v>
      </c>
      <c r="K36" s="4" t="s">
        <v>291</v>
      </c>
      <c r="L36" s="4" t="s">
        <v>67</v>
      </c>
      <c r="M36" s="4" t="s">
        <v>212</v>
      </c>
      <c r="N36" s="4">
        <v>36</v>
      </c>
      <c r="O36" s="4" t="s">
        <v>69</v>
      </c>
      <c r="P36" s="4">
        <v>4</v>
      </c>
      <c r="Q36" s="4">
        <v>4</v>
      </c>
      <c r="R36" s="4">
        <v>0</v>
      </c>
      <c r="S36" s="4" t="s">
        <v>299</v>
      </c>
      <c r="T36" s="4" t="s">
        <v>70</v>
      </c>
      <c r="U36" s="4" t="s">
        <v>71</v>
      </c>
      <c r="V36" s="4" t="s">
        <v>72</v>
      </c>
      <c r="W36" s="8" t="s">
        <v>145</v>
      </c>
      <c r="X36" s="4" t="s">
        <v>70</v>
      </c>
      <c r="Y36" s="4" t="s">
        <v>71</v>
      </c>
      <c r="Z36" s="4" t="s">
        <v>71</v>
      </c>
      <c r="AA36" s="4" t="s">
        <v>71</v>
      </c>
      <c r="AB36" s="4" t="s">
        <v>71</v>
      </c>
      <c r="AC36" s="4" t="s">
        <v>70</v>
      </c>
      <c r="AD36" s="4" t="s">
        <v>71</v>
      </c>
      <c r="AE36" s="4" t="s">
        <v>71</v>
      </c>
      <c r="AF36" s="4" t="s">
        <v>71</v>
      </c>
      <c r="AG36" s="4" t="s">
        <v>71</v>
      </c>
      <c r="AH36" s="4" t="s">
        <v>71</v>
      </c>
      <c r="AI36" s="4" t="s">
        <v>71</v>
      </c>
      <c r="AJ36" s="4" t="s">
        <v>71</v>
      </c>
      <c r="AK36" s="4" t="s">
        <v>71</v>
      </c>
      <c r="AL36" s="4" t="s">
        <v>71</v>
      </c>
      <c r="AM36" s="4" t="s">
        <v>71</v>
      </c>
      <c r="AN36" s="4" t="s">
        <v>70</v>
      </c>
      <c r="AO36" s="4" t="s">
        <v>71</v>
      </c>
      <c r="AP36" s="4" t="s">
        <v>71</v>
      </c>
      <c r="AQ36" s="4" t="s">
        <v>70</v>
      </c>
      <c r="AR36" s="4" t="s">
        <v>71</v>
      </c>
      <c r="AS36" s="4" t="s">
        <v>71</v>
      </c>
      <c r="AT36" s="4" t="s">
        <v>71</v>
      </c>
      <c r="AU36" s="4" t="s">
        <v>300</v>
      </c>
    </row>
    <row r="37" spans="1:95" ht="13.2" x14ac:dyDescent="0.25">
      <c r="A37" s="3">
        <v>45001.527672581018</v>
      </c>
      <c r="B37" s="4" t="s">
        <v>301</v>
      </c>
      <c r="C37" s="4" t="s">
        <v>292</v>
      </c>
      <c r="D37" s="5" t="s">
        <v>293</v>
      </c>
      <c r="E37" s="4" t="s">
        <v>62</v>
      </c>
      <c r="F37" s="4" t="s">
        <v>294</v>
      </c>
      <c r="G37" s="4" t="s">
        <v>64</v>
      </c>
      <c r="H37" s="4" t="s">
        <v>295</v>
      </c>
      <c r="I37" s="4" t="s">
        <v>296</v>
      </c>
      <c r="J37" s="4" t="s">
        <v>302</v>
      </c>
      <c r="K37" s="4" t="s">
        <v>301</v>
      </c>
      <c r="L37" s="4" t="s">
        <v>67</v>
      </c>
      <c r="M37" s="4" t="s">
        <v>212</v>
      </c>
      <c r="N37" s="4">
        <v>35</v>
      </c>
      <c r="O37" s="4" t="s">
        <v>69</v>
      </c>
      <c r="P37" s="4">
        <v>5</v>
      </c>
      <c r="Q37" s="4">
        <v>5</v>
      </c>
      <c r="R37" s="4">
        <v>0</v>
      </c>
      <c r="S37" s="4" t="s">
        <v>304</v>
      </c>
      <c r="T37" s="4" t="s">
        <v>70</v>
      </c>
      <c r="U37" s="4" t="s">
        <v>71</v>
      </c>
      <c r="V37" s="4" t="s">
        <v>72</v>
      </c>
      <c r="W37" s="6" t="s">
        <v>73</v>
      </c>
      <c r="BT37" s="4" t="s">
        <v>70</v>
      </c>
      <c r="BU37" s="4" t="s">
        <v>71</v>
      </c>
      <c r="BV37" s="4" t="s">
        <v>71</v>
      </c>
      <c r="BW37" s="4" t="s">
        <v>71</v>
      </c>
      <c r="BX37" s="4" t="s">
        <v>70</v>
      </c>
      <c r="BY37" s="4" t="s">
        <v>71</v>
      </c>
      <c r="BZ37" s="4" t="s">
        <v>71</v>
      </c>
      <c r="CA37" s="4" t="s">
        <v>71</v>
      </c>
      <c r="CB37" s="4" t="s">
        <v>71</v>
      </c>
      <c r="CC37" s="4" t="s">
        <v>71</v>
      </c>
      <c r="CD37" s="4" t="s">
        <v>71</v>
      </c>
      <c r="CE37" s="4" t="s">
        <v>71</v>
      </c>
      <c r="CF37" s="4" t="s">
        <v>71</v>
      </c>
      <c r="CG37" s="4" t="s">
        <v>71</v>
      </c>
      <c r="CH37" s="4" t="s">
        <v>71</v>
      </c>
      <c r="CI37" s="4" t="s">
        <v>70</v>
      </c>
      <c r="CJ37" s="4" t="s">
        <v>71</v>
      </c>
      <c r="CK37" s="4" t="s">
        <v>71</v>
      </c>
      <c r="CL37" s="4" t="s">
        <v>71</v>
      </c>
      <c r="CM37" s="4" t="s">
        <v>71</v>
      </c>
      <c r="CN37" s="4" t="s">
        <v>70</v>
      </c>
      <c r="CO37" s="4" t="s">
        <v>71</v>
      </c>
      <c r="CP37" s="4" t="s">
        <v>71</v>
      </c>
      <c r="CQ37" s="4" t="s">
        <v>305</v>
      </c>
    </row>
    <row r="38" spans="1:95" ht="13.2" x14ac:dyDescent="0.25">
      <c r="A38" s="3">
        <v>45000.91059049769</v>
      </c>
      <c r="B38" s="4" t="s">
        <v>306</v>
      </c>
      <c r="C38" s="4" t="s">
        <v>307</v>
      </c>
      <c r="D38" s="5" t="s">
        <v>308</v>
      </c>
      <c r="E38" s="4" t="s">
        <v>62</v>
      </c>
      <c r="F38" s="4" t="s">
        <v>309</v>
      </c>
      <c r="G38" s="4" t="s">
        <v>105</v>
      </c>
      <c r="H38" s="4" t="s">
        <v>310</v>
      </c>
      <c r="I38" s="4" t="s">
        <v>311</v>
      </c>
      <c r="K38" s="4" t="s">
        <v>306</v>
      </c>
      <c r="L38" s="4" t="s">
        <v>67</v>
      </c>
      <c r="M38" s="4" t="s">
        <v>220</v>
      </c>
      <c r="N38" s="4">
        <v>30</v>
      </c>
      <c r="O38" s="4" t="s">
        <v>97</v>
      </c>
      <c r="P38" s="4">
        <v>5</v>
      </c>
      <c r="Q38" s="4">
        <v>3</v>
      </c>
      <c r="R38" s="4">
        <v>40</v>
      </c>
      <c r="S38" s="4" t="s">
        <v>313</v>
      </c>
      <c r="T38" s="4" t="s">
        <v>70</v>
      </c>
      <c r="U38" s="4" t="s">
        <v>71</v>
      </c>
      <c r="V38" s="4" t="s">
        <v>72</v>
      </c>
      <c r="W38" s="6" t="s">
        <v>73</v>
      </c>
      <c r="BT38" s="4" t="s">
        <v>70</v>
      </c>
      <c r="BU38" s="4" t="s">
        <v>70</v>
      </c>
      <c r="BV38" s="4" t="s">
        <v>71</v>
      </c>
      <c r="BW38" s="4" t="s">
        <v>71</v>
      </c>
      <c r="BX38" s="4" t="s">
        <v>70</v>
      </c>
      <c r="BY38" s="4" t="s">
        <v>71</v>
      </c>
      <c r="BZ38" s="4" t="s">
        <v>71</v>
      </c>
      <c r="CA38" s="4" t="s">
        <v>71</v>
      </c>
      <c r="CB38" s="4" t="s">
        <v>71</v>
      </c>
      <c r="CC38" s="4" t="s">
        <v>71</v>
      </c>
      <c r="CD38" s="4" t="s">
        <v>71</v>
      </c>
      <c r="CE38" s="4" t="s">
        <v>70</v>
      </c>
      <c r="CF38" s="4" t="s">
        <v>71</v>
      </c>
      <c r="CG38" s="4" t="s">
        <v>71</v>
      </c>
      <c r="CH38" s="4" t="s">
        <v>71</v>
      </c>
      <c r="CI38" s="4" t="s">
        <v>71</v>
      </c>
      <c r="CJ38" s="4" t="s">
        <v>70</v>
      </c>
      <c r="CK38" s="4" t="s">
        <v>71</v>
      </c>
      <c r="CL38" s="4" t="s">
        <v>71</v>
      </c>
      <c r="CM38" s="4" t="s">
        <v>71</v>
      </c>
      <c r="CN38" s="4" t="s">
        <v>71</v>
      </c>
      <c r="CO38" s="4" t="s">
        <v>71</v>
      </c>
      <c r="CP38" s="4" t="s">
        <v>71</v>
      </c>
      <c r="CQ38" s="4" t="s">
        <v>314</v>
      </c>
    </row>
    <row r="39" spans="1:95" ht="13.2" x14ac:dyDescent="0.25">
      <c r="A39" s="3">
        <v>45003.550294120374</v>
      </c>
      <c r="B39" s="4" t="s">
        <v>315</v>
      </c>
      <c r="C39" s="4" t="s">
        <v>316</v>
      </c>
      <c r="D39" s="5" t="s">
        <v>317</v>
      </c>
      <c r="E39" s="4" t="s">
        <v>149</v>
      </c>
      <c r="F39" s="4" t="s">
        <v>318</v>
      </c>
      <c r="G39" s="4" t="s">
        <v>64</v>
      </c>
      <c r="H39" s="4" t="s">
        <v>319</v>
      </c>
      <c r="I39" s="4" t="s">
        <v>320</v>
      </c>
      <c r="J39" s="4" t="s">
        <v>321</v>
      </c>
      <c r="K39" s="4" t="s">
        <v>315</v>
      </c>
      <c r="L39" s="4" t="s">
        <v>67</v>
      </c>
      <c r="M39" s="4" t="s">
        <v>96</v>
      </c>
      <c r="N39" s="4">
        <v>30</v>
      </c>
      <c r="O39" s="4" t="s">
        <v>69</v>
      </c>
      <c r="P39" s="4">
        <v>3</v>
      </c>
      <c r="Q39" s="4">
        <v>2</v>
      </c>
      <c r="R39" s="4">
        <v>5</v>
      </c>
      <c r="T39" s="4" t="s">
        <v>71</v>
      </c>
      <c r="U39" s="4" t="s">
        <v>70</v>
      </c>
      <c r="V39" s="4" t="s">
        <v>87</v>
      </c>
      <c r="W39" s="6" t="s">
        <v>99</v>
      </c>
      <c r="AV39" s="4" t="s">
        <v>71</v>
      </c>
      <c r="AW39" s="4" t="s">
        <v>71</v>
      </c>
      <c r="AX39" s="4" t="s">
        <v>70</v>
      </c>
      <c r="AY39" s="4" t="s">
        <v>71</v>
      </c>
      <c r="AZ39" s="4" t="s">
        <v>71</v>
      </c>
      <c r="BA39" s="4" t="s">
        <v>71</v>
      </c>
      <c r="BB39" s="4" t="s">
        <v>70</v>
      </c>
      <c r="BC39" s="4" t="s">
        <v>71</v>
      </c>
      <c r="BD39" s="4" t="s">
        <v>70</v>
      </c>
      <c r="BE39" s="4" t="s">
        <v>71</v>
      </c>
      <c r="BF39" s="4" t="s">
        <v>71</v>
      </c>
      <c r="BG39" s="4" t="s">
        <v>71</v>
      </c>
      <c r="BH39" s="4" t="s">
        <v>71</v>
      </c>
      <c r="BI39" s="4" t="s">
        <v>70</v>
      </c>
      <c r="BJ39" s="4" t="s">
        <v>71</v>
      </c>
      <c r="BK39" s="4" t="s">
        <v>71</v>
      </c>
      <c r="BL39" s="4" t="s">
        <v>71</v>
      </c>
      <c r="BM39" s="4" t="s">
        <v>71</v>
      </c>
      <c r="BN39" s="4" t="s">
        <v>71</v>
      </c>
      <c r="BO39" s="4" t="s">
        <v>71</v>
      </c>
      <c r="BP39" s="4" t="s">
        <v>71</v>
      </c>
      <c r="BR39" s="4" t="s">
        <v>71</v>
      </c>
    </row>
    <row r="40" spans="1:95" ht="13.2" x14ac:dyDescent="0.25">
      <c r="A40" s="3">
        <v>45003.552630219907</v>
      </c>
      <c r="B40" s="4" t="s">
        <v>315</v>
      </c>
      <c r="C40" s="4" t="s">
        <v>316</v>
      </c>
      <c r="D40" s="5" t="s">
        <v>317</v>
      </c>
      <c r="E40" s="4" t="s">
        <v>149</v>
      </c>
      <c r="F40" s="4" t="s">
        <v>318</v>
      </c>
      <c r="G40" s="4" t="s">
        <v>64</v>
      </c>
      <c r="H40" s="4" t="s">
        <v>320</v>
      </c>
      <c r="I40" s="4" t="s">
        <v>323</v>
      </c>
      <c r="J40" s="4" t="s">
        <v>321</v>
      </c>
      <c r="K40" s="4" t="s">
        <v>315</v>
      </c>
      <c r="L40" s="4" t="s">
        <v>67</v>
      </c>
      <c r="M40" s="4" t="s">
        <v>96</v>
      </c>
      <c r="N40" s="4">
        <v>28</v>
      </c>
      <c r="O40" s="4" t="s">
        <v>69</v>
      </c>
      <c r="P40" s="4">
        <v>3</v>
      </c>
      <c r="Q40" s="4">
        <v>2</v>
      </c>
      <c r="R40" s="4">
        <v>5</v>
      </c>
      <c r="T40" s="4" t="s">
        <v>71</v>
      </c>
      <c r="U40" s="4" t="s">
        <v>70</v>
      </c>
      <c r="V40" s="4" t="s">
        <v>87</v>
      </c>
      <c r="W40" s="6" t="s">
        <v>99</v>
      </c>
      <c r="AV40" s="4" t="s">
        <v>71</v>
      </c>
      <c r="AW40" s="4" t="s">
        <v>71</v>
      </c>
      <c r="AX40" s="4" t="s">
        <v>70</v>
      </c>
      <c r="AY40" s="4" t="s">
        <v>71</v>
      </c>
      <c r="AZ40" s="4" t="s">
        <v>71</v>
      </c>
      <c r="BA40" s="4" t="s">
        <v>71</v>
      </c>
      <c r="BB40" s="4" t="s">
        <v>70</v>
      </c>
      <c r="BC40" s="4" t="s">
        <v>71</v>
      </c>
      <c r="BD40" s="4" t="s">
        <v>70</v>
      </c>
      <c r="BE40" s="4" t="s">
        <v>71</v>
      </c>
      <c r="BF40" s="4" t="s">
        <v>71</v>
      </c>
      <c r="BG40" s="4" t="s">
        <v>71</v>
      </c>
      <c r="BH40" s="4" t="s">
        <v>71</v>
      </c>
      <c r="BI40" s="4" t="s">
        <v>70</v>
      </c>
      <c r="BJ40" s="4" t="s">
        <v>71</v>
      </c>
      <c r="BK40" s="4" t="s">
        <v>71</v>
      </c>
      <c r="BL40" s="4" t="s">
        <v>71</v>
      </c>
      <c r="BM40" s="4" t="s">
        <v>71</v>
      </c>
      <c r="BN40" s="4" t="s">
        <v>71</v>
      </c>
      <c r="BO40" s="4" t="s">
        <v>71</v>
      </c>
      <c r="BP40" s="4" t="s">
        <v>71</v>
      </c>
      <c r="BQ40" s="4" t="s">
        <v>71</v>
      </c>
      <c r="BR40" s="4" t="s">
        <v>71</v>
      </c>
    </row>
    <row r="41" spans="1:95" ht="13.2" x14ac:dyDescent="0.25">
      <c r="A41" s="3">
        <v>45000.769938599537</v>
      </c>
      <c r="B41" s="4" t="s">
        <v>325</v>
      </c>
      <c r="C41" s="4" t="s">
        <v>326</v>
      </c>
      <c r="D41" s="7" t="s">
        <v>327</v>
      </c>
      <c r="E41" s="4" t="s">
        <v>149</v>
      </c>
      <c r="F41" s="4" t="s">
        <v>328</v>
      </c>
      <c r="G41" s="4" t="s">
        <v>105</v>
      </c>
      <c r="H41" s="4" t="s">
        <v>329</v>
      </c>
      <c r="I41" s="4" t="s">
        <v>330</v>
      </c>
      <c r="K41" s="4" t="s">
        <v>325</v>
      </c>
      <c r="L41" s="4" t="s">
        <v>67</v>
      </c>
      <c r="M41" s="4" t="s">
        <v>228</v>
      </c>
      <c r="N41" s="4">
        <v>10</v>
      </c>
      <c r="O41" s="4" t="s">
        <v>69</v>
      </c>
      <c r="P41" s="4">
        <v>4</v>
      </c>
      <c r="Q41" s="4">
        <v>3</v>
      </c>
      <c r="R41" s="4">
        <v>30</v>
      </c>
      <c r="T41" s="4" t="s">
        <v>70</v>
      </c>
      <c r="U41" s="4" t="s">
        <v>70</v>
      </c>
      <c r="V41" s="4" t="s">
        <v>237</v>
      </c>
      <c r="W41" s="6" t="s">
        <v>73</v>
      </c>
      <c r="BT41" s="4" t="s">
        <v>70</v>
      </c>
      <c r="BU41" s="4" t="s">
        <v>71</v>
      </c>
      <c r="BV41" s="4" t="s">
        <v>70</v>
      </c>
      <c r="BW41" s="4" t="s">
        <v>71</v>
      </c>
      <c r="BX41" s="4" t="s">
        <v>71</v>
      </c>
      <c r="BY41" s="4" t="s">
        <v>71</v>
      </c>
      <c r="BZ41" s="4" t="s">
        <v>70</v>
      </c>
      <c r="CA41" s="4" t="s">
        <v>71</v>
      </c>
      <c r="CB41" s="4" t="s">
        <v>71</v>
      </c>
      <c r="CC41" s="4" t="s">
        <v>71</v>
      </c>
      <c r="CD41" s="4" t="s">
        <v>71</v>
      </c>
      <c r="CE41" s="4" t="s">
        <v>70</v>
      </c>
      <c r="CF41" s="4" t="s">
        <v>71</v>
      </c>
      <c r="CG41" s="4" t="s">
        <v>71</v>
      </c>
      <c r="CH41" s="4" t="s">
        <v>71</v>
      </c>
      <c r="CI41" s="4" t="s">
        <v>71</v>
      </c>
      <c r="CJ41" s="4" t="s">
        <v>71</v>
      </c>
      <c r="CK41" s="4" t="s">
        <v>70</v>
      </c>
      <c r="CL41" s="4" t="s">
        <v>70</v>
      </c>
    </row>
    <row r="42" spans="1:95" ht="13.2" x14ac:dyDescent="0.25">
      <c r="A42" s="3">
        <v>45003.473190891207</v>
      </c>
      <c r="B42" s="4" t="s">
        <v>332</v>
      </c>
      <c r="C42" s="4" t="s">
        <v>333</v>
      </c>
      <c r="D42" s="7" t="s">
        <v>327</v>
      </c>
      <c r="E42" s="4" t="s">
        <v>103</v>
      </c>
      <c r="F42" s="4" t="s">
        <v>334</v>
      </c>
      <c r="G42" s="4" t="s">
        <v>105</v>
      </c>
      <c r="H42" s="4" t="s">
        <v>335</v>
      </c>
      <c r="I42" s="4" t="s">
        <v>336</v>
      </c>
      <c r="J42" s="4" t="s">
        <v>337</v>
      </c>
      <c r="K42" s="4" t="s">
        <v>332</v>
      </c>
      <c r="L42" s="4" t="s">
        <v>67</v>
      </c>
      <c r="M42" s="4" t="s">
        <v>228</v>
      </c>
      <c r="N42" s="4">
        <v>35</v>
      </c>
      <c r="O42" s="4" t="s">
        <v>97</v>
      </c>
      <c r="P42" s="4">
        <v>4</v>
      </c>
      <c r="Q42" s="4">
        <v>4</v>
      </c>
      <c r="R42" s="4">
        <v>10</v>
      </c>
      <c r="T42" s="4" t="s">
        <v>70</v>
      </c>
      <c r="U42" s="4" t="s">
        <v>71</v>
      </c>
      <c r="V42" s="4" t="s">
        <v>72</v>
      </c>
      <c r="W42" s="6" t="s">
        <v>73</v>
      </c>
      <c r="BT42" s="4" t="s">
        <v>70</v>
      </c>
      <c r="BU42" s="4" t="s">
        <v>71</v>
      </c>
      <c r="BV42" s="4" t="s">
        <v>71</v>
      </c>
      <c r="BW42" s="4" t="s">
        <v>71</v>
      </c>
      <c r="BX42" s="4" t="s">
        <v>70</v>
      </c>
      <c r="BY42" s="4" t="s">
        <v>71</v>
      </c>
      <c r="BZ42" s="4" t="s">
        <v>70</v>
      </c>
      <c r="CA42" s="4" t="s">
        <v>71</v>
      </c>
      <c r="CB42" s="4" t="s">
        <v>71</v>
      </c>
      <c r="CC42" s="4" t="s">
        <v>71</v>
      </c>
      <c r="CD42" s="4" t="s">
        <v>70</v>
      </c>
      <c r="CE42" s="4" t="s">
        <v>70</v>
      </c>
      <c r="CF42" s="4" t="s">
        <v>71</v>
      </c>
      <c r="CG42" s="4" t="s">
        <v>71</v>
      </c>
      <c r="CH42" s="4" t="s">
        <v>71</v>
      </c>
      <c r="CI42" s="4" t="s">
        <v>70</v>
      </c>
      <c r="CJ42" s="4" t="s">
        <v>70</v>
      </c>
      <c r="CK42" s="4" t="s">
        <v>71</v>
      </c>
      <c r="CL42" s="4" t="s">
        <v>71</v>
      </c>
      <c r="CM42" s="4" t="s">
        <v>70</v>
      </c>
      <c r="CN42" s="4" t="s">
        <v>70</v>
      </c>
      <c r="CO42" s="4" t="s">
        <v>71</v>
      </c>
      <c r="CP42" s="4" t="s">
        <v>71</v>
      </c>
    </row>
    <row r="43" spans="1:95" ht="13.2" x14ac:dyDescent="0.25">
      <c r="A43" s="3">
        <v>45002.412812291666</v>
      </c>
      <c r="B43" s="4" t="s">
        <v>332</v>
      </c>
      <c r="C43" s="4" t="s">
        <v>333</v>
      </c>
      <c r="D43" s="7" t="s">
        <v>327</v>
      </c>
      <c r="E43" s="4" t="s">
        <v>103</v>
      </c>
      <c r="F43" s="4" t="s">
        <v>334</v>
      </c>
      <c r="G43" s="4" t="s">
        <v>105</v>
      </c>
      <c r="H43" s="4" t="s">
        <v>335</v>
      </c>
      <c r="I43" s="4" t="s">
        <v>339</v>
      </c>
      <c r="J43" s="4" t="s">
        <v>340</v>
      </c>
      <c r="K43" s="4" t="s">
        <v>341</v>
      </c>
      <c r="L43" s="4" t="s">
        <v>67</v>
      </c>
      <c r="M43" s="4" t="s">
        <v>228</v>
      </c>
      <c r="N43" s="4">
        <v>35</v>
      </c>
      <c r="O43" s="4" t="s">
        <v>69</v>
      </c>
      <c r="P43" s="4">
        <v>4</v>
      </c>
      <c r="Q43" s="4">
        <v>4</v>
      </c>
      <c r="R43" s="4">
        <v>10</v>
      </c>
      <c r="T43" s="4" t="s">
        <v>70</v>
      </c>
      <c r="U43" s="4" t="s">
        <v>70</v>
      </c>
      <c r="V43" s="4" t="s">
        <v>237</v>
      </c>
      <c r="W43" s="8" t="s">
        <v>145</v>
      </c>
      <c r="X43" s="4" t="s">
        <v>70</v>
      </c>
      <c r="Y43" s="4" t="s">
        <v>71</v>
      </c>
      <c r="Z43" s="4" t="s">
        <v>71</v>
      </c>
      <c r="AA43" s="4" t="s">
        <v>71</v>
      </c>
      <c r="AB43" s="4" t="s">
        <v>71</v>
      </c>
      <c r="AC43" s="4" t="s">
        <v>70</v>
      </c>
      <c r="AD43" s="4" t="s">
        <v>70</v>
      </c>
      <c r="AE43" s="4" t="s">
        <v>71</v>
      </c>
      <c r="AF43" s="4" t="s">
        <v>71</v>
      </c>
      <c r="AG43" s="4" t="s">
        <v>71</v>
      </c>
      <c r="AH43" s="4" t="s">
        <v>70</v>
      </c>
      <c r="AI43" s="4" t="s">
        <v>70</v>
      </c>
      <c r="AJ43" s="4" t="s">
        <v>71</v>
      </c>
      <c r="AK43" s="4" t="s">
        <v>71</v>
      </c>
      <c r="AL43" s="4" t="s">
        <v>71</v>
      </c>
      <c r="AM43" s="4" t="s">
        <v>70</v>
      </c>
      <c r="AN43" s="4" t="s">
        <v>70</v>
      </c>
      <c r="AO43" s="4" t="s">
        <v>71</v>
      </c>
      <c r="AP43" s="4" t="s">
        <v>71</v>
      </c>
      <c r="AQ43" s="4" t="s">
        <v>70</v>
      </c>
      <c r="AR43" s="4" t="s">
        <v>70</v>
      </c>
      <c r="AS43" s="4" t="s">
        <v>71</v>
      </c>
      <c r="AT43" s="4" t="s">
        <v>71</v>
      </c>
    </row>
    <row r="44" spans="1:95" ht="13.2" x14ac:dyDescent="0.25">
      <c r="A44" s="3">
        <v>45006.424964826394</v>
      </c>
      <c r="B44" s="4" t="s">
        <v>343</v>
      </c>
      <c r="C44" s="4" t="s">
        <v>344</v>
      </c>
      <c r="D44" s="6" t="s">
        <v>345</v>
      </c>
      <c r="E44" s="4" t="s">
        <v>62</v>
      </c>
      <c r="F44" s="4" t="s">
        <v>346</v>
      </c>
      <c r="G44" s="4" t="s">
        <v>64</v>
      </c>
      <c r="H44" s="4" t="s">
        <v>347</v>
      </c>
      <c r="I44" s="4" t="s">
        <v>348</v>
      </c>
      <c r="J44" s="4" t="s">
        <v>349</v>
      </c>
      <c r="K44" s="4" t="s">
        <v>343</v>
      </c>
      <c r="L44" s="4" t="s">
        <v>67</v>
      </c>
      <c r="M44" s="4" t="s">
        <v>236</v>
      </c>
      <c r="N44" s="4">
        <v>30</v>
      </c>
      <c r="O44" s="4" t="s">
        <v>97</v>
      </c>
      <c r="P44" s="4">
        <v>5</v>
      </c>
      <c r="Q44" s="4">
        <v>4</v>
      </c>
      <c r="R44" s="4">
        <v>50</v>
      </c>
      <c r="T44" s="4" t="s">
        <v>70</v>
      </c>
      <c r="U44" s="4" t="s">
        <v>71</v>
      </c>
      <c r="V44" s="4" t="s">
        <v>72</v>
      </c>
      <c r="W44" s="6" t="s">
        <v>73</v>
      </c>
      <c r="BT44" s="4" t="s">
        <v>70</v>
      </c>
      <c r="BU44" s="4" t="s">
        <v>71</v>
      </c>
      <c r="BV44" s="4" t="s">
        <v>71</v>
      </c>
      <c r="BW44" s="4" t="s">
        <v>71</v>
      </c>
      <c r="BX44" s="4" t="s">
        <v>70</v>
      </c>
      <c r="BY44" s="4" t="s">
        <v>71</v>
      </c>
      <c r="BZ44" s="4" t="s">
        <v>71</v>
      </c>
      <c r="CA44" s="4" t="s">
        <v>71</v>
      </c>
      <c r="CB44" s="4" t="s">
        <v>71</v>
      </c>
      <c r="CC44" s="4" t="s">
        <v>71</v>
      </c>
      <c r="CD44" s="4" t="s">
        <v>71</v>
      </c>
      <c r="CE44" s="4" t="s">
        <v>71</v>
      </c>
      <c r="CF44" s="4" t="s">
        <v>71</v>
      </c>
      <c r="CG44" s="4" t="s">
        <v>71</v>
      </c>
      <c r="CH44" s="4" t="s">
        <v>71</v>
      </c>
      <c r="CI44" s="4" t="s">
        <v>71</v>
      </c>
      <c r="CJ44" s="4" t="s">
        <v>71</v>
      </c>
      <c r="CK44" s="4" t="s">
        <v>71</v>
      </c>
      <c r="CL44" s="4" t="s">
        <v>71</v>
      </c>
      <c r="CM44" s="4" t="s">
        <v>71</v>
      </c>
      <c r="CN44" s="4" t="s">
        <v>70</v>
      </c>
      <c r="CO44" s="4" t="s">
        <v>71</v>
      </c>
      <c r="CP44" s="4" t="s">
        <v>71</v>
      </c>
    </row>
    <row r="45" spans="1:95" ht="13.2" x14ac:dyDescent="0.25">
      <c r="A45" s="3">
        <v>45006.433339212963</v>
      </c>
      <c r="B45" s="4" t="s">
        <v>343</v>
      </c>
      <c r="C45" s="4" t="s">
        <v>344</v>
      </c>
      <c r="D45" s="6" t="s">
        <v>345</v>
      </c>
      <c r="E45" s="4" t="s">
        <v>62</v>
      </c>
      <c r="F45" s="4" t="s">
        <v>351</v>
      </c>
      <c r="G45" s="4" t="s">
        <v>64</v>
      </c>
      <c r="H45" s="4" t="s">
        <v>347</v>
      </c>
      <c r="I45" s="4" t="s">
        <v>352</v>
      </c>
      <c r="J45" s="4" t="s">
        <v>349</v>
      </c>
      <c r="K45" s="4" t="s">
        <v>343</v>
      </c>
      <c r="L45" s="4" t="s">
        <v>67</v>
      </c>
      <c r="M45" s="4" t="s">
        <v>236</v>
      </c>
      <c r="N45" s="4">
        <v>30</v>
      </c>
      <c r="O45" s="4" t="s">
        <v>69</v>
      </c>
      <c r="P45" s="4">
        <v>5</v>
      </c>
      <c r="Q45" s="4">
        <v>4</v>
      </c>
      <c r="R45" s="4">
        <v>50</v>
      </c>
      <c r="T45" s="4" t="s">
        <v>70</v>
      </c>
      <c r="U45" s="4" t="s">
        <v>71</v>
      </c>
      <c r="V45" s="4" t="s">
        <v>72</v>
      </c>
      <c r="W45" s="6" t="s">
        <v>73</v>
      </c>
      <c r="BT45" s="4" t="s">
        <v>70</v>
      </c>
      <c r="BU45" s="4" t="s">
        <v>71</v>
      </c>
      <c r="BV45" s="4" t="s">
        <v>71</v>
      </c>
      <c r="BW45" s="4" t="s">
        <v>71</v>
      </c>
      <c r="BX45" s="4" t="s">
        <v>70</v>
      </c>
      <c r="BY45" s="4" t="s">
        <v>71</v>
      </c>
      <c r="BZ45" s="4" t="s">
        <v>71</v>
      </c>
      <c r="CA45" s="4" t="s">
        <v>71</v>
      </c>
      <c r="CB45" s="4" t="s">
        <v>71</v>
      </c>
      <c r="CC45" s="4" t="s">
        <v>71</v>
      </c>
      <c r="CD45" s="4" t="s">
        <v>71</v>
      </c>
      <c r="CE45" s="4" t="s">
        <v>71</v>
      </c>
      <c r="CF45" s="4" t="s">
        <v>71</v>
      </c>
      <c r="CG45" s="4" t="s">
        <v>71</v>
      </c>
      <c r="CH45" s="4" t="s">
        <v>71</v>
      </c>
      <c r="CI45" s="4" t="s">
        <v>71</v>
      </c>
      <c r="CJ45" s="4" t="s">
        <v>71</v>
      </c>
      <c r="CK45" s="4" t="s">
        <v>71</v>
      </c>
      <c r="CL45" s="4" t="s">
        <v>71</v>
      </c>
      <c r="CM45" s="4" t="s">
        <v>71</v>
      </c>
      <c r="CN45" s="4" t="s">
        <v>70</v>
      </c>
      <c r="CO45" s="4" t="s">
        <v>71</v>
      </c>
      <c r="CP45" s="4" t="s">
        <v>71</v>
      </c>
    </row>
    <row r="46" spans="1:95" ht="13.2" x14ac:dyDescent="0.25">
      <c r="A46" s="3">
        <v>45002.77232319444</v>
      </c>
      <c r="B46" s="4" t="s">
        <v>354</v>
      </c>
      <c r="C46" s="4" t="s">
        <v>355</v>
      </c>
      <c r="D46" s="5" t="s">
        <v>356</v>
      </c>
      <c r="E46" s="4" t="s">
        <v>140</v>
      </c>
      <c r="F46" s="4" t="s">
        <v>357</v>
      </c>
      <c r="G46" s="4" t="s">
        <v>105</v>
      </c>
      <c r="H46" s="4" t="s">
        <v>358</v>
      </c>
      <c r="I46" s="4" t="s">
        <v>359</v>
      </c>
      <c r="J46" s="4" t="s">
        <v>360</v>
      </c>
      <c r="K46" s="4" t="s">
        <v>354</v>
      </c>
      <c r="L46" s="4" t="s">
        <v>67</v>
      </c>
      <c r="M46" s="4" t="s">
        <v>246</v>
      </c>
      <c r="N46" s="4">
        <v>30</v>
      </c>
      <c r="O46" s="4" t="s">
        <v>97</v>
      </c>
      <c r="P46" s="4">
        <v>4</v>
      </c>
      <c r="Q46" s="4">
        <v>4</v>
      </c>
      <c r="R46" s="4">
        <v>20</v>
      </c>
      <c r="T46" s="4" t="s">
        <v>70</v>
      </c>
      <c r="U46" s="4" t="s">
        <v>71</v>
      </c>
      <c r="V46" s="4" t="s">
        <v>72</v>
      </c>
      <c r="W46" s="6" t="s">
        <v>73</v>
      </c>
      <c r="BT46" s="4" t="s">
        <v>71</v>
      </c>
      <c r="BU46" s="4" t="s">
        <v>71</v>
      </c>
      <c r="BV46" s="4" t="s">
        <v>70</v>
      </c>
      <c r="BW46" s="4" t="s">
        <v>71</v>
      </c>
      <c r="BX46" s="4" t="s">
        <v>70</v>
      </c>
      <c r="BY46" s="4" t="s">
        <v>70</v>
      </c>
      <c r="BZ46" s="4" t="s">
        <v>71</v>
      </c>
      <c r="CA46" s="4" t="s">
        <v>71</v>
      </c>
      <c r="CB46" s="4" t="s">
        <v>71</v>
      </c>
      <c r="CE46" s="4" t="s">
        <v>70</v>
      </c>
      <c r="CH46" s="4" t="s">
        <v>70</v>
      </c>
    </row>
    <row r="47" spans="1:95" ht="13.2" x14ac:dyDescent="0.25">
      <c r="A47" s="3">
        <v>45005.497309247687</v>
      </c>
      <c r="B47" s="4" t="s">
        <v>354</v>
      </c>
      <c r="C47" s="4" t="s">
        <v>355</v>
      </c>
      <c r="D47" s="5" t="s">
        <v>356</v>
      </c>
      <c r="E47" s="4" t="s">
        <v>140</v>
      </c>
      <c r="F47" s="4" t="s">
        <v>362</v>
      </c>
      <c r="G47" s="4" t="s">
        <v>105</v>
      </c>
      <c r="H47" s="4" t="s">
        <v>363</v>
      </c>
      <c r="I47" s="4" t="s">
        <v>359</v>
      </c>
      <c r="J47" s="4" t="s">
        <v>360</v>
      </c>
      <c r="K47" s="4" t="s">
        <v>354</v>
      </c>
      <c r="L47" s="4" t="s">
        <v>67</v>
      </c>
      <c r="M47" s="4" t="s">
        <v>251</v>
      </c>
      <c r="N47" s="4">
        <v>35</v>
      </c>
      <c r="O47" s="4" t="s">
        <v>200</v>
      </c>
      <c r="P47" s="4">
        <v>4</v>
      </c>
      <c r="Q47" s="4">
        <v>4</v>
      </c>
      <c r="R47" s="4">
        <v>30</v>
      </c>
      <c r="S47" s="4" t="s">
        <v>365</v>
      </c>
      <c r="T47" s="4" t="s">
        <v>70</v>
      </c>
      <c r="U47" s="4" t="s">
        <v>71</v>
      </c>
      <c r="V47" s="4" t="s">
        <v>72</v>
      </c>
      <c r="W47" s="6" t="s">
        <v>73</v>
      </c>
      <c r="BT47" s="4" t="s">
        <v>71</v>
      </c>
      <c r="BU47" s="4" t="s">
        <v>71</v>
      </c>
      <c r="BV47" s="4" t="s">
        <v>71</v>
      </c>
      <c r="BW47" s="4" t="s">
        <v>71</v>
      </c>
      <c r="BX47" s="4" t="s">
        <v>70</v>
      </c>
      <c r="BY47" s="4" t="s">
        <v>71</v>
      </c>
      <c r="BZ47" s="4" t="s">
        <v>71</v>
      </c>
      <c r="CA47" s="4" t="s">
        <v>71</v>
      </c>
      <c r="CB47" s="4" t="s">
        <v>71</v>
      </c>
      <c r="CE47" s="4" t="s">
        <v>70</v>
      </c>
      <c r="CH47" s="4" t="s">
        <v>70</v>
      </c>
      <c r="CM47" s="4" t="s">
        <v>71</v>
      </c>
      <c r="CN47" s="4" t="s">
        <v>71</v>
      </c>
      <c r="CO47" s="4" t="s">
        <v>71</v>
      </c>
      <c r="CP47" s="4" t="s">
        <v>71</v>
      </c>
      <c r="CQ47" s="4" t="s">
        <v>366</v>
      </c>
    </row>
    <row r="48" spans="1:95" ht="13.2" x14ac:dyDescent="0.25">
      <c r="A48" s="3">
        <v>45005.501624016208</v>
      </c>
      <c r="B48" s="4" t="s">
        <v>354</v>
      </c>
      <c r="C48" s="4" t="s">
        <v>355</v>
      </c>
      <c r="D48" s="5" t="s">
        <v>356</v>
      </c>
      <c r="E48" s="4" t="s">
        <v>140</v>
      </c>
      <c r="F48" s="4" t="s">
        <v>362</v>
      </c>
      <c r="G48" s="4" t="s">
        <v>105</v>
      </c>
      <c r="H48" s="4" t="s">
        <v>358</v>
      </c>
      <c r="I48" s="4" t="s">
        <v>359</v>
      </c>
      <c r="J48" s="4" t="s">
        <v>360</v>
      </c>
      <c r="K48" s="4" t="s">
        <v>354</v>
      </c>
      <c r="L48" s="4" t="s">
        <v>67</v>
      </c>
      <c r="M48" s="4" t="s">
        <v>251</v>
      </c>
      <c r="N48" s="4">
        <v>35</v>
      </c>
      <c r="O48" s="4" t="s">
        <v>97</v>
      </c>
      <c r="P48" s="4">
        <v>4</v>
      </c>
      <c r="Q48" s="4">
        <v>4</v>
      </c>
      <c r="R48" s="4">
        <v>30</v>
      </c>
      <c r="T48" s="4" t="s">
        <v>70</v>
      </c>
      <c r="U48" s="4" t="s">
        <v>71</v>
      </c>
      <c r="V48" s="4" t="s">
        <v>72</v>
      </c>
      <c r="W48" s="6" t="s">
        <v>73</v>
      </c>
      <c r="BT48" s="4" t="s">
        <v>71</v>
      </c>
      <c r="BU48" s="4" t="s">
        <v>71</v>
      </c>
      <c r="BV48" s="4" t="s">
        <v>71</v>
      </c>
      <c r="BW48" s="4" t="s">
        <v>71</v>
      </c>
      <c r="BX48" s="4" t="s">
        <v>70</v>
      </c>
      <c r="BY48" s="4" t="s">
        <v>71</v>
      </c>
      <c r="BZ48" s="4" t="s">
        <v>71</v>
      </c>
      <c r="CA48" s="4" t="s">
        <v>71</v>
      </c>
      <c r="CB48" s="4" t="s">
        <v>71</v>
      </c>
      <c r="CE48" s="4" t="s">
        <v>70</v>
      </c>
      <c r="CH48" s="4" t="s">
        <v>70</v>
      </c>
      <c r="CM48" s="4" t="s">
        <v>71</v>
      </c>
      <c r="CN48" s="4" t="s">
        <v>71</v>
      </c>
      <c r="CO48" s="4" t="s">
        <v>71</v>
      </c>
      <c r="CP48" s="4" t="s">
        <v>71</v>
      </c>
      <c r="CQ48" s="4" t="s">
        <v>368</v>
      </c>
    </row>
    <row r="49" spans="1:94" ht="13.2" x14ac:dyDescent="0.25">
      <c r="A49" s="3">
        <v>45005.566541111111</v>
      </c>
      <c r="B49" s="4" t="s">
        <v>369</v>
      </c>
      <c r="C49" s="4" t="s">
        <v>370</v>
      </c>
      <c r="D49" s="5" t="s">
        <v>371</v>
      </c>
      <c r="E49" s="4" t="s">
        <v>103</v>
      </c>
      <c r="F49" s="4" t="s">
        <v>124</v>
      </c>
      <c r="G49" s="4" t="s">
        <v>105</v>
      </c>
      <c r="H49" s="4" t="s">
        <v>372</v>
      </c>
      <c r="I49" s="4" t="s">
        <v>373</v>
      </c>
      <c r="J49" s="4" t="s">
        <v>374</v>
      </c>
      <c r="K49" s="4" t="s">
        <v>369</v>
      </c>
      <c r="L49" s="4" t="s">
        <v>67</v>
      </c>
      <c r="M49" s="4" t="s">
        <v>259</v>
      </c>
      <c r="N49" s="4">
        <v>35</v>
      </c>
      <c r="O49" s="4" t="s">
        <v>97</v>
      </c>
      <c r="P49" s="4">
        <v>4</v>
      </c>
      <c r="Q49" s="4">
        <v>3</v>
      </c>
      <c r="R49" s="4">
        <v>40</v>
      </c>
      <c r="T49" s="4" t="s">
        <v>70</v>
      </c>
      <c r="U49" s="4" t="s">
        <v>71</v>
      </c>
      <c r="V49" s="4" t="s">
        <v>72</v>
      </c>
      <c r="W49" s="6" t="s">
        <v>99</v>
      </c>
      <c r="AV49" s="4" t="s">
        <v>70</v>
      </c>
      <c r="AW49" s="4" t="s">
        <v>71</v>
      </c>
      <c r="AX49" s="4" t="s">
        <v>71</v>
      </c>
      <c r="AY49" s="4" t="s">
        <v>70</v>
      </c>
      <c r="AZ49" s="4" t="s">
        <v>70</v>
      </c>
      <c r="BA49" s="4" t="s">
        <v>70</v>
      </c>
      <c r="BB49" s="4" t="s">
        <v>71</v>
      </c>
      <c r="BC49" s="4" t="s">
        <v>71</v>
      </c>
      <c r="BD49" s="4" t="s">
        <v>71</v>
      </c>
      <c r="BE49" s="4" t="s">
        <v>70</v>
      </c>
      <c r="BF49" s="4" t="s">
        <v>70</v>
      </c>
      <c r="BG49" s="4" t="s">
        <v>70</v>
      </c>
      <c r="BH49" s="4" t="s">
        <v>71</v>
      </c>
      <c r="BI49" s="4" t="s">
        <v>71</v>
      </c>
      <c r="BJ49" s="4" t="s">
        <v>70</v>
      </c>
      <c r="BK49" s="4" t="s">
        <v>70</v>
      </c>
      <c r="BL49" s="4" t="s">
        <v>70</v>
      </c>
      <c r="BM49" s="4" t="s">
        <v>71</v>
      </c>
      <c r="BN49" s="4" t="s">
        <v>71</v>
      </c>
      <c r="BO49" s="4" t="s">
        <v>70</v>
      </c>
      <c r="BP49" s="4" t="s">
        <v>70</v>
      </c>
      <c r="BQ49" s="4" t="s">
        <v>71</v>
      </c>
      <c r="BR49" s="4" t="s">
        <v>71</v>
      </c>
    </row>
    <row r="50" spans="1:94" ht="13.2" x14ac:dyDescent="0.25">
      <c r="A50" s="3">
        <v>45005.569103969909</v>
      </c>
      <c r="B50" s="4" t="s">
        <v>376</v>
      </c>
      <c r="C50" s="4" t="s">
        <v>377</v>
      </c>
      <c r="D50" s="5" t="s">
        <v>371</v>
      </c>
      <c r="E50" s="4" t="s">
        <v>103</v>
      </c>
      <c r="F50" s="4" t="s">
        <v>378</v>
      </c>
      <c r="G50" s="4" t="s">
        <v>105</v>
      </c>
      <c r="H50" s="4" t="s">
        <v>373</v>
      </c>
      <c r="I50" s="4" t="s">
        <v>374</v>
      </c>
      <c r="J50" s="4" t="s">
        <v>379</v>
      </c>
      <c r="K50" s="4" t="s">
        <v>376</v>
      </c>
      <c r="L50" s="4" t="s">
        <v>67</v>
      </c>
      <c r="M50" s="4" t="s">
        <v>267</v>
      </c>
      <c r="N50" s="4">
        <v>35</v>
      </c>
      <c r="O50" s="4" t="s">
        <v>97</v>
      </c>
      <c r="P50" s="4">
        <v>3</v>
      </c>
      <c r="Q50" s="4">
        <v>3</v>
      </c>
      <c r="R50" s="4">
        <v>40</v>
      </c>
      <c r="T50" s="4" t="s">
        <v>70</v>
      </c>
      <c r="U50" s="4" t="s">
        <v>71</v>
      </c>
      <c r="V50" s="4" t="s">
        <v>72</v>
      </c>
      <c r="W50" s="6" t="s">
        <v>99</v>
      </c>
      <c r="AV50" s="4" t="s">
        <v>70</v>
      </c>
      <c r="AW50" s="4" t="s">
        <v>71</v>
      </c>
      <c r="AX50" s="4" t="s">
        <v>71</v>
      </c>
      <c r="AY50" s="4" t="s">
        <v>70</v>
      </c>
      <c r="AZ50" s="4" t="s">
        <v>70</v>
      </c>
      <c r="BA50" s="4" t="s">
        <v>70</v>
      </c>
      <c r="BB50" s="4" t="s">
        <v>71</v>
      </c>
      <c r="BC50" s="4" t="s">
        <v>71</v>
      </c>
      <c r="BD50" s="4" t="s">
        <v>71</v>
      </c>
      <c r="BE50" s="4" t="s">
        <v>70</v>
      </c>
      <c r="BF50" s="4" t="s">
        <v>70</v>
      </c>
      <c r="BG50" s="4" t="s">
        <v>70</v>
      </c>
      <c r="BH50" s="4" t="s">
        <v>71</v>
      </c>
      <c r="BI50" s="4" t="s">
        <v>71</v>
      </c>
      <c r="BJ50" s="4" t="s">
        <v>70</v>
      </c>
      <c r="BK50" s="4" t="s">
        <v>70</v>
      </c>
      <c r="BL50" s="4" t="s">
        <v>70</v>
      </c>
      <c r="BM50" s="4" t="s">
        <v>71</v>
      </c>
      <c r="BN50" s="4" t="s">
        <v>71</v>
      </c>
      <c r="BO50" s="4" t="s">
        <v>70</v>
      </c>
      <c r="BP50" s="4" t="s">
        <v>70</v>
      </c>
      <c r="BQ50" s="4" t="s">
        <v>71</v>
      </c>
      <c r="BR50" s="4" t="s">
        <v>71</v>
      </c>
    </row>
    <row r="51" spans="1:94" ht="13.2" x14ac:dyDescent="0.25">
      <c r="A51" s="3">
        <v>45000.682377916666</v>
      </c>
      <c r="B51" s="4" t="s">
        <v>381</v>
      </c>
      <c r="C51" s="4" t="s">
        <v>382</v>
      </c>
      <c r="D51" s="5" t="s">
        <v>383</v>
      </c>
      <c r="E51" s="4" t="s">
        <v>103</v>
      </c>
      <c r="F51" s="4" t="s">
        <v>384</v>
      </c>
      <c r="G51" s="4" t="s">
        <v>64</v>
      </c>
      <c r="H51" s="4" t="s">
        <v>385</v>
      </c>
      <c r="I51" s="4" t="s">
        <v>386</v>
      </c>
      <c r="K51" s="4" t="s">
        <v>381</v>
      </c>
      <c r="L51" s="4" t="s">
        <v>67</v>
      </c>
      <c r="M51" s="4" t="s">
        <v>68</v>
      </c>
      <c r="N51" s="4">
        <v>30</v>
      </c>
      <c r="O51" s="4" t="s">
        <v>69</v>
      </c>
      <c r="P51" s="4">
        <v>2</v>
      </c>
      <c r="Q51" s="4">
        <v>3</v>
      </c>
      <c r="R51" s="4">
        <v>0</v>
      </c>
      <c r="T51" s="4" t="s">
        <v>70</v>
      </c>
      <c r="U51" s="4" t="s">
        <v>70</v>
      </c>
      <c r="V51" s="4" t="s">
        <v>237</v>
      </c>
      <c r="W51" s="6" t="s">
        <v>73</v>
      </c>
      <c r="BT51" s="4" t="s">
        <v>70</v>
      </c>
      <c r="BU51" s="4" t="s">
        <v>70</v>
      </c>
      <c r="BV51" s="4" t="s">
        <v>70</v>
      </c>
      <c r="BW51" s="4" t="s">
        <v>70</v>
      </c>
      <c r="BX51" s="4" t="s">
        <v>70</v>
      </c>
      <c r="BY51" s="4" t="s">
        <v>70</v>
      </c>
      <c r="BZ51" s="4" t="s">
        <v>70</v>
      </c>
      <c r="CA51" s="4" t="s">
        <v>70</v>
      </c>
      <c r="CB51" s="4" t="s">
        <v>70</v>
      </c>
      <c r="CC51" s="4" t="s">
        <v>70</v>
      </c>
      <c r="CD51" s="4" t="s">
        <v>70</v>
      </c>
      <c r="CE51" s="4" t="s">
        <v>70</v>
      </c>
      <c r="CF51" s="4" t="s">
        <v>70</v>
      </c>
      <c r="CG51" s="4" t="s">
        <v>70</v>
      </c>
      <c r="CH51" s="4" t="s">
        <v>70</v>
      </c>
      <c r="CI51" s="4" t="s">
        <v>70</v>
      </c>
      <c r="CJ51" s="4" t="s">
        <v>70</v>
      </c>
      <c r="CK51" s="4" t="s">
        <v>70</v>
      </c>
      <c r="CL51" s="4" t="s">
        <v>70</v>
      </c>
      <c r="CM51" s="4" t="s">
        <v>70</v>
      </c>
      <c r="CN51" s="4" t="s">
        <v>70</v>
      </c>
      <c r="CO51" s="4" t="s">
        <v>70</v>
      </c>
      <c r="CP51" s="4" t="s">
        <v>70</v>
      </c>
    </row>
    <row r="52" spans="1:94" ht="13.2" x14ac:dyDescent="0.25">
      <c r="A52" s="3">
        <v>45000.728338472225</v>
      </c>
      <c r="B52" s="4" t="s">
        <v>388</v>
      </c>
      <c r="C52" s="4" t="s">
        <v>389</v>
      </c>
      <c r="D52" s="5" t="s">
        <v>390</v>
      </c>
      <c r="E52" s="4" t="s">
        <v>62</v>
      </c>
      <c r="F52" s="4" t="s">
        <v>391</v>
      </c>
      <c r="G52" s="4" t="s">
        <v>64</v>
      </c>
      <c r="H52" s="4" t="s">
        <v>166</v>
      </c>
      <c r="I52" s="4" t="s">
        <v>392</v>
      </c>
      <c r="J52" s="4" t="s">
        <v>393</v>
      </c>
      <c r="K52" s="4" t="s">
        <v>388</v>
      </c>
      <c r="L52" s="4" t="s">
        <v>67</v>
      </c>
      <c r="M52" s="4" t="s">
        <v>272</v>
      </c>
      <c r="N52" s="4">
        <v>32</v>
      </c>
      <c r="O52" s="4" t="s">
        <v>69</v>
      </c>
      <c r="P52" s="4">
        <v>4</v>
      </c>
      <c r="Q52" s="4">
        <v>1</v>
      </c>
      <c r="R52" s="4">
        <v>0</v>
      </c>
      <c r="S52" s="4" t="s">
        <v>395</v>
      </c>
      <c r="T52" s="4" t="s">
        <v>70</v>
      </c>
      <c r="U52" s="4" t="s">
        <v>71</v>
      </c>
      <c r="V52" s="4" t="s">
        <v>72</v>
      </c>
      <c r="W52" s="6" t="s">
        <v>99</v>
      </c>
      <c r="AV52" s="4" t="s">
        <v>71</v>
      </c>
      <c r="AW52" s="4" t="s">
        <v>70</v>
      </c>
      <c r="AX52" s="4" t="s">
        <v>71</v>
      </c>
      <c r="AY52" s="4" t="s">
        <v>70</v>
      </c>
      <c r="AZ52" s="4" t="s">
        <v>71</v>
      </c>
      <c r="BA52" s="4" t="s">
        <v>71</v>
      </c>
      <c r="BB52" s="4" t="s">
        <v>71</v>
      </c>
      <c r="BC52" s="4" t="s">
        <v>71</v>
      </c>
      <c r="BD52" s="4" t="s">
        <v>71</v>
      </c>
      <c r="BE52" s="4" t="s">
        <v>70</v>
      </c>
      <c r="BF52" s="4" t="s">
        <v>70</v>
      </c>
      <c r="BG52" s="4" t="s">
        <v>70</v>
      </c>
      <c r="BH52" s="4" t="s">
        <v>71</v>
      </c>
      <c r="BI52" s="4" t="s">
        <v>71</v>
      </c>
      <c r="BJ52" s="4" t="s">
        <v>70</v>
      </c>
      <c r="BK52" s="4" t="s">
        <v>70</v>
      </c>
      <c r="BL52" s="4" t="s">
        <v>70</v>
      </c>
      <c r="BM52" s="4" t="s">
        <v>70</v>
      </c>
      <c r="BN52" s="4" t="s">
        <v>70</v>
      </c>
      <c r="BO52" s="4" t="s">
        <v>71</v>
      </c>
      <c r="BP52" s="4" t="s">
        <v>71</v>
      </c>
      <c r="BQ52" s="4" t="s">
        <v>71</v>
      </c>
      <c r="BR52" s="4" t="s">
        <v>71</v>
      </c>
    </row>
    <row r="53" spans="1:94" ht="13.2" x14ac:dyDescent="0.25">
      <c r="A53" s="3">
        <v>45001.58790165509</v>
      </c>
      <c r="B53" s="4" t="s">
        <v>396</v>
      </c>
      <c r="C53" s="4" t="s">
        <v>397</v>
      </c>
      <c r="D53" s="7" t="s">
        <v>398</v>
      </c>
      <c r="E53" s="4" t="s">
        <v>62</v>
      </c>
      <c r="F53" s="4" t="s">
        <v>399</v>
      </c>
      <c r="G53" s="4" t="s">
        <v>64</v>
      </c>
      <c r="H53" s="4" t="s">
        <v>400</v>
      </c>
      <c r="I53" s="4" t="s">
        <v>401</v>
      </c>
      <c r="J53" s="4" t="s">
        <v>402</v>
      </c>
      <c r="K53" s="4" t="s">
        <v>396</v>
      </c>
      <c r="L53" s="4" t="s">
        <v>67</v>
      </c>
      <c r="M53" s="4" t="s">
        <v>68</v>
      </c>
      <c r="N53" s="4">
        <v>33</v>
      </c>
      <c r="O53" s="4" t="s">
        <v>69</v>
      </c>
      <c r="P53" s="4">
        <v>5</v>
      </c>
      <c r="Q53" s="4">
        <v>5</v>
      </c>
      <c r="R53" s="4">
        <v>0</v>
      </c>
      <c r="T53" s="4" t="s">
        <v>70</v>
      </c>
      <c r="U53" s="4" t="s">
        <v>71</v>
      </c>
      <c r="V53" s="4" t="s">
        <v>72</v>
      </c>
      <c r="W53" s="6" t="s">
        <v>145</v>
      </c>
      <c r="X53" s="4" t="s">
        <v>70</v>
      </c>
      <c r="Y53" s="4" t="s">
        <v>71</v>
      </c>
      <c r="Z53" s="4" t="s">
        <v>71</v>
      </c>
      <c r="AA53" s="4" t="s">
        <v>71</v>
      </c>
      <c r="AB53" s="4" t="s">
        <v>70</v>
      </c>
      <c r="AC53" s="4" t="s">
        <v>70</v>
      </c>
      <c r="AD53" s="4" t="s">
        <v>71</v>
      </c>
      <c r="AE53" s="4" t="s">
        <v>71</v>
      </c>
      <c r="AF53" s="4" t="s">
        <v>71</v>
      </c>
      <c r="AG53" s="4" t="s">
        <v>71</v>
      </c>
      <c r="AH53" s="4" t="s">
        <v>71</v>
      </c>
      <c r="AI53" s="4" t="s">
        <v>71</v>
      </c>
      <c r="AJ53" s="4" t="s">
        <v>71</v>
      </c>
      <c r="AK53" s="4" t="s">
        <v>71</v>
      </c>
      <c r="AL53" s="4" t="s">
        <v>71</v>
      </c>
      <c r="AM53" s="4" t="s">
        <v>70</v>
      </c>
      <c r="AN53" s="4" t="s">
        <v>70</v>
      </c>
      <c r="AO53" s="4" t="s">
        <v>71</v>
      </c>
      <c r="AP53" s="4" t="s">
        <v>71</v>
      </c>
      <c r="AQ53" s="4" t="s">
        <v>71</v>
      </c>
      <c r="AR53" s="4" t="s">
        <v>71</v>
      </c>
      <c r="AS53" s="4" t="s">
        <v>71</v>
      </c>
      <c r="AT53" s="4" t="s">
        <v>71</v>
      </c>
    </row>
    <row r="54" spans="1:94" ht="13.2" x14ac:dyDescent="0.25">
      <c r="A54" s="3">
        <v>45002.35234153935</v>
      </c>
      <c r="B54" s="4" t="s">
        <v>404</v>
      </c>
      <c r="C54" s="4" t="s">
        <v>405</v>
      </c>
      <c r="D54" s="7" t="s">
        <v>406</v>
      </c>
      <c r="E54" s="4" t="s">
        <v>263</v>
      </c>
      <c r="F54" s="4" t="s">
        <v>407</v>
      </c>
      <c r="G54" s="4" t="s">
        <v>64</v>
      </c>
      <c r="H54" s="4" t="s">
        <v>408</v>
      </c>
      <c r="I54" s="4" t="s">
        <v>409</v>
      </c>
      <c r="J54" s="4" t="s">
        <v>410</v>
      </c>
      <c r="K54" s="4" t="s">
        <v>404</v>
      </c>
      <c r="L54" s="4" t="s">
        <v>67</v>
      </c>
      <c r="M54" s="4" t="s">
        <v>273</v>
      </c>
      <c r="N54" s="4">
        <v>26</v>
      </c>
      <c r="O54" s="4" t="s">
        <v>69</v>
      </c>
      <c r="P54" s="4">
        <v>4</v>
      </c>
      <c r="Q54" s="4">
        <v>5</v>
      </c>
      <c r="R54" s="4">
        <v>1</v>
      </c>
      <c r="T54" s="4" t="s">
        <v>70</v>
      </c>
      <c r="U54" s="4" t="s">
        <v>71</v>
      </c>
      <c r="V54" s="4" t="s">
        <v>72</v>
      </c>
      <c r="W54" s="8" t="s">
        <v>145</v>
      </c>
      <c r="X54" s="4" t="s">
        <v>70</v>
      </c>
      <c r="Y54" s="4" t="s">
        <v>71</v>
      </c>
      <c r="Z54" s="4" t="s">
        <v>71</v>
      </c>
      <c r="AA54" s="4" t="s">
        <v>71</v>
      </c>
      <c r="AB54" s="4" t="s">
        <v>70</v>
      </c>
      <c r="AC54" s="4" t="s">
        <v>71</v>
      </c>
      <c r="AD54" s="4" t="s">
        <v>71</v>
      </c>
      <c r="AE54" s="4" t="s">
        <v>71</v>
      </c>
      <c r="AF54" s="4" t="s">
        <v>71</v>
      </c>
      <c r="AG54" s="4" t="s">
        <v>71</v>
      </c>
      <c r="AH54" s="4" t="s">
        <v>71</v>
      </c>
      <c r="AI54" s="4" t="s">
        <v>70</v>
      </c>
      <c r="AJ54" s="4" t="s">
        <v>71</v>
      </c>
      <c r="AK54" s="4" t="s">
        <v>71</v>
      </c>
      <c r="AL54" s="4" t="s">
        <v>71</v>
      </c>
      <c r="AM54" s="4" t="s">
        <v>71</v>
      </c>
      <c r="AN54" s="4" t="s">
        <v>70</v>
      </c>
      <c r="AO54" s="4" t="s">
        <v>71</v>
      </c>
      <c r="AP54" s="4" t="s">
        <v>71</v>
      </c>
    </row>
    <row r="55" spans="1:94" ht="13.2" x14ac:dyDescent="0.25">
      <c r="A55" s="3">
        <v>45002.493809849533</v>
      </c>
      <c r="B55" s="4" t="s">
        <v>404</v>
      </c>
      <c r="C55" s="4" t="s">
        <v>405</v>
      </c>
      <c r="D55" s="5" t="s">
        <v>406</v>
      </c>
      <c r="E55" s="4" t="s">
        <v>149</v>
      </c>
      <c r="F55" s="4" t="s">
        <v>412</v>
      </c>
      <c r="G55" s="4" t="s">
        <v>64</v>
      </c>
      <c r="H55" s="4" t="s">
        <v>408</v>
      </c>
      <c r="I55" s="4" t="s">
        <v>413</v>
      </c>
      <c r="J55" s="4" t="s">
        <v>414</v>
      </c>
      <c r="K55" s="4" t="s">
        <v>404</v>
      </c>
      <c r="L55" s="4" t="s">
        <v>67</v>
      </c>
      <c r="M55" s="4" t="s">
        <v>273</v>
      </c>
      <c r="N55" s="4">
        <v>18</v>
      </c>
      <c r="O55" s="4" t="s">
        <v>69</v>
      </c>
      <c r="P55" s="4">
        <v>4</v>
      </c>
      <c r="Q55" s="4">
        <v>5</v>
      </c>
      <c r="R55" s="4">
        <v>1</v>
      </c>
      <c r="T55" s="4" t="s">
        <v>70</v>
      </c>
      <c r="U55" s="4" t="s">
        <v>71</v>
      </c>
      <c r="V55" s="4" t="s">
        <v>72</v>
      </c>
      <c r="W55" s="6" t="s">
        <v>99</v>
      </c>
      <c r="AV55" s="4" t="s">
        <v>71</v>
      </c>
      <c r="AW55" s="4" t="s">
        <v>70</v>
      </c>
      <c r="AX55" s="4" t="s">
        <v>71</v>
      </c>
      <c r="AY55" s="4" t="s">
        <v>71</v>
      </c>
      <c r="AZ55" s="4" t="s">
        <v>70</v>
      </c>
      <c r="BA55" s="4" t="s">
        <v>71</v>
      </c>
      <c r="BB55" s="4" t="s">
        <v>71</v>
      </c>
      <c r="BC55" s="4" t="s">
        <v>71</v>
      </c>
      <c r="BD55" s="4" t="s">
        <v>71</v>
      </c>
      <c r="BE55" s="4" t="s">
        <v>70</v>
      </c>
      <c r="BF55" s="4" t="s">
        <v>71</v>
      </c>
      <c r="BG55" s="4" t="s">
        <v>71</v>
      </c>
      <c r="BH55" s="4" t="s">
        <v>71</v>
      </c>
      <c r="BI55" s="4" t="s">
        <v>71</v>
      </c>
    </row>
    <row r="56" spans="1:94" ht="13.2" x14ac:dyDescent="0.25">
      <c r="A56" s="3">
        <v>45000.705323576389</v>
      </c>
      <c r="B56" s="4" t="s">
        <v>416</v>
      </c>
      <c r="C56" s="4" t="s">
        <v>417</v>
      </c>
      <c r="D56" s="7" t="s">
        <v>418</v>
      </c>
      <c r="E56" s="4" t="s">
        <v>62</v>
      </c>
      <c r="F56" s="4" t="s">
        <v>211</v>
      </c>
      <c r="G56" s="4" t="s">
        <v>64</v>
      </c>
      <c r="H56" s="4" t="s">
        <v>419</v>
      </c>
      <c r="I56" s="4" t="s">
        <v>420</v>
      </c>
      <c r="J56" s="4" t="s">
        <v>421</v>
      </c>
      <c r="K56" s="4" t="s">
        <v>416</v>
      </c>
      <c r="L56" s="4" t="s">
        <v>67</v>
      </c>
      <c r="M56" s="4" t="s">
        <v>280</v>
      </c>
      <c r="N56" s="4">
        <v>30</v>
      </c>
      <c r="O56" s="4" t="s">
        <v>69</v>
      </c>
      <c r="P56" s="4">
        <v>2</v>
      </c>
      <c r="Q56" s="4">
        <v>1</v>
      </c>
      <c r="R56" s="4">
        <v>40</v>
      </c>
      <c r="T56" s="4" t="s">
        <v>70</v>
      </c>
      <c r="U56" s="4" t="s">
        <v>71</v>
      </c>
      <c r="V56" s="4" t="s">
        <v>72</v>
      </c>
      <c r="W56" s="6" t="s">
        <v>99</v>
      </c>
      <c r="AV56" s="4" t="s">
        <v>70</v>
      </c>
      <c r="AW56" s="4" t="s">
        <v>71</v>
      </c>
      <c r="AX56" s="4" t="s">
        <v>71</v>
      </c>
      <c r="AY56" s="4" t="s">
        <v>71</v>
      </c>
      <c r="AZ56" s="4" t="s">
        <v>70</v>
      </c>
      <c r="BA56" s="4" t="s">
        <v>71</v>
      </c>
      <c r="BB56" s="4" t="s">
        <v>71</v>
      </c>
      <c r="BC56" s="4" t="s">
        <v>71</v>
      </c>
      <c r="BD56" s="4" t="s">
        <v>71</v>
      </c>
      <c r="BE56" s="4" t="s">
        <v>71</v>
      </c>
      <c r="BF56" s="4" t="s">
        <v>71</v>
      </c>
      <c r="BG56" s="4" t="s">
        <v>71</v>
      </c>
      <c r="BH56" s="4" t="s">
        <v>71</v>
      </c>
      <c r="BI56" s="4" t="s">
        <v>71</v>
      </c>
      <c r="BJ56" s="4" t="s">
        <v>71</v>
      </c>
      <c r="BK56" s="4" t="s">
        <v>71</v>
      </c>
      <c r="BL56" s="4" t="s">
        <v>70</v>
      </c>
      <c r="BM56" s="4" t="s">
        <v>71</v>
      </c>
      <c r="BN56" s="4" t="s">
        <v>71</v>
      </c>
      <c r="BO56" s="4" t="s">
        <v>71</v>
      </c>
      <c r="BP56" s="4" t="s">
        <v>71</v>
      </c>
      <c r="BQ56" s="4" t="s">
        <v>71</v>
      </c>
      <c r="BR56" s="4" t="s">
        <v>71</v>
      </c>
    </row>
    <row r="57" spans="1:94" ht="13.2" x14ac:dyDescent="0.25">
      <c r="A57" s="3">
        <v>45000.707809884261</v>
      </c>
      <c r="B57" s="4" t="s">
        <v>416</v>
      </c>
      <c r="C57" s="4" t="s">
        <v>417</v>
      </c>
      <c r="D57" s="7" t="s">
        <v>418</v>
      </c>
      <c r="E57" s="4" t="s">
        <v>149</v>
      </c>
      <c r="F57" s="4" t="s">
        <v>150</v>
      </c>
      <c r="G57" s="4" t="s">
        <v>64</v>
      </c>
      <c r="H57" s="4" t="s">
        <v>419</v>
      </c>
      <c r="I57" s="4" t="s">
        <v>420</v>
      </c>
      <c r="J57" s="4" t="s">
        <v>421</v>
      </c>
      <c r="K57" s="4" t="s">
        <v>416</v>
      </c>
      <c r="L57" s="4" t="s">
        <v>67</v>
      </c>
      <c r="M57" s="4" t="s">
        <v>280</v>
      </c>
      <c r="N57" s="4">
        <v>30</v>
      </c>
      <c r="O57" s="4" t="s">
        <v>69</v>
      </c>
      <c r="P57" s="4">
        <v>2</v>
      </c>
      <c r="Q57" s="4">
        <v>1</v>
      </c>
      <c r="R57" s="4">
        <v>40</v>
      </c>
      <c r="T57" s="4" t="s">
        <v>70</v>
      </c>
      <c r="U57" s="4" t="s">
        <v>71</v>
      </c>
      <c r="V57" s="4" t="s">
        <v>72</v>
      </c>
      <c r="W57" s="6" t="s">
        <v>99</v>
      </c>
      <c r="AV57" s="4" t="s">
        <v>70</v>
      </c>
      <c r="AW57" s="4" t="s">
        <v>71</v>
      </c>
      <c r="AX57" s="4" t="s">
        <v>71</v>
      </c>
      <c r="AY57" s="4" t="s">
        <v>71</v>
      </c>
      <c r="AZ57" s="4" t="s">
        <v>70</v>
      </c>
      <c r="BA57" s="4" t="s">
        <v>71</v>
      </c>
      <c r="BB57" s="4" t="s">
        <v>71</v>
      </c>
      <c r="BC57" s="4" t="s">
        <v>71</v>
      </c>
      <c r="BD57" s="4" t="s">
        <v>71</v>
      </c>
      <c r="BE57" s="4" t="s">
        <v>71</v>
      </c>
      <c r="BF57" s="4" t="s">
        <v>71</v>
      </c>
      <c r="BG57" s="4" t="s">
        <v>71</v>
      </c>
      <c r="BH57" s="4" t="s">
        <v>71</v>
      </c>
      <c r="BI57" s="4" t="s">
        <v>71</v>
      </c>
      <c r="BJ57" s="4" t="s">
        <v>71</v>
      </c>
      <c r="BK57" s="4" t="s">
        <v>71</v>
      </c>
      <c r="BL57" s="4" t="s">
        <v>70</v>
      </c>
      <c r="BM57" s="4" t="s">
        <v>71</v>
      </c>
      <c r="BN57" s="4" t="s">
        <v>71</v>
      </c>
      <c r="BO57" s="4" t="s">
        <v>71</v>
      </c>
      <c r="BP57" s="4" t="s">
        <v>71</v>
      </c>
      <c r="BQ57" s="4" t="s">
        <v>71</v>
      </c>
      <c r="BR57" s="4" t="s">
        <v>71</v>
      </c>
    </row>
    <row r="58" spans="1:94" ht="13.2" x14ac:dyDescent="0.25">
      <c r="A58" s="3">
        <v>45002.001980173613</v>
      </c>
      <c r="B58" s="4" t="s">
        <v>424</v>
      </c>
      <c r="C58" s="4" t="s">
        <v>425</v>
      </c>
      <c r="D58" s="7" t="s">
        <v>426</v>
      </c>
      <c r="E58" s="4" t="s">
        <v>427</v>
      </c>
      <c r="F58" s="4" t="s">
        <v>428</v>
      </c>
      <c r="G58" s="4" t="s">
        <v>105</v>
      </c>
      <c r="H58" s="4" t="s">
        <v>429</v>
      </c>
      <c r="I58" s="4" t="s">
        <v>430</v>
      </c>
      <c r="J58" s="4" t="s">
        <v>431</v>
      </c>
      <c r="K58" s="4" t="s">
        <v>424</v>
      </c>
      <c r="L58" s="4" t="s">
        <v>67</v>
      </c>
      <c r="M58" s="4" t="s">
        <v>282</v>
      </c>
      <c r="N58" s="4">
        <v>35</v>
      </c>
      <c r="O58" s="4" t="s">
        <v>433</v>
      </c>
      <c r="P58" s="4">
        <v>4</v>
      </c>
      <c r="Q58" s="4">
        <v>2</v>
      </c>
      <c r="R58" s="4">
        <v>95</v>
      </c>
      <c r="T58" s="4" t="s">
        <v>70</v>
      </c>
      <c r="U58" s="4" t="s">
        <v>71</v>
      </c>
      <c r="V58" s="4" t="s">
        <v>72</v>
      </c>
      <c r="W58" s="6" t="s">
        <v>145</v>
      </c>
      <c r="X58" s="4" t="s">
        <v>70</v>
      </c>
      <c r="Y58" s="4" t="s">
        <v>71</v>
      </c>
      <c r="Z58" s="4" t="s">
        <v>71</v>
      </c>
      <c r="AA58" s="4" t="s">
        <v>71</v>
      </c>
      <c r="AB58" s="4" t="s">
        <v>70</v>
      </c>
      <c r="AC58" s="4" t="s">
        <v>71</v>
      </c>
      <c r="AD58" s="4" t="s">
        <v>71</v>
      </c>
      <c r="AE58" s="4" t="s">
        <v>71</v>
      </c>
      <c r="AF58" s="4" t="s">
        <v>71</v>
      </c>
      <c r="AG58" s="4" t="s">
        <v>71</v>
      </c>
      <c r="AH58" s="4" t="s">
        <v>71</v>
      </c>
      <c r="AI58" s="4" t="s">
        <v>71</v>
      </c>
      <c r="AJ58" s="4" t="s">
        <v>71</v>
      </c>
      <c r="AK58" s="4" t="s">
        <v>71</v>
      </c>
      <c r="AL58" s="4" t="s">
        <v>71</v>
      </c>
      <c r="AM58" s="4" t="s">
        <v>71</v>
      </c>
      <c r="AN58" s="4" t="s">
        <v>70</v>
      </c>
      <c r="AO58" s="4" t="s">
        <v>71</v>
      </c>
      <c r="AP58" s="4" t="s">
        <v>71</v>
      </c>
      <c r="AQ58" s="4" t="s">
        <v>71</v>
      </c>
      <c r="AR58" s="4" t="s">
        <v>71</v>
      </c>
      <c r="AS58" s="4" t="s">
        <v>71</v>
      </c>
      <c r="AT58" s="4" t="s">
        <v>71</v>
      </c>
    </row>
    <row r="59" spans="1:94" ht="13.2" x14ac:dyDescent="0.25">
      <c r="A59" s="3">
        <v>45000.715677233791</v>
      </c>
      <c r="B59" s="4" t="s">
        <v>434</v>
      </c>
      <c r="C59" s="4" t="s">
        <v>435</v>
      </c>
      <c r="D59" s="5" t="s">
        <v>436</v>
      </c>
      <c r="E59" s="4" t="s">
        <v>103</v>
      </c>
      <c r="F59" s="4" t="s">
        <v>437</v>
      </c>
      <c r="G59" s="4" t="s">
        <v>105</v>
      </c>
      <c r="H59" s="4" t="s">
        <v>166</v>
      </c>
      <c r="I59" s="4" t="s">
        <v>438</v>
      </c>
      <c r="J59" s="4" t="s">
        <v>439</v>
      </c>
      <c r="K59" s="4" t="s">
        <v>434</v>
      </c>
      <c r="L59" s="4" t="s">
        <v>67</v>
      </c>
      <c r="M59" s="4" t="s">
        <v>228</v>
      </c>
      <c r="N59" s="4">
        <v>28</v>
      </c>
      <c r="O59" s="4" t="s">
        <v>97</v>
      </c>
      <c r="P59" s="4">
        <v>3</v>
      </c>
      <c r="Q59" s="4">
        <v>2</v>
      </c>
      <c r="R59" s="4">
        <v>30</v>
      </c>
      <c r="S59" s="4" t="s">
        <v>441</v>
      </c>
      <c r="T59" s="4" t="s">
        <v>70</v>
      </c>
      <c r="U59" s="4" t="s">
        <v>71</v>
      </c>
      <c r="V59" s="4" t="s">
        <v>72</v>
      </c>
      <c r="W59" s="6" t="s">
        <v>145</v>
      </c>
      <c r="X59" s="4" t="s">
        <v>70</v>
      </c>
      <c r="Y59" s="4" t="s">
        <v>71</v>
      </c>
      <c r="Z59" s="4" t="s">
        <v>71</v>
      </c>
      <c r="AA59" s="4" t="s">
        <v>71</v>
      </c>
      <c r="AB59" s="4" t="s">
        <v>71</v>
      </c>
      <c r="AC59" s="4" t="s">
        <v>70</v>
      </c>
      <c r="AD59" s="4" t="s">
        <v>71</v>
      </c>
      <c r="AE59" s="4" t="s">
        <v>71</v>
      </c>
      <c r="AF59" s="4" t="s">
        <v>71</v>
      </c>
      <c r="AG59" s="4" t="s">
        <v>71</v>
      </c>
      <c r="AH59" s="4" t="s">
        <v>70</v>
      </c>
      <c r="AI59" s="4" t="s">
        <v>71</v>
      </c>
      <c r="AJ59" s="4" t="s">
        <v>71</v>
      </c>
      <c r="AK59" s="4" t="s">
        <v>71</v>
      </c>
      <c r="AL59" s="4" t="s">
        <v>71</v>
      </c>
      <c r="AM59" s="4" t="s">
        <v>71</v>
      </c>
      <c r="AN59" s="4" t="s">
        <v>70</v>
      </c>
      <c r="AO59" s="4" t="s">
        <v>71</v>
      </c>
      <c r="AP59" s="4" t="s">
        <v>71</v>
      </c>
      <c r="AQ59" s="4" t="s">
        <v>71</v>
      </c>
      <c r="AR59" s="4" t="s">
        <v>71</v>
      </c>
      <c r="AS59" s="4" t="s">
        <v>71</v>
      </c>
      <c r="AT59" s="4" t="s">
        <v>71</v>
      </c>
      <c r="AU59" s="4" t="s">
        <v>442</v>
      </c>
    </row>
    <row r="60" spans="1:94" ht="13.2" x14ac:dyDescent="0.25">
      <c r="A60" s="3">
        <v>45000.968363298613</v>
      </c>
      <c r="B60" s="4" t="s">
        <v>443</v>
      </c>
      <c r="C60" s="4" t="s">
        <v>444</v>
      </c>
      <c r="D60" s="7" t="s">
        <v>445</v>
      </c>
      <c r="E60" s="4" t="s">
        <v>103</v>
      </c>
      <c r="F60" s="4" t="s">
        <v>446</v>
      </c>
      <c r="G60" s="4" t="s">
        <v>105</v>
      </c>
      <c r="H60" s="4" t="s">
        <v>447</v>
      </c>
      <c r="I60" s="4" t="s">
        <v>448</v>
      </c>
      <c r="J60" s="4" t="s">
        <v>449</v>
      </c>
      <c r="K60" s="4" t="s">
        <v>443</v>
      </c>
      <c r="L60" s="4" t="s">
        <v>67</v>
      </c>
      <c r="M60" s="4" t="s">
        <v>290</v>
      </c>
      <c r="N60" s="4">
        <v>28</v>
      </c>
      <c r="O60" s="4" t="s">
        <v>97</v>
      </c>
      <c r="P60" s="4">
        <v>5</v>
      </c>
      <c r="Q60" s="4">
        <v>5</v>
      </c>
      <c r="R60" s="4">
        <v>7</v>
      </c>
      <c r="S60" s="4" t="s">
        <v>449</v>
      </c>
      <c r="T60" s="4" t="s">
        <v>70</v>
      </c>
      <c r="U60" s="4" t="s">
        <v>71</v>
      </c>
      <c r="V60" s="4" t="s">
        <v>72</v>
      </c>
      <c r="W60" s="6" t="s">
        <v>99</v>
      </c>
      <c r="AV60" s="4" t="s">
        <v>70</v>
      </c>
      <c r="AW60" s="4" t="s">
        <v>71</v>
      </c>
      <c r="AX60" s="4" t="s">
        <v>71</v>
      </c>
      <c r="AY60" s="4" t="s">
        <v>71</v>
      </c>
      <c r="AZ60" s="4" t="s">
        <v>71</v>
      </c>
      <c r="BA60" s="4" t="s">
        <v>70</v>
      </c>
      <c r="BB60" s="4" t="s">
        <v>71</v>
      </c>
      <c r="BC60" s="4" t="s">
        <v>71</v>
      </c>
      <c r="BD60" s="4" t="s">
        <v>71</v>
      </c>
      <c r="BE60" s="4" t="s">
        <v>71</v>
      </c>
      <c r="BF60" s="4" t="s">
        <v>70</v>
      </c>
      <c r="BG60" s="4" t="s">
        <v>71</v>
      </c>
      <c r="BH60" s="4" t="s">
        <v>71</v>
      </c>
      <c r="BI60" s="4" t="s">
        <v>71</v>
      </c>
      <c r="BJ60" s="4" t="s">
        <v>71</v>
      </c>
      <c r="BK60" s="4" t="s">
        <v>71</v>
      </c>
      <c r="BL60" s="4" t="s">
        <v>70</v>
      </c>
      <c r="BM60" s="4" t="s">
        <v>71</v>
      </c>
      <c r="BN60" s="4" t="s">
        <v>71</v>
      </c>
      <c r="BO60" s="4" t="s">
        <v>71</v>
      </c>
      <c r="BP60" s="4" t="s">
        <v>71</v>
      </c>
      <c r="BQ60" s="4" t="s">
        <v>71</v>
      </c>
      <c r="BR60" s="4" t="s">
        <v>71</v>
      </c>
    </row>
    <row r="61" spans="1:94" ht="13.2" x14ac:dyDescent="0.25">
      <c r="A61" s="3">
        <v>45005.612843923613</v>
      </c>
      <c r="B61" s="4" t="s">
        <v>451</v>
      </c>
      <c r="C61" s="4" t="s">
        <v>452</v>
      </c>
      <c r="D61" s="5" t="s">
        <v>453</v>
      </c>
      <c r="E61" s="4" t="s">
        <v>103</v>
      </c>
      <c r="F61" s="4" t="s">
        <v>454</v>
      </c>
      <c r="G61" s="4" t="s">
        <v>105</v>
      </c>
      <c r="H61" s="4" t="s">
        <v>455</v>
      </c>
      <c r="I61" s="4" t="s">
        <v>456</v>
      </c>
      <c r="J61" s="4" t="s">
        <v>457</v>
      </c>
      <c r="K61" s="4" t="s">
        <v>451</v>
      </c>
      <c r="L61" s="4" t="s">
        <v>67</v>
      </c>
      <c r="M61" s="4" t="s">
        <v>68</v>
      </c>
      <c r="N61" s="4">
        <v>40</v>
      </c>
      <c r="O61" s="4" t="s">
        <v>97</v>
      </c>
      <c r="P61" s="4">
        <v>4</v>
      </c>
      <c r="Q61" s="4">
        <v>4</v>
      </c>
      <c r="R61" s="4">
        <v>20</v>
      </c>
      <c r="S61" s="4" t="s">
        <v>459</v>
      </c>
      <c r="T61" s="4" t="s">
        <v>70</v>
      </c>
      <c r="U61" s="4" t="s">
        <v>71</v>
      </c>
      <c r="V61" s="4" t="s">
        <v>72</v>
      </c>
      <c r="W61" s="6" t="s">
        <v>145</v>
      </c>
      <c r="X61" s="4" t="s">
        <v>70</v>
      </c>
      <c r="Y61" s="4" t="s">
        <v>70</v>
      </c>
      <c r="Z61" s="4" t="s">
        <v>71</v>
      </c>
      <c r="AA61" s="4" t="s">
        <v>71</v>
      </c>
      <c r="AB61" s="4" t="s">
        <v>70</v>
      </c>
      <c r="AC61" s="4" t="s">
        <v>70</v>
      </c>
      <c r="AD61" s="4" t="s">
        <v>71</v>
      </c>
      <c r="AE61" s="4" t="s">
        <v>71</v>
      </c>
      <c r="AF61" s="4" t="s">
        <v>71</v>
      </c>
      <c r="AG61" s="4" t="s">
        <v>71</v>
      </c>
      <c r="AH61" s="4" t="s">
        <v>70</v>
      </c>
      <c r="AI61" s="4" t="s">
        <v>70</v>
      </c>
      <c r="AJ61" s="4" t="s">
        <v>71</v>
      </c>
      <c r="AK61" s="4" t="s">
        <v>71</v>
      </c>
      <c r="AL61" s="4" t="s">
        <v>71</v>
      </c>
      <c r="AM61" s="4" t="s">
        <v>70</v>
      </c>
      <c r="AN61" s="4" t="s">
        <v>70</v>
      </c>
      <c r="AO61" s="4" t="s">
        <v>71</v>
      </c>
      <c r="AP61" s="4" t="s">
        <v>71</v>
      </c>
      <c r="AQ61" s="4" t="s">
        <v>70</v>
      </c>
      <c r="AR61" s="4" t="s">
        <v>70</v>
      </c>
      <c r="AS61" s="4" t="s">
        <v>71</v>
      </c>
      <c r="AT61" s="4" t="s">
        <v>71</v>
      </c>
      <c r="AU61" s="4" t="s">
        <v>460</v>
      </c>
    </row>
    <row r="62" spans="1:94" ht="13.2" x14ac:dyDescent="0.25">
      <c r="A62" s="3">
        <v>45003.652522557866</v>
      </c>
      <c r="B62" s="4" t="s">
        <v>461</v>
      </c>
      <c r="C62" s="4" t="s">
        <v>462</v>
      </c>
      <c r="D62" s="7" t="s">
        <v>463</v>
      </c>
      <c r="E62" s="4" t="s">
        <v>140</v>
      </c>
      <c r="F62" s="4" t="s">
        <v>157</v>
      </c>
      <c r="G62" s="4" t="s">
        <v>64</v>
      </c>
      <c r="H62" s="4" t="s">
        <v>464</v>
      </c>
      <c r="I62" s="4" t="s">
        <v>465</v>
      </c>
      <c r="J62" s="4" t="s">
        <v>466</v>
      </c>
      <c r="K62" s="4" t="s">
        <v>461</v>
      </c>
      <c r="L62" s="4" t="s">
        <v>67</v>
      </c>
      <c r="M62" s="4" t="s">
        <v>298</v>
      </c>
      <c r="N62" s="4">
        <v>35</v>
      </c>
      <c r="O62" s="4" t="s">
        <v>97</v>
      </c>
      <c r="P62" s="4">
        <v>3</v>
      </c>
      <c r="Q62" s="4">
        <v>3</v>
      </c>
      <c r="R62" s="4">
        <v>30</v>
      </c>
      <c r="T62" s="4" t="s">
        <v>70</v>
      </c>
      <c r="U62" s="4" t="s">
        <v>70</v>
      </c>
      <c r="V62" s="4" t="s">
        <v>237</v>
      </c>
      <c r="W62" s="6" t="s">
        <v>145</v>
      </c>
      <c r="X62" s="4" t="s">
        <v>70</v>
      </c>
      <c r="Y62" s="4" t="s">
        <v>70</v>
      </c>
      <c r="Z62" s="4" t="s">
        <v>70</v>
      </c>
      <c r="AA62" s="4" t="s">
        <v>70</v>
      </c>
      <c r="AB62" s="4" t="s">
        <v>70</v>
      </c>
      <c r="AC62" s="4" t="s">
        <v>70</v>
      </c>
      <c r="AD62" s="4" t="s">
        <v>70</v>
      </c>
      <c r="AE62" s="4" t="s">
        <v>70</v>
      </c>
      <c r="AF62" s="4" t="s">
        <v>70</v>
      </c>
      <c r="AG62" s="4" t="s">
        <v>70</v>
      </c>
      <c r="AH62" s="4" t="s">
        <v>70</v>
      </c>
      <c r="AI62" s="4" t="s">
        <v>70</v>
      </c>
      <c r="AJ62" s="4" t="s">
        <v>70</v>
      </c>
      <c r="AK62" s="4" t="s">
        <v>70</v>
      </c>
      <c r="AL62" s="4" t="s">
        <v>70</v>
      </c>
      <c r="AM62" s="4" t="s">
        <v>70</v>
      </c>
      <c r="AN62" s="4" t="s">
        <v>70</v>
      </c>
      <c r="AO62" s="4" t="s">
        <v>70</v>
      </c>
      <c r="AP62" s="4" t="s">
        <v>70</v>
      </c>
      <c r="AQ62" s="4" t="s">
        <v>70</v>
      </c>
      <c r="AR62" s="4" t="s">
        <v>70</v>
      </c>
      <c r="AS62" s="4" t="s">
        <v>70</v>
      </c>
      <c r="AT62" s="4" t="s">
        <v>70</v>
      </c>
      <c r="AU62" s="4" t="s">
        <v>468</v>
      </c>
    </row>
    <row r="63" spans="1:94" ht="13.2" x14ac:dyDescent="0.25">
      <c r="A63" s="3">
        <v>45003.65646859954</v>
      </c>
      <c r="B63" s="4" t="s">
        <v>461</v>
      </c>
      <c r="C63" s="4" t="s">
        <v>462</v>
      </c>
      <c r="D63" s="7" t="s">
        <v>463</v>
      </c>
      <c r="E63" s="4" t="s">
        <v>103</v>
      </c>
      <c r="F63" s="4" t="s">
        <v>157</v>
      </c>
      <c r="G63" s="4" t="s">
        <v>64</v>
      </c>
      <c r="H63" s="4" t="s">
        <v>469</v>
      </c>
      <c r="I63" s="4" t="s">
        <v>466</v>
      </c>
      <c r="J63" s="4" t="s">
        <v>465</v>
      </c>
      <c r="K63" s="4" t="s">
        <v>461</v>
      </c>
      <c r="L63" s="4" t="s">
        <v>67</v>
      </c>
      <c r="M63" s="4" t="s">
        <v>298</v>
      </c>
      <c r="N63" s="4">
        <v>35</v>
      </c>
      <c r="O63" s="4" t="s">
        <v>97</v>
      </c>
      <c r="P63" s="4">
        <v>3</v>
      </c>
      <c r="Q63" s="4">
        <v>3</v>
      </c>
      <c r="R63" s="4">
        <v>30</v>
      </c>
      <c r="S63" s="4" t="s">
        <v>471</v>
      </c>
      <c r="T63" s="4" t="s">
        <v>70</v>
      </c>
      <c r="U63" s="4" t="s">
        <v>70</v>
      </c>
      <c r="V63" s="4" t="s">
        <v>237</v>
      </c>
      <c r="W63" s="6" t="s">
        <v>145</v>
      </c>
      <c r="X63" s="4" t="s">
        <v>70</v>
      </c>
      <c r="Y63" s="4" t="s">
        <v>70</v>
      </c>
      <c r="Z63" s="4" t="s">
        <v>70</v>
      </c>
      <c r="AA63" s="4" t="s">
        <v>70</v>
      </c>
      <c r="AB63" s="4" t="s">
        <v>70</v>
      </c>
      <c r="AC63" s="4" t="s">
        <v>70</v>
      </c>
      <c r="AD63" s="4" t="s">
        <v>70</v>
      </c>
      <c r="AE63" s="4" t="s">
        <v>70</v>
      </c>
      <c r="AF63" s="4" t="s">
        <v>70</v>
      </c>
      <c r="AG63" s="4" t="s">
        <v>70</v>
      </c>
      <c r="AH63" s="4" t="s">
        <v>70</v>
      </c>
      <c r="AI63" s="4" t="s">
        <v>70</v>
      </c>
      <c r="AJ63" s="4" t="s">
        <v>70</v>
      </c>
      <c r="AK63" s="4" t="s">
        <v>70</v>
      </c>
      <c r="AL63" s="4" t="s">
        <v>70</v>
      </c>
      <c r="AM63" s="4" t="s">
        <v>70</v>
      </c>
      <c r="AN63" s="4" t="s">
        <v>70</v>
      </c>
      <c r="AO63" s="4" t="s">
        <v>70</v>
      </c>
      <c r="AP63" s="4" t="s">
        <v>70</v>
      </c>
      <c r="AQ63" s="4" t="s">
        <v>70</v>
      </c>
      <c r="AR63" s="4" t="s">
        <v>70</v>
      </c>
      <c r="AS63" s="4" t="s">
        <v>70</v>
      </c>
      <c r="AT63" s="4" t="s">
        <v>70</v>
      </c>
      <c r="AU63" s="4" t="s">
        <v>472</v>
      </c>
    </row>
    <row r="64" spans="1:94" ht="13.2" x14ac:dyDescent="0.25">
      <c r="A64" s="3">
        <v>45000.737666921297</v>
      </c>
      <c r="B64" s="4" t="s">
        <v>473</v>
      </c>
      <c r="C64" s="4" t="s">
        <v>474</v>
      </c>
      <c r="D64" s="7" t="s">
        <v>475</v>
      </c>
      <c r="E64" s="4" t="s">
        <v>103</v>
      </c>
      <c r="F64" s="4" t="s">
        <v>476</v>
      </c>
      <c r="G64" s="4" t="s">
        <v>105</v>
      </c>
      <c r="H64" s="4" t="s">
        <v>477</v>
      </c>
      <c r="I64" s="4" t="s">
        <v>478</v>
      </c>
      <c r="J64" s="4" t="s">
        <v>479</v>
      </c>
      <c r="K64" s="4" t="s">
        <v>473</v>
      </c>
      <c r="L64" s="4" t="s">
        <v>67</v>
      </c>
      <c r="M64" s="4" t="s">
        <v>303</v>
      </c>
      <c r="N64" s="4">
        <v>23</v>
      </c>
      <c r="O64" s="4" t="s">
        <v>69</v>
      </c>
      <c r="P64" s="4">
        <v>4</v>
      </c>
      <c r="Q64" s="4">
        <v>4</v>
      </c>
      <c r="R64" s="4">
        <v>50</v>
      </c>
      <c r="S64" s="4" t="s">
        <v>481</v>
      </c>
      <c r="T64" s="4" t="s">
        <v>70</v>
      </c>
      <c r="U64" s="4" t="s">
        <v>71</v>
      </c>
      <c r="V64" s="4" t="s">
        <v>72</v>
      </c>
      <c r="W64" s="6" t="s">
        <v>145</v>
      </c>
      <c r="X64" s="4" t="s">
        <v>70</v>
      </c>
      <c r="Y64" s="4" t="s">
        <v>71</v>
      </c>
      <c r="Z64" s="4" t="s">
        <v>71</v>
      </c>
      <c r="AA64" s="4" t="s">
        <v>71</v>
      </c>
      <c r="AB64" s="4" t="s">
        <v>70</v>
      </c>
      <c r="AC64" s="4" t="s">
        <v>71</v>
      </c>
      <c r="AD64" s="4" t="s">
        <v>71</v>
      </c>
      <c r="AE64" s="4" t="s">
        <v>71</v>
      </c>
      <c r="AF64" s="4" t="s">
        <v>71</v>
      </c>
      <c r="AG64" s="4" t="s">
        <v>71</v>
      </c>
      <c r="AH64" s="4" t="s">
        <v>71</v>
      </c>
      <c r="AI64" s="4" t="s">
        <v>70</v>
      </c>
      <c r="AJ64" s="4" t="s">
        <v>71</v>
      </c>
      <c r="AK64" s="4" t="s">
        <v>71</v>
      </c>
      <c r="AL64" s="4" t="s">
        <v>71</v>
      </c>
      <c r="AM64" s="4" t="s">
        <v>71</v>
      </c>
      <c r="AN64" s="4" t="s">
        <v>71</v>
      </c>
      <c r="AO64" s="4" t="s">
        <v>71</v>
      </c>
      <c r="AP64" s="4" t="s">
        <v>71</v>
      </c>
      <c r="AQ64" s="4" t="s">
        <v>71</v>
      </c>
      <c r="AR64" s="4" t="s">
        <v>71</v>
      </c>
      <c r="AS64" s="4" t="s">
        <v>71</v>
      </c>
      <c r="AT64" s="4" t="s">
        <v>71</v>
      </c>
      <c r="AU64" s="4" t="s">
        <v>482</v>
      </c>
    </row>
    <row r="65" spans="1:95" ht="13.2" x14ac:dyDescent="0.25">
      <c r="A65" s="3">
        <v>45000.83467074074</v>
      </c>
      <c r="B65" s="4" t="s">
        <v>483</v>
      </c>
      <c r="C65" s="4" t="s">
        <v>484</v>
      </c>
      <c r="D65" s="7" t="s">
        <v>485</v>
      </c>
      <c r="E65" s="4" t="s">
        <v>103</v>
      </c>
      <c r="F65" s="4" t="s">
        <v>486</v>
      </c>
      <c r="G65" s="4" t="s">
        <v>105</v>
      </c>
      <c r="H65" s="4" t="s">
        <v>487</v>
      </c>
      <c r="I65" s="4" t="s">
        <v>488</v>
      </c>
      <c r="J65" s="4" t="s">
        <v>489</v>
      </c>
      <c r="K65" s="4" t="s">
        <v>483</v>
      </c>
      <c r="L65" s="4" t="s">
        <v>67</v>
      </c>
      <c r="M65" s="4" t="s">
        <v>312</v>
      </c>
      <c r="N65" s="4">
        <v>15</v>
      </c>
      <c r="O65" s="4" t="s">
        <v>69</v>
      </c>
      <c r="P65" s="4">
        <v>3</v>
      </c>
      <c r="Q65" s="4">
        <v>3</v>
      </c>
      <c r="R65" s="4">
        <v>30</v>
      </c>
      <c r="T65" s="4" t="s">
        <v>70</v>
      </c>
      <c r="U65" s="4" t="s">
        <v>71</v>
      </c>
      <c r="V65" s="4" t="s">
        <v>72</v>
      </c>
      <c r="W65" s="6" t="s">
        <v>145</v>
      </c>
      <c r="X65" s="4" t="s">
        <v>70</v>
      </c>
      <c r="Y65" s="4" t="s">
        <v>71</v>
      </c>
      <c r="Z65" s="4" t="s">
        <v>71</v>
      </c>
      <c r="AA65" s="4" t="s">
        <v>71</v>
      </c>
      <c r="AB65" s="4" t="s">
        <v>71</v>
      </c>
      <c r="AC65" s="4" t="s">
        <v>70</v>
      </c>
      <c r="AD65" s="4" t="s">
        <v>70</v>
      </c>
      <c r="AE65" s="4" t="s">
        <v>71</v>
      </c>
      <c r="AF65" s="4" t="s">
        <v>71</v>
      </c>
      <c r="AI65" s="4" t="s">
        <v>70</v>
      </c>
      <c r="AM65" s="4" t="s">
        <v>70</v>
      </c>
      <c r="AS65" s="4" t="s">
        <v>70</v>
      </c>
    </row>
    <row r="66" spans="1:95" ht="13.2" x14ac:dyDescent="0.25">
      <c r="A66" s="3">
        <v>45000.840254699069</v>
      </c>
      <c r="B66" s="4" t="s">
        <v>483</v>
      </c>
      <c r="C66" s="4" t="s">
        <v>491</v>
      </c>
      <c r="D66" s="7" t="s">
        <v>485</v>
      </c>
      <c r="E66" s="4" t="s">
        <v>103</v>
      </c>
      <c r="F66" s="4" t="s">
        <v>486</v>
      </c>
      <c r="G66" s="4" t="s">
        <v>105</v>
      </c>
      <c r="H66" s="4" t="s">
        <v>487</v>
      </c>
      <c r="I66" s="4" t="s">
        <v>488</v>
      </c>
      <c r="J66" s="4" t="s">
        <v>489</v>
      </c>
      <c r="K66" s="4" t="s">
        <v>483</v>
      </c>
      <c r="L66" s="4" t="s">
        <v>67</v>
      </c>
      <c r="M66" s="4" t="s">
        <v>312</v>
      </c>
      <c r="N66" s="4">
        <v>16</v>
      </c>
      <c r="O66" s="4" t="s">
        <v>97</v>
      </c>
      <c r="P66" s="4">
        <v>3</v>
      </c>
      <c r="Q66" s="4">
        <v>3</v>
      </c>
      <c r="R66" s="4">
        <v>30</v>
      </c>
      <c r="T66" s="4" t="s">
        <v>70</v>
      </c>
      <c r="U66" s="4" t="s">
        <v>71</v>
      </c>
      <c r="V66" s="4" t="s">
        <v>72</v>
      </c>
      <c r="W66" s="6" t="s">
        <v>145</v>
      </c>
      <c r="X66" s="4" t="s">
        <v>70</v>
      </c>
      <c r="Y66" s="4" t="s">
        <v>71</v>
      </c>
      <c r="Z66" s="4" t="s">
        <v>71</v>
      </c>
      <c r="AA66" s="4" t="s">
        <v>71</v>
      </c>
      <c r="AB66" s="4" t="s">
        <v>70</v>
      </c>
      <c r="AC66" s="4" t="s">
        <v>71</v>
      </c>
      <c r="AD66" s="4" t="s">
        <v>71</v>
      </c>
      <c r="AE66" s="4" t="s">
        <v>71</v>
      </c>
      <c r="AF66" s="4" t="s">
        <v>71</v>
      </c>
      <c r="AG66" s="4" t="s">
        <v>71</v>
      </c>
      <c r="AH66" s="4" t="s">
        <v>71</v>
      </c>
      <c r="AI66" s="4" t="s">
        <v>70</v>
      </c>
      <c r="AJ66" s="4" t="s">
        <v>71</v>
      </c>
      <c r="AK66" s="4" t="s">
        <v>71</v>
      </c>
      <c r="AL66" s="4" t="s">
        <v>71</v>
      </c>
      <c r="AM66" s="4" t="s">
        <v>71</v>
      </c>
      <c r="AN66" s="4" t="s">
        <v>71</v>
      </c>
      <c r="AO66" s="4" t="s">
        <v>70</v>
      </c>
      <c r="AP66" s="4" t="s">
        <v>71</v>
      </c>
      <c r="AQ66" s="4" t="s">
        <v>71</v>
      </c>
      <c r="AR66" s="4" t="s">
        <v>71</v>
      </c>
      <c r="AS66" s="4" t="s">
        <v>70</v>
      </c>
      <c r="AT66" s="4" t="s">
        <v>71</v>
      </c>
    </row>
    <row r="67" spans="1:95" ht="13.2" x14ac:dyDescent="0.25">
      <c r="A67" s="3">
        <v>45000.8241647338</v>
      </c>
      <c r="B67" s="4" t="s">
        <v>493</v>
      </c>
      <c r="C67" s="4" t="s">
        <v>494</v>
      </c>
      <c r="D67" s="5" t="s">
        <v>495</v>
      </c>
      <c r="E67" s="4" t="s">
        <v>103</v>
      </c>
      <c r="F67" s="4" t="s">
        <v>496</v>
      </c>
      <c r="G67" s="4" t="s">
        <v>64</v>
      </c>
      <c r="H67" s="4" t="s">
        <v>497</v>
      </c>
      <c r="I67" s="4" t="s">
        <v>498</v>
      </c>
      <c r="K67" s="4" t="s">
        <v>493</v>
      </c>
      <c r="L67" s="4" t="s">
        <v>67</v>
      </c>
      <c r="M67" s="4" t="s">
        <v>322</v>
      </c>
      <c r="N67" s="4">
        <v>34</v>
      </c>
      <c r="O67" s="4" t="s">
        <v>200</v>
      </c>
      <c r="P67" s="4">
        <v>3</v>
      </c>
      <c r="Q67" s="4">
        <v>1</v>
      </c>
      <c r="R67" s="4">
        <v>15</v>
      </c>
      <c r="T67" s="4" t="s">
        <v>70</v>
      </c>
      <c r="U67" s="4" t="s">
        <v>71</v>
      </c>
      <c r="V67" s="4" t="s">
        <v>72</v>
      </c>
      <c r="W67" s="8" t="s">
        <v>145</v>
      </c>
      <c r="X67" s="4" t="s">
        <v>70</v>
      </c>
      <c r="Y67" s="4" t="s">
        <v>70</v>
      </c>
      <c r="Z67" s="4" t="s">
        <v>71</v>
      </c>
      <c r="AA67" s="4" t="s">
        <v>71</v>
      </c>
      <c r="AB67" s="4" t="s">
        <v>71</v>
      </c>
      <c r="AC67" s="4" t="s">
        <v>71</v>
      </c>
      <c r="AD67" s="4" t="s">
        <v>71</v>
      </c>
      <c r="AE67" s="4" t="s">
        <v>71</v>
      </c>
      <c r="AF67" s="4" t="s">
        <v>71</v>
      </c>
      <c r="AG67" s="4" t="s">
        <v>71</v>
      </c>
      <c r="AH67" s="4" t="s">
        <v>70</v>
      </c>
      <c r="AI67" s="4" t="s">
        <v>71</v>
      </c>
      <c r="AJ67" s="4" t="s">
        <v>71</v>
      </c>
      <c r="AK67" s="4" t="s">
        <v>71</v>
      </c>
      <c r="AL67" s="4" t="s">
        <v>71</v>
      </c>
      <c r="AM67" s="4" t="s">
        <v>71</v>
      </c>
      <c r="AN67" s="4" t="s">
        <v>71</v>
      </c>
      <c r="AO67" s="4" t="s">
        <v>71</v>
      </c>
      <c r="AP67" s="4" t="s">
        <v>71</v>
      </c>
      <c r="AQ67" s="4" t="s">
        <v>71</v>
      </c>
      <c r="AR67" s="4" t="s">
        <v>71</v>
      </c>
      <c r="AS67" s="4" t="s">
        <v>71</v>
      </c>
      <c r="AT67" s="4" t="s">
        <v>71</v>
      </c>
      <c r="AU67" s="4" t="s">
        <v>500</v>
      </c>
    </row>
    <row r="68" spans="1:95" ht="13.2" x14ac:dyDescent="0.25">
      <c r="A68" s="3">
        <v>45000.827784085646</v>
      </c>
      <c r="B68" s="4" t="s">
        <v>493</v>
      </c>
      <c r="C68" s="4" t="s">
        <v>494</v>
      </c>
      <c r="D68" s="5" t="s">
        <v>495</v>
      </c>
      <c r="E68" s="4" t="s">
        <v>103</v>
      </c>
      <c r="F68" s="4" t="s">
        <v>501</v>
      </c>
      <c r="G68" s="4" t="s">
        <v>64</v>
      </c>
      <c r="H68" s="4" t="s">
        <v>502</v>
      </c>
      <c r="I68" s="4" t="s">
        <v>503</v>
      </c>
      <c r="K68" s="4" t="s">
        <v>493</v>
      </c>
      <c r="L68" s="4" t="s">
        <v>67</v>
      </c>
      <c r="M68" s="4" t="s">
        <v>322</v>
      </c>
      <c r="N68" s="4">
        <v>30</v>
      </c>
      <c r="O68" s="4" t="s">
        <v>69</v>
      </c>
      <c r="P68" s="4">
        <v>3</v>
      </c>
      <c r="Q68" s="4">
        <v>1</v>
      </c>
      <c r="R68" s="4">
        <v>10</v>
      </c>
      <c r="T68" s="4" t="s">
        <v>70</v>
      </c>
      <c r="U68" s="4" t="s">
        <v>71</v>
      </c>
      <c r="V68" s="4" t="s">
        <v>72</v>
      </c>
      <c r="W68" s="6" t="s">
        <v>99</v>
      </c>
      <c r="AV68" s="4" t="s">
        <v>71</v>
      </c>
      <c r="AW68" s="4" t="s">
        <v>70</v>
      </c>
      <c r="AX68" s="4" t="s">
        <v>71</v>
      </c>
      <c r="AY68" s="4" t="s">
        <v>71</v>
      </c>
      <c r="AZ68" s="4" t="s">
        <v>71</v>
      </c>
      <c r="BA68" s="4" t="s">
        <v>71</v>
      </c>
      <c r="BB68" s="4" t="s">
        <v>71</v>
      </c>
      <c r="BC68" s="4" t="s">
        <v>71</v>
      </c>
      <c r="BD68" s="4" t="s">
        <v>71</v>
      </c>
      <c r="BE68" s="4" t="s">
        <v>70</v>
      </c>
      <c r="BJ68" s="4" t="s">
        <v>71</v>
      </c>
      <c r="BK68" s="4" t="s">
        <v>71</v>
      </c>
      <c r="BL68" s="4" t="s">
        <v>71</v>
      </c>
      <c r="BM68" s="4" t="s">
        <v>71</v>
      </c>
      <c r="BN68" s="4" t="s">
        <v>71</v>
      </c>
      <c r="BO68" s="4" t="s">
        <v>70</v>
      </c>
      <c r="BP68" s="4" t="s">
        <v>71</v>
      </c>
      <c r="BQ68" s="4" t="s">
        <v>71</v>
      </c>
      <c r="BR68" s="4" t="s">
        <v>71</v>
      </c>
      <c r="BS68" s="4" t="s">
        <v>505</v>
      </c>
    </row>
    <row r="69" spans="1:95" ht="13.2" x14ac:dyDescent="0.25">
      <c r="A69" s="3">
        <v>45000.830641712964</v>
      </c>
      <c r="B69" s="4" t="s">
        <v>493</v>
      </c>
      <c r="C69" s="4" t="s">
        <v>494</v>
      </c>
      <c r="D69" s="5" t="s">
        <v>495</v>
      </c>
      <c r="E69" s="4" t="s">
        <v>103</v>
      </c>
      <c r="F69" s="4" t="s">
        <v>446</v>
      </c>
      <c r="G69" s="4" t="s">
        <v>64</v>
      </c>
      <c r="H69" s="4" t="s">
        <v>497</v>
      </c>
      <c r="I69" s="4" t="s">
        <v>506</v>
      </c>
      <c r="K69" s="4" t="s">
        <v>493</v>
      </c>
      <c r="L69" s="4" t="s">
        <v>67</v>
      </c>
      <c r="M69" s="4" t="s">
        <v>322</v>
      </c>
      <c r="N69" s="4">
        <v>34</v>
      </c>
      <c r="O69" s="4" t="s">
        <v>200</v>
      </c>
      <c r="P69" s="4">
        <v>3</v>
      </c>
      <c r="Q69" s="4">
        <v>1</v>
      </c>
      <c r="R69" s="4">
        <v>15</v>
      </c>
      <c r="T69" s="4" t="s">
        <v>70</v>
      </c>
      <c r="U69" s="4" t="s">
        <v>71</v>
      </c>
      <c r="V69" s="4" t="s">
        <v>72</v>
      </c>
      <c r="W69" s="8" t="s">
        <v>145</v>
      </c>
      <c r="X69" s="4" t="s">
        <v>70</v>
      </c>
      <c r="Y69" s="4" t="s">
        <v>70</v>
      </c>
      <c r="Z69" s="4" t="s">
        <v>71</v>
      </c>
      <c r="AA69" s="4" t="s">
        <v>71</v>
      </c>
      <c r="AB69" s="4" t="s">
        <v>71</v>
      </c>
      <c r="AC69" s="4" t="s">
        <v>71</v>
      </c>
      <c r="AD69" s="4" t="s">
        <v>71</v>
      </c>
      <c r="AE69" s="4" t="s">
        <v>71</v>
      </c>
      <c r="AF69" s="4" t="s">
        <v>71</v>
      </c>
      <c r="AG69" s="4" t="s">
        <v>71</v>
      </c>
      <c r="AH69" s="4" t="s">
        <v>70</v>
      </c>
      <c r="AI69" s="4" t="s">
        <v>71</v>
      </c>
      <c r="AJ69" s="4" t="s">
        <v>71</v>
      </c>
      <c r="AK69" s="4" t="s">
        <v>71</v>
      </c>
      <c r="AL69" s="4" t="s">
        <v>71</v>
      </c>
      <c r="AM69" s="4" t="s">
        <v>71</v>
      </c>
      <c r="AN69" s="4" t="s">
        <v>71</v>
      </c>
      <c r="AO69" s="4" t="s">
        <v>71</v>
      </c>
      <c r="AP69" s="4" t="s">
        <v>71</v>
      </c>
      <c r="AQ69" s="4" t="s">
        <v>71</v>
      </c>
      <c r="AR69" s="4" t="s">
        <v>71</v>
      </c>
      <c r="AS69" s="4" t="s">
        <v>71</v>
      </c>
      <c r="AT69" s="4" t="s">
        <v>71</v>
      </c>
    </row>
    <row r="70" spans="1:95" ht="13.2" x14ac:dyDescent="0.25">
      <c r="A70" s="3">
        <v>45001.784191354163</v>
      </c>
      <c r="B70" s="4" t="s">
        <v>508</v>
      </c>
      <c r="C70" s="4" t="s">
        <v>509</v>
      </c>
      <c r="D70" s="7" t="s">
        <v>510</v>
      </c>
      <c r="E70" s="4" t="s">
        <v>263</v>
      </c>
      <c r="F70" s="4" t="s">
        <v>511</v>
      </c>
      <c r="G70" s="4" t="s">
        <v>64</v>
      </c>
      <c r="H70" s="4" t="s">
        <v>512</v>
      </c>
      <c r="I70" s="4" t="s">
        <v>513</v>
      </c>
      <c r="J70" s="4" t="s">
        <v>514</v>
      </c>
      <c r="K70" s="4" t="s">
        <v>508</v>
      </c>
      <c r="L70" s="4" t="s">
        <v>67</v>
      </c>
      <c r="M70" s="4" t="s">
        <v>303</v>
      </c>
      <c r="N70" s="4">
        <v>40</v>
      </c>
      <c r="O70" s="4" t="s">
        <v>97</v>
      </c>
      <c r="P70" s="4">
        <v>5</v>
      </c>
      <c r="Q70" s="4">
        <v>4</v>
      </c>
      <c r="R70" s="4">
        <v>5</v>
      </c>
      <c r="T70" s="4" t="s">
        <v>70</v>
      </c>
      <c r="U70" s="4" t="s">
        <v>71</v>
      </c>
      <c r="V70" s="4" t="s">
        <v>72</v>
      </c>
      <c r="W70" s="6" t="s">
        <v>145</v>
      </c>
      <c r="X70" s="4" t="s">
        <v>71</v>
      </c>
      <c r="Y70" s="4" t="s">
        <v>71</v>
      </c>
      <c r="Z70" s="4" t="s">
        <v>71</v>
      </c>
      <c r="AA70" s="4" t="s">
        <v>70</v>
      </c>
      <c r="AB70" s="4" t="s">
        <v>71</v>
      </c>
      <c r="AC70" s="4" t="s">
        <v>71</v>
      </c>
      <c r="AD70" s="4" t="s">
        <v>71</v>
      </c>
      <c r="AE70" s="4" t="s">
        <v>71</v>
      </c>
      <c r="AF70" s="4" t="s">
        <v>71</v>
      </c>
      <c r="AG70" s="4" t="s">
        <v>71</v>
      </c>
      <c r="AH70" s="4" t="s">
        <v>71</v>
      </c>
      <c r="AI70" s="4" t="s">
        <v>71</v>
      </c>
      <c r="AJ70" s="4" t="s">
        <v>71</v>
      </c>
      <c r="AK70" s="4" t="s">
        <v>71</v>
      </c>
      <c r="AL70" s="4" t="s">
        <v>71</v>
      </c>
      <c r="AM70" s="4" t="s">
        <v>70</v>
      </c>
      <c r="AN70" s="4" t="s">
        <v>71</v>
      </c>
      <c r="AO70" s="4" t="s">
        <v>71</v>
      </c>
      <c r="AP70" s="4" t="s">
        <v>71</v>
      </c>
      <c r="AQ70" s="4" t="s">
        <v>71</v>
      </c>
      <c r="AR70" s="4" t="s">
        <v>71</v>
      </c>
      <c r="AS70" s="4" t="s">
        <v>71</v>
      </c>
      <c r="AT70" s="4" t="s">
        <v>71</v>
      </c>
    </row>
    <row r="71" spans="1:95" ht="13.2" x14ac:dyDescent="0.25">
      <c r="A71" s="3">
        <v>45000.818411458335</v>
      </c>
      <c r="B71" s="4" t="s">
        <v>516</v>
      </c>
      <c r="C71" s="4" t="s">
        <v>517</v>
      </c>
      <c r="D71" s="7" t="s">
        <v>518</v>
      </c>
      <c r="E71" s="4" t="s">
        <v>149</v>
      </c>
      <c r="F71" s="4" t="s">
        <v>519</v>
      </c>
      <c r="G71" s="4" t="s">
        <v>105</v>
      </c>
      <c r="H71" s="4" t="s">
        <v>520</v>
      </c>
      <c r="I71" s="4" t="s">
        <v>521</v>
      </c>
      <c r="J71" s="4" t="s">
        <v>522</v>
      </c>
      <c r="K71" s="4" t="s">
        <v>516</v>
      </c>
      <c r="L71" s="4" t="s">
        <v>67</v>
      </c>
      <c r="M71" s="4" t="s">
        <v>324</v>
      </c>
      <c r="N71" s="4">
        <v>35</v>
      </c>
      <c r="O71" s="4" t="s">
        <v>200</v>
      </c>
      <c r="P71" s="4">
        <v>3</v>
      </c>
      <c r="Q71" s="4">
        <v>3</v>
      </c>
      <c r="R71" s="4">
        <v>30</v>
      </c>
      <c r="T71" s="4" t="s">
        <v>70</v>
      </c>
      <c r="U71" s="4" t="s">
        <v>71</v>
      </c>
      <c r="V71" s="4" t="s">
        <v>72</v>
      </c>
      <c r="W71" s="6" t="s">
        <v>99</v>
      </c>
      <c r="AV71" s="4" t="s">
        <v>70</v>
      </c>
      <c r="AW71" s="4" t="s">
        <v>70</v>
      </c>
      <c r="AX71" s="4" t="s">
        <v>71</v>
      </c>
      <c r="AY71" s="4" t="s">
        <v>70</v>
      </c>
      <c r="AZ71" s="4" t="s">
        <v>70</v>
      </c>
      <c r="BA71" s="4" t="s">
        <v>70</v>
      </c>
      <c r="BB71" s="4" t="s">
        <v>71</v>
      </c>
      <c r="BC71" s="4" t="s">
        <v>71</v>
      </c>
      <c r="BD71" s="4" t="s">
        <v>71</v>
      </c>
      <c r="BE71" s="4" t="s">
        <v>70</v>
      </c>
      <c r="BF71" s="4" t="s">
        <v>70</v>
      </c>
      <c r="BG71" s="4" t="s">
        <v>70</v>
      </c>
      <c r="BH71" s="4" t="s">
        <v>71</v>
      </c>
      <c r="BI71" s="4" t="s">
        <v>71</v>
      </c>
      <c r="BJ71" s="4" t="s">
        <v>70</v>
      </c>
      <c r="BK71" s="4" t="s">
        <v>70</v>
      </c>
      <c r="BL71" s="4" t="s">
        <v>70</v>
      </c>
      <c r="BM71" s="4" t="s">
        <v>71</v>
      </c>
      <c r="BN71" s="4" t="s">
        <v>71</v>
      </c>
      <c r="BO71" s="4" t="s">
        <v>70</v>
      </c>
      <c r="BP71" s="4" t="s">
        <v>70</v>
      </c>
      <c r="BQ71" s="4" t="s">
        <v>71</v>
      </c>
      <c r="BR71" s="4" t="s">
        <v>71</v>
      </c>
    </row>
    <row r="72" spans="1:95" ht="13.2" x14ac:dyDescent="0.25">
      <c r="A72" s="3">
        <v>45000.700057268521</v>
      </c>
      <c r="B72" s="4" t="s">
        <v>524</v>
      </c>
      <c r="C72" s="4" t="s">
        <v>525</v>
      </c>
      <c r="D72" s="5" t="s">
        <v>526</v>
      </c>
      <c r="E72" s="4" t="s">
        <v>103</v>
      </c>
      <c r="F72" s="4" t="s">
        <v>527</v>
      </c>
      <c r="G72" s="4" t="s">
        <v>64</v>
      </c>
      <c r="H72" s="4" t="s">
        <v>528</v>
      </c>
      <c r="I72" s="4" t="s">
        <v>529</v>
      </c>
      <c r="K72" s="4" t="s">
        <v>524</v>
      </c>
      <c r="L72" s="4" t="s">
        <v>67</v>
      </c>
      <c r="M72" s="4" t="s">
        <v>68</v>
      </c>
      <c r="N72" s="4">
        <v>24</v>
      </c>
      <c r="O72" s="4" t="s">
        <v>200</v>
      </c>
      <c r="P72" s="4">
        <v>4</v>
      </c>
      <c r="Q72" s="4">
        <v>5</v>
      </c>
      <c r="R72" s="4">
        <v>0</v>
      </c>
      <c r="T72" s="4" t="s">
        <v>70</v>
      </c>
      <c r="U72" s="4" t="s">
        <v>71</v>
      </c>
      <c r="V72" s="4" t="s">
        <v>72</v>
      </c>
      <c r="W72" s="8" t="s">
        <v>145</v>
      </c>
      <c r="X72" s="4" t="s">
        <v>70</v>
      </c>
      <c r="Y72" s="4" t="s">
        <v>70</v>
      </c>
      <c r="Z72" s="4" t="s">
        <v>70</v>
      </c>
      <c r="AA72" s="4" t="s">
        <v>70</v>
      </c>
      <c r="AB72" s="4" t="s">
        <v>70</v>
      </c>
      <c r="AC72" s="4" t="s">
        <v>70</v>
      </c>
      <c r="AD72" s="4" t="s">
        <v>71</v>
      </c>
      <c r="AE72" s="4" t="s">
        <v>71</v>
      </c>
      <c r="AF72" s="4" t="s">
        <v>71</v>
      </c>
      <c r="AG72" s="4" t="s">
        <v>70</v>
      </c>
      <c r="AH72" s="4" t="s">
        <v>70</v>
      </c>
      <c r="AI72" s="4" t="s">
        <v>70</v>
      </c>
      <c r="AJ72" s="4" t="s">
        <v>71</v>
      </c>
      <c r="AK72" s="4" t="s">
        <v>71</v>
      </c>
      <c r="AL72" s="4" t="s">
        <v>70</v>
      </c>
      <c r="AM72" s="4" t="s">
        <v>70</v>
      </c>
      <c r="AN72" s="4" t="s">
        <v>70</v>
      </c>
      <c r="AO72" s="4" t="s">
        <v>71</v>
      </c>
      <c r="AP72" s="4" t="s">
        <v>71</v>
      </c>
      <c r="AQ72" s="4" t="s">
        <v>70</v>
      </c>
      <c r="AR72" s="4" t="s">
        <v>70</v>
      </c>
      <c r="AS72" s="4" t="s">
        <v>71</v>
      </c>
      <c r="AT72" s="4" t="s">
        <v>71</v>
      </c>
    </row>
    <row r="73" spans="1:95" ht="13.2" x14ac:dyDescent="0.25">
      <c r="A73" s="3">
        <v>45005.71080148148</v>
      </c>
      <c r="B73" s="4" t="s">
        <v>524</v>
      </c>
      <c r="C73" s="4" t="s">
        <v>525</v>
      </c>
      <c r="D73" s="6" t="s">
        <v>526</v>
      </c>
      <c r="E73" s="4" t="s">
        <v>103</v>
      </c>
      <c r="F73" s="4" t="s">
        <v>531</v>
      </c>
      <c r="G73" s="4" t="s">
        <v>64</v>
      </c>
      <c r="H73" s="4" t="s">
        <v>532</v>
      </c>
      <c r="I73" s="4" t="s">
        <v>533</v>
      </c>
      <c r="K73" s="4" t="s">
        <v>524</v>
      </c>
      <c r="L73" s="4" t="s">
        <v>67</v>
      </c>
      <c r="M73" s="4" t="s">
        <v>68</v>
      </c>
      <c r="N73" s="4">
        <v>24</v>
      </c>
      <c r="O73" s="4" t="s">
        <v>200</v>
      </c>
      <c r="P73" s="4">
        <v>5</v>
      </c>
      <c r="Q73" s="4">
        <v>5</v>
      </c>
      <c r="R73" s="4">
        <v>0</v>
      </c>
      <c r="T73" s="4" t="s">
        <v>70</v>
      </c>
      <c r="U73" s="4" t="s">
        <v>71</v>
      </c>
      <c r="V73" s="4" t="s">
        <v>72</v>
      </c>
      <c r="W73" s="6" t="s">
        <v>99</v>
      </c>
      <c r="AV73" s="4" t="s">
        <v>70</v>
      </c>
      <c r="AW73" s="4" t="s">
        <v>70</v>
      </c>
      <c r="AX73" s="4" t="s">
        <v>71</v>
      </c>
      <c r="AY73" s="4" t="s">
        <v>70</v>
      </c>
      <c r="AZ73" s="4" t="s">
        <v>70</v>
      </c>
      <c r="BA73" s="4" t="s">
        <v>70</v>
      </c>
      <c r="BB73" s="4" t="s">
        <v>71</v>
      </c>
      <c r="BC73" s="4" t="s">
        <v>71</v>
      </c>
      <c r="BD73" s="4" t="s">
        <v>71</v>
      </c>
      <c r="BE73" s="4" t="s">
        <v>70</v>
      </c>
      <c r="BF73" s="4" t="s">
        <v>70</v>
      </c>
      <c r="BG73" s="4" t="s">
        <v>70</v>
      </c>
      <c r="BH73" s="4" t="s">
        <v>71</v>
      </c>
      <c r="BI73" s="4" t="s">
        <v>71</v>
      </c>
      <c r="BJ73" s="4" t="s">
        <v>70</v>
      </c>
      <c r="BK73" s="4" t="s">
        <v>70</v>
      </c>
      <c r="BL73" s="4" t="s">
        <v>70</v>
      </c>
      <c r="BM73" s="4" t="s">
        <v>71</v>
      </c>
      <c r="BN73" s="4" t="s">
        <v>71</v>
      </c>
      <c r="BO73" s="4" t="s">
        <v>70</v>
      </c>
      <c r="BP73" s="4" t="s">
        <v>70</v>
      </c>
      <c r="BQ73" s="4" t="s">
        <v>71</v>
      </c>
      <c r="BR73" s="4" t="s">
        <v>71</v>
      </c>
    </row>
    <row r="74" spans="1:95" ht="13.2" x14ac:dyDescent="0.25">
      <c r="A74" s="3">
        <v>45001.394216238426</v>
      </c>
      <c r="B74" s="4" t="s">
        <v>535</v>
      </c>
      <c r="C74" s="4" t="s">
        <v>536</v>
      </c>
      <c r="D74" s="7" t="s">
        <v>537</v>
      </c>
      <c r="E74" s="4" t="s">
        <v>103</v>
      </c>
      <c r="F74" s="4" t="s">
        <v>538</v>
      </c>
      <c r="G74" s="4" t="s">
        <v>64</v>
      </c>
      <c r="H74" s="4" t="s">
        <v>539</v>
      </c>
      <c r="I74" s="4" t="s">
        <v>540</v>
      </c>
      <c r="K74" s="4" t="s">
        <v>535</v>
      </c>
      <c r="L74" s="4" t="s">
        <v>67</v>
      </c>
      <c r="M74" s="4" t="s">
        <v>331</v>
      </c>
      <c r="N74" s="4">
        <v>38</v>
      </c>
      <c r="O74" s="4" t="s">
        <v>200</v>
      </c>
      <c r="P74" s="4">
        <v>4</v>
      </c>
      <c r="Q74" s="4">
        <v>3</v>
      </c>
      <c r="R74" s="4">
        <v>10</v>
      </c>
      <c r="S74" s="4" t="s">
        <v>542</v>
      </c>
      <c r="T74" s="4" t="s">
        <v>70</v>
      </c>
      <c r="U74" s="4" t="s">
        <v>71</v>
      </c>
      <c r="V74" s="4" t="s">
        <v>72</v>
      </c>
      <c r="W74" s="8" t="s">
        <v>145</v>
      </c>
      <c r="X74" s="4" t="s">
        <v>70</v>
      </c>
      <c r="Y74" s="4" t="s">
        <v>70</v>
      </c>
      <c r="Z74" s="4" t="s">
        <v>71</v>
      </c>
      <c r="AA74" s="4" t="s">
        <v>70</v>
      </c>
      <c r="AB74" s="4" t="s">
        <v>70</v>
      </c>
      <c r="AC74" s="4" t="s">
        <v>70</v>
      </c>
      <c r="AD74" s="4" t="s">
        <v>71</v>
      </c>
      <c r="AE74" s="4" t="s">
        <v>71</v>
      </c>
      <c r="AF74" s="4" t="s">
        <v>71</v>
      </c>
      <c r="AG74" s="4" t="s">
        <v>70</v>
      </c>
      <c r="AH74" s="4" t="s">
        <v>70</v>
      </c>
      <c r="AI74" s="4" t="s">
        <v>70</v>
      </c>
      <c r="AJ74" s="4" t="s">
        <v>71</v>
      </c>
      <c r="AK74" s="4" t="s">
        <v>71</v>
      </c>
      <c r="AL74" s="4" t="s">
        <v>70</v>
      </c>
      <c r="AM74" s="4" t="s">
        <v>70</v>
      </c>
      <c r="AN74" s="4" t="s">
        <v>70</v>
      </c>
      <c r="AO74" s="4" t="s">
        <v>71</v>
      </c>
      <c r="AP74" s="4" t="s">
        <v>71</v>
      </c>
      <c r="AQ74" s="4" t="s">
        <v>70</v>
      </c>
      <c r="AR74" s="4" t="s">
        <v>70</v>
      </c>
      <c r="AS74" s="4" t="s">
        <v>71</v>
      </c>
      <c r="AT74" s="4" t="s">
        <v>71</v>
      </c>
      <c r="AU74" s="4" t="s">
        <v>543</v>
      </c>
    </row>
    <row r="75" spans="1:95" ht="13.2" x14ac:dyDescent="0.25">
      <c r="A75" s="3">
        <v>45001.39929001157</v>
      </c>
      <c r="B75" s="4" t="s">
        <v>544</v>
      </c>
      <c r="C75" s="4" t="s">
        <v>545</v>
      </c>
      <c r="D75" s="7" t="s">
        <v>537</v>
      </c>
      <c r="E75" s="4" t="s">
        <v>103</v>
      </c>
      <c r="F75" s="4" t="s">
        <v>546</v>
      </c>
      <c r="G75" s="4" t="s">
        <v>64</v>
      </c>
      <c r="H75" s="4" t="s">
        <v>539</v>
      </c>
      <c r="I75" s="4" t="s">
        <v>540</v>
      </c>
      <c r="K75" s="4" t="s">
        <v>535</v>
      </c>
      <c r="L75" s="4" t="s">
        <v>67</v>
      </c>
      <c r="M75" s="4" t="s">
        <v>331</v>
      </c>
      <c r="N75" s="4">
        <v>37</v>
      </c>
      <c r="O75" s="4" t="s">
        <v>200</v>
      </c>
      <c r="P75" s="4">
        <v>4</v>
      </c>
      <c r="Q75" s="4">
        <v>3</v>
      </c>
      <c r="R75" s="4">
        <v>10</v>
      </c>
      <c r="S75" s="4" t="s">
        <v>548</v>
      </c>
      <c r="T75" s="4" t="s">
        <v>70</v>
      </c>
      <c r="U75" s="4" t="s">
        <v>71</v>
      </c>
      <c r="V75" s="4" t="s">
        <v>72</v>
      </c>
      <c r="W75" s="6" t="s">
        <v>99</v>
      </c>
      <c r="AV75" s="4" t="s">
        <v>70</v>
      </c>
      <c r="AW75" s="4" t="s">
        <v>70</v>
      </c>
      <c r="AX75" s="4" t="s">
        <v>71</v>
      </c>
      <c r="AY75" s="4" t="s">
        <v>70</v>
      </c>
      <c r="AZ75" s="4" t="s">
        <v>70</v>
      </c>
      <c r="BA75" s="4" t="s">
        <v>70</v>
      </c>
      <c r="BB75" s="4" t="s">
        <v>71</v>
      </c>
      <c r="BC75" s="4" t="s">
        <v>71</v>
      </c>
      <c r="BD75" s="4" t="s">
        <v>71</v>
      </c>
      <c r="BE75" s="4" t="s">
        <v>70</v>
      </c>
      <c r="BF75" s="4" t="s">
        <v>70</v>
      </c>
      <c r="BG75" s="4" t="s">
        <v>70</v>
      </c>
      <c r="BH75" s="4" t="s">
        <v>71</v>
      </c>
      <c r="BI75" s="4" t="s">
        <v>71</v>
      </c>
      <c r="BJ75" s="4" t="s">
        <v>70</v>
      </c>
      <c r="BK75" s="4" t="s">
        <v>70</v>
      </c>
      <c r="BL75" s="4" t="s">
        <v>70</v>
      </c>
      <c r="BM75" s="4" t="s">
        <v>71</v>
      </c>
      <c r="BN75" s="4" t="s">
        <v>71</v>
      </c>
      <c r="BO75" s="4" t="s">
        <v>70</v>
      </c>
      <c r="BP75" s="4" t="s">
        <v>70</v>
      </c>
      <c r="BQ75" s="4" t="s">
        <v>71</v>
      </c>
      <c r="BR75" s="4" t="s">
        <v>71</v>
      </c>
      <c r="BS75" s="4" t="s">
        <v>549</v>
      </c>
    </row>
    <row r="76" spans="1:95" ht="13.2" x14ac:dyDescent="0.25">
      <c r="A76" s="3">
        <v>45001.411839351851</v>
      </c>
      <c r="B76" s="4" t="s">
        <v>535</v>
      </c>
      <c r="C76" s="4" t="s">
        <v>536</v>
      </c>
      <c r="D76" s="7" t="s">
        <v>537</v>
      </c>
      <c r="E76" s="4" t="s">
        <v>103</v>
      </c>
      <c r="F76" s="4" t="s">
        <v>546</v>
      </c>
      <c r="G76" s="4" t="s">
        <v>64</v>
      </c>
      <c r="H76" s="4" t="s">
        <v>539</v>
      </c>
      <c r="I76" s="4" t="s">
        <v>540</v>
      </c>
      <c r="K76" s="4" t="s">
        <v>535</v>
      </c>
      <c r="L76" s="4" t="s">
        <v>67</v>
      </c>
      <c r="M76" s="4" t="s">
        <v>331</v>
      </c>
      <c r="N76" s="4">
        <v>37</v>
      </c>
      <c r="O76" s="4" t="s">
        <v>200</v>
      </c>
      <c r="P76" s="4">
        <v>4</v>
      </c>
      <c r="Q76" s="4">
        <v>3</v>
      </c>
      <c r="R76" s="4">
        <v>10</v>
      </c>
      <c r="S76" s="4" t="s">
        <v>548</v>
      </c>
      <c r="T76" s="4" t="s">
        <v>70</v>
      </c>
      <c r="U76" s="4" t="s">
        <v>70</v>
      </c>
      <c r="V76" s="4" t="s">
        <v>237</v>
      </c>
      <c r="W76" s="6" t="s">
        <v>99</v>
      </c>
      <c r="AV76" s="4" t="s">
        <v>70</v>
      </c>
      <c r="AW76" s="4" t="s">
        <v>70</v>
      </c>
      <c r="AX76" s="4" t="s">
        <v>71</v>
      </c>
      <c r="AY76" s="4" t="s">
        <v>70</v>
      </c>
      <c r="AZ76" s="4" t="s">
        <v>70</v>
      </c>
      <c r="BA76" s="4" t="s">
        <v>70</v>
      </c>
      <c r="BB76" s="4" t="s">
        <v>71</v>
      </c>
      <c r="BC76" s="4" t="s">
        <v>71</v>
      </c>
      <c r="BD76" s="4" t="s">
        <v>71</v>
      </c>
      <c r="BE76" s="4" t="s">
        <v>70</v>
      </c>
      <c r="BF76" s="4" t="s">
        <v>70</v>
      </c>
      <c r="BG76" s="4" t="s">
        <v>70</v>
      </c>
      <c r="BH76" s="4" t="s">
        <v>71</v>
      </c>
      <c r="BI76" s="4" t="s">
        <v>71</v>
      </c>
      <c r="BJ76" s="4" t="s">
        <v>70</v>
      </c>
      <c r="BK76" s="4" t="s">
        <v>70</v>
      </c>
      <c r="BL76" s="4" t="s">
        <v>70</v>
      </c>
      <c r="BM76" s="4" t="s">
        <v>71</v>
      </c>
      <c r="BN76" s="4" t="s">
        <v>71</v>
      </c>
      <c r="BO76" s="4" t="s">
        <v>70</v>
      </c>
      <c r="BP76" s="4" t="s">
        <v>70</v>
      </c>
      <c r="BQ76" s="4" t="s">
        <v>71</v>
      </c>
      <c r="BR76" s="4" t="s">
        <v>71</v>
      </c>
      <c r="BS76" s="4" t="s">
        <v>551</v>
      </c>
    </row>
    <row r="77" spans="1:95" ht="13.2" x14ac:dyDescent="0.25">
      <c r="A77" s="3">
        <v>45001.422946469909</v>
      </c>
      <c r="B77" s="4" t="s">
        <v>535</v>
      </c>
      <c r="C77" s="4" t="s">
        <v>536</v>
      </c>
      <c r="D77" s="7" t="s">
        <v>537</v>
      </c>
      <c r="E77" s="4" t="s">
        <v>103</v>
      </c>
      <c r="F77" s="4" t="s">
        <v>546</v>
      </c>
      <c r="G77" s="4" t="s">
        <v>64</v>
      </c>
      <c r="H77" s="4" t="s">
        <v>539</v>
      </c>
      <c r="I77" s="4" t="s">
        <v>540</v>
      </c>
      <c r="K77" s="4" t="s">
        <v>535</v>
      </c>
      <c r="L77" s="4" t="s">
        <v>67</v>
      </c>
      <c r="M77" s="4" t="s">
        <v>331</v>
      </c>
      <c r="N77" s="4">
        <v>30</v>
      </c>
      <c r="O77" s="4" t="s">
        <v>200</v>
      </c>
      <c r="P77" s="4">
        <v>4</v>
      </c>
      <c r="Q77" s="4">
        <v>3</v>
      </c>
      <c r="R77" s="4">
        <v>10</v>
      </c>
      <c r="S77" s="4" t="s">
        <v>553</v>
      </c>
      <c r="T77" s="4" t="s">
        <v>71</v>
      </c>
      <c r="U77" s="4" t="s">
        <v>70</v>
      </c>
      <c r="V77" s="4" t="s">
        <v>87</v>
      </c>
      <c r="W77" s="6" t="s">
        <v>99</v>
      </c>
      <c r="AV77" s="4" t="s">
        <v>71</v>
      </c>
      <c r="AW77" s="4" t="s">
        <v>71</v>
      </c>
      <c r="AX77" s="4" t="s">
        <v>70</v>
      </c>
      <c r="AY77" s="4" t="s">
        <v>71</v>
      </c>
      <c r="AZ77" s="4" t="s">
        <v>71</v>
      </c>
      <c r="BA77" s="4" t="s">
        <v>71</v>
      </c>
      <c r="BB77" s="4" t="s">
        <v>71</v>
      </c>
      <c r="BC77" s="4" t="s">
        <v>70</v>
      </c>
      <c r="BD77" s="4" t="s">
        <v>70</v>
      </c>
      <c r="BE77" s="4" t="s">
        <v>71</v>
      </c>
      <c r="BF77" s="4" t="s">
        <v>71</v>
      </c>
      <c r="BG77" s="4" t="s">
        <v>71</v>
      </c>
      <c r="BH77" s="4" t="s">
        <v>70</v>
      </c>
      <c r="BI77" s="4" t="s">
        <v>70</v>
      </c>
      <c r="BJ77" s="4" t="s">
        <v>71</v>
      </c>
      <c r="BK77" s="4" t="s">
        <v>71</v>
      </c>
      <c r="BL77" s="4" t="s">
        <v>71</v>
      </c>
      <c r="BM77" s="4" t="s">
        <v>70</v>
      </c>
      <c r="BN77" s="4" t="s">
        <v>70</v>
      </c>
      <c r="BO77" s="4" t="s">
        <v>71</v>
      </c>
      <c r="BP77" s="4" t="s">
        <v>71</v>
      </c>
      <c r="BQ77" s="4" t="s">
        <v>70</v>
      </c>
      <c r="BR77" s="4" t="s">
        <v>70</v>
      </c>
      <c r="BS77" s="4" t="s">
        <v>554</v>
      </c>
    </row>
    <row r="78" spans="1:95" ht="13.2" x14ac:dyDescent="0.25">
      <c r="A78" s="3">
        <v>45001.406216307871</v>
      </c>
      <c r="B78" s="4" t="s">
        <v>535</v>
      </c>
      <c r="C78" s="4" t="s">
        <v>536</v>
      </c>
      <c r="D78" s="7" t="s">
        <v>537</v>
      </c>
      <c r="E78" s="4" t="s">
        <v>103</v>
      </c>
      <c r="F78" s="4" t="s">
        <v>555</v>
      </c>
      <c r="G78" s="4" t="s">
        <v>64</v>
      </c>
      <c r="H78" s="4" t="s">
        <v>539</v>
      </c>
      <c r="I78" s="4" t="s">
        <v>540</v>
      </c>
      <c r="K78" s="4" t="s">
        <v>535</v>
      </c>
      <c r="L78" s="4" t="s">
        <v>67</v>
      </c>
      <c r="M78" s="4" t="s">
        <v>331</v>
      </c>
      <c r="N78" s="4">
        <v>36</v>
      </c>
      <c r="O78" s="4" t="s">
        <v>200</v>
      </c>
      <c r="P78" s="4">
        <v>4</v>
      </c>
      <c r="Q78" s="4">
        <v>3</v>
      </c>
      <c r="R78" s="4">
        <v>10</v>
      </c>
      <c r="S78" s="4" t="s">
        <v>548</v>
      </c>
      <c r="T78" s="4" t="s">
        <v>70</v>
      </c>
      <c r="U78" s="4" t="s">
        <v>71</v>
      </c>
      <c r="V78" s="4" t="s">
        <v>72</v>
      </c>
      <c r="W78" s="6" t="s">
        <v>73</v>
      </c>
      <c r="BT78" s="4" t="s">
        <v>70</v>
      </c>
      <c r="BU78" s="4" t="s">
        <v>70</v>
      </c>
      <c r="BV78" s="4" t="s">
        <v>71</v>
      </c>
      <c r="BW78" s="4" t="s">
        <v>70</v>
      </c>
      <c r="BX78" s="4" t="s">
        <v>70</v>
      </c>
      <c r="BY78" s="4" t="s">
        <v>70</v>
      </c>
      <c r="BZ78" s="4" t="s">
        <v>71</v>
      </c>
      <c r="CA78" s="4" t="s">
        <v>71</v>
      </c>
      <c r="CB78" s="4" t="s">
        <v>71</v>
      </c>
      <c r="CC78" s="4" t="s">
        <v>70</v>
      </c>
      <c r="CD78" s="4" t="s">
        <v>70</v>
      </c>
      <c r="CE78" s="4" t="s">
        <v>70</v>
      </c>
      <c r="CF78" s="4" t="s">
        <v>71</v>
      </c>
      <c r="CG78" s="4" t="s">
        <v>71</v>
      </c>
      <c r="CH78" s="4" t="s">
        <v>70</v>
      </c>
      <c r="CI78" s="4" t="s">
        <v>70</v>
      </c>
      <c r="CJ78" s="4" t="s">
        <v>70</v>
      </c>
      <c r="CK78" s="4" t="s">
        <v>71</v>
      </c>
      <c r="CL78" s="4" t="s">
        <v>71</v>
      </c>
      <c r="CM78" s="4" t="s">
        <v>70</v>
      </c>
      <c r="CN78" s="4" t="s">
        <v>70</v>
      </c>
      <c r="CO78" s="4" t="s">
        <v>71</v>
      </c>
      <c r="CP78" s="4" t="s">
        <v>71</v>
      </c>
      <c r="CQ78" s="4" t="s">
        <v>557</v>
      </c>
    </row>
    <row r="79" spans="1:95" ht="13.2" x14ac:dyDescent="0.25">
      <c r="A79" s="3">
        <v>45001.434614201389</v>
      </c>
      <c r="B79" s="4" t="s">
        <v>535</v>
      </c>
      <c r="C79" s="4" t="s">
        <v>536</v>
      </c>
      <c r="D79" s="7" t="s">
        <v>537</v>
      </c>
      <c r="E79" s="4" t="s">
        <v>103</v>
      </c>
      <c r="F79" s="4" t="s">
        <v>555</v>
      </c>
      <c r="G79" s="4" t="s">
        <v>64</v>
      </c>
      <c r="H79" s="4" t="s">
        <v>539</v>
      </c>
      <c r="I79" s="4" t="s">
        <v>540</v>
      </c>
      <c r="K79" s="4" t="s">
        <v>535</v>
      </c>
      <c r="L79" s="4" t="s">
        <v>67</v>
      </c>
      <c r="M79" s="4" t="s">
        <v>331</v>
      </c>
      <c r="N79" s="4">
        <v>34</v>
      </c>
      <c r="O79" s="4" t="s">
        <v>97</v>
      </c>
      <c r="P79" s="4">
        <v>4</v>
      </c>
      <c r="Q79" s="4">
        <v>3</v>
      </c>
      <c r="R79" s="4">
        <v>10</v>
      </c>
      <c r="S79" s="4" t="s">
        <v>559</v>
      </c>
      <c r="T79" s="4" t="s">
        <v>71</v>
      </c>
      <c r="U79" s="4" t="s">
        <v>70</v>
      </c>
      <c r="V79" s="4" t="s">
        <v>87</v>
      </c>
      <c r="W79" s="6" t="s">
        <v>73</v>
      </c>
      <c r="BT79" s="4" t="s">
        <v>71</v>
      </c>
      <c r="BU79" s="4" t="s">
        <v>71</v>
      </c>
      <c r="BV79" s="4" t="s">
        <v>70</v>
      </c>
      <c r="BW79" s="4" t="s">
        <v>71</v>
      </c>
      <c r="BX79" s="4" t="s">
        <v>71</v>
      </c>
      <c r="BY79" s="4" t="s">
        <v>71</v>
      </c>
      <c r="BZ79" s="4" t="s">
        <v>71</v>
      </c>
      <c r="CA79" s="4" t="s">
        <v>70</v>
      </c>
      <c r="CB79" s="4" t="s">
        <v>70</v>
      </c>
      <c r="CC79" s="4" t="s">
        <v>71</v>
      </c>
      <c r="CD79" s="4" t="s">
        <v>71</v>
      </c>
      <c r="CE79" s="4" t="s">
        <v>71</v>
      </c>
      <c r="CF79" s="4" t="s">
        <v>70</v>
      </c>
      <c r="CG79" s="4" t="s">
        <v>70</v>
      </c>
      <c r="CH79" s="4" t="s">
        <v>71</v>
      </c>
      <c r="CI79" s="4" t="s">
        <v>71</v>
      </c>
      <c r="CJ79" s="4" t="s">
        <v>71</v>
      </c>
      <c r="CK79" s="4" t="s">
        <v>70</v>
      </c>
      <c r="CL79" s="4" t="s">
        <v>70</v>
      </c>
      <c r="CM79" s="4" t="s">
        <v>71</v>
      </c>
      <c r="CN79" s="4" t="s">
        <v>71</v>
      </c>
      <c r="CO79" s="4" t="s">
        <v>70</v>
      </c>
      <c r="CP79" s="4" t="s">
        <v>70</v>
      </c>
      <c r="CQ79" s="4" t="s">
        <v>560</v>
      </c>
    </row>
    <row r="80" spans="1:95" ht="13.2" x14ac:dyDescent="0.25">
      <c r="A80" s="3">
        <v>45002.56798975695</v>
      </c>
      <c r="B80" s="4" t="s">
        <v>561</v>
      </c>
      <c r="C80" s="4" t="s">
        <v>562</v>
      </c>
      <c r="D80" s="7" t="s">
        <v>563</v>
      </c>
      <c r="E80" s="4" t="s">
        <v>140</v>
      </c>
      <c r="F80" s="4" t="s">
        <v>564</v>
      </c>
      <c r="G80" s="4" t="s">
        <v>64</v>
      </c>
      <c r="H80" s="4" t="s">
        <v>565</v>
      </c>
      <c r="I80" s="4" t="s">
        <v>566</v>
      </c>
      <c r="K80" s="4" t="s">
        <v>561</v>
      </c>
      <c r="L80" s="4" t="s">
        <v>67</v>
      </c>
      <c r="M80" s="4" t="s">
        <v>338</v>
      </c>
      <c r="N80" s="4">
        <v>35</v>
      </c>
      <c r="O80" s="4" t="s">
        <v>97</v>
      </c>
      <c r="P80" s="4">
        <v>5</v>
      </c>
      <c r="Q80" s="4">
        <v>5</v>
      </c>
      <c r="R80" s="4">
        <v>30</v>
      </c>
      <c r="S80" s="4" t="s">
        <v>568</v>
      </c>
      <c r="T80" s="4" t="s">
        <v>70</v>
      </c>
      <c r="U80" s="4" t="s">
        <v>71</v>
      </c>
      <c r="V80" s="4" t="s">
        <v>72</v>
      </c>
      <c r="W80" s="6" t="s">
        <v>99</v>
      </c>
      <c r="AV80" s="4" t="s">
        <v>71</v>
      </c>
      <c r="AW80" s="4" t="s">
        <v>70</v>
      </c>
      <c r="AX80" s="4" t="s">
        <v>71</v>
      </c>
      <c r="AY80" s="4" t="s">
        <v>70</v>
      </c>
      <c r="AZ80" s="4" t="s">
        <v>70</v>
      </c>
      <c r="BA80" s="4" t="s">
        <v>70</v>
      </c>
      <c r="BB80" s="4" t="s">
        <v>71</v>
      </c>
      <c r="BC80" s="4" t="s">
        <v>71</v>
      </c>
      <c r="BD80" s="4" t="s">
        <v>71</v>
      </c>
      <c r="BE80" s="4" t="s">
        <v>70</v>
      </c>
      <c r="BF80" s="4" t="s">
        <v>70</v>
      </c>
      <c r="BG80" s="4" t="s">
        <v>70</v>
      </c>
      <c r="BH80" s="4" t="s">
        <v>71</v>
      </c>
      <c r="BI80" s="4" t="s">
        <v>71</v>
      </c>
      <c r="BJ80" s="4" t="s">
        <v>70</v>
      </c>
      <c r="BK80" s="4" t="s">
        <v>70</v>
      </c>
      <c r="BL80" s="4" t="s">
        <v>70</v>
      </c>
      <c r="BM80" s="4" t="s">
        <v>71</v>
      </c>
      <c r="BN80" s="4" t="s">
        <v>71</v>
      </c>
      <c r="BO80" s="4" t="s">
        <v>71</v>
      </c>
      <c r="BP80" s="4" t="s">
        <v>71</v>
      </c>
      <c r="BQ80" s="4" t="s">
        <v>71</v>
      </c>
      <c r="BR80" s="4" t="s">
        <v>71</v>
      </c>
    </row>
    <row r="81" spans="1:95" ht="13.2" x14ac:dyDescent="0.25">
      <c r="A81" s="3">
        <v>45002.570582789354</v>
      </c>
      <c r="B81" s="4" t="s">
        <v>561</v>
      </c>
      <c r="C81" s="4" t="s">
        <v>562</v>
      </c>
      <c r="D81" s="7" t="s">
        <v>563</v>
      </c>
      <c r="E81" s="4" t="s">
        <v>149</v>
      </c>
      <c r="F81" s="4" t="s">
        <v>564</v>
      </c>
      <c r="G81" s="4" t="s">
        <v>64</v>
      </c>
      <c r="H81" s="4" t="s">
        <v>569</v>
      </c>
      <c r="I81" s="4" t="s">
        <v>570</v>
      </c>
      <c r="K81" s="4" t="s">
        <v>561</v>
      </c>
      <c r="L81" s="4" t="s">
        <v>67</v>
      </c>
      <c r="M81" s="4" t="s">
        <v>338</v>
      </c>
      <c r="N81" s="4">
        <v>35</v>
      </c>
      <c r="O81" s="4" t="s">
        <v>69</v>
      </c>
      <c r="P81" s="4">
        <v>5</v>
      </c>
      <c r="Q81" s="4">
        <v>5</v>
      </c>
      <c r="R81" s="4">
        <v>30</v>
      </c>
      <c r="S81" s="4" t="s">
        <v>568</v>
      </c>
      <c r="T81" s="4" t="s">
        <v>70</v>
      </c>
      <c r="U81" s="4" t="s">
        <v>71</v>
      </c>
      <c r="V81" s="4" t="s">
        <v>72</v>
      </c>
      <c r="W81" s="6" t="s">
        <v>99</v>
      </c>
      <c r="AV81" s="4" t="s">
        <v>71</v>
      </c>
      <c r="AW81" s="4" t="s">
        <v>70</v>
      </c>
      <c r="AX81" s="4" t="s">
        <v>71</v>
      </c>
      <c r="AY81" s="4" t="s">
        <v>70</v>
      </c>
      <c r="AZ81" s="4" t="s">
        <v>70</v>
      </c>
      <c r="BA81" s="4" t="s">
        <v>70</v>
      </c>
      <c r="BB81" s="4" t="s">
        <v>71</v>
      </c>
      <c r="BC81" s="4" t="s">
        <v>71</v>
      </c>
      <c r="BD81" s="4" t="s">
        <v>71</v>
      </c>
      <c r="BE81" s="4" t="s">
        <v>70</v>
      </c>
      <c r="BF81" s="4" t="s">
        <v>70</v>
      </c>
      <c r="BG81" s="4" t="s">
        <v>70</v>
      </c>
      <c r="BH81" s="4" t="s">
        <v>71</v>
      </c>
      <c r="BI81" s="4" t="s">
        <v>71</v>
      </c>
      <c r="BJ81" s="4" t="s">
        <v>70</v>
      </c>
      <c r="BK81" s="4" t="s">
        <v>70</v>
      </c>
      <c r="BL81" s="4" t="s">
        <v>70</v>
      </c>
      <c r="BM81" s="4" t="s">
        <v>71</v>
      </c>
      <c r="BN81" s="4" t="s">
        <v>71</v>
      </c>
      <c r="BO81" s="4" t="s">
        <v>71</v>
      </c>
      <c r="BP81" s="4" t="s">
        <v>71</v>
      </c>
      <c r="BQ81" s="4" t="s">
        <v>71</v>
      </c>
      <c r="BR81" s="4" t="s">
        <v>71</v>
      </c>
    </row>
    <row r="82" spans="1:95" ht="13.2" x14ac:dyDescent="0.25">
      <c r="A82" s="3">
        <v>45000.66364269676</v>
      </c>
      <c r="B82" s="4" t="s">
        <v>572</v>
      </c>
      <c r="C82" s="4" t="s">
        <v>573</v>
      </c>
      <c r="D82" s="5" t="s">
        <v>574</v>
      </c>
      <c r="E82" s="4" t="s">
        <v>149</v>
      </c>
      <c r="F82" s="4" t="s">
        <v>575</v>
      </c>
      <c r="G82" s="4" t="s">
        <v>64</v>
      </c>
      <c r="H82" s="4" t="s">
        <v>576</v>
      </c>
      <c r="I82" s="4" t="s">
        <v>577</v>
      </c>
      <c r="J82" s="4" t="s">
        <v>578</v>
      </c>
      <c r="K82" s="4" t="s">
        <v>572</v>
      </c>
      <c r="L82" s="4" t="s">
        <v>67</v>
      </c>
      <c r="M82" s="4" t="s">
        <v>338</v>
      </c>
      <c r="N82" s="4">
        <v>39</v>
      </c>
      <c r="O82" s="4" t="s">
        <v>97</v>
      </c>
      <c r="P82" s="4">
        <v>4</v>
      </c>
      <c r="Q82" s="4">
        <v>3</v>
      </c>
      <c r="R82" s="4">
        <v>30</v>
      </c>
      <c r="T82" s="4" t="s">
        <v>70</v>
      </c>
      <c r="U82" s="4" t="s">
        <v>71</v>
      </c>
      <c r="V82" s="4" t="s">
        <v>72</v>
      </c>
      <c r="W82" s="6" t="s">
        <v>145</v>
      </c>
      <c r="X82" s="4" t="s">
        <v>70</v>
      </c>
      <c r="Y82" s="4" t="s">
        <v>70</v>
      </c>
      <c r="Z82" s="4" t="s">
        <v>70</v>
      </c>
      <c r="AA82" s="4" t="s">
        <v>70</v>
      </c>
      <c r="AB82" s="4" t="s">
        <v>70</v>
      </c>
      <c r="AC82" s="4" t="s">
        <v>70</v>
      </c>
      <c r="AD82" s="4" t="s">
        <v>70</v>
      </c>
      <c r="AE82" s="4" t="s">
        <v>71</v>
      </c>
      <c r="AF82" s="4" t="s">
        <v>71</v>
      </c>
      <c r="AG82" s="4" t="s">
        <v>70</v>
      </c>
      <c r="AH82" s="4" t="s">
        <v>70</v>
      </c>
      <c r="AI82" s="4" t="s">
        <v>70</v>
      </c>
      <c r="AJ82" s="4" t="s">
        <v>71</v>
      </c>
      <c r="AL82" s="4" t="s">
        <v>70</v>
      </c>
      <c r="AM82" s="4" t="s">
        <v>70</v>
      </c>
      <c r="AN82" s="4" t="s">
        <v>70</v>
      </c>
      <c r="AO82" s="4" t="s">
        <v>71</v>
      </c>
      <c r="AP82" s="4" t="s">
        <v>71</v>
      </c>
      <c r="AQ82" s="4" t="s">
        <v>70</v>
      </c>
      <c r="AR82" s="4" t="s">
        <v>70</v>
      </c>
      <c r="AS82" s="4" t="s">
        <v>71</v>
      </c>
      <c r="AT82" s="4" t="s">
        <v>71</v>
      </c>
    </row>
    <row r="83" spans="1:95" ht="13.2" x14ac:dyDescent="0.25">
      <c r="A83" s="3">
        <v>45000.66579269676</v>
      </c>
      <c r="B83" s="4" t="s">
        <v>572</v>
      </c>
      <c r="C83" s="4" t="s">
        <v>580</v>
      </c>
      <c r="D83" s="5" t="s">
        <v>574</v>
      </c>
      <c r="E83" s="4" t="s">
        <v>427</v>
      </c>
      <c r="F83" s="4" t="s">
        <v>581</v>
      </c>
      <c r="G83" s="4" t="s">
        <v>64</v>
      </c>
      <c r="H83" s="4" t="s">
        <v>576</v>
      </c>
      <c r="I83" s="4" t="s">
        <v>582</v>
      </c>
      <c r="J83" s="4" t="s">
        <v>578</v>
      </c>
      <c r="K83" s="4" t="s">
        <v>572</v>
      </c>
      <c r="L83" s="4" t="s">
        <v>67</v>
      </c>
      <c r="M83" s="4" t="s">
        <v>338</v>
      </c>
      <c r="N83" s="4">
        <v>35</v>
      </c>
      <c r="O83" s="4" t="s">
        <v>97</v>
      </c>
      <c r="P83" s="4">
        <v>3</v>
      </c>
      <c r="Q83" s="4">
        <v>2</v>
      </c>
      <c r="R83" s="4">
        <v>30</v>
      </c>
      <c r="T83" s="4" t="s">
        <v>70</v>
      </c>
      <c r="U83" s="4" t="s">
        <v>71</v>
      </c>
      <c r="V83" s="4" t="s">
        <v>72</v>
      </c>
      <c r="W83" s="6" t="s">
        <v>145</v>
      </c>
      <c r="X83" s="4" t="s">
        <v>70</v>
      </c>
      <c r="Y83" s="4" t="s">
        <v>70</v>
      </c>
      <c r="Z83" s="4" t="s">
        <v>71</v>
      </c>
      <c r="AA83" s="4" t="s">
        <v>70</v>
      </c>
      <c r="AB83" s="4" t="s">
        <v>70</v>
      </c>
      <c r="AC83" s="4" t="s">
        <v>70</v>
      </c>
      <c r="AD83" s="4" t="s">
        <v>71</v>
      </c>
      <c r="AE83" s="4" t="s">
        <v>71</v>
      </c>
      <c r="AF83" s="4" t="s">
        <v>71</v>
      </c>
      <c r="AG83" s="4" t="s">
        <v>70</v>
      </c>
      <c r="AH83" s="4" t="s">
        <v>70</v>
      </c>
      <c r="AI83" s="4" t="s">
        <v>70</v>
      </c>
      <c r="AJ83" s="4" t="s">
        <v>71</v>
      </c>
      <c r="AK83" s="4" t="s">
        <v>71</v>
      </c>
      <c r="AL83" s="4" t="s">
        <v>70</v>
      </c>
      <c r="AM83" s="4" t="s">
        <v>70</v>
      </c>
      <c r="AN83" s="4" t="s">
        <v>70</v>
      </c>
      <c r="AO83" s="4" t="s">
        <v>71</v>
      </c>
      <c r="AP83" s="4" t="s">
        <v>71</v>
      </c>
      <c r="AQ83" s="4" t="s">
        <v>70</v>
      </c>
      <c r="AR83" s="4" t="s">
        <v>70</v>
      </c>
      <c r="AS83" s="4" t="s">
        <v>71</v>
      </c>
      <c r="AT83" s="4" t="s">
        <v>71</v>
      </c>
    </row>
    <row r="84" spans="1:95" ht="13.2" x14ac:dyDescent="0.25">
      <c r="A84" s="3">
        <v>45001.937873287039</v>
      </c>
      <c r="B84" s="4" t="s">
        <v>584</v>
      </c>
      <c r="C84" s="4" t="s">
        <v>585</v>
      </c>
      <c r="D84" s="7" t="s">
        <v>586</v>
      </c>
      <c r="E84" s="4" t="s">
        <v>103</v>
      </c>
      <c r="F84" s="4" t="s">
        <v>587</v>
      </c>
      <c r="G84" s="4" t="s">
        <v>64</v>
      </c>
      <c r="H84" s="4" t="s">
        <v>588</v>
      </c>
      <c r="I84" s="4" t="s">
        <v>589</v>
      </c>
      <c r="J84" s="4" t="s">
        <v>590</v>
      </c>
      <c r="K84" s="4" t="s">
        <v>591</v>
      </c>
      <c r="L84" s="4" t="s">
        <v>67</v>
      </c>
      <c r="M84" s="4" t="s">
        <v>228</v>
      </c>
      <c r="N84" s="4">
        <v>25</v>
      </c>
      <c r="O84" s="4" t="s">
        <v>69</v>
      </c>
      <c r="P84" s="4">
        <v>5</v>
      </c>
      <c r="Q84" s="4">
        <v>5</v>
      </c>
      <c r="R84" s="4">
        <v>10</v>
      </c>
      <c r="T84" s="4" t="s">
        <v>70</v>
      </c>
      <c r="U84" s="4" t="s">
        <v>70</v>
      </c>
      <c r="V84" s="4" t="s">
        <v>237</v>
      </c>
      <c r="W84" s="6" t="s">
        <v>73</v>
      </c>
      <c r="BT84" s="4" t="s">
        <v>71</v>
      </c>
      <c r="BU84" s="4" t="s">
        <v>71</v>
      </c>
      <c r="BV84" s="4" t="s">
        <v>71</v>
      </c>
      <c r="BW84" s="4" t="s">
        <v>71</v>
      </c>
      <c r="BX84" s="4" t="s">
        <v>71</v>
      </c>
      <c r="BY84" s="4" t="s">
        <v>70</v>
      </c>
      <c r="BZ84" s="4" t="s">
        <v>70</v>
      </c>
      <c r="CA84" s="4" t="s">
        <v>70</v>
      </c>
      <c r="CB84" s="4" t="s">
        <v>70</v>
      </c>
      <c r="CC84" s="4" t="s">
        <v>71</v>
      </c>
      <c r="CD84" s="4" t="s">
        <v>71</v>
      </c>
      <c r="CE84" s="4" t="s">
        <v>71</v>
      </c>
      <c r="CF84" s="4" t="s">
        <v>71</v>
      </c>
      <c r="CG84" s="4" t="s">
        <v>71</v>
      </c>
      <c r="CH84" s="4" t="s">
        <v>70</v>
      </c>
      <c r="CI84" s="4" t="s">
        <v>70</v>
      </c>
      <c r="CJ84" s="4" t="s">
        <v>70</v>
      </c>
      <c r="CK84" s="4" t="s">
        <v>70</v>
      </c>
      <c r="CL84" s="4" t="s">
        <v>70</v>
      </c>
      <c r="CM84" s="4" t="s">
        <v>70</v>
      </c>
      <c r="CN84" s="4" t="s">
        <v>70</v>
      </c>
      <c r="CO84" s="4" t="s">
        <v>70</v>
      </c>
      <c r="CP84" s="4" t="s">
        <v>70</v>
      </c>
      <c r="CQ84" s="4" t="s">
        <v>593</v>
      </c>
    </row>
    <row r="85" spans="1:95" ht="13.2" x14ac:dyDescent="0.25">
      <c r="A85" s="3">
        <v>45001.94058819444</v>
      </c>
      <c r="B85" s="4" t="s">
        <v>591</v>
      </c>
      <c r="C85" s="4" t="s">
        <v>585</v>
      </c>
      <c r="D85" s="7" t="s">
        <v>586</v>
      </c>
      <c r="E85" s="4" t="s">
        <v>149</v>
      </c>
      <c r="F85" s="4" t="s">
        <v>594</v>
      </c>
      <c r="G85" s="4" t="s">
        <v>64</v>
      </c>
      <c r="H85" s="4" t="s">
        <v>595</v>
      </c>
      <c r="I85" s="4" t="s">
        <v>589</v>
      </c>
      <c r="J85" s="4" t="s">
        <v>590</v>
      </c>
      <c r="K85" s="4" t="s">
        <v>591</v>
      </c>
      <c r="L85" s="4" t="s">
        <v>67</v>
      </c>
      <c r="M85" s="4" t="s">
        <v>228</v>
      </c>
      <c r="N85" s="4">
        <v>30</v>
      </c>
      <c r="O85" s="4" t="s">
        <v>69</v>
      </c>
      <c r="P85" s="4">
        <v>5</v>
      </c>
      <c r="Q85" s="4">
        <v>5</v>
      </c>
      <c r="R85" s="4">
        <v>10</v>
      </c>
      <c r="T85" s="4" t="s">
        <v>70</v>
      </c>
      <c r="U85" s="4" t="s">
        <v>70</v>
      </c>
      <c r="V85" s="4" t="s">
        <v>237</v>
      </c>
      <c r="W85" s="6" t="s">
        <v>73</v>
      </c>
      <c r="BT85" s="4" t="s">
        <v>71</v>
      </c>
      <c r="BU85" s="4" t="s">
        <v>71</v>
      </c>
      <c r="BV85" s="4" t="s">
        <v>71</v>
      </c>
      <c r="BW85" s="4" t="s">
        <v>71</v>
      </c>
      <c r="BX85" s="4" t="s">
        <v>71</v>
      </c>
      <c r="BY85" s="4" t="s">
        <v>70</v>
      </c>
      <c r="BZ85" s="4" t="s">
        <v>70</v>
      </c>
      <c r="CA85" s="4" t="s">
        <v>70</v>
      </c>
      <c r="CB85" s="4" t="s">
        <v>70</v>
      </c>
      <c r="CC85" s="4" t="s">
        <v>71</v>
      </c>
      <c r="CD85" s="4" t="s">
        <v>71</v>
      </c>
      <c r="CE85" s="4" t="s">
        <v>71</v>
      </c>
      <c r="CF85" s="4" t="s">
        <v>71</v>
      </c>
      <c r="CG85" s="4" t="s">
        <v>71</v>
      </c>
      <c r="CH85" s="4" t="s">
        <v>70</v>
      </c>
      <c r="CI85" s="4" t="s">
        <v>70</v>
      </c>
      <c r="CJ85" s="4" t="s">
        <v>70</v>
      </c>
      <c r="CK85" s="4" t="s">
        <v>70</v>
      </c>
      <c r="CL85" s="4" t="s">
        <v>70</v>
      </c>
      <c r="CM85" s="4" t="s">
        <v>70</v>
      </c>
      <c r="CN85" s="4" t="s">
        <v>70</v>
      </c>
      <c r="CO85" s="4" t="s">
        <v>70</v>
      </c>
      <c r="CP85" s="4" t="s">
        <v>70</v>
      </c>
      <c r="CQ85" s="4" t="s">
        <v>597</v>
      </c>
    </row>
    <row r="86" spans="1:95" ht="13.2" x14ac:dyDescent="0.25">
      <c r="A86" s="3">
        <v>45001.944243252314</v>
      </c>
      <c r="B86" s="4" t="s">
        <v>591</v>
      </c>
      <c r="C86" s="4" t="s">
        <v>598</v>
      </c>
      <c r="D86" s="7" t="s">
        <v>586</v>
      </c>
      <c r="E86" s="4" t="s">
        <v>103</v>
      </c>
      <c r="F86" s="4" t="s">
        <v>599</v>
      </c>
      <c r="G86" s="4" t="s">
        <v>64</v>
      </c>
      <c r="H86" s="4" t="s">
        <v>595</v>
      </c>
      <c r="I86" s="4" t="s">
        <v>589</v>
      </c>
      <c r="J86" s="4" t="s">
        <v>590</v>
      </c>
      <c r="K86" s="4" t="s">
        <v>591</v>
      </c>
      <c r="L86" s="4" t="s">
        <v>67</v>
      </c>
      <c r="M86" s="4" t="s">
        <v>228</v>
      </c>
      <c r="N86" s="4">
        <v>30</v>
      </c>
      <c r="O86" s="4" t="s">
        <v>69</v>
      </c>
      <c r="P86" s="4">
        <v>5</v>
      </c>
      <c r="Q86" s="4">
        <v>5</v>
      </c>
      <c r="R86" s="4">
        <v>10</v>
      </c>
      <c r="T86" s="4" t="s">
        <v>70</v>
      </c>
      <c r="U86" s="4" t="s">
        <v>70</v>
      </c>
      <c r="V86" s="4" t="s">
        <v>237</v>
      </c>
      <c r="W86" s="6" t="s">
        <v>73</v>
      </c>
      <c r="BT86" s="4" t="s">
        <v>71</v>
      </c>
      <c r="BU86" s="4" t="s">
        <v>71</v>
      </c>
      <c r="BV86" s="4" t="s">
        <v>71</v>
      </c>
      <c r="BW86" s="4" t="s">
        <v>70</v>
      </c>
      <c r="BX86" s="4" t="s">
        <v>70</v>
      </c>
      <c r="BY86" s="4" t="s">
        <v>70</v>
      </c>
      <c r="BZ86" s="4" t="s">
        <v>70</v>
      </c>
      <c r="CA86" s="4" t="s">
        <v>70</v>
      </c>
      <c r="CB86" s="4" t="s">
        <v>70</v>
      </c>
      <c r="CC86" s="4" t="s">
        <v>71</v>
      </c>
      <c r="CD86" s="4" t="s">
        <v>71</v>
      </c>
      <c r="CE86" s="4" t="s">
        <v>71</v>
      </c>
      <c r="CF86" s="4" t="s">
        <v>71</v>
      </c>
      <c r="CG86" s="4" t="s">
        <v>71</v>
      </c>
      <c r="CH86" s="4" t="s">
        <v>70</v>
      </c>
      <c r="CI86" s="4" t="s">
        <v>70</v>
      </c>
      <c r="CJ86" s="4" t="s">
        <v>70</v>
      </c>
      <c r="CK86" s="4" t="s">
        <v>70</v>
      </c>
      <c r="CL86" s="4" t="s">
        <v>70</v>
      </c>
      <c r="CM86" s="4" t="s">
        <v>70</v>
      </c>
      <c r="CN86" s="4" t="s">
        <v>70</v>
      </c>
      <c r="CO86" s="4" t="s">
        <v>70</v>
      </c>
      <c r="CP86" s="4" t="s">
        <v>70</v>
      </c>
      <c r="CQ86" s="4" t="s">
        <v>597</v>
      </c>
    </row>
    <row r="87" spans="1:95" ht="13.2" x14ac:dyDescent="0.25">
      <c r="A87" s="3">
        <v>45002.471919652773</v>
      </c>
      <c r="B87" s="4" t="s">
        <v>601</v>
      </c>
      <c r="C87" s="4" t="s">
        <v>602</v>
      </c>
      <c r="D87" s="5" t="s">
        <v>603</v>
      </c>
      <c r="E87" s="4" t="s">
        <v>604</v>
      </c>
      <c r="F87" s="4" t="s">
        <v>605</v>
      </c>
      <c r="G87" s="4" t="s">
        <v>105</v>
      </c>
      <c r="H87" s="4" t="s">
        <v>606</v>
      </c>
      <c r="I87" s="4" t="s">
        <v>607</v>
      </c>
      <c r="J87" s="4" t="s">
        <v>608</v>
      </c>
      <c r="K87" s="4" t="s">
        <v>601</v>
      </c>
      <c r="L87" s="4" t="s">
        <v>67</v>
      </c>
      <c r="M87" s="4" t="s">
        <v>136</v>
      </c>
      <c r="N87" s="4">
        <v>30</v>
      </c>
      <c r="O87" s="4" t="s">
        <v>97</v>
      </c>
      <c r="P87" s="4">
        <v>4</v>
      </c>
      <c r="Q87" s="4">
        <v>1</v>
      </c>
      <c r="R87" s="4">
        <v>90</v>
      </c>
      <c r="T87" s="4" t="s">
        <v>70</v>
      </c>
      <c r="U87" s="4" t="s">
        <v>71</v>
      </c>
      <c r="V87" s="4" t="s">
        <v>72</v>
      </c>
      <c r="W87" s="6" t="s">
        <v>145</v>
      </c>
      <c r="X87" s="4" t="s">
        <v>70</v>
      </c>
      <c r="Y87" s="4" t="s">
        <v>71</v>
      </c>
      <c r="Z87" s="4" t="s">
        <v>71</v>
      </c>
      <c r="AA87" s="4" t="s">
        <v>71</v>
      </c>
      <c r="AB87" s="4" t="s">
        <v>70</v>
      </c>
      <c r="AC87" s="4" t="s">
        <v>71</v>
      </c>
      <c r="AD87" s="4" t="s">
        <v>71</v>
      </c>
      <c r="AE87" s="4" t="s">
        <v>71</v>
      </c>
      <c r="AF87" s="4" t="s">
        <v>71</v>
      </c>
      <c r="AG87" s="4" t="s">
        <v>71</v>
      </c>
      <c r="AH87" s="4" t="s">
        <v>71</v>
      </c>
      <c r="AI87" s="4" t="s">
        <v>71</v>
      </c>
      <c r="AJ87" s="4" t="s">
        <v>71</v>
      </c>
      <c r="AK87" s="4" t="s">
        <v>71</v>
      </c>
      <c r="AL87" s="4" t="s">
        <v>71</v>
      </c>
      <c r="AM87" s="4" t="s">
        <v>71</v>
      </c>
      <c r="AN87" s="4" t="s">
        <v>70</v>
      </c>
      <c r="AO87" s="4" t="s">
        <v>71</v>
      </c>
      <c r="AP87" s="4" t="s">
        <v>71</v>
      </c>
      <c r="AQ87" s="4" t="s">
        <v>71</v>
      </c>
      <c r="AR87" s="4" t="s">
        <v>71</v>
      </c>
      <c r="AS87" s="4" t="s">
        <v>71</v>
      </c>
      <c r="AT87" s="4" t="s">
        <v>71</v>
      </c>
    </row>
    <row r="88" spans="1:95" ht="13.2" x14ac:dyDescent="0.25">
      <c r="A88" s="3">
        <v>45005.634511053242</v>
      </c>
      <c r="B88" s="4" t="s">
        <v>610</v>
      </c>
      <c r="C88" s="4" t="s">
        <v>611</v>
      </c>
      <c r="D88" s="7" t="s">
        <v>612</v>
      </c>
      <c r="E88" s="4" t="s">
        <v>149</v>
      </c>
      <c r="F88" s="4" t="s">
        <v>613</v>
      </c>
      <c r="G88" s="4" t="s">
        <v>64</v>
      </c>
      <c r="H88" s="4" t="s">
        <v>614</v>
      </c>
      <c r="I88" s="4" t="s">
        <v>615</v>
      </c>
      <c r="J88" s="4" t="s">
        <v>616</v>
      </c>
      <c r="K88" s="4" t="s">
        <v>610</v>
      </c>
      <c r="L88" s="4" t="s">
        <v>67</v>
      </c>
      <c r="M88" s="4" t="s">
        <v>342</v>
      </c>
      <c r="N88" s="4">
        <v>20</v>
      </c>
      <c r="O88" s="4" t="s">
        <v>69</v>
      </c>
      <c r="P88" s="4">
        <v>5</v>
      </c>
      <c r="Q88" s="4">
        <v>3</v>
      </c>
      <c r="R88" s="4">
        <v>5</v>
      </c>
      <c r="T88" s="4" t="s">
        <v>70</v>
      </c>
      <c r="U88" s="4" t="s">
        <v>70</v>
      </c>
      <c r="V88" s="4" t="s">
        <v>237</v>
      </c>
      <c r="W88" s="6" t="s">
        <v>99</v>
      </c>
      <c r="AV88" s="4" t="s">
        <v>70</v>
      </c>
      <c r="AW88" s="4" t="s">
        <v>70</v>
      </c>
      <c r="AX88" s="4" t="s">
        <v>70</v>
      </c>
      <c r="AY88" s="4" t="s">
        <v>70</v>
      </c>
      <c r="AZ88" s="4" t="s">
        <v>70</v>
      </c>
      <c r="BA88" s="4" t="s">
        <v>70</v>
      </c>
      <c r="BB88" s="4" t="s">
        <v>70</v>
      </c>
      <c r="BC88" s="4" t="s">
        <v>70</v>
      </c>
      <c r="BD88" s="4" t="s">
        <v>70</v>
      </c>
      <c r="BE88" s="4" t="s">
        <v>70</v>
      </c>
      <c r="BF88" s="4" t="s">
        <v>70</v>
      </c>
      <c r="BG88" s="4" t="s">
        <v>70</v>
      </c>
      <c r="BH88" s="4" t="s">
        <v>70</v>
      </c>
      <c r="BI88" s="4" t="s">
        <v>70</v>
      </c>
      <c r="BJ88" s="4" t="s">
        <v>70</v>
      </c>
      <c r="BK88" s="4" t="s">
        <v>70</v>
      </c>
      <c r="BL88" s="4" t="s">
        <v>70</v>
      </c>
      <c r="BM88" s="4" t="s">
        <v>70</v>
      </c>
      <c r="BN88" s="4" t="s">
        <v>70</v>
      </c>
      <c r="BO88" s="4" t="s">
        <v>70</v>
      </c>
      <c r="BP88" s="4" t="s">
        <v>70</v>
      </c>
      <c r="BQ88" s="4" t="s">
        <v>70</v>
      </c>
      <c r="BR88" s="4" t="s">
        <v>70</v>
      </c>
      <c r="BS88" s="4" t="s">
        <v>618</v>
      </c>
    </row>
    <row r="89" spans="1:95" ht="13.2" x14ac:dyDescent="0.25">
      <c r="A89" s="3">
        <v>45001.576777476846</v>
      </c>
      <c r="B89" s="4" t="s">
        <v>619</v>
      </c>
      <c r="C89" s="4" t="s">
        <v>620</v>
      </c>
      <c r="D89" s="7" t="s">
        <v>621</v>
      </c>
      <c r="E89" s="4" t="s">
        <v>140</v>
      </c>
      <c r="F89" s="4" t="s">
        <v>622</v>
      </c>
      <c r="G89" s="4" t="s">
        <v>105</v>
      </c>
      <c r="H89" s="4" t="s">
        <v>623</v>
      </c>
      <c r="I89" s="4" t="s">
        <v>624</v>
      </c>
      <c r="K89" s="4" t="s">
        <v>619</v>
      </c>
      <c r="L89" s="4" t="s">
        <v>67</v>
      </c>
      <c r="M89" s="4" t="s">
        <v>350</v>
      </c>
      <c r="N89" s="4">
        <v>35</v>
      </c>
      <c r="O89" s="4" t="s">
        <v>97</v>
      </c>
      <c r="P89" s="4">
        <v>5</v>
      </c>
      <c r="Q89" s="4">
        <v>2</v>
      </c>
      <c r="R89" s="4">
        <v>70</v>
      </c>
      <c r="T89" s="4" t="s">
        <v>70</v>
      </c>
      <c r="U89" s="4" t="s">
        <v>71</v>
      </c>
      <c r="V89" s="4" t="s">
        <v>72</v>
      </c>
      <c r="W89" s="6" t="s">
        <v>73</v>
      </c>
      <c r="BT89" s="4" t="s">
        <v>70</v>
      </c>
      <c r="BU89" s="4" t="s">
        <v>70</v>
      </c>
      <c r="BV89" s="4" t="s">
        <v>70</v>
      </c>
      <c r="BW89" s="4" t="s">
        <v>70</v>
      </c>
      <c r="BX89" s="4" t="s">
        <v>70</v>
      </c>
      <c r="BY89" s="4" t="s">
        <v>70</v>
      </c>
      <c r="BZ89" s="4" t="s">
        <v>71</v>
      </c>
      <c r="CA89" s="4" t="s">
        <v>71</v>
      </c>
      <c r="CB89" s="4" t="s">
        <v>71</v>
      </c>
      <c r="CC89" s="4" t="s">
        <v>70</v>
      </c>
      <c r="CD89" s="4" t="s">
        <v>70</v>
      </c>
      <c r="CE89" s="4" t="s">
        <v>70</v>
      </c>
      <c r="CF89" s="4" t="s">
        <v>71</v>
      </c>
      <c r="CG89" s="4" t="s">
        <v>71</v>
      </c>
      <c r="CH89" s="4" t="s">
        <v>70</v>
      </c>
      <c r="CI89" s="4" t="s">
        <v>70</v>
      </c>
      <c r="CJ89" s="4" t="s">
        <v>70</v>
      </c>
      <c r="CK89" s="4" t="s">
        <v>71</v>
      </c>
      <c r="CL89" s="4" t="s">
        <v>71</v>
      </c>
      <c r="CM89" s="4" t="s">
        <v>70</v>
      </c>
      <c r="CN89" s="4" t="s">
        <v>70</v>
      </c>
      <c r="CO89" s="4" t="s">
        <v>71</v>
      </c>
      <c r="CP89" s="4" t="s">
        <v>71</v>
      </c>
    </row>
    <row r="90" spans="1:95" ht="13.2" x14ac:dyDescent="0.25">
      <c r="A90" s="3">
        <v>45005.686679189814</v>
      </c>
      <c r="B90" s="4" t="s">
        <v>626</v>
      </c>
      <c r="C90" s="4" t="s">
        <v>627</v>
      </c>
      <c r="D90" s="6" t="s">
        <v>628</v>
      </c>
      <c r="E90" s="4" t="s">
        <v>149</v>
      </c>
      <c r="F90" s="4" t="s">
        <v>124</v>
      </c>
      <c r="G90" s="4" t="s">
        <v>105</v>
      </c>
      <c r="H90" s="4" t="s">
        <v>629</v>
      </c>
      <c r="I90" s="4" t="s">
        <v>630</v>
      </c>
      <c r="K90" s="4" t="s">
        <v>626</v>
      </c>
      <c r="L90" s="4" t="s">
        <v>67</v>
      </c>
      <c r="M90" s="4" t="s">
        <v>169</v>
      </c>
      <c r="N90" s="4">
        <v>20</v>
      </c>
      <c r="O90" s="4" t="s">
        <v>69</v>
      </c>
      <c r="P90" s="4">
        <v>5</v>
      </c>
      <c r="Q90" s="4">
        <v>4</v>
      </c>
      <c r="R90" s="4">
        <v>10</v>
      </c>
      <c r="T90" s="4" t="s">
        <v>70</v>
      </c>
      <c r="U90" s="4" t="s">
        <v>71</v>
      </c>
      <c r="V90" s="4" t="s">
        <v>72</v>
      </c>
      <c r="W90" s="6" t="s">
        <v>73</v>
      </c>
      <c r="BT90" s="4" t="s">
        <v>71</v>
      </c>
      <c r="BU90" s="4" t="s">
        <v>70</v>
      </c>
      <c r="BV90" s="4" t="s">
        <v>71</v>
      </c>
      <c r="BW90" s="4" t="s">
        <v>70</v>
      </c>
      <c r="BX90" s="4" t="s">
        <v>71</v>
      </c>
      <c r="BY90" s="4" t="s">
        <v>71</v>
      </c>
      <c r="BZ90" s="4" t="s">
        <v>71</v>
      </c>
      <c r="CA90" s="4" t="s">
        <v>71</v>
      </c>
      <c r="CB90" s="4" t="s">
        <v>71</v>
      </c>
      <c r="CC90" s="4" t="s">
        <v>71</v>
      </c>
      <c r="CD90" s="4" t="s">
        <v>70</v>
      </c>
      <c r="CM90" s="4" t="s">
        <v>71</v>
      </c>
      <c r="CN90" s="4" t="s">
        <v>70</v>
      </c>
      <c r="CO90" s="4" t="s">
        <v>71</v>
      </c>
      <c r="CP90" s="4" t="s">
        <v>71</v>
      </c>
    </row>
    <row r="91" spans="1:95" ht="13.2" x14ac:dyDescent="0.25">
      <c r="A91" s="3">
        <v>45004.537609432868</v>
      </c>
      <c r="B91" s="4" t="s">
        <v>632</v>
      </c>
      <c r="C91" s="4" t="s">
        <v>633</v>
      </c>
      <c r="D91" s="7" t="s">
        <v>634</v>
      </c>
      <c r="E91" s="4" t="s">
        <v>103</v>
      </c>
      <c r="F91" s="4" t="s">
        <v>635</v>
      </c>
      <c r="G91" s="4" t="s">
        <v>105</v>
      </c>
      <c r="H91" s="4" t="s">
        <v>636</v>
      </c>
      <c r="I91" s="4" t="s">
        <v>637</v>
      </c>
      <c r="J91" s="4" t="s">
        <v>638</v>
      </c>
      <c r="K91" s="4" t="s">
        <v>632</v>
      </c>
      <c r="L91" s="4" t="s">
        <v>67</v>
      </c>
      <c r="M91" s="4" t="s">
        <v>353</v>
      </c>
      <c r="N91" s="4">
        <v>35</v>
      </c>
      <c r="O91" s="4" t="s">
        <v>69</v>
      </c>
      <c r="P91" s="4">
        <v>5</v>
      </c>
      <c r="Q91" s="4">
        <v>5</v>
      </c>
      <c r="R91" s="4">
        <v>20</v>
      </c>
      <c r="T91" s="4" t="s">
        <v>70</v>
      </c>
      <c r="U91" s="4" t="s">
        <v>71</v>
      </c>
      <c r="V91" s="4" t="s">
        <v>72</v>
      </c>
      <c r="W91" s="6" t="s">
        <v>73</v>
      </c>
      <c r="BT91" s="4" t="s">
        <v>70</v>
      </c>
      <c r="BU91" s="4" t="s">
        <v>70</v>
      </c>
      <c r="BV91" s="4" t="s">
        <v>71</v>
      </c>
      <c r="BW91" s="4" t="s">
        <v>70</v>
      </c>
      <c r="BX91" s="4" t="s">
        <v>70</v>
      </c>
      <c r="BY91" s="4" t="s">
        <v>70</v>
      </c>
      <c r="BZ91" s="4" t="s">
        <v>71</v>
      </c>
      <c r="CA91" s="4" t="s">
        <v>71</v>
      </c>
      <c r="CB91" s="4" t="s">
        <v>71</v>
      </c>
      <c r="CC91" s="4" t="s">
        <v>70</v>
      </c>
      <c r="CD91" s="4" t="s">
        <v>70</v>
      </c>
      <c r="CE91" s="4" t="s">
        <v>70</v>
      </c>
      <c r="CF91" s="4" t="s">
        <v>71</v>
      </c>
      <c r="CG91" s="4" t="s">
        <v>71</v>
      </c>
      <c r="CH91" s="4" t="s">
        <v>70</v>
      </c>
      <c r="CI91" s="4" t="s">
        <v>70</v>
      </c>
      <c r="CJ91" s="4" t="s">
        <v>70</v>
      </c>
      <c r="CK91" s="4" t="s">
        <v>71</v>
      </c>
      <c r="CL91" s="4" t="s">
        <v>71</v>
      </c>
      <c r="CM91" s="4" t="s">
        <v>70</v>
      </c>
      <c r="CN91" s="4" t="s">
        <v>70</v>
      </c>
      <c r="CO91" s="4" t="s">
        <v>71</v>
      </c>
      <c r="CP91" s="4" t="s">
        <v>71</v>
      </c>
    </row>
    <row r="92" spans="1:95" ht="13.2" x14ac:dyDescent="0.25">
      <c r="A92" s="3">
        <v>45004.529857268513</v>
      </c>
      <c r="B92" s="4" t="s">
        <v>632</v>
      </c>
      <c r="C92" s="4" t="s">
        <v>633</v>
      </c>
      <c r="D92" s="7" t="s">
        <v>634</v>
      </c>
      <c r="E92" s="4" t="s">
        <v>103</v>
      </c>
      <c r="F92" s="4" t="s">
        <v>635</v>
      </c>
      <c r="G92" s="4" t="s">
        <v>105</v>
      </c>
      <c r="H92" s="4" t="s">
        <v>640</v>
      </c>
      <c r="I92" s="4" t="s">
        <v>641</v>
      </c>
      <c r="J92" s="4" t="s">
        <v>642</v>
      </c>
      <c r="K92" s="4" t="s">
        <v>632</v>
      </c>
      <c r="L92" s="4" t="s">
        <v>67</v>
      </c>
      <c r="M92" s="4" t="s">
        <v>353</v>
      </c>
      <c r="N92" s="4">
        <v>40</v>
      </c>
      <c r="O92" s="4" t="s">
        <v>69</v>
      </c>
      <c r="P92" s="4">
        <v>5</v>
      </c>
      <c r="Q92" s="4">
        <v>5</v>
      </c>
      <c r="R92" s="4">
        <v>20</v>
      </c>
      <c r="T92" s="4" t="s">
        <v>70</v>
      </c>
      <c r="U92" s="4" t="s">
        <v>71</v>
      </c>
      <c r="V92" s="4" t="s">
        <v>72</v>
      </c>
      <c r="W92" s="8" t="s">
        <v>145</v>
      </c>
      <c r="X92" s="4" t="s">
        <v>70</v>
      </c>
      <c r="Y92" s="4" t="s">
        <v>70</v>
      </c>
      <c r="Z92" s="4" t="s">
        <v>71</v>
      </c>
      <c r="AA92" s="4" t="s">
        <v>70</v>
      </c>
      <c r="AB92" s="4" t="s">
        <v>70</v>
      </c>
      <c r="AC92" s="4" t="s">
        <v>70</v>
      </c>
      <c r="AD92" s="4" t="s">
        <v>71</v>
      </c>
      <c r="AE92" s="4" t="s">
        <v>71</v>
      </c>
      <c r="AF92" s="4" t="s">
        <v>71</v>
      </c>
      <c r="AG92" s="4" t="s">
        <v>70</v>
      </c>
      <c r="AH92" s="4" t="s">
        <v>70</v>
      </c>
      <c r="AI92" s="4" t="s">
        <v>70</v>
      </c>
      <c r="AJ92" s="4" t="s">
        <v>71</v>
      </c>
      <c r="AK92" s="4" t="s">
        <v>71</v>
      </c>
      <c r="AL92" s="4" t="s">
        <v>70</v>
      </c>
      <c r="AM92" s="4" t="s">
        <v>70</v>
      </c>
      <c r="AN92" s="4" t="s">
        <v>70</v>
      </c>
      <c r="AO92" s="4" t="s">
        <v>71</v>
      </c>
      <c r="AP92" s="4" t="s">
        <v>71</v>
      </c>
      <c r="AQ92" s="4" t="s">
        <v>70</v>
      </c>
      <c r="AR92" s="4" t="s">
        <v>70</v>
      </c>
      <c r="AS92" s="4" t="s">
        <v>71</v>
      </c>
      <c r="AT92" s="4" t="s">
        <v>71</v>
      </c>
      <c r="AU92" s="4" t="s">
        <v>644</v>
      </c>
    </row>
    <row r="93" spans="1:95" ht="13.2" x14ac:dyDescent="0.25">
      <c r="A93" s="3">
        <v>45004.534473506945</v>
      </c>
      <c r="B93" s="4" t="s">
        <v>632</v>
      </c>
      <c r="C93" s="4" t="s">
        <v>633</v>
      </c>
      <c r="D93" s="7" t="s">
        <v>634</v>
      </c>
      <c r="E93" s="4" t="s">
        <v>103</v>
      </c>
      <c r="F93" s="4" t="s">
        <v>635</v>
      </c>
      <c r="G93" s="4" t="s">
        <v>105</v>
      </c>
      <c r="H93" s="4" t="s">
        <v>645</v>
      </c>
      <c r="I93" s="4" t="s">
        <v>646</v>
      </c>
      <c r="J93" s="4" t="s">
        <v>647</v>
      </c>
      <c r="K93" s="4" t="s">
        <v>632</v>
      </c>
      <c r="L93" s="4" t="s">
        <v>67</v>
      </c>
      <c r="M93" s="4" t="s">
        <v>353</v>
      </c>
      <c r="N93" s="4">
        <v>40</v>
      </c>
      <c r="O93" s="4" t="s">
        <v>69</v>
      </c>
      <c r="P93" s="4">
        <v>5</v>
      </c>
      <c r="Q93" s="4">
        <v>5</v>
      </c>
      <c r="R93" s="4">
        <v>20</v>
      </c>
      <c r="T93" s="4" t="s">
        <v>70</v>
      </c>
      <c r="U93" s="4" t="s">
        <v>71</v>
      </c>
      <c r="V93" s="4" t="s">
        <v>72</v>
      </c>
      <c r="W93" s="6" t="s">
        <v>99</v>
      </c>
      <c r="AV93" s="4" t="s">
        <v>70</v>
      </c>
      <c r="AW93" s="4" t="s">
        <v>70</v>
      </c>
      <c r="AX93" s="4" t="s">
        <v>71</v>
      </c>
      <c r="AY93" s="4" t="s">
        <v>70</v>
      </c>
      <c r="AZ93" s="4" t="s">
        <v>70</v>
      </c>
      <c r="BA93" s="4" t="s">
        <v>70</v>
      </c>
      <c r="BB93" s="4" t="s">
        <v>71</v>
      </c>
      <c r="BC93" s="4" t="s">
        <v>71</v>
      </c>
      <c r="BD93" s="4" t="s">
        <v>71</v>
      </c>
      <c r="BE93" s="4" t="s">
        <v>70</v>
      </c>
      <c r="BF93" s="4" t="s">
        <v>70</v>
      </c>
      <c r="BG93" s="4" t="s">
        <v>70</v>
      </c>
      <c r="BH93" s="4" t="s">
        <v>71</v>
      </c>
      <c r="BI93" s="4" t="s">
        <v>71</v>
      </c>
      <c r="BJ93" s="4" t="s">
        <v>70</v>
      </c>
      <c r="BK93" s="4" t="s">
        <v>70</v>
      </c>
      <c r="BL93" s="4" t="s">
        <v>70</v>
      </c>
      <c r="BM93" s="4" t="s">
        <v>71</v>
      </c>
      <c r="BN93" s="4" t="s">
        <v>71</v>
      </c>
      <c r="BO93" s="4" t="s">
        <v>70</v>
      </c>
      <c r="BP93" s="4" t="s">
        <v>70</v>
      </c>
      <c r="BQ93" s="4" t="s">
        <v>71</v>
      </c>
      <c r="BR93" s="4" t="s">
        <v>71</v>
      </c>
    </row>
    <row r="94" spans="1:95" ht="13.2" x14ac:dyDescent="0.25">
      <c r="A94" s="3">
        <v>45006.405131215273</v>
      </c>
      <c r="B94" s="4" t="s">
        <v>649</v>
      </c>
      <c r="C94" s="4" t="s">
        <v>650</v>
      </c>
      <c r="D94" s="5" t="s">
        <v>651</v>
      </c>
      <c r="E94" s="4" t="s">
        <v>62</v>
      </c>
      <c r="F94" s="4" t="s">
        <v>652</v>
      </c>
      <c r="G94" s="4" t="s">
        <v>64</v>
      </c>
      <c r="H94" s="4" t="s">
        <v>653</v>
      </c>
      <c r="I94" s="4" t="s">
        <v>654</v>
      </c>
      <c r="J94" s="4" t="s">
        <v>655</v>
      </c>
      <c r="K94" s="4" t="s">
        <v>649</v>
      </c>
      <c r="L94" s="4" t="s">
        <v>656</v>
      </c>
      <c r="M94" s="4" t="s">
        <v>361</v>
      </c>
      <c r="N94" s="4">
        <v>34</v>
      </c>
      <c r="O94" s="4" t="s">
        <v>69</v>
      </c>
      <c r="P94" s="4">
        <v>3</v>
      </c>
      <c r="Q94" s="4">
        <v>3</v>
      </c>
      <c r="R94" s="4">
        <v>0</v>
      </c>
      <c r="T94" s="4" t="s">
        <v>70</v>
      </c>
      <c r="U94" s="4" t="s">
        <v>70</v>
      </c>
      <c r="V94" s="4" t="s">
        <v>237</v>
      </c>
      <c r="W94" s="6" t="s">
        <v>73</v>
      </c>
      <c r="BT94" s="4" t="s">
        <v>70</v>
      </c>
      <c r="BU94" s="4" t="s">
        <v>70</v>
      </c>
      <c r="BV94" s="4" t="s">
        <v>71</v>
      </c>
      <c r="BW94" s="4" t="s">
        <v>71</v>
      </c>
      <c r="BX94" s="4" t="s">
        <v>70</v>
      </c>
      <c r="BY94" s="4" t="s">
        <v>71</v>
      </c>
      <c r="BZ94" s="4" t="s">
        <v>70</v>
      </c>
      <c r="CA94" s="4" t="s">
        <v>71</v>
      </c>
      <c r="CB94" s="4" t="s">
        <v>71</v>
      </c>
      <c r="CF94" s="4" t="s">
        <v>70</v>
      </c>
      <c r="CL94" s="4" t="s">
        <v>70</v>
      </c>
    </row>
    <row r="95" spans="1:95" ht="13.2" x14ac:dyDescent="0.25">
      <c r="A95" s="3">
        <v>45001.828354224534</v>
      </c>
      <c r="B95" s="4" t="s">
        <v>658</v>
      </c>
      <c r="C95" s="4" t="s">
        <v>659</v>
      </c>
      <c r="D95" s="7" t="s">
        <v>660</v>
      </c>
      <c r="E95" s="4" t="s">
        <v>604</v>
      </c>
      <c r="F95" s="4" t="s">
        <v>661</v>
      </c>
      <c r="G95" s="4" t="s">
        <v>64</v>
      </c>
      <c r="H95" s="4" t="s">
        <v>662</v>
      </c>
      <c r="I95" s="4" t="s">
        <v>663</v>
      </c>
      <c r="K95" s="4" t="s">
        <v>664</v>
      </c>
      <c r="L95" s="4" t="s">
        <v>665</v>
      </c>
      <c r="M95" s="4" t="s">
        <v>364</v>
      </c>
      <c r="N95" s="4">
        <v>30</v>
      </c>
      <c r="O95" s="4" t="s">
        <v>69</v>
      </c>
      <c r="P95" s="4">
        <v>5</v>
      </c>
      <c r="Q95" s="4">
        <v>4</v>
      </c>
      <c r="R95" s="4">
        <v>30</v>
      </c>
      <c r="S95" s="4" t="s">
        <v>667</v>
      </c>
      <c r="T95" s="4" t="s">
        <v>70</v>
      </c>
      <c r="U95" s="4" t="s">
        <v>71</v>
      </c>
      <c r="V95" s="4" t="s">
        <v>72</v>
      </c>
      <c r="W95" s="6" t="s">
        <v>73</v>
      </c>
      <c r="BT95" s="4" t="s">
        <v>70</v>
      </c>
      <c r="BU95" s="4" t="s">
        <v>71</v>
      </c>
      <c r="BV95" s="4" t="s">
        <v>71</v>
      </c>
      <c r="BW95" s="4" t="s">
        <v>70</v>
      </c>
      <c r="BX95" s="4" t="s">
        <v>71</v>
      </c>
      <c r="BY95" s="4" t="s">
        <v>70</v>
      </c>
      <c r="BZ95" s="4" t="s">
        <v>71</v>
      </c>
      <c r="CA95" s="4" t="s">
        <v>71</v>
      </c>
      <c r="CB95" s="4" t="s">
        <v>71</v>
      </c>
      <c r="CC95" s="4" t="s">
        <v>70</v>
      </c>
      <c r="CD95" s="4" t="s">
        <v>71</v>
      </c>
      <c r="CE95" s="4" t="s">
        <v>71</v>
      </c>
      <c r="CF95" s="4" t="s">
        <v>71</v>
      </c>
      <c r="CG95" s="4" t="s">
        <v>71</v>
      </c>
      <c r="CH95" s="4" t="s">
        <v>70</v>
      </c>
      <c r="CI95" s="4" t="s">
        <v>70</v>
      </c>
      <c r="CJ95" s="4" t="s">
        <v>71</v>
      </c>
      <c r="CK95" s="4" t="s">
        <v>71</v>
      </c>
      <c r="CL95" s="4" t="s">
        <v>71</v>
      </c>
      <c r="CN95" s="4" t="s">
        <v>70</v>
      </c>
    </row>
    <row r="96" spans="1:95" ht="13.2" x14ac:dyDescent="0.25">
      <c r="A96" s="3">
        <v>45000.811150451387</v>
      </c>
      <c r="B96" s="4" t="s">
        <v>668</v>
      </c>
      <c r="C96" s="4" t="s">
        <v>669</v>
      </c>
      <c r="D96" s="5" t="s">
        <v>670</v>
      </c>
      <c r="E96" s="4" t="s">
        <v>149</v>
      </c>
      <c r="F96" s="4" t="s">
        <v>671</v>
      </c>
      <c r="G96" s="4" t="s">
        <v>64</v>
      </c>
      <c r="H96" s="4" t="s">
        <v>672</v>
      </c>
      <c r="I96" s="4" t="s">
        <v>673</v>
      </c>
      <c r="K96" s="4" t="s">
        <v>668</v>
      </c>
      <c r="L96" s="4" t="s">
        <v>656</v>
      </c>
      <c r="M96" s="4" t="s">
        <v>367</v>
      </c>
      <c r="N96" s="4">
        <v>30</v>
      </c>
      <c r="O96" s="4" t="s">
        <v>97</v>
      </c>
      <c r="P96" s="4">
        <v>5</v>
      </c>
      <c r="Q96" s="4">
        <v>2</v>
      </c>
      <c r="R96" s="4">
        <v>15</v>
      </c>
      <c r="T96" s="4" t="s">
        <v>71</v>
      </c>
      <c r="U96" s="4" t="s">
        <v>70</v>
      </c>
      <c r="V96" s="4" t="s">
        <v>87</v>
      </c>
      <c r="W96" s="6" t="s">
        <v>73</v>
      </c>
      <c r="BT96" s="4" t="s">
        <v>71</v>
      </c>
      <c r="BU96" s="4" t="s">
        <v>71</v>
      </c>
      <c r="BV96" s="4" t="s">
        <v>71</v>
      </c>
      <c r="BW96" s="4" t="s">
        <v>71</v>
      </c>
      <c r="BX96" s="4" t="s">
        <v>71</v>
      </c>
      <c r="BY96" s="4" t="s">
        <v>71</v>
      </c>
      <c r="BZ96" s="4" t="s">
        <v>71</v>
      </c>
      <c r="CA96" s="4" t="s">
        <v>70</v>
      </c>
      <c r="CB96" s="4" t="s">
        <v>70</v>
      </c>
      <c r="CC96" s="4" t="s">
        <v>71</v>
      </c>
      <c r="CD96" s="4" t="s">
        <v>71</v>
      </c>
      <c r="CE96" s="4" t="s">
        <v>71</v>
      </c>
      <c r="CF96" s="4" t="s">
        <v>70</v>
      </c>
      <c r="CG96" s="4" t="s">
        <v>70</v>
      </c>
      <c r="CH96" s="4" t="s">
        <v>71</v>
      </c>
      <c r="CI96" s="4" t="s">
        <v>71</v>
      </c>
      <c r="CJ96" s="4" t="s">
        <v>71</v>
      </c>
      <c r="CK96" s="4" t="s">
        <v>70</v>
      </c>
      <c r="CL96" s="4" t="s">
        <v>70</v>
      </c>
      <c r="CM96" s="4" t="s">
        <v>71</v>
      </c>
      <c r="CN96" s="4" t="s">
        <v>71</v>
      </c>
      <c r="CO96" s="4" t="s">
        <v>71</v>
      </c>
      <c r="CP96" s="4" t="s">
        <v>70</v>
      </c>
    </row>
    <row r="97" spans="1:94" ht="13.2" x14ac:dyDescent="0.25">
      <c r="A97" s="3">
        <v>45001.647660289353</v>
      </c>
      <c r="B97" s="4" t="s">
        <v>675</v>
      </c>
      <c r="C97" s="4" t="s">
        <v>676</v>
      </c>
      <c r="D97" s="5" t="s">
        <v>670</v>
      </c>
      <c r="E97" s="4" t="s">
        <v>103</v>
      </c>
      <c r="F97" s="4" t="s">
        <v>671</v>
      </c>
      <c r="G97" s="4" t="s">
        <v>64</v>
      </c>
      <c r="H97" s="4" t="s">
        <v>677</v>
      </c>
      <c r="I97" s="4" t="s">
        <v>678</v>
      </c>
      <c r="J97" s="4" t="s">
        <v>679</v>
      </c>
      <c r="K97" s="4" t="s">
        <v>675</v>
      </c>
      <c r="L97" s="4" t="s">
        <v>656</v>
      </c>
      <c r="M97" s="4" t="s">
        <v>375</v>
      </c>
      <c r="N97" s="4">
        <v>31</v>
      </c>
      <c r="O97" s="4" t="s">
        <v>69</v>
      </c>
      <c r="P97" s="4">
        <v>4</v>
      </c>
      <c r="Q97" s="4">
        <v>1</v>
      </c>
      <c r="R97" s="4">
        <v>25</v>
      </c>
      <c r="T97" s="4" t="s">
        <v>70</v>
      </c>
      <c r="U97" s="4" t="s">
        <v>70</v>
      </c>
      <c r="V97" s="4" t="s">
        <v>237</v>
      </c>
      <c r="W97" s="6" t="s">
        <v>73</v>
      </c>
      <c r="BT97" s="4" t="s">
        <v>71</v>
      </c>
      <c r="BU97" s="4" t="s">
        <v>71</v>
      </c>
      <c r="BV97" s="4" t="s">
        <v>70</v>
      </c>
      <c r="BW97" s="4" t="s">
        <v>70</v>
      </c>
      <c r="BX97" s="4" t="s">
        <v>71</v>
      </c>
      <c r="BY97" s="4" t="s">
        <v>71</v>
      </c>
      <c r="BZ97" s="4" t="s">
        <v>71</v>
      </c>
      <c r="CA97" s="4" t="s">
        <v>71</v>
      </c>
      <c r="CB97" s="4" t="s">
        <v>71</v>
      </c>
      <c r="CC97" s="4" t="s">
        <v>71</v>
      </c>
      <c r="CD97" s="4" t="s">
        <v>71</v>
      </c>
      <c r="CE97" s="4" t="s">
        <v>70</v>
      </c>
      <c r="CF97" s="4" t="s">
        <v>71</v>
      </c>
      <c r="CG97" s="4" t="s">
        <v>71</v>
      </c>
      <c r="CH97" s="4" t="s">
        <v>71</v>
      </c>
      <c r="CI97" s="4" t="s">
        <v>70</v>
      </c>
      <c r="CJ97" s="4" t="s">
        <v>71</v>
      </c>
      <c r="CK97" s="4" t="s">
        <v>71</v>
      </c>
      <c r="CL97" s="4" t="s">
        <v>71</v>
      </c>
      <c r="CM97" s="4" t="s">
        <v>70</v>
      </c>
      <c r="CN97" s="4" t="s">
        <v>71</v>
      </c>
      <c r="CO97" s="4" t="s">
        <v>71</v>
      </c>
      <c r="CP97" s="4" t="s">
        <v>71</v>
      </c>
    </row>
    <row r="98" spans="1:94" ht="13.2" x14ac:dyDescent="0.25">
      <c r="A98" s="3">
        <v>45001.649417465276</v>
      </c>
      <c r="B98" s="4" t="s">
        <v>675</v>
      </c>
      <c r="C98" s="4" t="s">
        <v>676</v>
      </c>
      <c r="D98" s="5" t="s">
        <v>670</v>
      </c>
      <c r="E98" s="4" t="s">
        <v>103</v>
      </c>
      <c r="F98" s="4" t="s">
        <v>671</v>
      </c>
      <c r="G98" s="4" t="s">
        <v>64</v>
      </c>
      <c r="H98" s="4" t="s">
        <v>677</v>
      </c>
      <c r="I98" s="4" t="s">
        <v>678</v>
      </c>
      <c r="J98" s="4" t="s">
        <v>679</v>
      </c>
      <c r="K98" s="4" t="s">
        <v>675</v>
      </c>
      <c r="L98" s="4" t="s">
        <v>656</v>
      </c>
      <c r="M98" s="4" t="s">
        <v>380</v>
      </c>
      <c r="N98" s="4">
        <v>25</v>
      </c>
      <c r="O98" s="4" t="s">
        <v>69</v>
      </c>
      <c r="P98" s="4">
        <v>4</v>
      </c>
      <c r="Q98" s="4">
        <v>1</v>
      </c>
      <c r="R98" s="4">
        <v>25</v>
      </c>
      <c r="T98" s="4" t="s">
        <v>70</v>
      </c>
      <c r="U98" s="4" t="s">
        <v>70</v>
      </c>
      <c r="V98" s="4" t="s">
        <v>237</v>
      </c>
      <c r="W98" s="6" t="s">
        <v>73</v>
      </c>
      <c r="BT98" s="4" t="s">
        <v>71</v>
      </c>
      <c r="BU98" s="4" t="s">
        <v>71</v>
      </c>
      <c r="BV98" s="4" t="s">
        <v>70</v>
      </c>
      <c r="BW98" s="4" t="s">
        <v>70</v>
      </c>
      <c r="BX98" s="4" t="s">
        <v>71</v>
      </c>
      <c r="BY98" s="4" t="s">
        <v>71</v>
      </c>
      <c r="BZ98" s="4" t="s">
        <v>71</v>
      </c>
      <c r="CA98" s="4" t="s">
        <v>71</v>
      </c>
      <c r="CB98" s="4" t="s">
        <v>71</v>
      </c>
      <c r="CC98" s="4" t="s">
        <v>71</v>
      </c>
      <c r="CD98" s="4" t="s">
        <v>71</v>
      </c>
      <c r="CE98" s="4" t="s">
        <v>70</v>
      </c>
      <c r="CF98" s="4" t="s">
        <v>71</v>
      </c>
      <c r="CG98" s="4" t="s">
        <v>71</v>
      </c>
      <c r="CH98" s="4" t="s">
        <v>71</v>
      </c>
      <c r="CI98" s="4" t="s">
        <v>70</v>
      </c>
      <c r="CJ98" s="4" t="s">
        <v>71</v>
      </c>
      <c r="CK98" s="4" t="s">
        <v>71</v>
      </c>
      <c r="CL98" s="4" t="s">
        <v>71</v>
      </c>
      <c r="CM98" s="4" t="s">
        <v>70</v>
      </c>
      <c r="CN98" s="4" t="s">
        <v>71</v>
      </c>
      <c r="CO98" s="4" t="s">
        <v>71</v>
      </c>
      <c r="CP98" s="4" t="s">
        <v>71</v>
      </c>
    </row>
    <row r="99" spans="1:94" ht="13.2" x14ac:dyDescent="0.25">
      <c r="A99" s="3">
        <v>45002.465073136569</v>
      </c>
      <c r="B99" s="4" t="s">
        <v>682</v>
      </c>
      <c r="C99" s="4" t="s">
        <v>683</v>
      </c>
      <c r="D99" s="5" t="s">
        <v>684</v>
      </c>
      <c r="E99" s="4" t="s">
        <v>62</v>
      </c>
      <c r="F99" s="4" t="s">
        <v>685</v>
      </c>
      <c r="G99" s="4" t="s">
        <v>64</v>
      </c>
      <c r="H99" s="4" t="s">
        <v>686</v>
      </c>
      <c r="I99" s="4" t="s">
        <v>687</v>
      </c>
      <c r="J99" s="4" t="s">
        <v>688</v>
      </c>
      <c r="K99" s="4" t="s">
        <v>682</v>
      </c>
      <c r="L99" s="4" t="s">
        <v>656</v>
      </c>
      <c r="M99" s="4" t="s">
        <v>387</v>
      </c>
      <c r="N99" s="4">
        <v>35</v>
      </c>
      <c r="O99" s="4" t="s">
        <v>433</v>
      </c>
      <c r="P99" s="4">
        <v>1</v>
      </c>
      <c r="Q99" s="4">
        <v>1</v>
      </c>
      <c r="R99" s="4">
        <v>49</v>
      </c>
      <c r="T99" s="4" t="s">
        <v>70</v>
      </c>
      <c r="U99" s="4" t="s">
        <v>70</v>
      </c>
      <c r="V99" s="4" t="s">
        <v>237</v>
      </c>
      <c r="W99" s="8" t="s">
        <v>145</v>
      </c>
      <c r="X99" s="4" t="s">
        <v>70</v>
      </c>
      <c r="Y99" s="4" t="s">
        <v>70</v>
      </c>
      <c r="Z99" s="4" t="s">
        <v>71</v>
      </c>
      <c r="AA99" s="4" t="s">
        <v>70</v>
      </c>
      <c r="AB99" s="4" t="s">
        <v>70</v>
      </c>
      <c r="AC99" s="4" t="s">
        <v>70</v>
      </c>
      <c r="AD99" s="4" t="s">
        <v>70</v>
      </c>
      <c r="AE99" s="4" t="s">
        <v>71</v>
      </c>
      <c r="AF99" s="4" t="s">
        <v>71</v>
      </c>
      <c r="AG99" s="4" t="s">
        <v>70</v>
      </c>
      <c r="AH99" s="4" t="s">
        <v>70</v>
      </c>
      <c r="AI99" s="4" t="s">
        <v>70</v>
      </c>
      <c r="AJ99" s="4" t="s">
        <v>71</v>
      </c>
      <c r="AK99" s="4" t="s">
        <v>71</v>
      </c>
      <c r="AL99" s="4" t="s">
        <v>71</v>
      </c>
      <c r="AM99" s="4" t="s">
        <v>71</v>
      </c>
      <c r="AN99" s="4" t="s">
        <v>71</v>
      </c>
      <c r="AO99" s="4" t="s">
        <v>71</v>
      </c>
      <c r="AP99" s="4" t="s">
        <v>71</v>
      </c>
      <c r="AQ99" s="4" t="s">
        <v>71</v>
      </c>
      <c r="AR99" s="4" t="s">
        <v>71</v>
      </c>
      <c r="AS99" s="4" t="s">
        <v>71</v>
      </c>
      <c r="AT99" s="4" t="s">
        <v>71</v>
      </c>
    </row>
    <row r="100" spans="1:94" ht="13.2" x14ac:dyDescent="0.25">
      <c r="A100" s="3">
        <v>45002.451774247689</v>
      </c>
      <c r="B100" s="4" t="s">
        <v>690</v>
      </c>
      <c r="C100" s="4" t="s">
        <v>683</v>
      </c>
      <c r="D100" s="5" t="s">
        <v>684</v>
      </c>
      <c r="E100" s="4" t="s">
        <v>62</v>
      </c>
      <c r="F100" s="4" t="s">
        <v>691</v>
      </c>
      <c r="G100" s="4" t="s">
        <v>64</v>
      </c>
      <c r="H100" s="4" t="s">
        <v>687</v>
      </c>
      <c r="I100" s="4" t="s">
        <v>692</v>
      </c>
      <c r="J100" s="4" t="s">
        <v>688</v>
      </c>
      <c r="K100" s="4" t="s">
        <v>690</v>
      </c>
      <c r="L100" s="4" t="s">
        <v>656</v>
      </c>
      <c r="M100" s="4" t="s">
        <v>387</v>
      </c>
      <c r="N100" s="4">
        <v>35</v>
      </c>
      <c r="O100" s="4" t="s">
        <v>433</v>
      </c>
      <c r="P100" s="4">
        <v>1</v>
      </c>
      <c r="Q100" s="4">
        <v>1</v>
      </c>
      <c r="R100" s="4">
        <v>50</v>
      </c>
      <c r="T100" s="4" t="s">
        <v>70</v>
      </c>
      <c r="U100" s="4" t="s">
        <v>70</v>
      </c>
      <c r="V100" s="4" t="s">
        <v>237</v>
      </c>
      <c r="W100" s="6" t="s">
        <v>73</v>
      </c>
      <c r="BT100" s="4" t="s">
        <v>70</v>
      </c>
      <c r="BU100" s="4" t="s">
        <v>70</v>
      </c>
      <c r="BV100" s="4" t="s">
        <v>71</v>
      </c>
      <c r="BW100" s="4" t="s">
        <v>70</v>
      </c>
      <c r="BX100" s="4" t="s">
        <v>70</v>
      </c>
      <c r="BY100" s="4" t="s">
        <v>70</v>
      </c>
      <c r="BZ100" s="4" t="s">
        <v>70</v>
      </c>
      <c r="CA100" s="4" t="s">
        <v>71</v>
      </c>
      <c r="CB100" s="4" t="s">
        <v>71</v>
      </c>
      <c r="CC100" s="4" t="s">
        <v>70</v>
      </c>
      <c r="CD100" s="4" t="s">
        <v>71</v>
      </c>
      <c r="CE100" s="4" t="s">
        <v>70</v>
      </c>
      <c r="CF100" s="4" t="s">
        <v>71</v>
      </c>
      <c r="CG100" s="4" t="s">
        <v>71</v>
      </c>
      <c r="CH100" s="4" t="s">
        <v>71</v>
      </c>
      <c r="CI100" s="4" t="s">
        <v>71</v>
      </c>
      <c r="CJ100" s="4" t="s">
        <v>71</v>
      </c>
      <c r="CK100" s="4" t="s">
        <v>71</v>
      </c>
      <c r="CL100" s="4" t="s">
        <v>71</v>
      </c>
      <c r="CM100" s="4" t="s">
        <v>71</v>
      </c>
      <c r="CN100" s="4" t="s">
        <v>71</v>
      </c>
      <c r="CO100" s="4" t="s">
        <v>71</v>
      </c>
      <c r="CP100" s="4" t="s">
        <v>71</v>
      </c>
    </row>
    <row r="101" spans="1:94" ht="13.2" x14ac:dyDescent="0.25">
      <c r="A101" s="3">
        <v>45001.665316087965</v>
      </c>
      <c r="B101" s="4" t="s">
        <v>694</v>
      </c>
      <c r="C101" s="4" t="s">
        <v>695</v>
      </c>
      <c r="D101" s="5" t="s">
        <v>696</v>
      </c>
      <c r="E101" s="4" t="s">
        <v>62</v>
      </c>
      <c r="F101" s="4" t="s">
        <v>697</v>
      </c>
      <c r="G101" s="4" t="s">
        <v>64</v>
      </c>
      <c r="H101" s="4" t="s">
        <v>698</v>
      </c>
      <c r="I101" s="4" t="s">
        <v>699</v>
      </c>
      <c r="K101" s="4" t="s">
        <v>694</v>
      </c>
      <c r="L101" s="4" t="s">
        <v>656</v>
      </c>
      <c r="M101" s="4" t="s">
        <v>394</v>
      </c>
      <c r="N101" s="4">
        <v>35</v>
      </c>
      <c r="O101" s="4" t="s">
        <v>69</v>
      </c>
      <c r="P101" s="4">
        <v>3</v>
      </c>
      <c r="Q101" s="4">
        <v>3</v>
      </c>
      <c r="R101" s="4">
        <v>5</v>
      </c>
      <c r="T101" s="4" t="s">
        <v>71</v>
      </c>
      <c r="U101" s="4" t="s">
        <v>70</v>
      </c>
      <c r="V101" s="4" t="s">
        <v>87</v>
      </c>
      <c r="W101" s="6" t="s">
        <v>145</v>
      </c>
      <c r="X101" s="4" t="s">
        <v>71</v>
      </c>
      <c r="Y101" s="4" t="s">
        <v>71</v>
      </c>
      <c r="Z101" s="4" t="s">
        <v>70</v>
      </c>
      <c r="AA101" s="4" t="s">
        <v>71</v>
      </c>
      <c r="AB101" s="4" t="s">
        <v>71</v>
      </c>
      <c r="AC101" s="4" t="s">
        <v>71</v>
      </c>
      <c r="AD101" s="4" t="s">
        <v>70</v>
      </c>
      <c r="AE101" s="4" t="s">
        <v>70</v>
      </c>
      <c r="AF101" s="4" t="s">
        <v>70</v>
      </c>
      <c r="AG101" s="4" t="s">
        <v>71</v>
      </c>
      <c r="AH101" s="4" t="s">
        <v>71</v>
      </c>
      <c r="AJ101" s="4" t="s">
        <v>70</v>
      </c>
      <c r="AK101" s="4" t="s">
        <v>70</v>
      </c>
      <c r="AL101" s="4" t="s">
        <v>71</v>
      </c>
      <c r="AM101" s="4" t="s">
        <v>71</v>
      </c>
      <c r="AN101" s="4" t="s">
        <v>71</v>
      </c>
      <c r="AO101" s="4" t="s">
        <v>70</v>
      </c>
      <c r="AP101" s="4" t="s">
        <v>70</v>
      </c>
      <c r="AQ101" s="4" t="s">
        <v>71</v>
      </c>
      <c r="AR101" s="4" t="s">
        <v>71</v>
      </c>
      <c r="AS101" s="4" t="s">
        <v>70</v>
      </c>
      <c r="AT101" s="4" t="s">
        <v>70</v>
      </c>
    </row>
    <row r="102" spans="1:94" ht="13.2" x14ac:dyDescent="0.25">
      <c r="A102" s="3">
        <v>45005.513914328709</v>
      </c>
      <c r="B102" s="4" t="s">
        <v>701</v>
      </c>
      <c r="C102" s="4" t="s">
        <v>702</v>
      </c>
      <c r="D102" s="7" t="s">
        <v>703</v>
      </c>
      <c r="E102" s="4" t="s">
        <v>62</v>
      </c>
      <c r="F102" s="4" t="s">
        <v>205</v>
      </c>
      <c r="G102" s="4" t="s">
        <v>64</v>
      </c>
      <c r="H102" s="4" t="s">
        <v>704</v>
      </c>
      <c r="I102" s="4" t="s">
        <v>705</v>
      </c>
      <c r="J102" s="4" t="s">
        <v>706</v>
      </c>
      <c r="K102" s="4" t="s">
        <v>707</v>
      </c>
      <c r="L102" s="4" t="s">
        <v>656</v>
      </c>
      <c r="M102" s="4" t="s">
        <v>403</v>
      </c>
      <c r="N102" s="4">
        <v>35</v>
      </c>
      <c r="O102" s="4" t="s">
        <v>97</v>
      </c>
      <c r="P102" s="4">
        <v>2</v>
      </c>
      <c r="Q102" s="4">
        <v>2</v>
      </c>
      <c r="R102" s="4">
        <v>15</v>
      </c>
      <c r="T102" s="4" t="s">
        <v>70</v>
      </c>
      <c r="U102" s="4" t="s">
        <v>71</v>
      </c>
      <c r="V102" s="4" t="s">
        <v>72</v>
      </c>
      <c r="W102" s="6" t="s">
        <v>145</v>
      </c>
      <c r="X102" s="4" t="s">
        <v>70</v>
      </c>
      <c r="Y102" s="4" t="s">
        <v>70</v>
      </c>
      <c r="Z102" s="4" t="s">
        <v>71</v>
      </c>
      <c r="AA102" s="4" t="s">
        <v>70</v>
      </c>
      <c r="AB102" s="4" t="s">
        <v>70</v>
      </c>
      <c r="AC102" s="4" t="s">
        <v>70</v>
      </c>
      <c r="AD102" s="4" t="s">
        <v>71</v>
      </c>
      <c r="AE102" s="4" t="s">
        <v>71</v>
      </c>
      <c r="AF102" s="4" t="s">
        <v>71</v>
      </c>
      <c r="AG102" s="4" t="s">
        <v>71</v>
      </c>
      <c r="AH102" s="4" t="s">
        <v>71</v>
      </c>
      <c r="AI102" s="4" t="s">
        <v>71</v>
      </c>
      <c r="AJ102" s="4" t="s">
        <v>71</v>
      </c>
      <c r="AK102" s="4" t="s">
        <v>71</v>
      </c>
      <c r="AL102" s="4" t="s">
        <v>70</v>
      </c>
      <c r="AM102" s="4" t="s">
        <v>70</v>
      </c>
      <c r="AN102" s="4" t="s">
        <v>70</v>
      </c>
      <c r="AO102" s="4" t="s">
        <v>71</v>
      </c>
      <c r="AP102" s="4" t="s">
        <v>71</v>
      </c>
      <c r="AQ102" s="4" t="s">
        <v>70</v>
      </c>
      <c r="AR102" s="4" t="s">
        <v>70</v>
      </c>
      <c r="AS102" s="4" t="s">
        <v>71</v>
      </c>
      <c r="AT102" s="4" t="s">
        <v>71</v>
      </c>
    </row>
    <row r="103" spans="1:94" ht="13.2" x14ac:dyDescent="0.25">
      <c r="A103" s="3">
        <v>45005.516650972218</v>
      </c>
      <c r="B103" s="4" t="s">
        <v>701</v>
      </c>
      <c r="C103" s="4" t="s">
        <v>702</v>
      </c>
      <c r="D103" s="7" t="s">
        <v>703</v>
      </c>
      <c r="E103" s="4" t="s">
        <v>427</v>
      </c>
      <c r="F103" s="4" t="s">
        <v>428</v>
      </c>
      <c r="G103" s="4" t="s">
        <v>64</v>
      </c>
      <c r="H103" s="4" t="s">
        <v>709</v>
      </c>
      <c r="I103" s="4" t="s">
        <v>706</v>
      </c>
      <c r="K103" s="4" t="s">
        <v>701</v>
      </c>
      <c r="L103" s="4" t="s">
        <v>656</v>
      </c>
      <c r="M103" s="4" t="s">
        <v>411</v>
      </c>
      <c r="N103" s="4">
        <v>35</v>
      </c>
      <c r="O103" s="4" t="s">
        <v>97</v>
      </c>
      <c r="P103" s="4">
        <v>2</v>
      </c>
      <c r="Q103" s="4">
        <v>2</v>
      </c>
      <c r="R103" s="4">
        <v>15</v>
      </c>
      <c r="T103" s="4" t="s">
        <v>70</v>
      </c>
      <c r="U103" s="4" t="s">
        <v>71</v>
      </c>
      <c r="V103" s="4" t="s">
        <v>72</v>
      </c>
      <c r="W103" s="6" t="s">
        <v>145</v>
      </c>
      <c r="X103" s="4" t="s">
        <v>70</v>
      </c>
      <c r="Y103" s="4" t="s">
        <v>70</v>
      </c>
      <c r="Z103" s="4" t="s">
        <v>71</v>
      </c>
      <c r="AA103" s="4" t="s">
        <v>70</v>
      </c>
      <c r="AB103" s="4" t="s">
        <v>70</v>
      </c>
      <c r="AC103" s="4" t="s">
        <v>70</v>
      </c>
      <c r="AD103" s="4" t="s">
        <v>71</v>
      </c>
      <c r="AE103" s="4" t="s">
        <v>71</v>
      </c>
      <c r="AF103" s="4" t="s">
        <v>71</v>
      </c>
      <c r="AG103" s="4" t="s">
        <v>71</v>
      </c>
      <c r="AH103" s="4" t="s">
        <v>71</v>
      </c>
      <c r="AI103" s="4" t="s">
        <v>71</v>
      </c>
      <c r="AJ103" s="4" t="s">
        <v>71</v>
      </c>
      <c r="AK103" s="4" t="s">
        <v>71</v>
      </c>
      <c r="AL103" s="4" t="s">
        <v>70</v>
      </c>
      <c r="AM103" s="4" t="s">
        <v>70</v>
      </c>
      <c r="AN103" s="4" t="s">
        <v>70</v>
      </c>
      <c r="AO103" s="4" t="s">
        <v>71</v>
      </c>
      <c r="AP103" s="4" t="s">
        <v>71</v>
      </c>
      <c r="AQ103" s="4" t="s">
        <v>70</v>
      </c>
      <c r="AR103" s="4" t="s">
        <v>70</v>
      </c>
      <c r="AS103" s="4" t="s">
        <v>71</v>
      </c>
      <c r="AT103" s="4" t="s">
        <v>71</v>
      </c>
      <c r="AU103" s="4" t="s">
        <v>711</v>
      </c>
    </row>
    <row r="104" spans="1:94" ht="13.2" x14ac:dyDescent="0.25">
      <c r="A104" s="3">
        <v>45002.946039270828</v>
      </c>
      <c r="B104" s="4" t="s">
        <v>712</v>
      </c>
      <c r="C104" s="4" t="s">
        <v>713</v>
      </c>
      <c r="D104" s="7" t="s">
        <v>714</v>
      </c>
      <c r="E104" s="4" t="s">
        <v>140</v>
      </c>
      <c r="F104" s="4" t="s">
        <v>715</v>
      </c>
      <c r="G104" s="4" t="s">
        <v>105</v>
      </c>
      <c r="H104" s="4" t="s">
        <v>716</v>
      </c>
      <c r="I104" s="4" t="s">
        <v>717</v>
      </c>
      <c r="J104" s="4" t="s">
        <v>718</v>
      </c>
      <c r="K104" s="4" t="s">
        <v>712</v>
      </c>
      <c r="L104" s="4" t="s">
        <v>656</v>
      </c>
      <c r="M104" s="4" t="s">
        <v>415</v>
      </c>
      <c r="N104" s="4">
        <v>35</v>
      </c>
      <c r="O104" s="4" t="s">
        <v>433</v>
      </c>
      <c r="P104" s="4">
        <v>3</v>
      </c>
      <c r="Q104" s="4">
        <v>3</v>
      </c>
      <c r="R104" s="4">
        <v>70</v>
      </c>
      <c r="T104" s="4" t="s">
        <v>71</v>
      </c>
      <c r="U104" s="4" t="s">
        <v>70</v>
      </c>
      <c r="V104" s="4" t="s">
        <v>87</v>
      </c>
      <c r="W104" s="6" t="s">
        <v>73</v>
      </c>
      <c r="BT104" s="4" t="s">
        <v>71</v>
      </c>
      <c r="BU104" s="4" t="s">
        <v>71</v>
      </c>
      <c r="BV104" s="4" t="s">
        <v>70</v>
      </c>
      <c r="BW104" s="4" t="s">
        <v>71</v>
      </c>
      <c r="BX104" s="4" t="s">
        <v>71</v>
      </c>
      <c r="BY104" s="4" t="s">
        <v>71</v>
      </c>
      <c r="BZ104" s="4" t="s">
        <v>70</v>
      </c>
      <c r="CA104" s="4" t="s">
        <v>71</v>
      </c>
      <c r="CB104" s="4" t="s">
        <v>71</v>
      </c>
      <c r="CC104" s="4" t="s">
        <v>71</v>
      </c>
      <c r="CD104" s="4" t="s">
        <v>71</v>
      </c>
      <c r="CE104" s="4" t="s">
        <v>71</v>
      </c>
      <c r="CF104" s="4" t="s">
        <v>71</v>
      </c>
      <c r="CG104" s="4" t="s">
        <v>70</v>
      </c>
    </row>
    <row r="105" spans="1:94" ht="13.2" x14ac:dyDescent="0.25">
      <c r="A105" s="3">
        <v>45006.449418553239</v>
      </c>
      <c r="B105" s="4" t="s">
        <v>720</v>
      </c>
      <c r="C105" s="4" t="s">
        <v>721</v>
      </c>
      <c r="D105" s="7" t="s">
        <v>722</v>
      </c>
      <c r="E105" s="4" t="s">
        <v>103</v>
      </c>
      <c r="F105" s="4" t="s">
        <v>723</v>
      </c>
      <c r="G105" s="4" t="s">
        <v>105</v>
      </c>
      <c r="H105" s="4" t="s">
        <v>724</v>
      </c>
      <c r="I105" s="4" t="s">
        <v>725</v>
      </c>
      <c r="J105" s="4" t="s">
        <v>726</v>
      </c>
      <c r="K105" s="4" t="s">
        <v>720</v>
      </c>
      <c r="L105" s="4" t="s">
        <v>656</v>
      </c>
      <c r="M105" s="4" t="s">
        <v>422</v>
      </c>
      <c r="N105" s="4">
        <v>35</v>
      </c>
      <c r="O105" s="4" t="s">
        <v>69</v>
      </c>
      <c r="P105" s="4">
        <v>3</v>
      </c>
      <c r="Q105" s="4">
        <v>2</v>
      </c>
      <c r="R105" s="4">
        <v>90</v>
      </c>
      <c r="T105" s="4" t="s">
        <v>70</v>
      </c>
      <c r="U105" s="4" t="s">
        <v>70</v>
      </c>
      <c r="V105" s="4" t="s">
        <v>237</v>
      </c>
      <c r="W105" s="6" t="s">
        <v>99</v>
      </c>
      <c r="AV105" s="4" t="s">
        <v>71</v>
      </c>
      <c r="AW105" s="4" t="s">
        <v>70</v>
      </c>
      <c r="AX105" s="4" t="s">
        <v>71</v>
      </c>
      <c r="AY105" s="4" t="s">
        <v>71</v>
      </c>
      <c r="AZ105" s="4" t="s">
        <v>70</v>
      </c>
      <c r="BA105" s="4" t="s">
        <v>70</v>
      </c>
      <c r="BB105" s="4" t="s">
        <v>70</v>
      </c>
      <c r="BC105" s="4" t="s">
        <v>71</v>
      </c>
      <c r="BD105" s="4" t="s">
        <v>71</v>
      </c>
      <c r="BE105" s="4" t="s">
        <v>71</v>
      </c>
      <c r="BF105" s="4" t="s">
        <v>70</v>
      </c>
      <c r="BG105" s="4" t="s">
        <v>71</v>
      </c>
      <c r="BH105" s="4" t="s">
        <v>71</v>
      </c>
      <c r="BI105" s="4" t="s">
        <v>71</v>
      </c>
      <c r="BJ105" s="4" t="s">
        <v>71</v>
      </c>
      <c r="BK105" s="4" t="s">
        <v>71</v>
      </c>
      <c r="BL105" s="4" t="s">
        <v>71</v>
      </c>
      <c r="BM105" s="4" t="s">
        <v>71</v>
      </c>
      <c r="BN105" s="4" t="s">
        <v>71</v>
      </c>
      <c r="BO105" s="4" t="s">
        <v>70</v>
      </c>
      <c r="BP105" s="4" t="s">
        <v>70</v>
      </c>
      <c r="BQ105" s="4" t="s">
        <v>71</v>
      </c>
      <c r="BR105" s="4" t="s">
        <v>71</v>
      </c>
    </row>
    <row r="106" spans="1:94" ht="13.2" x14ac:dyDescent="0.25">
      <c r="A106" s="3">
        <v>45005.509885416672</v>
      </c>
      <c r="B106" s="4" t="s">
        <v>728</v>
      </c>
      <c r="C106" s="4" t="s">
        <v>729</v>
      </c>
      <c r="D106" s="7" t="s">
        <v>730</v>
      </c>
      <c r="E106" s="4" t="s">
        <v>149</v>
      </c>
      <c r="F106" s="4" t="s">
        <v>731</v>
      </c>
      <c r="G106" s="4" t="s">
        <v>64</v>
      </c>
      <c r="H106" s="4" t="s">
        <v>732</v>
      </c>
      <c r="I106" s="4" t="s">
        <v>733</v>
      </c>
      <c r="J106" s="4" t="s">
        <v>734</v>
      </c>
      <c r="K106" s="4" t="s">
        <v>728</v>
      </c>
      <c r="L106" s="4" t="s">
        <v>656</v>
      </c>
      <c r="M106" s="4" t="s">
        <v>423</v>
      </c>
      <c r="N106" s="4">
        <v>40</v>
      </c>
      <c r="O106" s="4" t="s">
        <v>69</v>
      </c>
      <c r="P106" s="4">
        <v>3</v>
      </c>
      <c r="Q106" s="4">
        <v>3</v>
      </c>
      <c r="R106" s="4">
        <v>50</v>
      </c>
      <c r="S106" s="4" t="s">
        <v>735</v>
      </c>
      <c r="T106" s="4" t="s">
        <v>70</v>
      </c>
      <c r="U106" s="4" t="s">
        <v>70</v>
      </c>
      <c r="V106" s="4" t="s">
        <v>237</v>
      </c>
      <c r="W106" s="6" t="s">
        <v>73</v>
      </c>
      <c r="BT106" s="4" t="s">
        <v>70</v>
      </c>
      <c r="BU106" s="4" t="s">
        <v>71</v>
      </c>
      <c r="BV106" s="4" t="s">
        <v>70</v>
      </c>
      <c r="BW106" s="4" t="s">
        <v>71</v>
      </c>
      <c r="BX106" s="4" t="s">
        <v>70</v>
      </c>
      <c r="BY106" s="4" t="s">
        <v>71</v>
      </c>
      <c r="BZ106" s="4" t="s">
        <v>71</v>
      </c>
      <c r="CA106" s="4" t="s">
        <v>71</v>
      </c>
      <c r="CB106" s="4" t="s">
        <v>71</v>
      </c>
      <c r="CC106" s="4" t="s">
        <v>71</v>
      </c>
      <c r="CD106" s="4" t="s">
        <v>71</v>
      </c>
      <c r="CE106" s="4" t="s">
        <v>70</v>
      </c>
      <c r="CF106" s="4" t="s">
        <v>71</v>
      </c>
      <c r="CG106" s="4" t="s">
        <v>71</v>
      </c>
      <c r="CH106" s="4" t="s">
        <v>71</v>
      </c>
      <c r="CI106" s="4" t="s">
        <v>71</v>
      </c>
      <c r="CJ106" s="4" t="s">
        <v>71</v>
      </c>
      <c r="CK106" s="4" t="s">
        <v>71</v>
      </c>
      <c r="CL106" s="4" t="s">
        <v>70</v>
      </c>
      <c r="CM106" s="4" t="s">
        <v>71</v>
      </c>
      <c r="CN106" s="4" t="s">
        <v>71</v>
      </c>
      <c r="CO106" s="4" t="s">
        <v>71</v>
      </c>
      <c r="CP106" s="4" t="s">
        <v>71</v>
      </c>
    </row>
    <row r="107" spans="1:94" ht="13.2" x14ac:dyDescent="0.25">
      <c r="A107" s="3">
        <v>45001.666592256945</v>
      </c>
      <c r="B107" s="4" t="s">
        <v>736</v>
      </c>
      <c r="C107" s="4" t="s">
        <v>737</v>
      </c>
      <c r="D107" s="5" t="s">
        <v>738</v>
      </c>
      <c r="E107" s="4" t="s">
        <v>103</v>
      </c>
      <c r="F107" s="4" t="s">
        <v>739</v>
      </c>
      <c r="G107" s="4" t="s">
        <v>64</v>
      </c>
      <c r="H107" s="4" t="s">
        <v>740</v>
      </c>
      <c r="I107" s="4" t="s">
        <v>741</v>
      </c>
      <c r="J107" s="4" t="s">
        <v>742</v>
      </c>
      <c r="K107" s="4" t="s">
        <v>736</v>
      </c>
      <c r="L107" s="4" t="s">
        <v>656</v>
      </c>
      <c r="M107" s="4" t="s">
        <v>432</v>
      </c>
      <c r="N107" s="4">
        <v>31</v>
      </c>
      <c r="O107" s="4" t="s">
        <v>97</v>
      </c>
      <c r="P107" s="4">
        <v>5</v>
      </c>
      <c r="Q107" s="4">
        <v>5</v>
      </c>
      <c r="R107" s="4">
        <v>0</v>
      </c>
      <c r="T107" s="4" t="s">
        <v>70</v>
      </c>
      <c r="U107" s="4" t="s">
        <v>70</v>
      </c>
      <c r="V107" s="4" t="s">
        <v>237</v>
      </c>
      <c r="W107" s="6" t="s">
        <v>145</v>
      </c>
      <c r="X107" s="4" t="s">
        <v>70</v>
      </c>
      <c r="Y107" s="4" t="s">
        <v>70</v>
      </c>
      <c r="Z107" s="4" t="s">
        <v>71</v>
      </c>
      <c r="AA107" s="4" t="s">
        <v>71</v>
      </c>
      <c r="AB107" s="4" t="s">
        <v>71</v>
      </c>
      <c r="AC107" s="4" t="s">
        <v>71</v>
      </c>
      <c r="AD107" s="4" t="s">
        <v>70</v>
      </c>
      <c r="AE107" s="4" t="s">
        <v>71</v>
      </c>
      <c r="AF107" s="4" t="s">
        <v>71</v>
      </c>
      <c r="AO107" s="4" t="s">
        <v>70</v>
      </c>
    </row>
    <row r="108" spans="1:94" ht="13.2" x14ac:dyDescent="0.25">
      <c r="A108" s="3">
        <v>45005.507034837967</v>
      </c>
      <c r="B108" s="4" t="s">
        <v>728</v>
      </c>
      <c r="C108" s="4" t="s">
        <v>743</v>
      </c>
      <c r="D108" s="7" t="s">
        <v>744</v>
      </c>
      <c r="E108" s="4" t="s">
        <v>149</v>
      </c>
      <c r="F108" s="4" t="s">
        <v>671</v>
      </c>
      <c r="G108" s="4" t="s">
        <v>64</v>
      </c>
      <c r="H108" s="4" t="s">
        <v>732</v>
      </c>
      <c r="I108" s="4" t="s">
        <v>745</v>
      </c>
      <c r="J108" s="4" t="s">
        <v>746</v>
      </c>
      <c r="K108" s="4" t="s">
        <v>728</v>
      </c>
      <c r="L108" s="4" t="s">
        <v>656</v>
      </c>
      <c r="M108" s="4" t="s">
        <v>423</v>
      </c>
      <c r="N108" s="4">
        <v>40</v>
      </c>
      <c r="O108" s="4" t="s">
        <v>69</v>
      </c>
      <c r="P108" s="4">
        <v>5</v>
      </c>
      <c r="Q108" s="4">
        <v>4</v>
      </c>
      <c r="R108" s="4">
        <v>10</v>
      </c>
      <c r="S108" s="4" t="s">
        <v>747</v>
      </c>
      <c r="T108" s="4" t="s">
        <v>70</v>
      </c>
      <c r="U108" s="4" t="s">
        <v>70</v>
      </c>
      <c r="V108" s="4" t="s">
        <v>237</v>
      </c>
      <c r="W108" s="6" t="s">
        <v>145</v>
      </c>
      <c r="X108" s="4" t="s">
        <v>70</v>
      </c>
      <c r="Y108" s="4" t="s">
        <v>71</v>
      </c>
      <c r="Z108" s="4" t="s">
        <v>70</v>
      </c>
      <c r="AA108" s="4" t="s">
        <v>71</v>
      </c>
      <c r="AB108" s="4" t="s">
        <v>70</v>
      </c>
      <c r="AC108" s="4" t="s">
        <v>71</v>
      </c>
      <c r="AD108" s="4" t="s">
        <v>71</v>
      </c>
      <c r="AE108" s="4" t="s">
        <v>71</v>
      </c>
      <c r="AF108" s="4" t="s">
        <v>71</v>
      </c>
      <c r="AK108" s="4" t="s">
        <v>70</v>
      </c>
      <c r="AL108" s="4" t="s">
        <v>71</v>
      </c>
      <c r="AM108" s="4" t="s">
        <v>71</v>
      </c>
      <c r="AN108" s="4" t="s">
        <v>71</v>
      </c>
      <c r="AO108" s="4" t="s">
        <v>71</v>
      </c>
      <c r="AP108" s="4" t="s">
        <v>71</v>
      </c>
    </row>
    <row r="109" spans="1:94" ht="13.2" x14ac:dyDescent="0.25">
      <c r="A109" s="3">
        <v>45005.58600412037</v>
      </c>
      <c r="B109" s="4" t="s">
        <v>748</v>
      </c>
      <c r="C109" s="4" t="s">
        <v>749</v>
      </c>
      <c r="D109" s="5" t="s">
        <v>750</v>
      </c>
      <c r="E109" s="4" t="s">
        <v>149</v>
      </c>
      <c r="F109" s="4" t="s">
        <v>205</v>
      </c>
      <c r="G109" s="4" t="s">
        <v>105</v>
      </c>
      <c r="H109" s="4" t="s">
        <v>751</v>
      </c>
      <c r="I109" s="4" t="s">
        <v>752</v>
      </c>
      <c r="K109" s="4" t="s">
        <v>748</v>
      </c>
      <c r="L109" s="4" t="s">
        <v>656</v>
      </c>
      <c r="M109" s="4" t="s">
        <v>361</v>
      </c>
      <c r="N109" s="4">
        <v>34</v>
      </c>
      <c r="O109" s="4" t="s">
        <v>200</v>
      </c>
      <c r="P109" s="4">
        <v>4</v>
      </c>
      <c r="Q109" s="4">
        <v>4</v>
      </c>
      <c r="R109" s="4">
        <v>60</v>
      </c>
      <c r="S109" s="4" t="s">
        <v>753</v>
      </c>
      <c r="T109" s="4" t="s">
        <v>70</v>
      </c>
      <c r="U109" s="4" t="s">
        <v>71</v>
      </c>
      <c r="V109" s="4" t="s">
        <v>72</v>
      </c>
      <c r="W109" s="6" t="s">
        <v>145</v>
      </c>
      <c r="X109" s="4" t="s">
        <v>70</v>
      </c>
      <c r="Y109" s="4" t="s">
        <v>71</v>
      </c>
      <c r="Z109" s="4" t="s">
        <v>71</v>
      </c>
      <c r="AA109" s="4" t="s">
        <v>71</v>
      </c>
      <c r="AB109" s="4" t="s">
        <v>70</v>
      </c>
      <c r="AC109" s="4" t="s">
        <v>71</v>
      </c>
      <c r="AD109" s="4" t="s">
        <v>71</v>
      </c>
      <c r="AE109" s="4" t="s">
        <v>71</v>
      </c>
      <c r="AF109" s="4" t="s">
        <v>71</v>
      </c>
      <c r="AG109" s="4" t="s">
        <v>71</v>
      </c>
      <c r="AH109" s="4" t="s">
        <v>71</v>
      </c>
      <c r="AI109" s="4" t="s">
        <v>70</v>
      </c>
      <c r="AJ109" s="4" t="s">
        <v>71</v>
      </c>
      <c r="AK109" s="4" t="s">
        <v>71</v>
      </c>
      <c r="AL109" s="4" t="s">
        <v>71</v>
      </c>
      <c r="AM109" s="4" t="s">
        <v>71</v>
      </c>
      <c r="AN109" s="4" t="s">
        <v>71</v>
      </c>
      <c r="AO109" s="4" t="s">
        <v>71</v>
      </c>
      <c r="AP109" s="4" t="s">
        <v>71</v>
      </c>
      <c r="AQ109" s="4" t="s">
        <v>71</v>
      </c>
      <c r="AR109" s="4" t="s">
        <v>71</v>
      </c>
      <c r="AS109" s="4" t="s">
        <v>71</v>
      </c>
      <c r="AT109" s="4" t="s">
        <v>71</v>
      </c>
    </row>
    <row r="110" spans="1:94" ht="13.2" x14ac:dyDescent="0.25">
      <c r="A110" s="3">
        <v>45005.590766817128</v>
      </c>
      <c r="B110" s="4" t="s">
        <v>754</v>
      </c>
      <c r="C110" s="4" t="s">
        <v>749</v>
      </c>
      <c r="D110" s="5" t="s">
        <v>750</v>
      </c>
      <c r="E110" s="4" t="s">
        <v>149</v>
      </c>
      <c r="F110" s="4" t="s">
        <v>205</v>
      </c>
      <c r="G110" s="4" t="s">
        <v>105</v>
      </c>
      <c r="H110" s="4" t="s">
        <v>755</v>
      </c>
      <c r="I110" s="4" t="s">
        <v>756</v>
      </c>
      <c r="K110" s="4" t="s">
        <v>748</v>
      </c>
      <c r="L110" s="4" t="s">
        <v>656</v>
      </c>
      <c r="M110" s="4" t="s">
        <v>361</v>
      </c>
      <c r="N110" s="4">
        <v>24</v>
      </c>
      <c r="O110" s="4" t="s">
        <v>200</v>
      </c>
      <c r="P110" s="4">
        <v>4</v>
      </c>
      <c r="Q110" s="4">
        <v>4</v>
      </c>
      <c r="R110" s="4">
        <v>60</v>
      </c>
      <c r="S110" s="4" t="s">
        <v>757</v>
      </c>
      <c r="T110" s="4" t="s">
        <v>70</v>
      </c>
      <c r="U110" s="4" t="s">
        <v>71</v>
      </c>
      <c r="V110" s="4" t="s">
        <v>72</v>
      </c>
      <c r="W110" s="6" t="s">
        <v>145</v>
      </c>
      <c r="X110" s="4" t="s">
        <v>70</v>
      </c>
      <c r="Y110" s="4" t="s">
        <v>71</v>
      </c>
      <c r="Z110" s="4" t="s">
        <v>71</v>
      </c>
      <c r="AA110" s="4" t="s">
        <v>71</v>
      </c>
      <c r="AB110" s="4" t="s">
        <v>70</v>
      </c>
      <c r="AC110" s="4" t="s">
        <v>71</v>
      </c>
      <c r="AD110" s="4" t="s">
        <v>71</v>
      </c>
      <c r="AE110" s="4" t="s">
        <v>71</v>
      </c>
      <c r="AF110" s="4" t="s">
        <v>71</v>
      </c>
      <c r="AG110" s="4" t="s">
        <v>71</v>
      </c>
      <c r="AH110" s="4" t="s">
        <v>71</v>
      </c>
      <c r="AI110" s="4" t="s">
        <v>70</v>
      </c>
      <c r="AJ110" s="4" t="s">
        <v>71</v>
      </c>
      <c r="AK110" s="4" t="s">
        <v>71</v>
      </c>
      <c r="AL110" s="4" t="s">
        <v>71</v>
      </c>
      <c r="AM110" s="4" t="s">
        <v>71</v>
      </c>
      <c r="AN110" s="4" t="s">
        <v>71</v>
      </c>
      <c r="AO110" s="4" t="s">
        <v>71</v>
      </c>
      <c r="AP110" s="4" t="s">
        <v>71</v>
      </c>
      <c r="AQ110" s="4" t="s">
        <v>71</v>
      </c>
      <c r="AR110" s="4" t="s">
        <v>71</v>
      </c>
      <c r="AS110" s="4" t="s">
        <v>71</v>
      </c>
      <c r="AT110" s="4" t="s">
        <v>71</v>
      </c>
      <c r="AU110" s="4" t="s">
        <v>758</v>
      </c>
    </row>
    <row r="111" spans="1:94" ht="13.2" x14ac:dyDescent="0.25">
      <c r="A111" s="3">
        <v>45000.743401585649</v>
      </c>
      <c r="B111" s="4" t="s">
        <v>759</v>
      </c>
      <c r="C111" s="4" t="s">
        <v>760</v>
      </c>
      <c r="D111" s="5" t="s">
        <v>761</v>
      </c>
      <c r="E111" s="4" t="s">
        <v>62</v>
      </c>
      <c r="F111" s="4" t="s">
        <v>762</v>
      </c>
      <c r="G111" s="4" t="s">
        <v>64</v>
      </c>
      <c r="H111" s="4" t="s">
        <v>763</v>
      </c>
      <c r="I111" s="4" t="s">
        <v>764</v>
      </c>
      <c r="J111" s="4" t="s">
        <v>765</v>
      </c>
      <c r="K111" s="4" t="s">
        <v>759</v>
      </c>
      <c r="L111" s="4" t="s">
        <v>656</v>
      </c>
      <c r="M111" s="4" t="s">
        <v>440</v>
      </c>
      <c r="N111" s="4">
        <v>35</v>
      </c>
      <c r="O111" s="4" t="s">
        <v>69</v>
      </c>
      <c r="P111" s="4">
        <v>4</v>
      </c>
      <c r="Q111" s="4">
        <v>3</v>
      </c>
      <c r="R111" s="4">
        <v>10</v>
      </c>
      <c r="T111" s="4" t="s">
        <v>70</v>
      </c>
      <c r="U111" s="4" t="s">
        <v>71</v>
      </c>
      <c r="V111" s="4" t="s">
        <v>72</v>
      </c>
      <c r="W111" s="6" t="s">
        <v>145</v>
      </c>
      <c r="X111" s="4" t="s">
        <v>70</v>
      </c>
      <c r="Y111" s="4" t="s">
        <v>71</v>
      </c>
      <c r="Z111" s="4" t="s">
        <v>71</v>
      </c>
      <c r="AA111" s="4" t="s">
        <v>71</v>
      </c>
      <c r="AB111" s="4" t="s">
        <v>70</v>
      </c>
      <c r="AC111" s="4" t="s">
        <v>71</v>
      </c>
      <c r="AD111" s="4" t="s">
        <v>71</v>
      </c>
      <c r="AE111" s="4" t="s">
        <v>71</v>
      </c>
      <c r="AF111" s="4" t="s">
        <v>71</v>
      </c>
      <c r="AN111" s="4" t="s">
        <v>70</v>
      </c>
    </row>
    <row r="112" spans="1:94" ht="13.2" x14ac:dyDescent="0.25">
      <c r="A112" s="3">
        <v>45000.745915578707</v>
      </c>
      <c r="B112" s="4" t="s">
        <v>759</v>
      </c>
      <c r="C112" s="4" t="s">
        <v>760</v>
      </c>
      <c r="D112" s="5" t="s">
        <v>761</v>
      </c>
      <c r="E112" s="4" t="s">
        <v>62</v>
      </c>
      <c r="F112" s="4" t="s">
        <v>766</v>
      </c>
      <c r="G112" s="4" t="s">
        <v>64</v>
      </c>
      <c r="H112" s="4" t="s">
        <v>764</v>
      </c>
      <c r="I112" s="4" t="s">
        <v>767</v>
      </c>
      <c r="J112" s="4" t="s">
        <v>765</v>
      </c>
      <c r="K112" s="4" t="s">
        <v>759</v>
      </c>
      <c r="L112" s="4" t="s">
        <v>656</v>
      </c>
      <c r="M112" s="4" t="s">
        <v>450</v>
      </c>
      <c r="N112" s="4">
        <v>25</v>
      </c>
      <c r="O112" s="4" t="s">
        <v>69</v>
      </c>
      <c r="P112" s="4">
        <v>4</v>
      </c>
      <c r="Q112" s="4">
        <v>2</v>
      </c>
      <c r="R112" s="4">
        <v>10</v>
      </c>
      <c r="T112" s="4" t="s">
        <v>70</v>
      </c>
      <c r="U112" s="4" t="s">
        <v>71</v>
      </c>
      <c r="V112" s="4" t="s">
        <v>72</v>
      </c>
      <c r="W112" s="6" t="s">
        <v>145</v>
      </c>
      <c r="X112" s="4" t="s">
        <v>70</v>
      </c>
      <c r="Y112" s="4" t="s">
        <v>71</v>
      </c>
      <c r="Z112" s="4" t="s">
        <v>71</v>
      </c>
      <c r="AA112" s="4" t="s">
        <v>71</v>
      </c>
      <c r="AB112" s="4" t="s">
        <v>70</v>
      </c>
      <c r="AC112" s="4" t="s">
        <v>71</v>
      </c>
      <c r="AD112" s="4" t="s">
        <v>71</v>
      </c>
      <c r="AE112" s="4" t="s">
        <v>71</v>
      </c>
      <c r="AF112" s="4" t="s">
        <v>71</v>
      </c>
      <c r="AN112" s="4" t="s">
        <v>70</v>
      </c>
    </row>
    <row r="113" spans="1:101" ht="13.2" x14ac:dyDescent="0.25">
      <c r="A113" s="3">
        <v>45005.80737436343</v>
      </c>
      <c r="B113" s="4" t="s">
        <v>768</v>
      </c>
      <c r="C113" s="4" t="s">
        <v>769</v>
      </c>
      <c r="D113" s="6" t="s">
        <v>770</v>
      </c>
      <c r="E113" s="4" t="s">
        <v>149</v>
      </c>
      <c r="F113" s="4" t="s">
        <v>205</v>
      </c>
      <c r="G113" s="4" t="s">
        <v>64</v>
      </c>
      <c r="H113" s="4" t="s">
        <v>771</v>
      </c>
      <c r="I113" s="4" t="s">
        <v>772</v>
      </c>
      <c r="J113" s="4" t="s">
        <v>773</v>
      </c>
      <c r="K113" s="4" t="s">
        <v>768</v>
      </c>
      <c r="L113" s="4" t="s">
        <v>656</v>
      </c>
      <c r="M113" s="4" t="s">
        <v>458</v>
      </c>
      <c r="N113" s="4">
        <v>33</v>
      </c>
      <c r="O113" s="4" t="s">
        <v>69</v>
      </c>
      <c r="P113" s="4">
        <v>3</v>
      </c>
      <c r="Q113" s="4">
        <v>4</v>
      </c>
      <c r="R113" s="4">
        <v>10</v>
      </c>
      <c r="T113" s="4" t="s">
        <v>70</v>
      </c>
      <c r="U113" s="4" t="s">
        <v>70</v>
      </c>
      <c r="V113" s="4" t="s">
        <v>237</v>
      </c>
      <c r="W113" s="6" t="s">
        <v>145</v>
      </c>
      <c r="X113" s="4" t="s">
        <v>70</v>
      </c>
      <c r="Y113" s="4" t="s">
        <v>70</v>
      </c>
      <c r="Z113" s="4" t="s">
        <v>70</v>
      </c>
      <c r="AA113" s="4" t="s">
        <v>70</v>
      </c>
      <c r="AB113" s="4" t="s">
        <v>70</v>
      </c>
      <c r="AC113" s="4" t="s">
        <v>70</v>
      </c>
      <c r="AD113" s="4" t="s">
        <v>70</v>
      </c>
      <c r="AE113" s="4" t="s">
        <v>71</v>
      </c>
      <c r="AF113" s="4" t="s">
        <v>71</v>
      </c>
      <c r="AG113" s="4" t="s">
        <v>70</v>
      </c>
      <c r="AH113" s="4" t="s">
        <v>70</v>
      </c>
      <c r="AI113" s="4" t="s">
        <v>70</v>
      </c>
      <c r="AJ113" s="4" t="s">
        <v>71</v>
      </c>
      <c r="AK113" s="4" t="s">
        <v>71</v>
      </c>
      <c r="AL113" s="4" t="s">
        <v>70</v>
      </c>
      <c r="AM113" s="4" t="s">
        <v>70</v>
      </c>
      <c r="AN113" s="4" t="s">
        <v>70</v>
      </c>
      <c r="AO113" s="4" t="s">
        <v>71</v>
      </c>
      <c r="AP113" s="4" t="s">
        <v>71</v>
      </c>
      <c r="AQ113" s="4" t="s">
        <v>70</v>
      </c>
      <c r="AR113" s="4" t="s">
        <v>70</v>
      </c>
      <c r="AS113" s="4" t="s">
        <v>70</v>
      </c>
      <c r="AT113" s="4" t="s">
        <v>71</v>
      </c>
    </row>
    <row r="114" spans="1:101" ht="13.2" x14ac:dyDescent="0.25">
      <c r="A114" s="3">
        <v>45005.81125875</v>
      </c>
      <c r="B114" s="4" t="s">
        <v>768</v>
      </c>
      <c r="C114" s="4" t="s">
        <v>769</v>
      </c>
      <c r="D114" s="6" t="s">
        <v>770</v>
      </c>
      <c r="E114" s="4" t="s">
        <v>103</v>
      </c>
      <c r="F114" s="4" t="s">
        <v>384</v>
      </c>
      <c r="G114" s="4" t="s">
        <v>64</v>
      </c>
      <c r="H114" s="4" t="s">
        <v>774</v>
      </c>
      <c r="I114" s="4" t="s">
        <v>772</v>
      </c>
      <c r="J114" s="4" t="s">
        <v>775</v>
      </c>
      <c r="K114" s="4" t="s">
        <v>768</v>
      </c>
      <c r="L114" s="4" t="s">
        <v>656</v>
      </c>
      <c r="M114" s="4" t="s">
        <v>458</v>
      </c>
      <c r="N114" s="4">
        <v>38</v>
      </c>
      <c r="O114" s="4" t="s">
        <v>69</v>
      </c>
      <c r="P114" s="4">
        <v>3</v>
      </c>
      <c r="Q114" s="4">
        <v>4</v>
      </c>
      <c r="R114" s="4">
        <v>10</v>
      </c>
      <c r="T114" s="4" t="s">
        <v>70</v>
      </c>
      <c r="U114" s="4" t="s">
        <v>70</v>
      </c>
      <c r="V114" s="4" t="s">
        <v>237</v>
      </c>
      <c r="W114" s="6" t="s">
        <v>145</v>
      </c>
      <c r="X114" s="4" t="s">
        <v>70</v>
      </c>
      <c r="Y114" s="4" t="s">
        <v>70</v>
      </c>
      <c r="Z114" s="4" t="s">
        <v>70</v>
      </c>
      <c r="AA114" s="4" t="s">
        <v>70</v>
      </c>
      <c r="AB114" s="4" t="s">
        <v>70</v>
      </c>
      <c r="AC114" s="4" t="s">
        <v>70</v>
      </c>
      <c r="AD114" s="4" t="s">
        <v>70</v>
      </c>
      <c r="AE114" s="4" t="s">
        <v>71</v>
      </c>
      <c r="AF114" s="4" t="s">
        <v>71</v>
      </c>
      <c r="AG114" s="4" t="s">
        <v>70</v>
      </c>
      <c r="AH114" s="4" t="s">
        <v>70</v>
      </c>
      <c r="AI114" s="4" t="s">
        <v>70</v>
      </c>
      <c r="AJ114" s="4" t="s">
        <v>71</v>
      </c>
      <c r="AK114" s="4" t="s">
        <v>71</v>
      </c>
      <c r="AL114" s="4" t="s">
        <v>70</v>
      </c>
      <c r="AM114" s="4" t="s">
        <v>70</v>
      </c>
      <c r="AN114" s="4" t="s">
        <v>70</v>
      </c>
      <c r="AO114" s="4" t="s">
        <v>71</v>
      </c>
      <c r="AP114" s="4" t="s">
        <v>71</v>
      </c>
      <c r="AQ114" s="4" t="s">
        <v>70</v>
      </c>
      <c r="AR114" s="4" t="s">
        <v>70</v>
      </c>
      <c r="AS114" s="4" t="s">
        <v>70</v>
      </c>
      <c r="AT114" s="4" t="s">
        <v>71</v>
      </c>
    </row>
    <row r="115" spans="1:101" ht="13.2" x14ac:dyDescent="0.25">
      <c r="A115" s="3">
        <v>45001.532389988424</v>
      </c>
      <c r="B115" s="4" t="s">
        <v>776</v>
      </c>
      <c r="C115" s="4" t="s">
        <v>777</v>
      </c>
      <c r="D115" s="7" t="s">
        <v>778</v>
      </c>
      <c r="E115" s="4" t="s">
        <v>103</v>
      </c>
      <c r="F115" s="4" t="s">
        <v>779</v>
      </c>
      <c r="G115" s="4" t="s">
        <v>64</v>
      </c>
      <c r="H115" s="4" t="s">
        <v>780</v>
      </c>
      <c r="I115" s="4" t="s">
        <v>781</v>
      </c>
      <c r="J115" s="4" t="s">
        <v>782</v>
      </c>
      <c r="K115" s="4" t="s">
        <v>776</v>
      </c>
      <c r="L115" s="4" t="s">
        <v>656</v>
      </c>
      <c r="M115" s="4" t="s">
        <v>467</v>
      </c>
      <c r="N115" s="4">
        <v>31</v>
      </c>
      <c r="O115" s="4" t="s">
        <v>783</v>
      </c>
      <c r="P115" s="4">
        <v>4</v>
      </c>
      <c r="Q115" s="4">
        <v>4</v>
      </c>
      <c r="R115" s="4">
        <v>1</v>
      </c>
      <c r="S115" s="4" t="s">
        <v>784</v>
      </c>
      <c r="T115" s="4" t="s">
        <v>70</v>
      </c>
      <c r="U115" s="4" t="s">
        <v>71</v>
      </c>
      <c r="V115" s="4" t="s">
        <v>72</v>
      </c>
      <c r="W115" s="6" t="s">
        <v>99</v>
      </c>
      <c r="AV115" s="4" t="s">
        <v>70</v>
      </c>
      <c r="AW115" s="4" t="s">
        <v>70</v>
      </c>
      <c r="AX115" s="4" t="s">
        <v>71</v>
      </c>
      <c r="AY115" s="4" t="s">
        <v>71</v>
      </c>
      <c r="AZ115" s="4" t="s">
        <v>70</v>
      </c>
      <c r="BA115" s="4" t="s">
        <v>71</v>
      </c>
      <c r="BB115" s="4" t="s">
        <v>71</v>
      </c>
      <c r="BC115" s="4" t="s">
        <v>71</v>
      </c>
      <c r="BD115" s="4" t="s">
        <v>71</v>
      </c>
      <c r="BF115" s="4" t="s">
        <v>70</v>
      </c>
      <c r="BK115" s="4" t="s">
        <v>70</v>
      </c>
    </row>
    <row r="116" spans="1:101" ht="13.2" x14ac:dyDescent="0.25">
      <c r="A116" s="3">
        <v>45001.535564270831</v>
      </c>
      <c r="B116" s="4" t="s">
        <v>776</v>
      </c>
      <c r="C116" s="4" t="s">
        <v>777</v>
      </c>
      <c r="D116" s="7" t="s">
        <v>778</v>
      </c>
      <c r="E116" s="4" t="s">
        <v>103</v>
      </c>
      <c r="F116" s="4" t="s">
        <v>779</v>
      </c>
      <c r="G116" s="4" t="s">
        <v>64</v>
      </c>
      <c r="H116" s="4" t="s">
        <v>785</v>
      </c>
      <c r="I116" s="4" t="s">
        <v>786</v>
      </c>
      <c r="J116" s="4" t="s">
        <v>782</v>
      </c>
      <c r="K116" s="4" t="s">
        <v>776</v>
      </c>
      <c r="L116" s="4" t="s">
        <v>656</v>
      </c>
      <c r="M116" s="4" t="s">
        <v>467</v>
      </c>
      <c r="N116" s="4">
        <v>26</v>
      </c>
      <c r="O116" s="4" t="s">
        <v>433</v>
      </c>
      <c r="P116" s="4">
        <v>4</v>
      </c>
      <c r="Q116" s="4">
        <v>4</v>
      </c>
      <c r="R116" s="4">
        <v>1</v>
      </c>
      <c r="T116" s="4" t="s">
        <v>70</v>
      </c>
      <c r="U116" s="4" t="s">
        <v>71</v>
      </c>
      <c r="V116" s="4" t="s">
        <v>72</v>
      </c>
      <c r="W116" s="8" t="s">
        <v>145</v>
      </c>
      <c r="X116" s="4" t="s">
        <v>70</v>
      </c>
      <c r="Y116" s="4" t="s">
        <v>70</v>
      </c>
      <c r="Z116" s="4" t="s">
        <v>71</v>
      </c>
      <c r="AA116" s="4" t="s">
        <v>71</v>
      </c>
      <c r="AB116" s="4" t="s">
        <v>70</v>
      </c>
      <c r="AC116" s="4" t="s">
        <v>71</v>
      </c>
      <c r="AD116" s="4" t="s">
        <v>71</v>
      </c>
      <c r="AE116" s="4" t="s">
        <v>71</v>
      </c>
      <c r="AF116" s="4" t="s">
        <v>71</v>
      </c>
      <c r="AH116" s="4" t="s">
        <v>70</v>
      </c>
      <c r="AM116" s="4" t="s">
        <v>70</v>
      </c>
    </row>
    <row r="117" spans="1:101" ht="13.2" x14ac:dyDescent="0.25">
      <c r="A117" s="3">
        <v>45001.548670243057</v>
      </c>
      <c r="B117" s="4" t="s">
        <v>776</v>
      </c>
      <c r="C117" s="4" t="s">
        <v>777</v>
      </c>
      <c r="D117" s="7" t="s">
        <v>778</v>
      </c>
      <c r="E117" s="4" t="s">
        <v>103</v>
      </c>
      <c r="F117" s="4" t="s">
        <v>779</v>
      </c>
      <c r="G117" s="4" t="s">
        <v>64</v>
      </c>
      <c r="H117" s="4" t="s">
        <v>780</v>
      </c>
      <c r="I117" s="4" t="s">
        <v>781</v>
      </c>
      <c r="J117" s="4" t="s">
        <v>782</v>
      </c>
      <c r="K117" s="4" t="s">
        <v>776</v>
      </c>
      <c r="L117" s="4" t="s">
        <v>656</v>
      </c>
      <c r="M117" s="4" t="s">
        <v>470</v>
      </c>
      <c r="N117" s="4">
        <v>30</v>
      </c>
      <c r="O117" s="4" t="s">
        <v>783</v>
      </c>
      <c r="P117" s="4">
        <v>4</v>
      </c>
      <c r="Q117" s="4">
        <v>4</v>
      </c>
      <c r="R117" s="4">
        <v>1</v>
      </c>
      <c r="T117" s="4" t="s">
        <v>70</v>
      </c>
      <c r="U117" s="4" t="s">
        <v>71</v>
      </c>
      <c r="V117" s="4" t="s">
        <v>72</v>
      </c>
      <c r="W117" s="6" t="s">
        <v>99</v>
      </c>
      <c r="AV117" s="4" t="s">
        <v>70</v>
      </c>
      <c r="AW117" s="4" t="s">
        <v>70</v>
      </c>
      <c r="AX117" s="4" t="s">
        <v>71</v>
      </c>
      <c r="AY117" s="4" t="s">
        <v>71</v>
      </c>
      <c r="AZ117" s="4" t="s">
        <v>70</v>
      </c>
      <c r="BA117" s="4" t="s">
        <v>71</v>
      </c>
      <c r="BB117" s="4" t="s">
        <v>71</v>
      </c>
      <c r="BC117" s="4" t="s">
        <v>71</v>
      </c>
      <c r="BD117" s="4" t="s">
        <v>71</v>
      </c>
    </row>
    <row r="118" spans="1:101" ht="13.2" x14ac:dyDescent="0.25">
      <c r="A118" s="3">
        <v>45001.550165972221</v>
      </c>
      <c r="B118" s="4" t="s">
        <v>776</v>
      </c>
      <c r="C118" s="4" t="s">
        <v>787</v>
      </c>
      <c r="D118" s="7" t="s">
        <v>778</v>
      </c>
      <c r="E118" s="4" t="s">
        <v>103</v>
      </c>
      <c r="F118" s="4" t="s">
        <v>779</v>
      </c>
      <c r="G118" s="4" t="s">
        <v>64</v>
      </c>
      <c r="H118" s="4" t="s">
        <v>785</v>
      </c>
      <c r="I118" s="4" t="s">
        <v>781</v>
      </c>
      <c r="J118" s="4" t="s">
        <v>782</v>
      </c>
      <c r="K118" s="4" t="s">
        <v>776</v>
      </c>
      <c r="L118" s="4" t="s">
        <v>656</v>
      </c>
      <c r="M118" s="4" t="s">
        <v>470</v>
      </c>
      <c r="N118" s="4">
        <v>30</v>
      </c>
      <c r="O118" s="4" t="s">
        <v>783</v>
      </c>
      <c r="P118" s="4">
        <v>4</v>
      </c>
      <c r="Q118" s="4">
        <v>4</v>
      </c>
      <c r="R118" s="4">
        <v>1</v>
      </c>
      <c r="T118" s="4" t="s">
        <v>70</v>
      </c>
      <c r="U118" s="4" t="s">
        <v>71</v>
      </c>
      <c r="V118" s="4" t="s">
        <v>72</v>
      </c>
      <c r="W118" s="6" t="s">
        <v>99</v>
      </c>
      <c r="AV118" s="4" t="s">
        <v>70</v>
      </c>
      <c r="AW118" s="4" t="s">
        <v>70</v>
      </c>
      <c r="AX118" s="4" t="s">
        <v>71</v>
      </c>
      <c r="AY118" s="4" t="s">
        <v>71</v>
      </c>
      <c r="AZ118" s="4" t="s">
        <v>70</v>
      </c>
      <c r="BA118" s="4" t="s">
        <v>71</v>
      </c>
      <c r="BB118" s="4" t="s">
        <v>71</v>
      </c>
      <c r="BC118" s="4" t="s">
        <v>71</v>
      </c>
      <c r="BD118" s="4" t="s">
        <v>71</v>
      </c>
    </row>
    <row r="119" spans="1:101" ht="13.2" x14ac:dyDescent="0.25">
      <c r="A119" s="3">
        <v>45001.552058356479</v>
      </c>
      <c r="B119" s="4" t="s">
        <v>776</v>
      </c>
      <c r="C119" s="4" t="s">
        <v>788</v>
      </c>
      <c r="D119" s="7" t="s">
        <v>778</v>
      </c>
      <c r="E119" s="4" t="s">
        <v>103</v>
      </c>
      <c r="F119" s="4" t="s">
        <v>779</v>
      </c>
      <c r="G119" s="4" t="s">
        <v>64</v>
      </c>
      <c r="H119" s="4" t="s">
        <v>785</v>
      </c>
      <c r="I119" s="4" t="s">
        <v>789</v>
      </c>
      <c r="J119" s="4" t="s">
        <v>782</v>
      </c>
      <c r="K119" s="4" t="s">
        <v>776</v>
      </c>
      <c r="L119" s="4" t="s">
        <v>656</v>
      </c>
      <c r="M119" s="4" t="s">
        <v>470</v>
      </c>
      <c r="N119" s="4">
        <v>30</v>
      </c>
      <c r="O119" s="4" t="s">
        <v>433</v>
      </c>
      <c r="P119" s="4">
        <v>4</v>
      </c>
      <c r="Q119" s="4">
        <v>4</v>
      </c>
      <c r="R119" s="4">
        <v>0</v>
      </c>
      <c r="T119" s="4" t="s">
        <v>70</v>
      </c>
      <c r="U119" s="4" t="s">
        <v>71</v>
      </c>
      <c r="V119" s="4" t="s">
        <v>72</v>
      </c>
      <c r="W119" s="8" t="s">
        <v>145</v>
      </c>
      <c r="X119" s="4" t="s">
        <v>70</v>
      </c>
      <c r="Y119" s="4" t="s">
        <v>70</v>
      </c>
      <c r="Z119" s="4" t="s">
        <v>71</v>
      </c>
      <c r="AA119" s="4" t="s">
        <v>71</v>
      </c>
      <c r="AB119" s="4" t="s">
        <v>70</v>
      </c>
      <c r="AC119" s="4" t="s">
        <v>71</v>
      </c>
      <c r="AD119" s="4" t="s">
        <v>71</v>
      </c>
      <c r="AE119" s="4" t="s">
        <v>71</v>
      </c>
      <c r="AF119" s="4" t="s">
        <v>71</v>
      </c>
    </row>
    <row r="120" spans="1:101" ht="13.2" x14ac:dyDescent="0.25">
      <c r="A120" s="3">
        <v>45001.560459155095</v>
      </c>
      <c r="B120" s="4" t="s">
        <v>776</v>
      </c>
      <c r="C120" s="4" t="s">
        <v>777</v>
      </c>
      <c r="D120" s="7" t="s">
        <v>778</v>
      </c>
      <c r="E120" s="4" t="s">
        <v>140</v>
      </c>
      <c r="F120" s="4" t="s">
        <v>779</v>
      </c>
      <c r="G120" s="4" t="s">
        <v>64</v>
      </c>
      <c r="H120" s="4" t="s">
        <v>785</v>
      </c>
      <c r="I120" s="4" t="s">
        <v>789</v>
      </c>
      <c r="J120" s="4" t="s">
        <v>782</v>
      </c>
      <c r="K120" s="4" t="s">
        <v>776</v>
      </c>
      <c r="L120" s="4" t="s">
        <v>656</v>
      </c>
      <c r="M120" s="4" t="s">
        <v>470</v>
      </c>
      <c r="N120" s="4">
        <v>30</v>
      </c>
      <c r="O120" s="4" t="s">
        <v>433</v>
      </c>
      <c r="P120" s="4">
        <v>4</v>
      </c>
      <c r="Q120" s="4">
        <v>4</v>
      </c>
      <c r="R120" s="4">
        <v>0</v>
      </c>
      <c r="T120" s="4" t="s">
        <v>70</v>
      </c>
      <c r="U120" s="4" t="s">
        <v>71</v>
      </c>
      <c r="V120" s="4" t="s">
        <v>72</v>
      </c>
      <c r="W120" s="8" t="s">
        <v>145</v>
      </c>
      <c r="X120" s="4" t="s">
        <v>70</v>
      </c>
      <c r="Y120" s="4" t="s">
        <v>70</v>
      </c>
      <c r="Z120" s="4" t="s">
        <v>71</v>
      </c>
      <c r="AA120" s="4" t="s">
        <v>71</v>
      </c>
      <c r="AB120" s="4" t="s">
        <v>70</v>
      </c>
      <c r="AC120" s="4" t="s">
        <v>71</v>
      </c>
      <c r="AD120" s="4" t="s">
        <v>71</v>
      </c>
      <c r="AE120" s="4" t="s">
        <v>71</v>
      </c>
      <c r="AF120" s="4" t="s">
        <v>71</v>
      </c>
    </row>
    <row r="121" spans="1:101" ht="13.2" x14ac:dyDescent="0.25">
      <c r="A121" s="3">
        <v>45000.685528321759</v>
      </c>
      <c r="B121" s="4" t="s">
        <v>790</v>
      </c>
      <c r="C121" s="4" t="s">
        <v>791</v>
      </c>
      <c r="D121" s="5" t="s">
        <v>792</v>
      </c>
      <c r="E121" s="4" t="s">
        <v>103</v>
      </c>
      <c r="F121" s="4" t="s">
        <v>384</v>
      </c>
      <c r="G121" s="4" t="s">
        <v>105</v>
      </c>
      <c r="H121" s="4" t="s">
        <v>793</v>
      </c>
      <c r="I121" s="4" t="s">
        <v>794</v>
      </c>
      <c r="J121" s="4" t="s">
        <v>795</v>
      </c>
      <c r="K121" s="4" t="s">
        <v>790</v>
      </c>
      <c r="L121" s="4" t="s">
        <v>656</v>
      </c>
      <c r="M121" s="4" t="s">
        <v>480</v>
      </c>
      <c r="N121" s="4">
        <v>34</v>
      </c>
      <c r="O121" s="4" t="s">
        <v>69</v>
      </c>
      <c r="P121" s="4">
        <v>2</v>
      </c>
      <c r="Q121" s="4">
        <v>2</v>
      </c>
      <c r="R121" s="4">
        <v>75</v>
      </c>
      <c r="T121" s="4" t="s">
        <v>70</v>
      </c>
      <c r="U121" s="4" t="s">
        <v>71</v>
      </c>
      <c r="V121" s="4" t="s">
        <v>72</v>
      </c>
      <c r="W121" s="6" t="s">
        <v>99</v>
      </c>
      <c r="AV121" s="4" t="s">
        <v>70</v>
      </c>
      <c r="AW121" s="4" t="s">
        <v>70</v>
      </c>
      <c r="AX121" s="4" t="s">
        <v>70</v>
      </c>
      <c r="AY121" s="4" t="s">
        <v>70</v>
      </c>
      <c r="AZ121" s="4" t="s">
        <v>70</v>
      </c>
      <c r="BA121" s="4" t="s">
        <v>70</v>
      </c>
      <c r="BB121" s="4" t="s">
        <v>70</v>
      </c>
      <c r="BC121" s="4" t="s">
        <v>70</v>
      </c>
      <c r="BD121" s="4" t="s">
        <v>71</v>
      </c>
      <c r="BE121" s="4" t="s">
        <v>70</v>
      </c>
      <c r="BF121" s="4" t="s">
        <v>70</v>
      </c>
      <c r="BG121" s="4" t="s">
        <v>70</v>
      </c>
      <c r="BH121" s="4" t="s">
        <v>70</v>
      </c>
      <c r="BJ121" s="4" t="s">
        <v>70</v>
      </c>
      <c r="BK121" s="4" t="s">
        <v>70</v>
      </c>
      <c r="BL121" s="4" t="s">
        <v>70</v>
      </c>
      <c r="BM121" s="4" t="s">
        <v>70</v>
      </c>
      <c r="BO121" s="4" t="s">
        <v>70</v>
      </c>
      <c r="BP121" s="4" t="s">
        <v>70</v>
      </c>
      <c r="BQ121" s="4" t="s">
        <v>70</v>
      </c>
    </row>
    <row r="122" spans="1:101" ht="13.2" x14ac:dyDescent="0.25">
      <c r="A122" s="3">
        <v>45005.412433206016</v>
      </c>
      <c r="B122" s="4" t="s">
        <v>796</v>
      </c>
      <c r="C122" s="4" t="s">
        <v>797</v>
      </c>
      <c r="D122" s="7" t="s">
        <v>798</v>
      </c>
      <c r="E122" s="4" t="s">
        <v>149</v>
      </c>
      <c r="F122" s="4" t="s">
        <v>799</v>
      </c>
      <c r="G122" s="4" t="s">
        <v>64</v>
      </c>
      <c r="H122" s="4" t="s">
        <v>800</v>
      </c>
      <c r="I122" s="4" t="s">
        <v>801</v>
      </c>
      <c r="J122" s="4" t="s">
        <v>802</v>
      </c>
      <c r="K122" s="4" t="s">
        <v>796</v>
      </c>
      <c r="L122" s="4" t="s">
        <v>656</v>
      </c>
      <c r="M122" s="4" t="s">
        <v>490</v>
      </c>
      <c r="N122" s="4">
        <v>35</v>
      </c>
      <c r="O122" s="4" t="s">
        <v>69</v>
      </c>
      <c r="P122" s="4">
        <v>1</v>
      </c>
      <c r="Q122" s="4">
        <v>3</v>
      </c>
      <c r="R122" s="4">
        <v>20</v>
      </c>
      <c r="T122" s="4" t="s">
        <v>70</v>
      </c>
      <c r="U122" s="4" t="s">
        <v>71</v>
      </c>
      <c r="V122" s="4" t="s">
        <v>72</v>
      </c>
      <c r="W122" s="6" t="s">
        <v>145</v>
      </c>
      <c r="X122" s="4" t="s">
        <v>70</v>
      </c>
      <c r="Y122" s="4" t="s">
        <v>70</v>
      </c>
      <c r="Z122" s="4" t="s">
        <v>71</v>
      </c>
      <c r="AA122" s="4" t="s">
        <v>71</v>
      </c>
      <c r="AB122" s="4" t="s">
        <v>71</v>
      </c>
      <c r="AC122" s="4" t="s">
        <v>71</v>
      </c>
      <c r="AD122" s="4" t="s">
        <v>71</v>
      </c>
      <c r="AE122" s="4" t="s">
        <v>71</v>
      </c>
      <c r="AF122" s="4" t="s">
        <v>71</v>
      </c>
      <c r="AG122" s="4" t="s">
        <v>71</v>
      </c>
      <c r="AH122" s="4" t="s">
        <v>71</v>
      </c>
      <c r="AI122" s="4" t="s">
        <v>71</v>
      </c>
      <c r="AJ122" s="4" t="s">
        <v>71</v>
      </c>
      <c r="AK122" s="4" t="s">
        <v>71</v>
      </c>
      <c r="AL122" s="4" t="s">
        <v>71</v>
      </c>
      <c r="AM122" s="4" t="s">
        <v>71</v>
      </c>
      <c r="AN122" s="4" t="s">
        <v>71</v>
      </c>
      <c r="AO122" s="4" t="s">
        <v>71</v>
      </c>
      <c r="AP122" s="4" t="s">
        <v>71</v>
      </c>
      <c r="AQ122" s="4" t="s">
        <v>71</v>
      </c>
      <c r="AR122" s="4" t="s">
        <v>71</v>
      </c>
      <c r="AS122" s="4" t="s">
        <v>71</v>
      </c>
      <c r="AT122" s="4" t="s">
        <v>71</v>
      </c>
    </row>
    <row r="123" spans="1:101" ht="13.2" x14ac:dyDescent="0.25">
      <c r="A123" s="3">
        <v>45005.500209340273</v>
      </c>
      <c r="B123" s="4" t="s">
        <v>796</v>
      </c>
      <c r="C123" s="4" t="s">
        <v>797</v>
      </c>
      <c r="D123" s="7" t="s">
        <v>798</v>
      </c>
      <c r="E123" s="4" t="s">
        <v>62</v>
      </c>
      <c r="F123" s="4" t="s">
        <v>803</v>
      </c>
      <c r="G123" s="4" t="s">
        <v>64</v>
      </c>
      <c r="H123" s="4" t="s">
        <v>804</v>
      </c>
      <c r="I123" s="4" t="s">
        <v>805</v>
      </c>
      <c r="J123" s="4" t="s">
        <v>801</v>
      </c>
      <c r="K123" s="4" t="s">
        <v>796</v>
      </c>
      <c r="L123" s="4" t="s">
        <v>656</v>
      </c>
      <c r="M123" s="4" t="s">
        <v>490</v>
      </c>
      <c r="N123" s="4">
        <v>35</v>
      </c>
      <c r="O123" s="4" t="s">
        <v>69</v>
      </c>
      <c r="P123" s="4">
        <v>1</v>
      </c>
      <c r="Q123" s="4">
        <v>3</v>
      </c>
      <c r="R123" s="4">
        <v>20</v>
      </c>
      <c r="T123" s="4" t="s">
        <v>70</v>
      </c>
      <c r="U123" s="4" t="s">
        <v>71</v>
      </c>
      <c r="V123" s="4" t="s">
        <v>72</v>
      </c>
      <c r="W123" s="6" t="s">
        <v>145</v>
      </c>
      <c r="X123" s="4" t="s">
        <v>70</v>
      </c>
      <c r="Y123" s="4" t="s">
        <v>70</v>
      </c>
      <c r="Z123" s="4" t="s">
        <v>71</v>
      </c>
      <c r="AA123" s="4" t="s">
        <v>71</v>
      </c>
      <c r="AB123" s="4" t="s">
        <v>71</v>
      </c>
      <c r="AC123" s="4" t="s">
        <v>71</v>
      </c>
      <c r="AD123" s="4" t="s">
        <v>71</v>
      </c>
      <c r="AE123" s="4" t="s">
        <v>71</v>
      </c>
      <c r="AF123" s="4" t="s">
        <v>71</v>
      </c>
      <c r="AG123" s="4" t="s">
        <v>71</v>
      </c>
      <c r="AH123" s="4" t="s">
        <v>71</v>
      </c>
      <c r="AI123" s="4" t="s">
        <v>71</v>
      </c>
      <c r="AJ123" s="4" t="s">
        <v>71</v>
      </c>
      <c r="AK123" s="4" t="s">
        <v>71</v>
      </c>
      <c r="AL123" s="4" t="s">
        <v>71</v>
      </c>
      <c r="AM123" s="4" t="s">
        <v>71</v>
      </c>
      <c r="AN123" s="4" t="s">
        <v>71</v>
      </c>
      <c r="AO123" s="4" t="s">
        <v>71</v>
      </c>
      <c r="AP123" s="4" t="s">
        <v>71</v>
      </c>
      <c r="AQ123" s="4" t="s">
        <v>71</v>
      </c>
      <c r="AR123" s="4" t="s">
        <v>71</v>
      </c>
      <c r="AS123" s="4" t="s">
        <v>71</v>
      </c>
      <c r="AT123" s="4" t="s">
        <v>71</v>
      </c>
    </row>
    <row r="124" spans="1:101" ht="13.2" x14ac:dyDescent="0.25">
      <c r="A124" s="3">
        <v>45005.502667476852</v>
      </c>
      <c r="B124" s="4" t="s">
        <v>796</v>
      </c>
      <c r="C124" s="4" t="s">
        <v>797</v>
      </c>
      <c r="D124" s="7" t="s">
        <v>798</v>
      </c>
      <c r="E124" s="4" t="s">
        <v>149</v>
      </c>
      <c r="F124" s="4" t="s">
        <v>799</v>
      </c>
      <c r="G124" s="4" t="s">
        <v>64</v>
      </c>
      <c r="H124" s="4" t="s">
        <v>804</v>
      </c>
      <c r="I124" s="4" t="s">
        <v>802</v>
      </c>
      <c r="J124" s="4" t="s">
        <v>805</v>
      </c>
      <c r="K124" s="4" t="s">
        <v>796</v>
      </c>
      <c r="L124" s="4" t="s">
        <v>656</v>
      </c>
      <c r="M124" s="4" t="s">
        <v>490</v>
      </c>
      <c r="N124" s="4">
        <v>35</v>
      </c>
      <c r="O124" s="4" t="s">
        <v>69</v>
      </c>
      <c r="P124" s="4">
        <v>1</v>
      </c>
      <c r="Q124" s="4">
        <v>3</v>
      </c>
      <c r="R124" s="4">
        <v>20</v>
      </c>
      <c r="T124" s="4" t="s">
        <v>70</v>
      </c>
      <c r="U124" s="4" t="s">
        <v>71</v>
      </c>
      <c r="V124" s="4" t="s">
        <v>72</v>
      </c>
      <c r="W124" s="6" t="s">
        <v>145</v>
      </c>
      <c r="X124" s="4" t="s">
        <v>70</v>
      </c>
      <c r="Y124" s="4" t="s">
        <v>70</v>
      </c>
      <c r="Z124" s="4" t="s">
        <v>71</v>
      </c>
      <c r="AA124" s="4" t="s">
        <v>71</v>
      </c>
      <c r="AB124" s="4" t="s">
        <v>71</v>
      </c>
      <c r="AC124" s="4" t="s">
        <v>71</v>
      </c>
      <c r="AD124" s="4" t="s">
        <v>71</v>
      </c>
      <c r="AE124" s="4" t="s">
        <v>71</v>
      </c>
      <c r="AF124" s="4" t="s">
        <v>71</v>
      </c>
      <c r="AG124" s="4" t="s">
        <v>71</v>
      </c>
      <c r="AH124" s="4" t="s">
        <v>71</v>
      </c>
      <c r="AI124" s="4" t="s">
        <v>71</v>
      </c>
      <c r="AJ124" s="4" t="s">
        <v>71</v>
      </c>
      <c r="AK124" s="4" t="s">
        <v>71</v>
      </c>
      <c r="AL124" s="4" t="s">
        <v>71</v>
      </c>
      <c r="AM124" s="4" t="s">
        <v>71</v>
      </c>
      <c r="AN124" s="4" t="s">
        <v>71</v>
      </c>
      <c r="AO124" s="4" t="s">
        <v>71</v>
      </c>
      <c r="AP124" s="4" t="s">
        <v>71</v>
      </c>
      <c r="AQ124" s="4" t="s">
        <v>71</v>
      </c>
      <c r="AR124" s="4" t="s">
        <v>71</v>
      </c>
      <c r="AS124" s="4" t="s">
        <v>71</v>
      </c>
      <c r="AT124" s="4" t="s">
        <v>71</v>
      </c>
    </row>
    <row r="125" spans="1:101" ht="13.2" x14ac:dyDescent="0.25">
      <c r="A125" s="9">
        <v>45001.582880046291</v>
      </c>
      <c r="B125" s="10" t="s">
        <v>806</v>
      </c>
      <c r="C125" s="10" t="s">
        <v>807</v>
      </c>
      <c r="D125" s="11" t="s">
        <v>808</v>
      </c>
      <c r="E125" s="10" t="s">
        <v>263</v>
      </c>
      <c r="F125" s="10" t="s">
        <v>809</v>
      </c>
      <c r="G125" s="10" t="s">
        <v>105</v>
      </c>
      <c r="H125" s="10" t="s">
        <v>810</v>
      </c>
      <c r="I125" s="10" t="s">
        <v>811</v>
      </c>
      <c r="J125" s="10" t="s">
        <v>812</v>
      </c>
      <c r="K125" s="10" t="s">
        <v>806</v>
      </c>
      <c r="L125" s="10" t="s">
        <v>665</v>
      </c>
      <c r="M125" s="10" t="s">
        <v>492</v>
      </c>
      <c r="N125" s="10">
        <v>35</v>
      </c>
      <c r="O125" s="10" t="s">
        <v>433</v>
      </c>
      <c r="P125" s="10">
        <v>2</v>
      </c>
      <c r="Q125" s="10">
        <v>1</v>
      </c>
      <c r="R125" s="10">
        <v>90</v>
      </c>
      <c r="S125" s="10" t="s">
        <v>813</v>
      </c>
      <c r="T125" s="10" t="s">
        <v>70</v>
      </c>
      <c r="U125" s="10" t="s">
        <v>70</v>
      </c>
      <c r="V125" s="4" t="s">
        <v>237</v>
      </c>
      <c r="W125" s="12" t="s">
        <v>145</v>
      </c>
      <c r="X125" s="10" t="s">
        <v>70</v>
      </c>
      <c r="Y125" s="10" t="s">
        <v>71</v>
      </c>
      <c r="Z125" s="10" t="s">
        <v>71</v>
      </c>
      <c r="AA125" s="10" t="s">
        <v>71</v>
      </c>
      <c r="AB125" s="10" t="s">
        <v>71</v>
      </c>
      <c r="AC125" s="10" t="s">
        <v>70</v>
      </c>
      <c r="AD125" s="10" t="s">
        <v>70</v>
      </c>
      <c r="AE125" s="10" t="s">
        <v>70</v>
      </c>
      <c r="AF125" s="10" t="s">
        <v>70</v>
      </c>
      <c r="AG125" s="10" t="s">
        <v>71</v>
      </c>
      <c r="AH125" s="10" t="s">
        <v>71</v>
      </c>
      <c r="AI125" s="10" t="s">
        <v>70</v>
      </c>
      <c r="AJ125" s="10" t="s">
        <v>71</v>
      </c>
      <c r="AK125" s="10" t="s">
        <v>71</v>
      </c>
      <c r="AL125" s="13"/>
      <c r="AM125" s="10" t="s">
        <v>70</v>
      </c>
      <c r="AN125" s="10" t="s">
        <v>71</v>
      </c>
      <c r="AO125" s="10" t="s">
        <v>70</v>
      </c>
      <c r="AP125" s="10" t="s">
        <v>70</v>
      </c>
      <c r="AQ125" s="13"/>
      <c r="AR125" s="13"/>
      <c r="AS125" s="10" t="s">
        <v>70</v>
      </c>
      <c r="AT125" s="13"/>
      <c r="AU125" s="10" t="s">
        <v>814</v>
      </c>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row>
    <row r="126" spans="1:101" ht="13.2" x14ac:dyDescent="0.25">
      <c r="A126" s="3">
        <v>45005.654650277778</v>
      </c>
      <c r="B126" s="4" t="s">
        <v>815</v>
      </c>
      <c r="C126" s="4" t="s">
        <v>816</v>
      </c>
      <c r="D126" s="6" t="s">
        <v>817</v>
      </c>
      <c r="E126" s="4" t="s">
        <v>140</v>
      </c>
      <c r="F126" s="4" t="s">
        <v>818</v>
      </c>
      <c r="G126" s="4" t="s">
        <v>64</v>
      </c>
      <c r="H126" s="4" t="s">
        <v>819</v>
      </c>
      <c r="I126" s="4" t="s">
        <v>819</v>
      </c>
      <c r="K126" s="4" t="s">
        <v>815</v>
      </c>
      <c r="L126" s="4" t="s">
        <v>656</v>
      </c>
      <c r="M126" s="4" t="s">
        <v>499</v>
      </c>
      <c r="N126" s="4">
        <v>35</v>
      </c>
      <c r="O126" s="4" t="s">
        <v>200</v>
      </c>
      <c r="P126" s="4">
        <v>4</v>
      </c>
      <c r="Q126" s="4">
        <v>1</v>
      </c>
      <c r="R126" s="4">
        <v>50</v>
      </c>
      <c r="S126" s="4" t="s">
        <v>820</v>
      </c>
      <c r="T126" s="4" t="s">
        <v>70</v>
      </c>
      <c r="U126" s="4" t="s">
        <v>71</v>
      </c>
      <c r="V126" s="4" t="s">
        <v>72</v>
      </c>
      <c r="W126" s="6" t="s">
        <v>73</v>
      </c>
      <c r="BT126" s="4" t="s">
        <v>70</v>
      </c>
      <c r="BU126" s="4" t="s">
        <v>71</v>
      </c>
      <c r="BV126" s="4" t="s">
        <v>71</v>
      </c>
      <c r="BW126" s="4" t="s">
        <v>70</v>
      </c>
      <c r="BX126" s="4" t="s">
        <v>70</v>
      </c>
      <c r="BY126" s="4" t="s">
        <v>70</v>
      </c>
      <c r="BZ126" s="4" t="s">
        <v>71</v>
      </c>
      <c r="CA126" s="4" t="s">
        <v>71</v>
      </c>
      <c r="CB126" s="4" t="s">
        <v>71</v>
      </c>
      <c r="CC126" s="4" t="s">
        <v>70</v>
      </c>
      <c r="CD126" s="4" t="s">
        <v>70</v>
      </c>
      <c r="CE126" s="4" t="s">
        <v>70</v>
      </c>
      <c r="CF126" s="4" t="s">
        <v>71</v>
      </c>
      <c r="CG126" s="4" t="s">
        <v>71</v>
      </c>
      <c r="CH126" s="4" t="s">
        <v>70</v>
      </c>
      <c r="CI126" s="4" t="s">
        <v>70</v>
      </c>
      <c r="CJ126" s="4" t="s">
        <v>70</v>
      </c>
      <c r="CK126" s="4" t="s">
        <v>71</v>
      </c>
      <c r="CL126" s="4" t="s">
        <v>71</v>
      </c>
      <c r="CM126" s="4" t="s">
        <v>71</v>
      </c>
      <c r="CN126" s="4" t="s">
        <v>71</v>
      </c>
      <c r="CO126" s="4" t="s">
        <v>71</v>
      </c>
      <c r="CP126" s="4" t="s">
        <v>71</v>
      </c>
    </row>
    <row r="127" spans="1:101" ht="13.2" x14ac:dyDescent="0.25">
      <c r="A127" s="3">
        <v>45005.708227210649</v>
      </c>
      <c r="B127" s="4" t="s">
        <v>821</v>
      </c>
      <c r="C127" s="4" t="s">
        <v>822</v>
      </c>
      <c r="D127" s="6" t="s">
        <v>823</v>
      </c>
      <c r="E127" s="4" t="s">
        <v>140</v>
      </c>
      <c r="F127" s="4" t="s">
        <v>824</v>
      </c>
      <c r="G127" s="4" t="s">
        <v>64</v>
      </c>
      <c r="H127" s="4" t="s">
        <v>825</v>
      </c>
      <c r="I127" s="4" t="s">
        <v>826</v>
      </c>
      <c r="K127" s="4" t="s">
        <v>827</v>
      </c>
      <c r="L127" s="4" t="s">
        <v>656</v>
      </c>
      <c r="M127" s="4" t="s">
        <v>504</v>
      </c>
      <c r="N127" s="4">
        <v>35</v>
      </c>
      <c r="O127" s="4" t="s">
        <v>97</v>
      </c>
      <c r="P127" s="4">
        <v>3</v>
      </c>
      <c r="Q127" s="4">
        <v>1</v>
      </c>
      <c r="R127" s="4">
        <v>90</v>
      </c>
      <c r="T127" s="4" t="s">
        <v>70</v>
      </c>
      <c r="U127" s="4" t="s">
        <v>70</v>
      </c>
      <c r="V127" s="4" t="s">
        <v>237</v>
      </c>
      <c r="W127" s="6" t="s">
        <v>73</v>
      </c>
      <c r="BT127" s="4" t="s">
        <v>71</v>
      </c>
      <c r="BU127" s="4" t="s">
        <v>71</v>
      </c>
      <c r="BV127" s="4" t="s">
        <v>71</v>
      </c>
      <c r="BW127" s="4" t="s">
        <v>70</v>
      </c>
      <c r="BX127" s="4" t="s">
        <v>70</v>
      </c>
      <c r="BY127" s="4" t="s">
        <v>71</v>
      </c>
      <c r="BZ127" s="4" t="s">
        <v>71</v>
      </c>
      <c r="CA127" s="4" t="s">
        <v>71</v>
      </c>
      <c r="CB127" s="4" t="s">
        <v>71</v>
      </c>
      <c r="CC127" s="4" t="s">
        <v>71</v>
      </c>
      <c r="CD127" s="4" t="s">
        <v>71</v>
      </c>
      <c r="CE127" s="4" t="s">
        <v>70</v>
      </c>
      <c r="CF127" s="4" t="s">
        <v>71</v>
      </c>
      <c r="CG127" s="4" t="s">
        <v>71</v>
      </c>
      <c r="CH127" s="4" t="s">
        <v>71</v>
      </c>
      <c r="CI127" s="4" t="s">
        <v>71</v>
      </c>
      <c r="CJ127" s="4" t="s">
        <v>70</v>
      </c>
      <c r="CK127" s="4" t="s">
        <v>71</v>
      </c>
      <c r="CL127" s="4" t="s">
        <v>71</v>
      </c>
      <c r="CM127" s="4" t="s">
        <v>71</v>
      </c>
      <c r="CN127" s="4" t="s">
        <v>70</v>
      </c>
      <c r="CO127" s="4" t="s">
        <v>71</v>
      </c>
      <c r="CP127" s="4" t="s">
        <v>71</v>
      </c>
    </row>
    <row r="128" spans="1:101" ht="13.2" x14ac:dyDescent="0.25">
      <c r="A128" s="3">
        <v>45005.879274895837</v>
      </c>
      <c r="B128" s="4" t="s">
        <v>828</v>
      </c>
      <c r="C128" s="4" t="s">
        <v>829</v>
      </c>
      <c r="D128" s="5" t="s">
        <v>830</v>
      </c>
      <c r="E128" s="4" t="s">
        <v>103</v>
      </c>
      <c r="F128" s="4" t="s">
        <v>384</v>
      </c>
      <c r="G128" s="4" t="s">
        <v>105</v>
      </c>
      <c r="H128" s="4" t="s">
        <v>831</v>
      </c>
      <c r="I128" s="4" t="s">
        <v>832</v>
      </c>
      <c r="J128" s="4" t="s">
        <v>833</v>
      </c>
      <c r="K128" s="4" t="s">
        <v>834</v>
      </c>
      <c r="L128" s="4" t="s">
        <v>656</v>
      </c>
      <c r="M128" s="4" t="s">
        <v>507</v>
      </c>
      <c r="N128" s="4">
        <v>35</v>
      </c>
      <c r="O128" s="4" t="s">
        <v>69</v>
      </c>
      <c r="P128" s="4">
        <v>5</v>
      </c>
      <c r="Q128" s="4">
        <v>5</v>
      </c>
      <c r="R128" s="4">
        <v>80</v>
      </c>
      <c r="S128" s="4" t="s">
        <v>835</v>
      </c>
      <c r="T128" s="4" t="s">
        <v>70</v>
      </c>
      <c r="U128" s="4" t="s">
        <v>70</v>
      </c>
      <c r="V128" s="4" t="s">
        <v>237</v>
      </c>
      <c r="W128" s="6" t="s">
        <v>145</v>
      </c>
      <c r="X128" s="4" t="s">
        <v>70</v>
      </c>
      <c r="Y128" s="4" t="s">
        <v>71</v>
      </c>
      <c r="Z128" s="4" t="s">
        <v>71</v>
      </c>
      <c r="AA128" s="4" t="s">
        <v>71</v>
      </c>
      <c r="AB128" s="4" t="s">
        <v>70</v>
      </c>
      <c r="AC128" s="4" t="s">
        <v>71</v>
      </c>
      <c r="AD128" s="4" t="s">
        <v>70</v>
      </c>
      <c r="AE128" s="4" t="s">
        <v>71</v>
      </c>
      <c r="AF128" s="4" t="s">
        <v>71</v>
      </c>
      <c r="AI128" s="4" t="s">
        <v>70</v>
      </c>
      <c r="AO128" s="4" t="s">
        <v>70</v>
      </c>
      <c r="AT128" s="4" t="s">
        <v>70</v>
      </c>
    </row>
    <row r="129" spans="1:95" ht="13.2" x14ac:dyDescent="0.25">
      <c r="A129" s="3">
        <v>45006.469990937505</v>
      </c>
      <c r="B129" s="4" t="s">
        <v>828</v>
      </c>
      <c r="C129" s="4" t="s">
        <v>829</v>
      </c>
      <c r="D129" s="5" t="s">
        <v>830</v>
      </c>
      <c r="E129" s="4" t="s">
        <v>103</v>
      </c>
      <c r="F129" s="4" t="s">
        <v>384</v>
      </c>
      <c r="G129" s="4" t="s">
        <v>105</v>
      </c>
      <c r="H129" s="4" t="s">
        <v>836</v>
      </c>
      <c r="I129" s="4" t="s">
        <v>832</v>
      </c>
      <c r="J129" s="4" t="s">
        <v>837</v>
      </c>
      <c r="K129" s="4" t="s">
        <v>828</v>
      </c>
      <c r="L129" s="4" t="s">
        <v>656</v>
      </c>
      <c r="M129" s="4" t="s">
        <v>507</v>
      </c>
      <c r="N129" s="4">
        <v>35</v>
      </c>
      <c r="O129" s="4" t="s">
        <v>69</v>
      </c>
      <c r="P129" s="4">
        <v>5</v>
      </c>
      <c r="Q129" s="4">
        <v>5</v>
      </c>
      <c r="R129" s="4">
        <v>80</v>
      </c>
      <c r="S129" s="4" t="s">
        <v>835</v>
      </c>
      <c r="T129" s="4" t="s">
        <v>70</v>
      </c>
      <c r="U129" s="4" t="s">
        <v>70</v>
      </c>
      <c r="V129" s="4" t="s">
        <v>237</v>
      </c>
      <c r="W129" s="6" t="s">
        <v>145</v>
      </c>
      <c r="X129" s="4" t="s">
        <v>70</v>
      </c>
      <c r="Y129" s="4" t="s">
        <v>70</v>
      </c>
      <c r="Z129" s="4" t="s">
        <v>71</v>
      </c>
      <c r="AA129" s="4" t="s">
        <v>70</v>
      </c>
      <c r="AB129" s="4" t="s">
        <v>71</v>
      </c>
      <c r="AC129" s="4" t="s">
        <v>70</v>
      </c>
      <c r="AD129" s="4" t="s">
        <v>71</v>
      </c>
      <c r="AE129" s="4" t="s">
        <v>70</v>
      </c>
      <c r="AF129" s="4" t="s">
        <v>71</v>
      </c>
      <c r="AH129" s="4" t="s">
        <v>70</v>
      </c>
      <c r="AJ129" s="4" t="s">
        <v>70</v>
      </c>
      <c r="AL129" s="4" t="s">
        <v>70</v>
      </c>
      <c r="AO129" s="4" t="s">
        <v>70</v>
      </c>
      <c r="AP129" s="4" t="s">
        <v>70</v>
      </c>
      <c r="AS129" s="4" t="s">
        <v>70</v>
      </c>
      <c r="AT129" s="4" t="s">
        <v>70</v>
      </c>
    </row>
    <row r="130" spans="1:95" ht="13.2" x14ac:dyDescent="0.25">
      <c r="A130" s="3">
        <v>45005.666444849536</v>
      </c>
      <c r="B130" s="4" t="s">
        <v>701</v>
      </c>
      <c r="C130" s="4" t="s">
        <v>838</v>
      </c>
      <c r="D130" s="6" t="s">
        <v>839</v>
      </c>
      <c r="E130" s="4" t="s">
        <v>263</v>
      </c>
      <c r="F130" s="4" t="s">
        <v>840</v>
      </c>
      <c r="G130" s="4" t="s">
        <v>64</v>
      </c>
      <c r="H130" s="4" t="s">
        <v>704</v>
      </c>
      <c r="I130" s="4" t="s">
        <v>841</v>
      </c>
      <c r="K130" s="4" t="s">
        <v>701</v>
      </c>
      <c r="L130" s="4" t="s">
        <v>656</v>
      </c>
      <c r="M130" s="4" t="s">
        <v>411</v>
      </c>
      <c r="N130" s="4">
        <v>35</v>
      </c>
      <c r="O130" s="4" t="s">
        <v>69</v>
      </c>
      <c r="P130" s="4">
        <v>3</v>
      </c>
      <c r="Q130" s="4">
        <v>2</v>
      </c>
      <c r="R130" s="4">
        <v>25</v>
      </c>
      <c r="T130" s="4" t="s">
        <v>70</v>
      </c>
      <c r="U130" s="4" t="s">
        <v>71</v>
      </c>
      <c r="V130" s="4" t="s">
        <v>72</v>
      </c>
      <c r="W130" s="6" t="s">
        <v>73</v>
      </c>
      <c r="BT130" s="4" t="s">
        <v>70</v>
      </c>
      <c r="BU130" s="4" t="s">
        <v>70</v>
      </c>
      <c r="BV130" s="4" t="s">
        <v>71</v>
      </c>
      <c r="BW130" s="4" t="s">
        <v>70</v>
      </c>
      <c r="BX130" s="4" t="s">
        <v>70</v>
      </c>
      <c r="BY130" s="4" t="s">
        <v>70</v>
      </c>
      <c r="BZ130" s="4" t="s">
        <v>71</v>
      </c>
      <c r="CA130" s="4" t="s">
        <v>71</v>
      </c>
      <c r="CB130" s="4" t="s">
        <v>71</v>
      </c>
      <c r="CC130" s="4" t="s">
        <v>70</v>
      </c>
      <c r="CD130" s="4" t="s">
        <v>70</v>
      </c>
      <c r="CE130" s="4" t="s">
        <v>70</v>
      </c>
      <c r="CF130" s="4" t="s">
        <v>71</v>
      </c>
      <c r="CG130" s="4" t="s">
        <v>71</v>
      </c>
      <c r="CH130" s="4" t="s">
        <v>70</v>
      </c>
      <c r="CI130" s="4" t="s">
        <v>70</v>
      </c>
      <c r="CJ130" s="4" t="s">
        <v>70</v>
      </c>
      <c r="CK130" s="4" t="s">
        <v>71</v>
      </c>
      <c r="CL130" s="4" t="s">
        <v>71</v>
      </c>
      <c r="CM130" s="4" t="s">
        <v>70</v>
      </c>
      <c r="CN130" s="4" t="s">
        <v>70</v>
      </c>
      <c r="CO130" s="4" t="s">
        <v>71</v>
      </c>
      <c r="CP130" s="4" t="s">
        <v>71</v>
      </c>
    </row>
    <row r="131" spans="1:95" ht="13.2" x14ac:dyDescent="0.25">
      <c r="A131" s="3">
        <v>45005.668450393518</v>
      </c>
      <c r="B131" s="4" t="s">
        <v>701</v>
      </c>
      <c r="C131" s="4" t="s">
        <v>838</v>
      </c>
      <c r="D131" s="6" t="s">
        <v>839</v>
      </c>
      <c r="E131" s="4" t="s">
        <v>149</v>
      </c>
      <c r="F131" s="4" t="s">
        <v>205</v>
      </c>
      <c r="G131" s="4" t="s">
        <v>64</v>
      </c>
      <c r="H131" s="4" t="s">
        <v>709</v>
      </c>
      <c r="I131" s="4" t="s">
        <v>842</v>
      </c>
      <c r="K131" s="4" t="s">
        <v>701</v>
      </c>
      <c r="L131" s="4" t="s">
        <v>656</v>
      </c>
      <c r="M131" s="4" t="s">
        <v>411</v>
      </c>
      <c r="N131" s="4">
        <v>35</v>
      </c>
      <c r="O131" s="4" t="s">
        <v>69</v>
      </c>
      <c r="P131" s="4">
        <v>3</v>
      </c>
      <c r="Q131" s="4">
        <v>2</v>
      </c>
      <c r="R131" s="4">
        <v>25</v>
      </c>
      <c r="T131" s="4" t="s">
        <v>70</v>
      </c>
      <c r="U131" s="4" t="s">
        <v>71</v>
      </c>
      <c r="V131" s="4" t="s">
        <v>72</v>
      </c>
      <c r="W131" s="6" t="s">
        <v>73</v>
      </c>
      <c r="BT131" s="4" t="s">
        <v>70</v>
      </c>
      <c r="BU131" s="4" t="s">
        <v>70</v>
      </c>
      <c r="BV131" s="4" t="s">
        <v>71</v>
      </c>
      <c r="BW131" s="4" t="s">
        <v>70</v>
      </c>
      <c r="BX131" s="4" t="s">
        <v>70</v>
      </c>
      <c r="BY131" s="4" t="s">
        <v>70</v>
      </c>
      <c r="BZ131" s="4" t="s">
        <v>71</v>
      </c>
      <c r="CA131" s="4" t="s">
        <v>71</v>
      </c>
      <c r="CB131" s="4" t="s">
        <v>71</v>
      </c>
      <c r="CC131" s="4" t="s">
        <v>70</v>
      </c>
      <c r="CD131" s="4" t="s">
        <v>70</v>
      </c>
      <c r="CE131" s="4" t="s">
        <v>70</v>
      </c>
      <c r="CF131" s="4" t="s">
        <v>71</v>
      </c>
      <c r="CG131" s="4" t="s">
        <v>71</v>
      </c>
      <c r="CH131" s="4" t="s">
        <v>70</v>
      </c>
      <c r="CI131" s="4" t="s">
        <v>70</v>
      </c>
      <c r="CJ131" s="4" t="s">
        <v>70</v>
      </c>
      <c r="CK131" s="4" t="s">
        <v>71</v>
      </c>
      <c r="CL131" s="4" t="s">
        <v>71</v>
      </c>
      <c r="CM131" s="4" t="s">
        <v>70</v>
      </c>
      <c r="CN131" s="4" t="s">
        <v>70</v>
      </c>
      <c r="CO131" s="4" t="s">
        <v>71</v>
      </c>
      <c r="CP131" s="4" t="s">
        <v>71</v>
      </c>
    </row>
    <row r="132" spans="1:95" ht="13.2" x14ac:dyDescent="0.25">
      <c r="A132" s="3">
        <v>45005.327248923611</v>
      </c>
      <c r="B132" s="4" t="s">
        <v>843</v>
      </c>
      <c r="C132" s="4" t="s">
        <v>844</v>
      </c>
      <c r="D132" s="7" t="s">
        <v>845</v>
      </c>
      <c r="E132" s="4" t="s">
        <v>91</v>
      </c>
      <c r="F132" s="4" t="s">
        <v>846</v>
      </c>
      <c r="G132" s="4" t="s">
        <v>105</v>
      </c>
      <c r="H132" s="4" t="s">
        <v>847</v>
      </c>
      <c r="I132" s="4" t="s">
        <v>848</v>
      </c>
      <c r="J132" s="4" t="s">
        <v>849</v>
      </c>
      <c r="K132" s="4" t="s">
        <v>843</v>
      </c>
      <c r="L132" s="4" t="s">
        <v>656</v>
      </c>
      <c r="M132" s="4" t="s">
        <v>515</v>
      </c>
      <c r="N132" s="4">
        <v>30</v>
      </c>
      <c r="O132" s="4" t="s">
        <v>850</v>
      </c>
      <c r="P132" s="4">
        <v>1</v>
      </c>
      <c r="Q132" s="4">
        <v>2</v>
      </c>
      <c r="R132" s="4">
        <v>50</v>
      </c>
      <c r="T132" s="4" t="s">
        <v>70</v>
      </c>
      <c r="U132" s="4" t="s">
        <v>70</v>
      </c>
      <c r="V132" s="4" t="s">
        <v>237</v>
      </c>
      <c r="W132" s="6" t="s">
        <v>99</v>
      </c>
      <c r="AV132" s="4" t="s">
        <v>70</v>
      </c>
      <c r="AW132" s="4" t="s">
        <v>70</v>
      </c>
      <c r="AX132" s="4" t="s">
        <v>70</v>
      </c>
      <c r="AY132" s="4" t="s">
        <v>70</v>
      </c>
      <c r="AZ132" s="4" t="s">
        <v>70</v>
      </c>
      <c r="BA132" s="4" t="s">
        <v>70</v>
      </c>
      <c r="BB132" s="4" t="s">
        <v>70</v>
      </c>
      <c r="BC132" s="4" t="s">
        <v>70</v>
      </c>
      <c r="BD132" s="4" t="s">
        <v>70</v>
      </c>
      <c r="BH132" s="4" t="s">
        <v>70</v>
      </c>
      <c r="BN132" s="4" t="s">
        <v>70</v>
      </c>
      <c r="BO132" s="4" t="s">
        <v>70</v>
      </c>
      <c r="BS132" s="4" t="s">
        <v>851</v>
      </c>
    </row>
    <row r="133" spans="1:95" ht="13.2" x14ac:dyDescent="0.25">
      <c r="A133" s="3">
        <v>45002.650011770835</v>
      </c>
      <c r="B133" s="4" t="s">
        <v>852</v>
      </c>
      <c r="C133" s="4" t="s">
        <v>853</v>
      </c>
      <c r="D133" s="5" t="s">
        <v>854</v>
      </c>
      <c r="E133" s="4" t="s">
        <v>140</v>
      </c>
      <c r="F133" s="4" t="s">
        <v>855</v>
      </c>
      <c r="G133" s="4" t="s">
        <v>105</v>
      </c>
      <c r="H133" s="4" t="s">
        <v>856</v>
      </c>
      <c r="I133" s="4" t="s">
        <v>857</v>
      </c>
      <c r="K133" s="4" t="s">
        <v>852</v>
      </c>
      <c r="L133" s="4" t="s">
        <v>656</v>
      </c>
      <c r="M133" s="4" t="s">
        <v>523</v>
      </c>
      <c r="N133" s="4">
        <v>18</v>
      </c>
      <c r="O133" s="4" t="s">
        <v>69</v>
      </c>
      <c r="P133" s="4">
        <v>4</v>
      </c>
      <c r="Q133" s="4">
        <v>2</v>
      </c>
      <c r="R133" s="4">
        <v>40</v>
      </c>
      <c r="T133" s="4" t="s">
        <v>71</v>
      </c>
      <c r="U133" s="4" t="s">
        <v>70</v>
      </c>
      <c r="V133" s="4" t="s">
        <v>87</v>
      </c>
      <c r="W133" s="6" t="s">
        <v>99</v>
      </c>
      <c r="AV133" s="4" t="s">
        <v>71</v>
      </c>
      <c r="AW133" s="4" t="s">
        <v>71</v>
      </c>
      <c r="AX133" s="4" t="s">
        <v>70</v>
      </c>
      <c r="AY133" s="4" t="s">
        <v>71</v>
      </c>
      <c r="AZ133" s="4" t="s">
        <v>71</v>
      </c>
      <c r="BA133" s="4" t="s">
        <v>71</v>
      </c>
      <c r="BB133" s="4" t="s">
        <v>70</v>
      </c>
      <c r="BC133" s="4" t="s">
        <v>71</v>
      </c>
      <c r="BD133" s="4" t="s">
        <v>71</v>
      </c>
      <c r="BE133" s="4" t="s">
        <v>71</v>
      </c>
      <c r="BF133" s="4" t="s">
        <v>71</v>
      </c>
      <c r="BG133" s="4" t="s">
        <v>70</v>
      </c>
      <c r="BH133" s="4" t="s">
        <v>71</v>
      </c>
      <c r="BI133" s="4" t="s">
        <v>71</v>
      </c>
      <c r="BJ133" s="4" t="s">
        <v>71</v>
      </c>
      <c r="BK133" s="4" t="s">
        <v>71</v>
      </c>
      <c r="BL133" s="4" t="s">
        <v>71</v>
      </c>
      <c r="BM133" s="4" t="s">
        <v>71</v>
      </c>
      <c r="BN133" s="4" t="s">
        <v>70</v>
      </c>
      <c r="BO133" s="4" t="s">
        <v>71</v>
      </c>
      <c r="BP133" s="4" t="s">
        <v>71</v>
      </c>
      <c r="BQ133" s="4" t="s">
        <v>71</v>
      </c>
      <c r="BR133" s="4" t="s">
        <v>70</v>
      </c>
    </row>
    <row r="134" spans="1:95" ht="13.2" x14ac:dyDescent="0.25">
      <c r="A134" s="3">
        <v>45000.853107164352</v>
      </c>
      <c r="B134" s="4" t="s">
        <v>858</v>
      </c>
      <c r="C134" s="4" t="s">
        <v>859</v>
      </c>
      <c r="D134" s="5" t="s">
        <v>860</v>
      </c>
      <c r="E134" s="4" t="s">
        <v>103</v>
      </c>
      <c r="F134" s="4" t="s">
        <v>861</v>
      </c>
      <c r="G134" s="4" t="s">
        <v>105</v>
      </c>
      <c r="H134" s="4" t="s">
        <v>862</v>
      </c>
      <c r="I134" s="4" t="s">
        <v>863</v>
      </c>
      <c r="J134" s="4" t="s">
        <v>864</v>
      </c>
      <c r="K134" s="4" t="s">
        <v>858</v>
      </c>
      <c r="L134" s="4" t="s">
        <v>656</v>
      </c>
      <c r="M134" s="4" t="s">
        <v>530</v>
      </c>
      <c r="N134" s="4">
        <v>35</v>
      </c>
      <c r="O134" s="4" t="s">
        <v>69</v>
      </c>
      <c r="P134" s="4">
        <v>2</v>
      </c>
      <c r="Q134" s="4">
        <v>3</v>
      </c>
      <c r="R134" s="4">
        <v>80</v>
      </c>
      <c r="S134" s="4" t="s">
        <v>865</v>
      </c>
      <c r="T134" s="4" t="s">
        <v>70</v>
      </c>
      <c r="U134" s="4" t="s">
        <v>70</v>
      </c>
      <c r="V134" s="4" t="s">
        <v>237</v>
      </c>
      <c r="W134" s="6" t="s">
        <v>145</v>
      </c>
      <c r="X134" s="4" t="s">
        <v>70</v>
      </c>
      <c r="Y134" s="4" t="s">
        <v>70</v>
      </c>
      <c r="Z134" s="4" t="s">
        <v>70</v>
      </c>
      <c r="AA134" s="4" t="s">
        <v>71</v>
      </c>
      <c r="AB134" s="4" t="s">
        <v>71</v>
      </c>
      <c r="AC134" s="4" t="s">
        <v>71</v>
      </c>
      <c r="AD134" s="4" t="s">
        <v>70</v>
      </c>
      <c r="AE134" s="4" t="s">
        <v>71</v>
      </c>
      <c r="AF134" s="4" t="s">
        <v>71</v>
      </c>
      <c r="AG134" s="4" t="s">
        <v>71</v>
      </c>
      <c r="AH134" s="4" t="s">
        <v>70</v>
      </c>
      <c r="AI134" s="4" t="s">
        <v>71</v>
      </c>
      <c r="AJ134" s="4" t="s">
        <v>71</v>
      </c>
      <c r="AK134" s="4" t="s">
        <v>71</v>
      </c>
      <c r="AL134" s="4" t="s">
        <v>71</v>
      </c>
      <c r="AM134" s="4" t="s">
        <v>71</v>
      </c>
      <c r="AN134" s="4" t="s">
        <v>71</v>
      </c>
      <c r="AO134" s="4" t="s">
        <v>71</v>
      </c>
      <c r="AP134" s="4" t="s">
        <v>70</v>
      </c>
      <c r="AQ134" s="4" t="s">
        <v>71</v>
      </c>
      <c r="AR134" s="4" t="s">
        <v>71</v>
      </c>
      <c r="AS134" s="4" t="s">
        <v>70</v>
      </c>
      <c r="AT134" s="4" t="s">
        <v>71</v>
      </c>
      <c r="AU134" s="4" t="s">
        <v>866</v>
      </c>
    </row>
    <row r="135" spans="1:95" ht="13.2" x14ac:dyDescent="0.25">
      <c r="A135" s="3">
        <v>45005.834669247684</v>
      </c>
      <c r="B135" s="4" t="s">
        <v>867</v>
      </c>
      <c r="C135" s="4" t="s">
        <v>868</v>
      </c>
      <c r="D135" s="7" t="s">
        <v>869</v>
      </c>
      <c r="E135" s="4" t="s">
        <v>103</v>
      </c>
      <c r="F135" s="4" t="s">
        <v>870</v>
      </c>
      <c r="G135" s="4" t="s">
        <v>105</v>
      </c>
      <c r="H135" s="4" t="s">
        <v>871</v>
      </c>
      <c r="I135" s="4" t="s">
        <v>872</v>
      </c>
      <c r="K135" s="4" t="s">
        <v>867</v>
      </c>
      <c r="L135" s="4" t="s">
        <v>656</v>
      </c>
      <c r="M135" s="4" t="s">
        <v>411</v>
      </c>
      <c r="N135" s="4">
        <v>35</v>
      </c>
      <c r="O135" s="4" t="s">
        <v>69</v>
      </c>
      <c r="P135" s="4">
        <v>4</v>
      </c>
      <c r="Q135" s="4">
        <v>5</v>
      </c>
      <c r="R135" s="4">
        <v>30</v>
      </c>
      <c r="T135" s="4" t="s">
        <v>70</v>
      </c>
      <c r="U135" s="4" t="s">
        <v>70</v>
      </c>
      <c r="V135" s="4" t="s">
        <v>237</v>
      </c>
      <c r="W135" s="6" t="s">
        <v>99</v>
      </c>
      <c r="AV135" s="4" t="s">
        <v>71</v>
      </c>
      <c r="AW135" s="4" t="s">
        <v>70</v>
      </c>
      <c r="AX135" s="4" t="s">
        <v>71</v>
      </c>
      <c r="AY135" s="4" t="s">
        <v>70</v>
      </c>
      <c r="AZ135" s="4" t="s">
        <v>71</v>
      </c>
      <c r="BA135" s="4" t="s">
        <v>71</v>
      </c>
      <c r="BB135" s="4" t="s">
        <v>71</v>
      </c>
      <c r="BC135" s="4" t="s">
        <v>71</v>
      </c>
      <c r="BD135" s="4" t="s">
        <v>71</v>
      </c>
      <c r="BE135" s="4" t="s">
        <v>71</v>
      </c>
      <c r="BF135" s="4" t="s">
        <v>70</v>
      </c>
      <c r="BG135" s="4" t="s">
        <v>70</v>
      </c>
      <c r="BH135" s="4" t="s">
        <v>71</v>
      </c>
      <c r="BI135" s="4" t="s">
        <v>71</v>
      </c>
      <c r="BM135" s="4" t="s">
        <v>70</v>
      </c>
      <c r="BR135" s="4" t="s">
        <v>70</v>
      </c>
      <c r="BS135" s="4" t="s">
        <v>873</v>
      </c>
    </row>
    <row r="136" spans="1:95" ht="13.2" x14ac:dyDescent="0.25">
      <c r="A136" s="3">
        <v>45005.964537025458</v>
      </c>
      <c r="B136" s="4" t="s">
        <v>867</v>
      </c>
      <c r="C136" s="4" t="s">
        <v>874</v>
      </c>
      <c r="D136" s="5" t="s">
        <v>869</v>
      </c>
      <c r="E136" s="4" t="s">
        <v>103</v>
      </c>
      <c r="F136" s="4" t="s">
        <v>840</v>
      </c>
      <c r="G136" s="4" t="s">
        <v>105</v>
      </c>
      <c r="H136" s="4" t="s">
        <v>871</v>
      </c>
      <c r="I136" s="4" t="s">
        <v>875</v>
      </c>
      <c r="K136" s="4" t="s">
        <v>867</v>
      </c>
      <c r="L136" s="4" t="s">
        <v>656</v>
      </c>
      <c r="M136" s="4" t="s">
        <v>411</v>
      </c>
      <c r="N136" s="4">
        <v>25</v>
      </c>
      <c r="O136" s="4" t="s">
        <v>69</v>
      </c>
      <c r="P136" s="4">
        <v>4</v>
      </c>
      <c r="Q136" s="4">
        <v>5</v>
      </c>
      <c r="R136" s="4">
        <v>30</v>
      </c>
      <c r="T136" s="4" t="s">
        <v>70</v>
      </c>
      <c r="U136" s="4" t="s">
        <v>70</v>
      </c>
      <c r="V136" s="4" t="s">
        <v>237</v>
      </c>
      <c r="W136" s="6" t="s">
        <v>99</v>
      </c>
      <c r="AV136" s="4" t="s">
        <v>71</v>
      </c>
      <c r="AW136" s="4" t="s">
        <v>70</v>
      </c>
      <c r="AX136" s="4" t="s">
        <v>71</v>
      </c>
      <c r="AY136" s="4" t="s">
        <v>70</v>
      </c>
      <c r="AZ136" s="4" t="s">
        <v>71</v>
      </c>
      <c r="BA136" s="4" t="s">
        <v>71</v>
      </c>
      <c r="BB136" s="4" t="s">
        <v>71</v>
      </c>
      <c r="BC136" s="4" t="s">
        <v>71</v>
      </c>
      <c r="BD136" s="4" t="s">
        <v>71</v>
      </c>
      <c r="BE136" s="4" t="s">
        <v>71</v>
      </c>
      <c r="BF136" s="4" t="s">
        <v>70</v>
      </c>
      <c r="BG136" s="4" t="s">
        <v>70</v>
      </c>
      <c r="BH136" s="4" t="s">
        <v>71</v>
      </c>
      <c r="BI136" s="4" t="s">
        <v>71</v>
      </c>
      <c r="BM136" s="4" t="s">
        <v>70</v>
      </c>
      <c r="BR136" s="4" t="s">
        <v>70</v>
      </c>
    </row>
    <row r="137" spans="1:95" ht="13.2" x14ac:dyDescent="0.25">
      <c r="A137" s="3">
        <v>45005.366519571762</v>
      </c>
      <c r="B137" s="4" t="s">
        <v>876</v>
      </c>
      <c r="C137" s="4" t="s">
        <v>877</v>
      </c>
      <c r="D137" s="5" t="s">
        <v>878</v>
      </c>
      <c r="E137" s="4" t="s">
        <v>149</v>
      </c>
      <c r="F137" s="4" t="s">
        <v>879</v>
      </c>
      <c r="G137" s="4" t="s">
        <v>64</v>
      </c>
      <c r="H137" s="4" t="s">
        <v>880</v>
      </c>
      <c r="I137" s="4" t="s">
        <v>881</v>
      </c>
      <c r="J137" s="4" t="s">
        <v>882</v>
      </c>
      <c r="K137" s="4" t="s">
        <v>876</v>
      </c>
      <c r="L137" s="4" t="s">
        <v>665</v>
      </c>
      <c r="M137" s="4" t="s">
        <v>534</v>
      </c>
      <c r="N137" s="4">
        <v>18</v>
      </c>
      <c r="O137" s="4" t="s">
        <v>97</v>
      </c>
      <c r="P137" s="4">
        <v>5</v>
      </c>
      <c r="Q137" s="4">
        <v>4</v>
      </c>
      <c r="R137" s="4">
        <v>0</v>
      </c>
      <c r="T137" s="4" t="s">
        <v>70</v>
      </c>
      <c r="U137" s="4" t="s">
        <v>71</v>
      </c>
      <c r="V137" s="4" t="s">
        <v>72</v>
      </c>
      <c r="W137" s="6" t="s">
        <v>73</v>
      </c>
      <c r="BT137" s="4" t="s">
        <v>70</v>
      </c>
      <c r="BU137" s="4" t="s">
        <v>71</v>
      </c>
      <c r="BV137" s="4" t="s">
        <v>71</v>
      </c>
      <c r="BW137" s="4" t="s">
        <v>71</v>
      </c>
      <c r="BX137" s="4" t="s">
        <v>70</v>
      </c>
      <c r="BY137" s="4" t="s">
        <v>71</v>
      </c>
      <c r="BZ137" s="4" t="s">
        <v>71</v>
      </c>
      <c r="CA137" s="4" t="s">
        <v>71</v>
      </c>
      <c r="CB137" s="4" t="s">
        <v>71</v>
      </c>
      <c r="CC137" s="4" t="s">
        <v>71</v>
      </c>
      <c r="CD137" s="4" t="s">
        <v>71</v>
      </c>
      <c r="CE137" s="4" t="s">
        <v>71</v>
      </c>
      <c r="CF137" s="4" t="s">
        <v>71</v>
      </c>
      <c r="CG137" s="4" t="s">
        <v>71</v>
      </c>
      <c r="CH137" s="4" t="s">
        <v>71</v>
      </c>
      <c r="CI137" s="4" t="s">
        <v>71</v>
      </c>
      <c r="CJ137" s="4" t="s">
        <v>70</v>
      </c>
      <c r="CK137" s="4" t="s">
        <v>71</v>
      </c>
      <c r="CL137" s="4" t="s">
        <v>71</v>
      </c>
      <c r="CM137" s="4" t="s">
        <v>70</v>
      </c>
      <c r="CN137" s="4" t="s">
        <v>71</v>
      </c>
      <c r="CP137" s="4" t="s">
        <v>71</v>
      </c>
    </row>
    <row r="138" spans="1:95" ht="13.2" x14ac:dyDescent="0.25">
      <c r="A138" s="3">
        <v>45002.425666840281</v>
      </c>
      <c r="B138" s="4" t="s">
        <v>883</v>
      </c>
      <c r="C138" s="4" t="s">
        <v>884</v>
      </c>
      <c r="D138" s="5" t="s">
        <v>885</v>
      </c>
      <c r="E138" s="4" t="s">
        <v>103</v>
      </c>
      <c r="F138" s="4" t="s">
        <v>886</v>
      </c>
      <c r="G138" s="4" t="s">
        <v>64</v>
      </c>
      <c r="H138" s="4" t="s">
        <v>887</v>
      </c>
      <c r="I138" s="4" t="s">
        <v>888</v>
      </c>
      <c r="J138" s="4" t="s">
        <v>889</v>
      </c>
      <c r="K138" s="4" t="s">
        <v>890</v>
      </c>
      <c r="L138" s="4" t="s">
        <v>665</v>
      </c>
      <c r="M138" s="4" t="s">
        <v>541</v>
      </c>
      <c r="N138" s="4">
        <v>20</v>
      </c>
      <c r="O138" s="4" t="s">
        <v>200</v>
      </c>
      <c r="P138" s="4">
        <v>3</v>
      </c>
      <c r="Q138" s="4">
        <v>3</v>
      </c>
      <c r="R138" s="4">
        <v>40</v>
      </c>
      <c r="T138" s="4" t="s">
        <v>70</v>
      </c>
      <c r="U138" s="4" t="s">
        <v>70</v>
      </c>
      <c r="V138" s="4" t="s">
        <v>237</v>
      </c>
      <c r="W138" s="6" t="s">
        <v>99</v>
      </c>
      <c r="AV138" s="4" t="s">
        <v>70</v>
      </c>
      <c r="AW138" s="4" t="s">
        <v>70</v>
      </c>
      <c r="AX138" s="4" t="s">
        <v>70</v>
      </c>
      <c r="AY138" s="4" t="s">
        <v>70</v>
      </c>
      <c r="AZ138" s="4" t="s">
        <v>70</v>
      </c>
      <c r="BA138" s="4" t="s">
        <v>70</v>
      </c>
      <c r="BB138" s="4" t="s">
        <v>70</v>
      </c>
      <c r="BC138" s="4" t="s">
        <v>70</v>
      </c>
      <c r="BD138" s="4" t="s">
        <v>70</v>
      </c>
      <c r="BE138" s="4" t="s">
        <v>70</v>
      </c>
      <c r="BF138" s="4" t="s">
        <v>70</v>
      </c>
      <c r="BG138" s="4" t="s">
        <v>70</v>
      </c>
      <c r="BH138" s="4" t="s">
        <v>70</v>
      </c>
      <c r="BI138" s="4" t="s">
        <v>70</v>
      </c>
      <c r="BJ138" s="4" t="s">
        <v>70</v>
      </c>
      <c r="BK138" s="4" t="s">
        <v>70</v>
      </c>
      <c r="BL138" s="4" t="s">
        <v>70</v>
      </c>
      <c r="BM138" s="4" t="s">
        <v>70</v>
      </c>
      <c r="BN138" s="4" t="s">
        <v>70</v>
      </c>
      <c r="BO138" s="4" t="s">
        <v>70</v>
      </c>
      <c r="BP138" s="4" t="s">
        <v>70</v>
      </c>
      <c r="BQ138" s="4" t="s">
        <v>70</v>
      </c>
      <c r="BR138" s="4" t="s">
        <v>70</v>
      </c>
    </row>
    <row r="139" spans="1:95" ht="13.2" x14ac:dyDescent="0.25">
      <c r="A139" s="3">
        <v>45002.592762280095</v>
      </c>
      <c r="B139" s="4" t="s">
        <v>891</v>
      </c>
      <c r="C139" s="4" t="s">
        <v>884</v>
      </c>
      <c r="D139" s="5" t="s">
        <v>885</v>
      </c>
      <c r="E139" s="4" t="s">
        <v>149</v>
      </c>
      <c r="F139" s="4" t="s">
        <v>892</v>
      </c>
      <c r="G139" s="4" t="s">
        <v>64</v>
      </c>
      <c r="H139" s="4" t="s">
        <v>893</v>
      </c>
      <c r="I139" s="4" t="s">
        <v>894</v>
      </c>
      <c r="J139" s="4" t="s">
        <v>895</v>
      </c>
      <c r="K139" s="4" t="s">
        <v>891</v>
      </c>
      <c r="L139" s="4" t="s">
        <v>656</v>
      </c>
      <c r="M139" s="4" t="s">
        <v>547</v>
      </c>
      <c r="N139" s="4">
        <v>17</v>
      </c>
      <c r="O139" s="4" t="s">
        <v>200</v>
      </c>
      <c r="P139" s="4">
        <v>2</v>
      </c>
      <c r="Q139" s="4">
        <v>1</v>
      </c>
      <c r="R139" s="4">
        <v>70</v>
      </c>
      <c r="S139" s="4" t="s">
        <v>896</v>
      </c>
      <c r="T139" s="4" t="s">
        <v>70</v>
      </c>
      <c r="U139" s="4" t="s">
        <v>70</v>
      </c>
      <c r="V139" s="4" t="s">
        <v>237</v>
      </c>
      <c r="W139" s="6" t="s">
        <v>99</v>
      </c>
      <c r="AV139" s="4" t="s">
        <v>70</v>
      </c>
      <c r="AW139" s="4" t="s">
        <v>70</v>
      </c>
      <c r="AX139" s="4" t="s">
        <v>70</v>
      </c>
      <c r="AY139" s="4" t="s">
        <v>71</v>
      </c>
      <c r="AZ139" s="4" t="s">
        <v>70</v>
      </c>
      <c r="BA139" s="4" t="s">
        <v>71</v>
      </c>
      <c r="BB139" s="4" t="s">
        <v>70</v>
      </c>
      <c r="BC139" s="4" t="s">
        <v>71</v>
      </c>
      <c r="BD139" s="4" t="s">
        <v>70</v>
      </c>
      <c r="BE139" s="4" t="s">
        <v>70</v>
      </c>
      <c r="BF139" s="4" t="s">
        <v>70</v>
      </c>
      <c r="BG139" s="4" t="s">
        <v>70</v>
      </c>
      <c r="BH139" s="4" t="s">
        <v>70</v>
      </c>
      <c r="BI139" s="4" t="s">
        <v>70</v>
      </c>
      <c r="BJ139" s="4" t="s">
        <v>71</v>
      </c>
      <c r="BK139" s="4" t="s">
        <v>70</v>
      </c>
      <c r="BL139" s="4" t="s">
        <v>71</v>
      </c>
      <c r="BM139" s="4" t="s">
        <v>70</v>
      </c>
      <c r="BN139" s="4" t="s">
        <v>71</v>
      </c>
      <c r="BO139" s="4" t="s">
        <v>71</v>
      </c>
      <c r="BP139" s="4" t="s">
        <v>70</v>
      </c>
      <c r="BQ139" s="4" t="s">
        <v>70</v>
      </c>
      <c r="BR139" s="4" t="s">
        <v>71</v>
      </c>
      <c r="BS139" s="4" t="s">
        <v>896</v>
      </c>
    </row>
    <row r="140" spans="1:95" ht="13.2" x14ac:dyDescent="0.25">
      <c r="A140" s="3">
        <v>45002.629163229169</v>
      </c>
      <c r="B140" s="4" t="s">
        <v>891</v>
      </c>
      <c r="C140" s="4" t="s">
        <v>884</v>
      </c>
      <c r="D140" s="5" t="s">
        <v>885</v>
      </c>
      <c r="E140" s="4" t="s">
        <v>149</v>
      </c>
      <c r="F140" s="4" t="s">
        <v>892</v>
      </c>
      <c r="G140" s="4" t="s">
        <v>64</v>
      </c>
      <c r="H140" s="4" t="s">
        <v>894</v>
      </c>
      <c r="I140" s="4" t="s">
        <v>897</v>
      </c>
      <c r="J140" s="4" t="s">
        <v>898</v>
      </c>
      <c r="K140" s="4" t="s">
        <v>891</v>
      </c>
      <c r="L140" s="4" t="s">
        <v>656</v>
      </c>
      <c r="M140" s="4" t="s">
        <v>547</v>
      </c>
      <c r="N140" s="4">
        <v>17</v>
      </c>
      <c r="O140" s="4" t="s">
        <v>200</v>
      </c>
      <c r="P140" s="4">
        <v>2</v>
      </c>
      <c r="Q140" s="4">
        <v>1</v>
      </c>
      <c r="R140" s="4">
        <v>70</v>
      </c>
      <c r="S140" s="4" t="s">
        <v>896</v>
      </c>
      <c r="T140" s="4" t="s">
        <v>70</v>
      </c>
      <c r="U140" s="4" t="s">
        <v>70</v>
      </c>
      <c r="V140" s="4" t="s">
        <v>237</v>
      </c>
      <c r="W140" s="6" t="s">
        <v>99</v>
      </c>
      <c r="AV140" s="4" t="s">
        <v>70</v>
      </c>
      <c r="AW140" s="4" t="s">
        <v>70</v>
      </c>
      <c r="AX140" s="4" t="s">
        <v>70</v>
      </c>
      <c r="AY140" s="4" t="s">
        <v>70</v>
      </c>
      <c r="AZ140" s="4" t="s">
        <v>70</v>
      </c>
      <c r="BA140" s="4" t="s">
        <v>70</v>
      </c>
      <c r="BB140" s="4" t="s">
        <v>70</v>
      </c>
      <c r="BC140" s="4" t="s">
        <v>71</v>
      </c>
      <c r="BD140" s="4" t="s">
        <v>70</v>
      </c>
      <c r="BE140" s="4" t="s">
        <v>70</v>
      </c>
      <c r="BF140" s="4" t="s">
        <v>70</v>
      </c>
      <c r="BG140" s="4" t="s">
        <v>70</v>
      </c>
      <c r="BH140" s="4" t="s">
        <v>70</v>
      </c>
      <c r="BI140" s="4" t="s">
        <v>70</v>
      </c>
      <c r="BJ140" s="4" t="s">
        <v>70</v>
      </c>
      <c r="BK140" s="4" t="s">
        <v>70</v>
      </c>
      <c r="BL140" s="4" t="s">
        <v>70</v>
      </c>
      <c r="BM140" s="4" t="s">
        <v>70</v>
      </c>
      <c r="BN140" s="4" t="s">
        <v>70</v>
      </c>
      <c r="BO140" s="4" t="s">
        <v>70</v>
      </c>
      <c r="BP140" s="4" t="s">
        <v>70</v>
      </c>
      <c r="BQ140" s="4" t="s">
        <v>70</v>
      </c>
      <c r="BR140" s="4" t="s">
        <v>71</v>
      </c>
      <c r="BS140" s="4" t="s">
        <v>896</v>
      </c>
    </row>
    <row r="141" spans="1:95" ht="13.2" x14ac:dyDescent="0.25">
      <c r="A141" s="3">
        <v>45005.896399722224</v>
      </c>
      <c r="B141" s="4" t="s">
        <v>899</v>
      </c>
      <c r="C141" s="4" t="s">
        <v>900</v>
      </c>
      <c r="D141" s="5" t="s">
        <v>901</v>
      </c>
      <c r="E141" s="4" t="s">
        <v>140</v>
      </c>
      <c r="F141" s="4" t="s">
        <v>902</v>
      </c>
      <c r="G141" s="4" t="s">
        <v>105</v>
      </c>
      <c r="H141" s="4" t="s">
        <v>836</v>
      </c>
      <c r="I141" s="4" t="s">
        <v>903</v>
      </c>
      <c r="K141" s="4" t="s">
        <v>899</v>
      </c>
      <c r="L141" s="4" t="s">
        <v>656</v>
      </c>
      <c r="M141" s="4" t="s">
        <v>550</v>
      </c>
      <c r="N141" s="4">
        <v>35</v>
      </c>
      <c r="O141" s="4" t="s">
        <v>69</v>
      </c>
      <c r="P141" s="4">
        <v>5</v>
      </c>
      <c r="Q141" s="4">
        <v>4</v>
      </c>
      <c r="R141" s="4">
        <v>80</v>
      </c>
      <c r="T141" s="4" t="s">
        <v>70</v>
      </c>
      <c r="U141" s="4" t="s">
        <v>70</v>
      </c>
      <c r="V141" s="4" t="s">
        <v>237</v>
      </c>
      <c r="W141" s="6" t="s">
        <v>73</v>
      </c>
      <c r="BT141" s="4" t="s">
        <v>70</v>
      </c>
      <c r="BU141" s="4" t="s">
        <v>71</v>
      </c>
      <c r="BV141" s="4" t="s">
        <v>70</v>
      </c>
      <c r="BW141" s="4" t="s">
        <v>71</v>
      </c>
      <c r="BX141" s="4" t="s">
        <v>70</v>
      </c>
      <c r="BY141" s="4" t="s">
        <v>71</v>
      </c>
      <c r="BZ141" s="4" t="s">
        <v>70</v>
      </c>
      <c r="CA141" s="4" t="s">
        <v>71</v>
      </c>
      <c r="CB141" s="4" t="s">
        <v>70</v>
      </c>
      <c r="CE141" s="4" t="s">
        <v>70</v>
      </c>
      <c r="CF141" s="4" t="s">
        <v>70</v>
      </c>
      <c r="CI141" s="4" t="s">
        <v>70</v>
      </c>
      <c r="CL141" s="4" t="s">
        <v>70</v>
      </c>
      <c r="CO141" s="4" t="s">
        <v>70</v>
      </c>
      <c r="CQ141" s="4" t="s">
        <v>904</v>
      </c>
    </row>
    <row r="142" spans="1:95" ht="13.2" x14ac:dyDescent="0.25">
      <c r="A142" s="3">
        <v>45006.473578217592</v>
      </c>
      <c r="B142" s="4" t="s">
        <v>899</v>
      </c>
      <c r="C142" s="4" t="s">
        <v>905</v>
      </c>
      <c r="D142" s="5" t="s">
        <v>901</v>
      </c>
      <c r="E142" s="4" t="s">
        <v>140</v>
      </c>
      <c r="F142" s="4" t="s">
        <v>902</v>
      </c>
      <c r="G142" s="4" t="s">
        <v>105</v>
      </c>
      <c r="H142" s="4" t="s">
        <v>836</v>
      </c>
      <c r="I142" s="4" t="s">
        <v>903</v>
      </c>
      <c r="K142" s="4" t="s">
        <v>899</v>
      </c>
      <c r="L142" s="4" t="s">
        <v>656</v>
      </c>
      <c r="M142" s="4" t="s">
        <v>550</v>
      </c>
      <c r="N142" s="4">
        <v>35</v>
      </c>
      <c r="O142" s="4" t="s">
        <v>69</v>
      </c>
      <c r="P142" s="4">
        <v>5</v>
      </c>
      <c r="Q142" s="4">
        <v>4</v>
      </c>
      <c r="R142" s="4">
        <v>80</v>
      </c>
      <c r="S142" s="4" t="s">
        <v>835</v>
      </c>
      <c r="T142" s="4" t="s">
        <v>70</v>
      </c>
      <c r="U142" s="4" t="s">
        <v>70</v>
      </c>
      <c r="V142" s="4" t="s">
        <v>237</v>
      </c>
      <c r="W142" s="6" t="s">
        <v>73</v>
      </c>
      <c r="BT142" s="4" t="s">
        <v>70</v>
      </c>
      <c r="BU142" s="4" t="s">
        <v>71</v>
      </c>
      <c r="BV142" s="4" t="s">
        <v>70</v>
      </c>
      <c r="BW142" s="4" t="s">
        <v>70</v>
      </c>
      <c r="BX142" s="4" t="s">
        <v>71</v>
      </c>
      <c r="BY142" s="4" t="s">
        <v>70</v>
      </c>
      <c r="BZ142" s="4" t="s">
        <v>71</v>
      </c>
      <c r="CA142" s="4" t="s">
        <v>70</v>
      </c>
      <c r="CB142" s="4" t="s">
        <v>71</v>
      </c>
      <c r="CD142" s="4" t="s">
        <v>70</v>
      </c>
      <c r="CF142" s="4" t="s">
        <v>70</v>
      </c>
      <c r="CJ142" s="4" t="s">
        <v>70</v>
      </c>
      <c r="CL142" s="4" t="s">
        <v>70</v>
      </c>
      <c r="CM142" s="4" t="s">
        <v>70</v>
      </c>
      <c r="CP142" s="4" t="s">
        <v>70</v>
      </c>
    </row>
    <row r="143" spans="1:95" ht="13.2" x14ac:dyDescent="0.25">
      <c r="A143" s="3">
        <v>45001.624717766201</v>
      </c>
      <c r="B143" s="4" t="s">
        <v>906</v>
      </c>
      <c r="C143" s="4" t="s">
        <v>907</v>
      </c>
      <c r="D143" s="5" t="s">
        <v>908</v>
      </c>
      <c r="E143" s="4" t="s">
        <v>103</v>
      </c>
      <c r="F143" s="4" t="s">
        <v>909</v>
      </c>
      <c r="G143" s="4" t="s">
        <v>64</v>
      </c>
      <c r="H143" s="4" t="s">
        <v>910</v>
      </c>
      <c r="I143" s="4" t="s">
        <v>911</v>
      </c>
      <c r="K143" s="4" t="s">
        <v>906</v>
      </c>
      <c r="L143" s="4" t="s">
        <v>656</v>
      </c>
      <c r="M143" s="4" t="s">
        <v>552</v>
      </c>
      <c r="N143" s="4">
        <v>35</v>
      </c>
      <c r="O143" s="4" t="s">
        <v>69</v>
      </c>
      <c r="P143" s="4">
        <v>5</v>
      </c>
      <c r="Q143" s="4">
        <v>4</v>
      </c>
      <c r="R143" s="4">
        <v>2</v>
      </c>
      <c r="T143" s="4" t="s">
        <v>70</v>
      </c>
      <c r="U143" s="4" t="s">
        <v>71</v>
      </c>
      <c r="V143" s="4" t="s">
        <v>72</v>
      </c>
      <c r="W143" s="6" t="s">
        <v>145</v>
      </c>
      <c r="X143" s="4" t="s">
        <v>70</v>
      </c>
      <c r="Y143" s="4" t="s">
        <v>71</v>
      </c>
      <c r="Z143" s="4" t="s">
        <v>71</v>
      </c>
      <c r="AA143" s="4" t="s">
        <v>71</v>
      </c>
      <c r="AB143" s="4" t="s">
        <v>70</v>
      </c>
      <c r="AC143" s="4" t="s">
        <v>71</v>
      </c>
      <c r="AD143" s="4" t="s">
        <v>71</v>
      </c>
      <c r="AE143" s="4" t="s">
        <v>71</v>
      </c>
      <c r="AF143" s="4" t="s">
        <v>71</v>
      </c>
      <c r="AH143" s="4" t="s">
        <v>70</v>
      </c>
      <c r="AI143" s="4" t="s">
        <v>70</v>
      </c>
      <c r="AN143" s="4" t="s">
        <v>70</v>
      </c>
      <c r="AQ143" s="4" t="s">
        <v>70</v>
      </c>
      <c r="AR143" s="4" t="s">
        <v>70</v>
      </c>
      <c r="AS143" s="4" t="s">
        <v>71</v>
      </c>
      <c r="AT143" s="4" t="s">
        <v>71</v>
      </c>
    </row>
    <row r="144" spans="1:95" ht="13.2" x14ac:dyDescent="0.25">
      <c r="A144" s="3">
        <v>45001.629127442131</v>
      </c>
      <c r="B144" s="4" t="s">
        <v>906</v>
      </c>
      <c r="C144" s="4" t="s">
        <v>912</v>
      </c>
      <c r="D144" s="5" t="s">
        <v>908</v>
      </c>
      <c r="E144" s="4" t="s">
        <v>103</v>
      </c>
      <c r="F144" s="4" t="s">
        <v>913</v>
      </c>
      <c r="G144" s="4" t="s">
        <v>64</v>
      </c>
      <c r="H144" s="4" t="s">
        <v>914</v>
      </c>
      <c r="I144" s="4" t="s">
        <v>915</v>
      </c>
      <c r="K144" s="4" t="s">
        <v>906</v>
      </c>
      <c r="L144" s="4" t="s">
        <v>656</v>
      </c>
      <c r="M144" s="4" t="s">
        <v>552</v>
      </c>
      <c r="N144" s="4">
        <v>35</v>
      </c>
      <c r="O144" s="4" t="s">
        <v>69</v>
      </c>
      <c r="P144" s="4">
        <v>5</v>
      </c>
      <c r="Q144" s="4">
        <v>4</v>
      </c>
      <c r="R144" s="4">
        <v>2</v>
      </c>
      <c r="T144" s="4" t="s">
        <v>70</v>
      </c>
      <c r="U144" s="4" t="s">
        <v>71</v>
      </c>
      <c r="V144" s="4" t="s">
        <v>72</v>
      </c>
      <c r="W144" s="6" t="s">
        <v>145</v>
      </c>
      <c r="X144" s="4" t="s">
        <v>70</v>
      </c>
      <c r="Y144" s="4" t="s">
        <v>71</v>
      </c>
      <c r="Z144" s="4" t="s">
        <v>71</v>
      </c>
      <c r="AA144" s="4" t="s">
        <v>71</v>
      </c>
      <c r="AB144" s="4" t="s">
        <v>70</v>
      </c>
      <c r="AC144" s="4" t="s">
        <v>71</v>
      </c>
      <c r="AD144" s="4" t="s">
        <v>71</v>
      </c>
      <c r="AE144" s="4" t="s">
        <v>71</v>
      </c>
      <c r="AF144" s="4" t="s">
        <v>71</v>
      </c>
      <c r="AH144" s="4" t="s">
        <v>70</v>
      </c>
      <c r="AI144" s="4" t="s">
        <v>70</v>
      </c>
      <c r="AN144" s="4" t="s">
        <v>70</v>
      </c>
    </row>
    <row r="145" spans="1:95" ht="13.2" x14ac:dyDescent="0.25">
      <c r="A145" s="3">
        <v>45001.659661122685</v>
      </c>
      <c r="B145" s="4" t="s">
        <v>906</v>
      </c>
      <c r="C145" s="4" t="s">
        <v>916</v>
      </c>
      <c r="D145" s="5" t="s">
        <v>908</v>
      </c>
      <c r="E145" s="4" t="s">
        <v>103</v>
      </c>
      <c r="F145" s="4" t="s">
        <v>917</v>
      </c>
      <c r="G145" s="4" t="s">
        <v>64</v>
      </c>
      <c r="H145" s="4" t="s">
        <v>918</v>
      </c>
      <c r="I145" s="4" t="s">
        <v>911</v>
      </c>
      <c r="J145" s="4" t="s">
        <v>919</v>
      </c>
      <c r="K145" s="4" t="s">
        <v>906</v>
      </c>
      <c r="L145" s="4" t="s">
        <v>656</v>
      </c>
      <c r="M145" s="4" t="s">
        <v>556</v>
      </c>
      <c r="N145" s="4">
        <v>35</v>
      </c>
      <c r="O145" s="4" t="s">
        <v>69</v>
      </c>
      <c r="P145" s="4">
        <v>5</v>
      </c>
      <c r="Q145" s="4">
        <v>4</v>
      </c>
      <c r="R145" s="4">
        <v>2</v>
      </c>
      <c r="T145" s="4" t="s">
        <v>70</v>
      </c>
      <c r="U145" s="4" t="s">
        <v>71</v>
      </c>
      <c r="V145" s="4" t="s">
        <v>72</v>
      </c>
      <c r="W145" s="6" t="s">
        <v>145</v>
      </c>
      <c r="X145" s="4" t="s">
        <v>70</v>
      </c>
      <c r="Y145" s="4" t="s">
        <v>71</v>
      </c>
      <c r="Z145" s="4" t="s">
        <v>71</v>
      </c>
      <c r="AA145" s="4" t="s">
        <v>71</v>
      </c>
      <c r="AB145" s="4" t="s">
        <v>70</v>
      </c>
      <c r="AC145" s="4" t="s">
        <v>70</v>
      </c>
      <c r="AD145" s="4" t="s">
        <v>71</v>
      </c>
      <c r="AE145" s="4" t="s">
        <v>71</v>
      </c>
      <c r="AF145" s="4" t="s">
        <v>71</v>
      </c>
      <c r="AH145" s="4" t="s">
        <v>70</v>
      </c>
      <c r="AM145" s="4" t="s">
        <v>70</v>
      </c>
      <c r="AN145" s="4" t="s">
        <v>70</v>
      </c>
    </row>
    <row r="146" spans="1:95" ht="13.2" x14ac:dyDescent="0.25">
      <c r="A146" s="3">
        <v>45003.815387372684</v>
      </c>
      <c r="B146" s="4" t="s">
        <v>920</v>
      </c>
      <c r="C146" s="4" t="s">
        <v>921</v>
      </c>
      <c r="D146" s="5" t="s">
        <v>922</v>
      </c>
      <c r="E146" s="4" t="s">
        <v>91</v>
      </c>
      <c r="F146" s="4" t="s">
        <v>923</v>
      </c>
      <c r="G146" s="4" t="s">
        <v>105</v>
      </c>
      <c r="H146" s="4" t="s">
        <v>924</v>
      </c>
      <c r="I146" s="4" t="s">
        <v>925</v>
      </c>
      <c r="J146" s="4" t="s">
        <v>926</v>
      </c>
      <c r="K146" s="4" t="s">
        <v>920</v>
      </c>
      <c r="L146" s="4" t="s">
        <v>665</v>
      </c>
      <c r="M146" s="4" t="s">
        <v>558</v>
      </c>
      <c r="N146" s="4">
        <v>34</v>
      </c>
      <c r="O146" s="4" t="s">
        <v>927</v>
      </c>
      <c r="P146" s="4">
        <v>3</v>
      </c>
      <c r="Q146" s="4">
        <v>3</v>
      </c>
      <c r="R146" s="4">
        <v>88</v>
      </c>
      <c r="S146" s="4" t="s">
        <v>928</v>
      </c>
      <c r="T146" s="4" t="s">
        <v>71</v>
      </c>
      <c r="U146" s="4" t="s">
        <v>70</v>
      </c>
      <c r="V146" s="4" t="s">
        <v>87</v>
      </c>
      <c r="W146" s="6" t="s">
        <v>145</v>
      </c>
      <c r="X146" s="4" t="s">
        <v>71</v>
      </c>
      <c r="Y146" s="4" t="s">
        <v>71</v>
      </c>
      <c r="Z146" s="4" t="s">
        <v>70</v>
      </c>
      <c r="AA146" s="4" t="s">
        <v>71</v>
      </c>
      <c r="AB146" s="4" t="s">
        <v>71</v>
      </c>
      <c r="AC146" s="4" t="s">
        <v>70</v>
      </c>
      <c r="AD146" s="4" t="s">
        <v>70</v>
      </c>
      <c r="AE146" s="4" t="s">
        <v>71</v>
      </c>
      <c r="AF146" s="4" t="s">
        <v>71</v>
      </c>
      <c r="AK146" s="4" t="s">
        <v>70</v>
      </c>
      <c r="AP146" s="4" t="s">
        <v>70</v>
      </c>
      <c r="AQ146" s="4" t="s">
        <v>70</v>
      </c>
      <c r="AU146" s="4" t="s">
        <v>929</v>
      </c>
    </row>
    <row r="147" spans="1:95" ht="13.2" x14ac:dyDescent="0.25">
      <c r="A147" s="3">
        <v>45005.590160740743</v>
      </c>
      <c r="B147" s="4" t="s">
        <v>930</v>
      </c>
      <c r="C147" s="4" t="s">
        <v>931</v>
      </c>
      <c r="D147" s="5" t="s">
        <v>932</v>
      </c>
      <c r="E147" s="4" t="s">
        <v>103</v>
      </c>
      <c r="F147" s="4" t="s">
        <v>384</v>
      </c>
      <c r="G147" s="4" t="s">
        <v>64</v>
      </c>
      <c r="H147" s="4" t="s">
        <v>933</v>
      </c>
      <c r="I147" s="4" t="s">
        <v>934</v>
      </c>
      <c r="J147" s="4" t="s">
        <v>935</v>
      </c>
      <c r="K147" s="4" t="s">
        <v>930</v>
      </c>
      <c r="L147" s="4" t="s">
        <v>656</v>
      </c>
      <c r="M147" s="4" t="s">
        <v>558</v>
      </c>
      <c r="N147" s="4">
        <v>35</v>
      </c>
      <c r="O147" s="4" t="s">
        <v>69</v>
      </c>
      <c r="P147" s="4">
        <v>5</v>
      </c>
      <c r="Q147" s="4">
        <v>5</v>
      </c>
      <c r="R147" s="4">
        <v>0</v>
      </c>
      <c r="T147" s="4" t="s">
        <v>70</v>
      </c>
      <c r="U147" s="4" t="s">
        <v>70</v>
      </c>
      <c r="V147" s="4" t="s">
        <v>237</v>
      </c>
      <c r="W147" s="6" t="s">
        <v>145</v>
      </c>
      <c r="X147" s="4" t="s">
        <v>70</v>
      </c>
      <c r="Y147" s="4" t="s">
        <v>71</v>
      </c>
      <c r="Z147" s="4" t="s">
        <v>70</v>
      </c>
      <c r="AA147" s="4" t="s">
        <v>71</v>
      </c>
      <c r="AB147" s="4" t="s">
        <v>71</v>
      </c>
      <c r="AC147" s="4" t="s">
        <v>71</v>
      </c>
      <c r="AD147" s="4" t="s">
        <v>71</v>
      </c>
      <c r="AE147" s="4" t="s">
        <v>71</v>
      </c>
      <c r="AF147" s="4" t="s">
        <v>70</v>
      </c>
      <c r="AG147" s="4" t="s">
        <v>71</v>
      </c>
      <c r="AH147" s="4" t="s">
        <v>70</v>
      </c>
      <c r="AI147" s="4" t="s">
        <v>71</v>
      </c>
      <c r="AJ147" s="4" t="s">
        <v>71</v>
      </c>
      <c r="AK147" s="4" t="s">
        <v>71</v>
      </c>
      <c r="AL147" s="4" t="s">
        <v>71</v>
      </c>
      <c r="AM147" s="4" t="s">
        <v>71</v>
      </c>
      <c r="AN147" s="4" t="s">
        <v>71</v>
      </c>
      <c r="AO147" s="4" t="s">
        <v>71</v>
      </c>
      <c r="AP147" s="4" t="s">
        <v>71</v>
      </c>
      <c r="AQ147" s="4" t="s">
        <v>71</v>
      </c>
      <c r="AR147" s="4" t="s">
        <v>70</v>
      </c>
      <c r="AS147" s="4" t="s">
        <v>71</v>
      </c>
      <c r="AT147" s="4" t="s">
        <v>71</v>
      </c>
    </row>
    <row r="148" spans="1:95" ht="13.2" x14ac:dyDescent="0.25">
      <c r="A148" s="3">
        <v>45001.670601956022</v>
      </c>
      <c r="B148" s="4" t="s">
        <v>936</v>
      </c>
      <c r="C148" s="4" t="s">
        <v>937</v>
      </c>
      <c r="D148" s="5" t="s">
        <v>938</v>
      </c>
      <c r="E148" s="4" t="s">
        <v>62</v>
      </c>
      <c r="F148" s="4" t="s">
        <v>211</v>
      </c>
      <c r="G148" s="4" t="s">
        <v>105</v>
      </c>
      <c r="H148" s="4" t="s">
        <v>939</v>
      </c>
      <c r="I148" s="4" t="s">
        <v>940</v>
      </c>
      <c r="J148" s="4" t="s">
        <v>941</v>
      </c>
      <c r="K148" s="4" t="s">
        <v>942</v>
      </c>
      <c r="L148" s="4" t="s">
        <v>656</v>
      </c>
      <c r="M148" s="4" t="s">
        <v>558</v>
      </c>
      <c r="N148" s="4">
        <v>35</v>
      </c>
      <c r="O148" s="4" t="s">
        <v>200</v>
      </c>
      <c r="P148" s="4">
        <v>3</v>
      </c>
      <c r="Q148" s="4">
        <v>1</v>
      </c>
      <c r="R148" s="4">
        <v>90</v>
      </c>
      <c r="T148" s="4" t="s">
        <v>70</v>
      </c>
      <c r="U148" s="4" t="s">
        <v>71</v>
      </c>
      <c r="V148" s="4" t="s">
        <v>72</v>
      </c>
      <c r="W148" s="6" t="s">
        <v>73</v>
      </c>
      <c r="BT148" s="4" t="s">
        <v>70</v>
      </c>
      <c r="BU148" s="4" t="s">
        <v>70</v>
      </c>
      <c r="BV148" s="4" t="s">
        <v>71</v>
      </c>
      <c r="BW148" s="4" t="s">
        <v>70</v>
      </c>
      <c r="BX148" s="4" t="s">
        <v>70</v>
      </c>
      <c r="BY148" s="4" t="s">
        <v>71</v>
      </c>
      <c r="BZ148" s="4" t="s">
        <v>71</v>
      </c>
      <c r="CA148" s="4" t="s">
        <v>71</v>
      </c>
      <c r="CB148" s="4" t="s">
        <v>71</v>
      </c>
      <c r="CC148" s="4" t="s">
        <v>70</v>
      </c>
      <c r="CD148" s="4" t="s">
        <v>70</v>
      </c>
      <c r="CE148" s="4" t="s">
        <v>70</v>
      </c>
      <c r="CF148" s="4" t="s">
        <v>71</v>
      </c>
      <c r="CG148" s="4" t="s">
        <v>71</v>
      </c>
      <c r="CH148" s="4" t="s">
        <v>70</v>
      </c>
      <c r="CI148" s="4" t="s">
        <v>70</v>
      </c>
      <c r="CJ148" s="4" t="s">
        <v>70</v>
      </c>
      <c r="CK148" s="4" t="s">
        <v>71</v>
      </c>
      <c r="CL148" s="4" t="s">
        <v>71</v>
      </c>
      <c r="CM148" s="4" t="s">
        <v>70</v>
      </c>
      <c r="CN148" s="4" t="s">
        <v>70</v>
      </c>
      <c r="CO148" s="4" t="s">
        <v>71</v>
      </c>
      <c r="CP148" s="4" t="s">
        <v>71</v>
      </c>
    </row>
    <row r="149" spans="1:95" ht="13.2" x14ac:dyDescent="0.25">
      <c r="A149" s="3">
        <v>45005.646885740745</v>
      </c>
      <c r="B149" s="4" t="s">
        <v>943</v>
      </c>
      <c r="C149" s="4" t="s">
        <v>944</v>
      </c>
      <c r="D149" s="6" t="s">
        <v>945</v>
      </c>
      <c r="E149" s="4" t="s">
        <v>103</v>
      </c>
      <c r="F149" s="4" t="s">
        <v>723</v>
      </c>
      <c r="G149" s="4" t="s">
        <v>105</v>
      </c>
      <c r="H149" s="4" t="s">
        <v>946</v>
      </c>
      <c r="I149" s="4" t="s">
        <v>947</v>
      </c>
      <c r="J149" s="4" t="s">
        <v>948</v>
      </c>
      <c r="K149" s="4" t="s">
        <v>943</v>
      </c>
      <c r="L149" s="4" t="s">
        <v>656</v>
      </c>
      <c r="M149" s="4" t="s">
        <v>558</v>
      </c>
      <c r="N149" s="4">
        <v>35</v>
      </c>
      <c r="O149" s="4" t="s">
        <v>433</v>
      </c>
      <c r="P149" s="4">
        <v>2</v>
      </c>
      <c r="Q149" s="4">
        <v>3</v>
      </c>
      <c r="R149" s="4">
        <v>85</v>
      </c>
      <c r="S149" s="4" t="s">
        <v>949</v>
      </c>
      <c r="T149" s="4" t="s">
        <v>70</v>
      </c>
      <c r="U149" s="4" t="s">
        <v>71</v>
      </c>
      <c r="V149" s="4" t="s">
        <v>72</v>
      </c>
      <c r="W149" s="6" t="s">
        <v>145</v>
      </c>
      <c r="X149" s="4" t="s">
        <v>70</v>
      </c>
      <c r="Y149" s="4" t="s">
        <v>71</v>
      </c>
      <c r="Z149" s="4" t="s">
        <v>70</v>
      </c>
      <c r="AA149" s="4" t="s">
        <v>71</v>
      </c>
      <c r="AB149" s="4" t="s">
        <v>70</v>
      </c>
      <c r="AC149" s="4" t="s">
        <v>70</v>
      </c>
      <c r="AD149" s="4" t="s">
        <v>70</v>
      </c>
      <c r="AE149" s="4" t="s">
        <v>71</v>
      </c>
      <c r="AF149" s="4" t="s">
        <v>70</v>
      </c>
      <c r="AG149" s="4" t="s">
        <v>70</v>
      </c>
      <c r="AH149" s="4" t="s">
        <v>70</v>
      </c>
      <c r="AI149" s="4" t="s">
        <v>70</v>
      </c>
      <c r="AJ149" s="4" t="s">
        <v>70</v>
      </c>
      <c r="AK149" s="4" t="s">
        <v>70</v>
      </c>
      <c r="AL149" s="4" t="s">
        <v>70</v>
      </c>
      <c r="AM149" s="4" t="s">
        <v>70</v>
      </c>
      <c r="AN149" s="4" t="s">
        <v>70</v>
      </c>
      <c r="AO149" s="4" t="s">
        <v>70</v>
      </c>
      <c r="AP149" s="4" t="s">
        <v>70</v>
      </c>
      <c r="AQ149" s="4" t="s">
        <v>70</v>
      </c>
      <c r="AR149" s="4" t="s">
        <v>70</v>
      </c>
      <c r="AS149" s="4" t="s">
        <v>70</v>
      </c>
      <c r="AT149" s="4" t="s">
        <v>70</v>
      </c>
      <c r="AU149" s="4" t="s">
        <v>950</v>
      </c>
    </row>
    <row r="150" spans="1:95" ht="13.2" x14ac:dyDescent="0.25">
      <c r="A150" s="3">
        <v>45003.708134085653</v>
      </c>
      <c r="B150" s="4" t="s">
        <v>936</v>
      </c>
      <c r="C150" s="4" t="s">
        <v>951</v>
      </c>
      <c r="D150" s="5" t="s">
        <v>952</v>
      </c>
      <c r="E150" s="4" t="s">
        <v>103</v>
      </c>
      <c r="F150" s="4" t="s">
        <v>384</v>
      </c>
      <c r="G150" s="4" t="s">
        <v>105</v>
      </c>
      <c r="H150" s="4" t="s">
        <v>939</v>
      </c>
      <c r="I150" s="4" t="s">
        <v>953</v>
      </c>
      <c r="J150" s="4" t="s">
        <v>954</v>
      </c>
      <c r="K150" s="4" t="s">
        <v>936</v>
      </c>
      <c r="L150" s="4" t="s">
        <v>656</v>
      </c>
      <c r="M150" s="4" t="s">
        <v>558</v>
      </c>
      <c r="N150" s="4">
        <v>30</v>
      </c>
      <c r="O150" s="4" t="s">
        <v>69</v>
      </c>
      <c r="P150" s="4">
        <v>1</v>
      </c>
      <c r="Q150" s="4">
        <v>4</v>
      </c>
      <c r="R150" s="4">
        <v>60</v>
      </c>
      <c r="T150" s="4" t="s">
        <v>70</v>
      </c>
      <c r="U150" s="4" t="s">
        <v>71</v>
      </c>
      <c r="V150" s="4" t="s">
        <v>72</v>
      </c>
      <c r="W150" s="6" t="s">
        <v>145</v>
      </c>
      <c r="X150" s="4" t="s">
        <v>70</v>
      </c>
      <c r="Y150" s="4" t="s">
        <v>70</v>
      </c>
      <c r="Z150" s="4" t="s">
        <v>71</v>
      </c>
      <c r="AA150" s="4" t="s">
        <v>70</v>
      </c>
      <c r="AB150" s="4" t="s">
        <v>70</v>
      </c>
      <c r="AC150" s="4" t="s">
        <v>70</v>
      </c>
      <c r="AD150" s="4" t="s">
        <v>71</v>
      </c>
      <c r="AE150" s="4" t="s">
        <v>71</v>
      </c>
      <c r="AF150" s="4" t="s">
        <v>71</v>
      </c>
      <c r="AG150" s="4" t="s">
        <v>70</v>
      </c>
      <c r="AH150" s="4" t="s">
        <v>70</v>
      </c>
      <c r="AI150" s="4" t="s">
        <v>70</v>
      </c>
      <c r="AJ150" s="4" t="s">
        <v>71</v>
      </c>
      <c r="AK150" s="4" t="s">
        <v>71</v>
      </c>
      <c r="AL150" s="4" t="s">
        <v>70</v>
      </c>
      <c r="AM150" s="4" t="s">
        <v>70</v>
      </c>
      <c r="AN150" s="4" t="s">
        <v>70</v>
      </c>
      <c r="AO150" s="4" t="s">
        <v>71</v>
      </c>
      <c r="AP150" s="4" t="s">
        <v>71</v>
      </c>
      <c r="AQ150" s="4" t="s">
        <v>70</v>
      </c>
      <c r="AR150" s="4" t="s">
        <v>70</v>
      </c>
      <c r="AS150" s="4" t="s">
        <v>71</v>
      </c>
      <c r="AT150" s="4" t="s">
        <v>71</v>
      </c>
      <c r="AU150" s="4" t="s">
        <v>955</v>
      </c>
    </row>
    <row r="151" spans="1:95" ht="13.2" x14ac:dyDescent="0.25">
      <c r="A151" s="3">
        <v>45002.606205682867</v>
      </c>
      <c r="B151" s="4" t="s">
        <v>956</v>
      </c>
      <c r="C151" s="4" t="s">
        <v>957</v>
      </c>
      <c r="D151" s="5" t="s">
        <v>958</v>
      </c>
      <c r="E151" s="4" t="s">
        <v>62</v>
      </c>
      <c r="F151" s="4" t="s">
        <v>959</v>
      </c>
      <c r="G151" s="4" t="s">
        <v>64</v>
      </c>
      <c r="H151" s="4" t="s">
        <v>960</v>
      </c>
      <c r="I151" s="4" t="s">
        <v>961</v>
      </c>
      <c r="J151" s="4" t="s">
        <v>962</v>
      </c>
      <c r="K151" s="4" t="s">
        <v>956</v>
      </c>
      <c r="L151" s="4" t="s">
        <v>656</v>
      </c>
      <c r="M151" s="4" t="s">
        <v>567</v>
      </c>
      <c r="N151" s="4">
        <v>32</v>
      </c>
      <c r="O151" s="4" t="s">
        <v>69</v>
      </c>
      <c r="P151" s="4">
        <v>5</v>
      </c>
      <c r="Q151" s="4">
        <v>4</v>
      </c>
      <c r="R151" s="4">
        <v>0</v>
      </c>
      <c r="T151" s="4" t="s">
        <v>70</v>
      </c>
      <c r="U151" s="4" t="s">
        <v>71</v>
      </c>
      <c r="V151" s="4" t="s">
        <v>72</v>
      </c>
      <c r="W151" s="6" t="s">
        <v>99</v>
      </c>
      <c r="AV151" s="4" t="s">
        <v>70</v>
      </c>
      <c r="AW151" s="4" t="s">
        <v>71</v>
      </c>
      <c r="AX151" s="4" t="s">
        <v>71</v>
      </c>
      <c r="AY151" s="4" t="s">
        <v>71</v>
      </c>
      <c r="AZ151" s="4" t="s">
        <v>70</v>
      </c>
      <c r="BA151" s="4" t="s">
        <v>70</v>
      </c>
      <c r="BB151" s="4" t="s">
        <v>71</v>
      </c>
      <c r="BC151" s="4" t="s">
        <v>71</v>
      </c>
      <c r="BD151" s="4" t="s">
        <v>71</v>
      </c>
      <c r="BE151" s="4" t="s">
        <v>71</v>
      </c>
      <c r="BF151" s="4" t="s">
        <v>70</v>
      </c>
      <c r="BG151" s="4" t="s">
        <v>70</v>
      </c>
      <c r="BH151" s="4" t="s">
        <v>71</v>
      </c>
      <c r="BI151" s="4" t="s">
        <v>71</v>
      </c>
      <c r="BJ151" s="4" t="s">
        <v>71</v>
      </c>
      <c r="BK151" s="4" t="s">
        <v>70</v>
      </c>
      <c r="BL151" s="4" t="s">
        <v>70</v>
      </c>
      <c r="BM151" s="4" t="s">
        <v>71</v>
      </c>
      <c r="BN151" s="4" t="s">
        <v>71</v>
      </c>
      <c r="BO151" s="4" t="s">
        <v>71</v>
      </c>
      <c r="BP151" s="4" t="s">
        <v>71</v>
      </c>
      <c r="BQ151" s="4" t="s">
        <v>71</v>
      </c>
      <c r="BR151" s="4" t="s">
        <v>71</v>
      </c>
    </row>
    <row r="152" spans="1:95" ht="13.2" x14ac:dyDescent="0.25">
      <c r="A152" s="3">
        <v>45002.614078391205</v>
      </c>
      <c r="B152" s="4" t="s">
        <v>956</v>
      </c>
      <c r="C152" s="4" t="s">
        <v>957</v>
      </c>
      <c r="D152" s="5" t="s">
        <v>958</v>
      </c>
      <c r="E152" s="4" t="s">
        <v>62</v>
      </c>
      <c r="F152" s="4" t="s">
        <v>959</v>
      </c>
      <c r="G152" s="4" t="s">
        <v>64</v>
      </c>
      <c r="H152" s="4" t="s">
        <v>962</v>
      </c>
      <c r="I152" s="4" t="s">
        <v>963</v>
      </c>
      <c r="J152" s="4" t="s">
        <v>964</v>
      </c>
      <c r="K152" s="4" t="s">
        <v>956</v>
      </c>
      <c r="L152" s="4" t="s">
        <v>656</v>
      </c>
      <c r="M152" s="4" t="s">
        <v>567</v>
      </c>
      <c r="N152" s="4">
        <v>35</v>
      </c>
      <c r="O152" s="4" t="s">
        <v>97</v>
      </c>
      <c r="P152" s="4">
        <v>5</v>
      </c>
      <c r="Q152" s="4">
        <v>4</v>
      </c>
      <c r="R152" s="4">
        <v>0</v>
      </c>
      <c r="T152" s="4" t="s">
        <v>70</v>
      </c>
      <c r="U152" s="4" t="s">
        <v>71</v>
      </c>
      <c r="V152" s="4" t="s">
        <v>72</v>
      </c>
      <c r="W152" s="6" t="s">
        <v>99</v>
      </c>
      <c r="AV152" s="4" t="s">
        <v>70</v>
      </c>
      <c r="AW152" s="4" t="s">
        <v>71</v>
      </c>
      <c r="AX152" s="4" t="s">
        <v>71</v>
      </c>
      <c r="AY152" s="4" t="s">
        <v>71</v>
      </c>
      <c r="AZ152" s="4" t="s">
        <v>70</v>
      </c>
      <c r="BA152" s="4" t="s">
        <v>70</v>
      </c>
      <c r="BB152" s="4" t="s">
        <v>71</v>
      </c>
      <c r="BC152" s="4" t="s">
        <v>71</v>
      </c>
      <c r="BD152" s="4" t="s">
        <v>71</v>
      </c>
      <c r="BE152" s="4" t="s">
        <v>71</v>
      </c>
      <c r="BF152" s="4" t="s">
        <v>70</v>
      </c>
      <c r="BG152" s="4" t="s">
        <v>70</v>
      </c>
      <c r="BH152" s="4" t="s">
        <v>71</v>
      </c>
      <c r="BI152" s="4" t="s">
        <v>71</v>
      </c>
      <c r="BJ152" s="4" t="s">
        <v>71</v>
      </c>
      <c r="BK152" s="4" t="s">
        <v>70</v>
      </c>
      <c r="BL152" s="4" t="s">
        <v>70</v>
      </c>
      <c r="BM152" s="4" t="s">
        <v>71</v>
      </c>
      <c r="BN152" s="4" t="s">
        <v>71</v>
      </c>
      <c r="BO152" s="4" t="s">
        <v>71</v>
      </c>
      <c r="BP152" s="4" t="s">
        <v>71</v>
      </c>
      <c r="BQ152" s="4" t="s">
        <v>71</v>
      </c>
      <c r="BR152" s="4" t="s">
        <v>71</v>
      </c>
    </row>
    <row r="153" spans="1:95" ht="13.2" x14ac:dyDescent="0.25">
      <c r="A153" s="3">
        <v>45001.840379687499</v>
      </c>
      <c r="B153" s="4" t="s">
        <v>965</v>
      </c>
      <c r="C153" s="4" t="s">
        <v>966</v>
      </c>
      <c r="D153" s="7" t="s">
        <v>967</v>
      </c>
      <c r="E153" s="4" t="s">
        <v>103</v>
      </c>
      <c r="F153" s="4" t="s">
        <v>671</v>
      </c>
      <c r="G153" s="4" t="s">
        <v>64</v>
      </c>
      <c r="H153" s="4" t="s">
        <v>968</v>
      </c>
      <c r="I153" s="4" t="s">
        <v>969</v>
      </c>
      <c r="J153" s="4" t="s">
        <v>970</v>
      </c>
      <c r="K153" s="4" t="s">
        <v>965</v>
      </c>
      <c r="L153" s="4" t="s">
        <v>656</v>
      </c>
      <c r="M153" s="4" t="s">
        <v>571</v>
      </c>
      <c r="N153" s="4">
        <v>20</v>
      </c>
      <c r="O153" s="4" t="s">
        <v>69</v>
      </c>
      <c r="P153" s="4">
        <v>4</v>
      </c>
      <c r="Q153" s="4">
        <v>3</v>
      </c>
      <c r="R153" s="4">
        <v>50</v>
      </c>
      <c r="T153" s="4" t="s">
        <v>70</v>
      </c>
      <c r="U153" s="4" t="s">
        <v>71</v>
      </c>
      <c r="V153" s="4" t="s">
        <v>72</v>
      </c>
      <c r="W153" s="6" t="s">
        <v>99</v>
      </c>
      <c r="AV153" s="4" t="s">
        <v>70</v>
      </c>
      <c r="AW153" s="4" t="s">
        <v>70</v>
      </c>
      <c r="AX153" s="4" t="s">
        <v>70</v>
      </c>
      <c r="AY153" s="4" t="s">
        <v>71</v>
      </c>
      <c r="AZ153" s="4" t="s">
        <v>70</v>
      </c>
      <c r="BA153" s="4" t="s">
        <v>71</v>
      </c>
      <c r="BB153" s="4" t="s">
        <v>70</v>
      </c>
      <c r="BC153" s="4" t="s">
        <v>71</v>
      </c>
      <c r="BD153" s="4" t="s">
        <v>71</v>
      </c>
      <c r="BE153" s="4" t="s">
        <v>71</v>
      </c>
      <c r="BF153" s="4" t="s">
        <v>70</v>
      </c>
      <c r="BG153" s="4" t="s">
        <v>70</v>
      </c>
      <c r="BH153" s="4" t="s">
        <v>71</v>
      </c>
      <c r="BI153" s="4" t="s">
        <v>71</v>
      </c>
      <c r="BK153" s="4" t="s">
        <v>70</v>
      </c>
      <c r="BL153" s="4" t="s">
        <v>70</v>
      </c>
      <c r="BO153" s="4" t="s">
        <v>70</v>
      </c>
      <c r="BP153" s="4" t="s">
        <v>70</v>
      </c>
    </row>
    <row r="154" spans="1:95" ht="13.2" x14ac:dyDescent="0.25">
      <c r="A154" s="3">
        <v>45006.488201030093</v>
      </c>
      <c r="B154" s="4" t="s">
        <v>971</v>
      </c>
      <c r="C154" s="4" t="s">
        <v>972</v>
      </c>
      <c r="D154" s="7" t="s">
        <v>973</v>
      </c>
      <c r="E154" s="4" t="s">
        <v>103</v>
      </c>
      <c r="F154" s="4" t="s">
        <v>63</v>
      </c>
      <c r="G154" s="4" t="s">
        <v>64</v>
      </c>
      <c r="H154" s="4" t="s">
        <v>974</v>
      </c>
      <c r="I154" s="4" t="s">
        <v>975</v>
      </c>
      <c r="J154" s="4" t="s">
        <v>976</v>
      </c>
      <c r="K154" s="4" t="s">
        <v>971</v>
      </c>
      <c r="L154" s="4" t="s">
        <v>656</v>
      </c>
      <c r="M154" s="4" t="s">
        <v>579</v>
      </c>
      <c r="N154" s="4">
        <v>34</v>
      </c>
      <c r="O154" s="4" t="s">
        <v>69</v>
      </c>
      <c r="P154" s="4">
        <v>3</v>
      </c>
      <c r="Q154" s="4">
        <v>3</v>
      </c>
      <c r="R154" s="4">
        <v>10</v>
      </c>
      <c r="T154" s="4" t="s">
        <v>70</v>
      </c>
      <c r="U154" s="4" t="s">
        <v>71</v>
      </c>
      <c r="V154" s="4" t="s">
        <v>72</v>
      </c>
      <c r="W154" s="6" t="s">
        <v>145</v>
      </c>
      <c r="X154" s="4" t="s">
        <v>70</v>
      </c>
      <c r="Y154" s="4" t="s">
        <v>71</v>
      </c>
      <c r="Z154" s="4" t="s">
        <v>71</v>
      </c>
      <c r="AA154" s="4" t="s">
        <v>71</v>
      </c>
      <c r="AB154" s="4" t="s">
        <v>71</v>
      </c>
      <c r="AC154" s="4" t="s">
        <v>70</v>
      </c>
      <c r="AD154" s="4" t="s">
        <v>71</v>
      </c>
      <c r="AE154" s="4" t="s">
        <v>71</v>
      </c>
      <c r="AF154" s="4" t="s">
        <v>71</v>
      </c>
      <c r="AG154" s="4" t="s">
        <v>71</v>
      </c>
      <c r="AH154" s="4" t="s">
        <v>71</v>
      </c>
      <c r="AI154" s="4" t="s">
        <v>71</v>
      </c>
      <c r="AJ154" s="4" t="s">
        <v>70</v>
      </c>
      <c r="AK154" s="4" t="s">
        <v>71</v>
      </c>
      <c r="AL154" s="4" t="s">
        <v>71</v>
      </c>
      <c r="AM154" s="4" t="s">
        <v>71</v>
      </c>
      <c r="AN154" s="4" t="s">
        <v>70</v>
      </c>
      <c r="AO154" s="4" t="s">
        <v>71</v>
      </c>
      <c r="AP154" s="4" t="s">
        <v>71</v>
      </c>
      <c r="AQ154" s="4" t="s">
        <v>70</v>
      </c>
    </row>
    <row r="155" spans="1:95" ht="13.2" x14ac:dyDescent="0.25">
      <c r="A155" s="3">
        <v>45002.783732395837</v>
      </c>
      <c r="B155" s="4" t="s">
        <v>920</v>
      </c>
      <c r="C155" s="4" t="s">
        <v>977</v>
      </c>
      <c r="D155" s="5" t="s">
        <v>978</v>
      </c>
      <c r="E155" s="4" t="s">
        <v>427</v>
      </c>
      <c r="F155" s="4" t="s">
        <v>979</v>
      </c>
      <c r="G155" s="4" t="s">
        <v>64</v>
      </c>
      <c r="H155" s="4" t="s">
        <v>980</v>
      </c>
      <c r="I155" s="4" t="s">
        <v>981</v>
      </c>
      <c r="J155" s="4" t="s">
        <v>982</v>
      </c>
      <c r="K155" s="4" t="s">
        <v>983</v>
      </c>
      <c r="L155" s="4" t="s">
        <v>665</v>
      </c>
      <c r="M155" s="4" t="s">
        <v>583</v>
      </c>
      <c r="N155" s="4">
        <v>37</v>
      </c>
      <c r="O155" s="4" t="s">
        <v>69</v>
      </c>
      <c r="P155" s="4">
        <v>3</v>
      </c>
      <c r="Q155" s="4">
        <v>2</v>
      </c>
      <c r="R155" s="4">
        <v>95</v>
      </c>
      <c r="S155" s="4" t="s">
        <v>984</v>
      </c>
      <c r="T155" s="4" t="s">
        <v>71</v>
      </c>
      <c r="U155" s="4" t="s">
        <v>70</v>
      </c>
      <c r="V155" s="4" t="s">
        <v>87</v>
      </c>
      <c r="W155" s="6" t="s">
        <v>73</v>
      </c>
      <c r="BT155" s="4" t="s">
        <v>71</v>
      </c>
      <c r="BU155" s="4" t="s">
        <v>70</v>
      </c>
      <c r="BV155" s="4" t="s">
        <v>70</v>
      </c>
      <c r="BW155" s="4" t="s">
        <v>71</v>
      </c>
      <c r="BX155" s="4" t="s">
        <v>71</v>
      </c>
      <c r="BY155" s="4" t="s">
        <v>71</v>
      </c>
      <c r="BZ155" s="4" t="s">
        <v>70</v>
      </c>
      <c r="CA155" s="4" t="s">
        <v>70</v>
      </c>
      <c r="CB155" s="4" t="s">
        <v>70</v>
      </c>
      <c r="CF155" s="4" t="s">
        <v>70</v>
      </c>
      <c r="CG155" s="4" t="s">
        <v>70</v>
      </c>
      <c r="CK155" s="4" t="s">
        <v>70</v>
      </c>
      <c r="CL155" s="4" t="s">
        <v>70</v>
      </c>
      <c r="CO155" s="4" t="s">
        <v>70</v>
      </c>
      <c r="CP155" s="4" t="s">
        <v>70</v>
      </c>
      <c r="CQ155" s="4" t="s">
        <v>985</v>
      </c>
    </row>
    <row r="156" spans="1:95" ht="13.2" x14ac:dyDescent="0.25">
      <c r="A156" s="3">
        <v>45005.480772754629</v>
      </c>
      <c r="B156" s="4" t="s">
        <v>986</v>
      </c>
      <c r="C156" s="4" t="s">
        <v>987</v>
      </c>
      <c r="D156" s="5" t="s">
        <v>988</v>
      </c>
      <c r="E156" s="4" t="s">
        <v>149</v>
      </c>
      <c r="F156" s="4" t="s">
        <v>384</v>
      </c>
      <c r="G156" s="4" t="s">
        <v>64</v>
      </c>
      <c r="H156" s="4" t="s">
        <v>989</v>
      </c>
      <c r="I156" s="4" t="s">
        <v>990</v>
      </c>
      <c r="K156" s="4" t="s">
        <v>986</v>
      </c>
      <c r="L156" s="4" t="s">
        <v>656</v>
      </c>
      <c r="M156" s="4" t="s">
        <v>592</v>
      </c>
      <c r="N156" s="4">
        <v>35</v>
      </c>
      <c r="O156" s="4" t="s">
        <v>69</v>
      </c>
      <c r="P156" s="4">
        <v>5</v>
      </c>
      <c r="Q156" s="4">
        <v>1</v>
      </c>
      <c r="R156" s="4">
        <v>0</v>
      </c>
      <c r="S156" s="4" t="s">
        <v>991</v>
      </c>
      <c r="T156" s="4" t="s">
        <v>70</v>
      </c>
      <c r="U156" s="4" t="s">
        <v>70</v>
      </c>
      <c r="V156" s="4" t="s">
        <v>237</v>
      </c>
      <c r="W156" s="6" t="s">
        <v>73</v>
      </c>
      <c r="BT156" s="4" t="s">
        <v>71</v>
      </c>
      <c r="BU156" s="4" t="s">
        <v>70</v>
      </c>
      <c r="BV156" s="4" t="s">
        <v>71</v>
      </c>
      <c r="BW156" s="4" t="s">
        <v>71</v>
      </c>
      <c r="BX156" s="4" t="s">
        <v>71</v>
      </c>
      <c r="BY156" s="4" t="s">
        <v>71</v>
      </c>
      <c r="BZ156" s="4" t="s">
        <v>70</v>
      </c>
      <c r="CA156" s="4" t="s">
        <v>71</v>
      </c>
      <c r="CB156" s="4" t="s">
        <v>71</v>
      </c>
      <c r="CC156" s="4" t="s">
        <v>70</v>
      </c>
      <c r="CD156" s="4" t="s">
        <v>71</v>
      </c>
      <c r="CE156" s="4" t="s">
        <v>71</v>
      </c>
      <c r="CF156" s="4" t="s">
        <v>71</v>
      </c>
      <c r="CG156" s="4" t="s">
        <v>71</v>
      </c>
      <c r="CH156" s="4" t="s">
        <v>71</v>
      </c>
      <c r="CI156" s="4" t="s">
        <v>70</v>
      </c>
      <c r="CJ156" s="4" t="s">
        <v>71</v>
      </c>
      <c r="CK156" s="4" t="s">
        <v>71</v>
      </c>
      <c r="CL156" s="4" t="s">
        <v>71</v>
      </c>
      <c r="CM156" s="4" t="s">
        <v>71</v>
      </c>
      <c r="CN156" s="4" t="s">
        <v>71</v>
      </c>
      <c r="CO156" s="4" t="s">
        <v>70</v>
      </c>
      <c r="CP156" s="4" t="s">
        <v>71</v>
      </c>
      <c r="CQ156" s="4" t="s">
        <v>992</v>
      </c>
    </row>
    <row r="157" spans="1:95" ht="13.2" x14ac:dyDescent="0.25">
      <c r="A157" s="3">
        <v>45005.741089270829</v>
      </c>
      <c r="B157" s="4" t="s">
        <v>993</v>
      </c>
      <c r="C157" s="4" t="s">
        <v>994</v>
      </c>
      <c r="D157" s="6" t="s">
        <v>988</v>
      </c>
      <c r="E157" s="4" t="s">
        <v>149</v>
      </c>
      <c r="F157" s="4" t="s">
        <v>205</v>
      </c>
      <c r="G157" s="4" t="s">
        <v>64</v>
      </c>
      <c r="H157" s="4" t="s">
        <v>989</v>
      </c>
      <c r="I157" s="4" t="s">
        <v>995</v>
      </c>
      <c r="K157" s="4" t="s">
        <v>993</v>
      </c>
      <c r="L157" s="4" t="s">
        <v>656</v>
      </c>
      <c r="M157" s="4" t="s">
        <v>596</v>
      </c>
      <c r="N157" s="4">
        <v>31</v>
      </c>
      <c r="O157" s="4" t="s">
        <v>69</v>
      </c>
      <c r="P157" s="4">
        <v>5</v>
      </c>
      <c r="Q157" s="4">
        <v>3</v>
      </c>
      <c r="R157" s="4">
        <v>20</v>
      </c>
      <c r="T157" s="4" t="s">
        <v>70</v>
      </c>
      <c r="U157" s="4" t="s">
        <v>71</v>
      </c>
      <c r="V157" s="4" t="s">
        <v>72</v>
      </c>
      <c r="W157" s="6" t="s">
        <v>73</v>
      </c>
      <c r="BT157" s="4" t="s">
        <v>70</v>
      </c>
      <c r="BU157" s="4" t="s">
        <v>71</v>
      </c>
      <c r="BV157" s="4" t="s">
        <v>71</v>
      </c>
      <c r="BW157" s="4" t="s">
        <v>71</v>
      </c>
      <c r="BX157" s="4" t="s">
        <v>70</v>
      </c>
      <c r="BY157" s="4" t="s">
        <v>70</v>
      </c>
      <c r="BZ157" s="4" t="s">
        <v>71</v>
      </c>
      <c r="CA157" s="4" t="s">
        <v>71</v>
      </c>
      <c r="CB157" s="4" t="s">
        <v>71</v>
      </c>
      <c r="CC157" s="4" t="s">
        <v>71</v>
      </c>
      <c r="CD157" s="4" t="s">
        <v>70</v>
      </c>
      <c r="CE157" s="4" t="s">
        <v>70</v>
      </c>
      <c r="CF157" s="4" t="s">
        <v>71</v>
      </c>
      <c r="CG157" s="4" t="s">
        <v>71</v>
      </c>
      <c r="CH157" s="4" t="s">
        <v>70</v>
      </c>
      <c r="CI157" s="4" t="s">
        <v>70</v>
      </c>
      <c r="CK157" s="4" t="s">
        <v>71</v>
      </c>
      <c r="CL157" s="4" t="s">
        <v>71</v>
      </c>
      <c r="CM157" s="4" t="s">
        <v>70</v>
      </c>
      <c r="CN157" s="4" t="s">
        <v>70</v>
      </c>
      <c r="CO157" s="4" t="s">
        <v>71</v>
      </c>
      <c r="CP157" s="4" t="s">
        <v>71</v>
      </c>
    </row>
    <row r="158" spans="1:95" ht="13.2" x14ac:dyDescent="0.25">
      <c r="A158" s="3">
        <v>45001.832031689817</v>
      </c>
      <c r="B158" s="4" t="s">
        <v>658</v>
      </c>
      <c r="C158" s="4" t="s">
        <v>996</v>
      </c>
      <c r="D158" s="7" t="s">
        <v>997</v>
      </c>
      <c r="E158" s="4" t="s">
        <v>604</v>
      </c>
      <c r="F158" s="4" t="s">
        <v>998</v>
      </c>
      <c r="G158" s="4" t="s">
        <v>64</v>
      </c>
      <c r="H158" s="4" t="s">
        <v>662</v>
      </c>
      <c r="I158" s="4" t="s">
        <v>999</v>
      </c>
      <c r="K158" s="4" t="s">
        <v>664</v>
      </c>
      <c r="L158" s="4" t="s">
        <v>665</v>
      </c>
      <c r="M158" s="4" t="s">
        <v>600</v>
      </c>
      <c r="N158" s="4">
        <v>28</v>
      </c>
      <c r="O158" s="4" t="s">
        <v>69</v>
      </c>
      <c r="P158" s="4">
        <v>4</v>
      </c>
      <c r="Q158" s="4">
        <v>5</v>
      </c>
      <c r="R158" s="4">
        <v>40</v>
      </c>
      <c r="S158" s="4" t="s">
        <v>1000</v>
      </c>
      <c r="T158" s="4" t="s">
        <v>70</v>
      </c>
      <c r="U158" s="4" t="s">
        <v>71</v>
      </c>
      <c r="V158" s="4" t="s">
        <v>72</v>
      </c>
      <c r="W158" s="6" t="s">
        <v>145</v>
      </c>
      <c r="X158" s="4" t="s">
        <v>71</v>
      </c>
      <c r="Y158" s="4" t="s">
        <v>70</v>
      </c>
      <c r="Z158" s="4" t="s">
        <v>71</v>
      </c>
      <c r="AA158" s="4" t="s">
        <v>70</v>
      </c>
      <c r="AB158" s="4" t="s">
        <v>70</v>
      </c>
      <c r="AC158" s="4" t="s">
        <v>71</v>
      </c>
      <c r="AD158" s="4" t="s">
        <v>71</v>
      </c>
      <c r="AE158" s="4" t="s">
        <v>71</v>
      </c>
      <c r="AF158" s="4" t="s">
        <v>71</v>
      </c>
      <c r="AG158" s="4" t="s">
        <v>70</v>
      </c>
      <c r="AL158" s="4" t="s">
        <v>70</v>
      </c>
      <c r="AM158" s="4" t="s">
        <v>70</v>
      </c>
      <c r="AN158" s="4" t="s">
        <v>71</v>
      </c>
      <c r="AO158" s="4" t="s">
        <v>71</v>
      </c>
      <c r="AP158" s="4" t="s">
        <v>71</v>
      </c>
      <c r="AR158" s="4" t="s">
        <v>71</v>
      </c>
      <c r="AU158" s="4" t="s">
        <v>1000</v>
      </c>
    </row>
    <row r="159" spans="1:95" ht="13.2" x14ac:dyDescent="0.25">
      <c r="A159" s="3">
        <v>45005.88972579861</v>
      </c>
      <c r="B159" s="4" t="s">
        <v>1001</v>
      </c>
      <c r="C159" s="4" t="s">
        <v>1002</v>
      </c>
      <c r="D159" s="5" t="s">
        <v>1003</v>
      </c>
      <c r="E159" s="4" t="s">
        <v>149</v>
      </c>
      <c r="F159" s="4" t="s">
        <v>1004</v>
      </c>
      <c r="G159" s="4" t="s">
        <v>64</v>
      </c>
      <c r="H159" s="4" t="s">
        <v>745</v>
      </c>
      <c r="I159" s="4" t="s">
        <v>836</v>
      </c>
      <c r="K159" s="4" t="s">
        <v>1001</v>
      </c>
      <c r="L159" s="4" t="s">
        <v>656</v>
      </c>
      <c r="M159" s="4" t="s">
        <v>550</v>
      </c>
      <c r="N159" s="4">
        <v>35</v>
      </c>
      <c r="O159" s="4" t="s">
        <v>97</v>
      </c>
      <c r="P159" s="4">
        <v>4</v>
      </c>
      <c r="Q159" s="4">
        <v>4</v>
      </c>
      <c r="R159" s="4">
        <v>20</v>
      </c>
      <c r="T159" s="4" t="s">
        <v>70</v>
      </c>
      <c r="U159" s="4" t="s">
        <v>70</v>
      </c>
      <c r="V159" s="4" t="s">
        <v>237</v>
      </c>
      <c r="W159" s="6" t="s">
        <v>99</v>
      </c>
      <c r="AV159" s="4" t="s">
        <v>71</v>
      </c>
      <c r="AW159" s="4" t="s">
        <v>70</v>
      </c>
      <c r="AX159" s="4" t="s">
        <v>70</v>
      </c>
      <c r="AY159" s="4" t="s">
        <v>70</v>
      </c>
      <c r="AZ159" s="4" t="s">
        <v>70</v>
      </c>
      <c r="BA159" s="4" t="s">
        <v>71</v>
      </c>
      <c r="BB159" s="4" t="s">
        <v>71</v>
      </c>
      <c r="BC159" s="4" t="s">
        <v>70</v>
      </c>
      <c r="BD159" s="4" t="s">
        <v>70</v>
      </c>
      <c r="BF159" s="4" t="s">
        <v>70</v>
      </c>
      <c r="BI159" s="4" t="s">
        <v>70</v>
      </c>
      <c r="BK159" s="4" t="s">
        <v>70</v>
      </c>
      <c r="BM159" s="4" t="s">
        <v>70</v>
      </c>
      <c r="BN159" s="4" t="s">
        <v>70</v>
      </c>
      <c r="BP159" s="4" t="s">
        <v>70</v>
      </c>
      <c r="BR159" s="4" t="s">
        <v>70</v>
      </c>
      <c r="BS159" s="4" t="s">
        <v>1005</v>
      </c>
    </row>
    <row r="160" spans="1:95" ht="13.2" x14ac:dyDescent="0.25">
      <c r="A160" s="3">
        <v>45006.475162615738</v>
      </c>
      <c r="B160" s="4" t="s">
        <v>1001</v>
      </c>
      <c r="C160" s="4" t="s">
        <v>1002</v>
      </c>
      <c r="D160" s="5" t="s">
        <v>1003</v>
      </c>
      <c r="E160" s="4" t="s">
        <v>149</v>
      </c>
      <c r="F160" s="4" t="s">
        <v>132</v>
      </c>
      <c r="G160" s="4" t="s">
        <v>64</v>
      </c>
      <c r="H160" s="4" t="s">
        <v>745</v>
      </c>
      <c r="I160" s="4" t="s">
        <v>1006</v>
      </c>
      <c r="K160" s="4" t="s">
        <v>1001</v>
      </c>
      <c r="L160" s="4" t="s">
        <v>656</v>
      </c>
      <c r="M160" s="4" t="s">
        <v>550</v>
      </c>
      <c r="N160" s="4">
        <v>35</v>
      </c>
      <c r="O160" s="4" t="s">
        <v>97</v>
      </c>
      <c r="P160" s="4">
        <v>4</v>
      </c>
      <c r="Q160" s="4">
        <v>4</v>
      </c>
      <c r="R160" s="4">
        <v>20</v>
      </c>
      <c r="T160" s="4" t="s">
        <v>70</v>
      </c>
      <c r="U160" s="4" t="s">
        <v>70</v>
      </c>
      <c r="V160" s="4" t="s">
        <v>237</v>
      </c>
      <c r="W160" s="6" t="s">
        <v>99</v>
      </c>
      <c r="AV160" s="4" t="s">
        <v>70</v>
      </c>
      <c r="AW160" s="4" t="s">
        <v>71</v>
      </c>
      <c r="AX160" s="4" t="s">
        <v>70</v>
      </c>
      <c r="AY160" s="4" t="s">
        <v>70</v>
      </c>
      <c r="AZ160" s="4" t="s">
        <v>71</v>
      </c>
      <c r="BA160" s="4" t="s">
        <v>70</v>
      </c>
      <c r="BB160" s="4" t="s">
        <v>71</v>
      </c>
      <c r="BC160" s="4" t="s">
        <v>70</v>
      </c>
      <c r="BD160" s="4" t="s">
        <v>71</v>
      </c>
      <c r="BG160" s="4" t="s">
        <v>70</v>
      </c>
      <c r="BH160" s="4" t="s">
        <v>70</v>
      </c>
      <c r="BM160" s="4" t="s">
        <v>70</v>
      </c>
      <c r="BN160" s="4" t="s">
        <v>70</v>
      </c>
      <c r="BO160" s="4" t="s">
        <v>70</v>
      </c>
      <c r="BP160" s="4" t="s">
        <v>70</v>
      </c>
    </row>
    <row r="161" spans="1:95" ht="13.2" x14ac:dyDescent="0.25">
      <c r="A161" s="3">
        <v>45000.763265381946</v>
      </c>
      <c r="B161" s="4" t="s">
        <v>1007</v>
      </c>
      <c r="C161" s="4" t="s">
        <v>1008</v>
      </c>
      <c r="D161" s="5" t="s">
        <v>1009</v>
      </c>
      <c r="E161" s="4" t="s">
        <v>149</v>
      </c>
      <c r="F161" s="4" t="s">
        <v>1010</v>
      </c>
      <c r="G161" s="4" t="s">
        <v>64</v>
      </c>
      <c r="H161" s="4" t="s">
        <v>1011</v>
      </c>
      <c r="I161" s="4" t="s">
        <v>1012</v>
      </c>
      <c r="K161" s="4" t="s">
        <v>1007</v>
      </c>
      <c r="L161" s="4" t="s">
        <v>656</v>
      </c>
      <c r="M161" s="4" t="s">
        <v>609</v>
      </c>
      <c r="N161" s="4">
        <v>35</v>
      </c>
      <c r="O161" s="4" t="s">
        <v>69</v>
      </c>
      <c r="P161" s="4">
        <v>5</v>
      </c>
      <c r="Q161" s="4">
        <v>3</v>
      </c>
      <c r="R161" s="4">
        <v>10</v>
      </c>
      <c r="T161" s="4" t="s">
        <v>70</v>
      </c>
      <c r="U161" s="4" t="s">
        <v>71</v>
      </c>
      <c r="V161" s="4" t="s">
        <v>72</v>
      </c>
      <c r="W161" s="6" t="s">
        <v>99</v>
      </c>
      <c r="AV161" s="4" t="s">
        <v>70</v>
      </c>
      <c r="AW161" s="4" t="s">
        <v>70</v>
      </c>
      <c r="AX161" s="4" t="s">
        <v>71</v>
      </c>
      <c r="AY161" s="4" t="s">
        <v>70</v>
      </c>
      <c r="AZ161" s="4" t="s">
        <v>70</v>
      </c>
      <c r="BA161" s="4" t="s">
        <v>70</v>
      </c>
      <c r="BB161" s="4" t="s">
        <v>70</v>
      </c>
      <c r="BC161" s="4" t="s">
        <v>71</v>
      </c>
      <c r="BD161" s="4" t="s">
        <v>71</v>
      </c>
      <c r="BE161" s="4" t="s">
        <v>70</v>
      </c>
      <c r="BF161" s="4" t="s">
        <v>70</v>
      </c>
      <c r="BG161" s="4" t="s">
        <v>70</v>
      </c>
      <c r="BH161" s="4" t="s">
        <v>71</v>
      </c>
      <c r="BI161" s="4" t="s">
        <v>71</v>
      </c>
      <c r="BJ161" s="4" t="s">
        <v>70</v>
      </c>
      <c r="BK161" s="4" t="s">
        <v>70</v>
      </c>
      <c r="BL161" s="4" t="s">
        <v>70</v>
      </c>
      <c r="BM161" s="4" t="s">
        <v>71</v>
      </c>
      <c r="BN161" s="4" t="s">
        <v>71</v>
      </c>
      <c r="BO161" s="4" t="s">
        <v>70</v>
      </c>
      <c r="BP161" s="4" t="s">
        <v>70</v>
      </c>
      <c r="BQ161" s="4" t="s">
        <v>71</v>
      </c>
      <c r="BR161" s="4" t="s">
        <v>71</v>
      </c>
      <c r="BS161" s="4" t="s">
        <v>1013</v>
      </c>
    </row>
    <row r="162" spans="1:95" ht="13.2" x14ac:dyDescent="0.25">
      <c r="A162" s="3">
        <v>45002.557698680554</v>
      </c>
      <c r="B162" s="4" t="s">
        <v>1014</v>
      </c>
      <c r="C162" s="4" t="s">
        <v>1015</v>
      </c>
      <c r="D162" s="5" t="s">
        <v>1016</v>
      </c>
      <c r="E162" s="4" t="s">
        <v>149</v>
      </c>
      <c r="F162" s="4" t="s">
        <v>1017</v>
      </c>
      <c r="G162" s="4" t="s">
        <v>105</v>
      </c>
      <c r="H162" s="4" t="s">
        <v>1018</v>
      </c>
      <c r="I162" s="4" t="s">
        <v>1019</v>
      </c>
      <c r="K162" s="4" t="s">
        <v>1014</v>
      </c>
      <c r="L162" s="4" t="s">
        <v>656</v>
      </c>
      <c r="M162" s="4" t="s">
        <v>617</v>
      </c>
      <c r="N162" s="4">
        <v>35</v>
      </c>
      <c r="O162" s="4" t="s">
        <v>69</v>
      </c>
      <c r="P162" s="4">
        <v>3</v>
      </c>
      <c r="Q162" s="4">
        <v>1</v>
      </c>
      <c r="R162" s="4">
        <v>75</v>
      </c>
      <c r="T162" s="4" t="s">
        <v>70</v>
      </c>
      <c r="U162" s="4" t="s">
        <v>71</v>
      </c>
      <c r="V162" s="4" t="s">
        <v>72</v>
      </c>
      <c r="W162" s="6" t="s">
        <v>73</v>
      </c>
      <c r="BT162" s="4" t="s">
        <v>70</v>
      </c>
      <c r="BU162" s="4" t="s">
        <v>70</v>
      </c>
      <c r="BV162" s="4" t="s">
        <v>71</v>
      </c>
      <c r="BW162" s="4" t="s">
        <v>71</v>
      </c>
      <c r="BX162" s="4" t="s">
        <v>70</v>
      </c>
      <c r="BY162" s="4" t="s">
        <v>71</v>
      </c>
      <c r="BZ162" s="4" t="s">
        <v>70</v>
      </c>
      <c r="CA162" s="4" t="s">
        <v>70</v>
      </c>
      <c r="CB162" s="4" t="s">
        <v>70</v>
      </c>
      <c r="CE162" s="4" t="s">
        <v>70</v>
      </c>
      <c r="CK162" s="4" t="s">
        <v>70</v>
      </c>
      <c r="CP162" s="4" t="s">
        <v>70</v>
      </c>
    </row>
    <row r="163" spans="1:95" ht="13.2" x14ac:dyDescent="0.25">
      <c r="A163" s="3">
        <v>45001.578125590277</v>
      </c>
      <c r="B163" s="4" t="s">
        <v>1020</v>
      </c>
      <c r="C163" s="4" t="s">
        <v>1021</v>
      </c>
      <c r="D163" s="7" t="s">
        <v>1022</v>
      </c>
      <c r="E163" s="4" t="s">
        <v>103</v>
      </c>
      <c r="F163" s="4" t="s">
        <v>1004</v>
      </c>
      <c r="G163" s="4" t="s">
        <v>64</v>
      </c>
      <c r="H163" s="4" t="s">
        <v>1023</v>
      </c>
      <c r="I163" s="4" t="s">
        <v>1024</v>
      </c>
      <c r="J163" s="4" t="s">
        <v>1025</v>
      </c>
      <c r="K163" s="4" t="s">
        <v>1020</v>
      </c>
      <c r="L163" s="4" t="s">
        <v>656</v>
      </c>
      <c r="M163" s="4" t="s">
        <v>625</v>
      </c>
      <c r="N163" s="4">
        <v>28</v>
      </c>
      <c r="O163" s="4" t="s">
        <v>69</v>
      </c>
      <c r="P163" s="4">
        <v>5</v>
      </c>
      <c r="Q163" s="4">
        <v>3</v>
      </c>
      <c r="R163" s="4">
        <v>0</v>
      </c>
      <c r="T163" s="4" t="s">
        <v>70</v>
      </c>
      <c r="U163" s="4" t="s">
        <v>71</v>
      </c>
      <c r="V163" s="4" t="s">
        <v>72</v>
      </c>
      <c r="W163" s="6" t="s">
        <v>99</v>
      </c>
      <c r="AV163" s="4" t="s">
        <v>70</v>
      </c>
      <c r="AW163" s="4" t="s">
        <v>71</v>
      </c>
      <c r="AX163" s="4" t="s">
        <v>71</v>
      </c>
      <c r="AY163" s="4" t="s">
        <v>71</v>
      </c>
      <c r="AZ163" s="4" t="s">
        <v>71</v>
      </c>
      <c r="BA163" s="4" t="s">
        <v>70</v>
      </c>
      <c r="BB163" s="4" t="s">
        <v>71</v>
      </c>
      <c r="BC163" s="4" t="s">
        <v>71</v>
      </c>
      <c r="BD163" s="4" t="s">
        <v>71</v>
      </c>
      <c r="BE163" s="4" t="s">
        <v>71</v>
      </c>
      <c r="BF163" s="4" t="s">
        <v>71</v>
      </c>
      <c r="BG163" s="4" t="s">
        <v>71</v>
      </c>
      <c r="BH163" s="4" t="s">
        <v>71</v>
      </c>
      <c r="BI163" s="4" t="s">
        <v>71</v>
      </c>
      <c r="BJ163" s="4" t="s">
        <v>71</v>
      </c>
      <c r="BK163" s="4" t="s">
        <v>70</v>
      </c>
      <c r="BL163" s="4" t="s">
        <v>71</v>
      </c>
      <c r="BM163" s="4" t="s">
        <v>71</v>
      </c>
      <c r="BN163" s="4" t="s">
        <v>71</v>
      </c>
      <c r="BO163" s="4" t="s">
        <v>71</v>
      </c>
      <c r="BP163" s="4" t="s">
        <v>71</v>
      </c>
      <c r="BQ163" s="4" t="s">
        <v>71</v>
      </c>
      <c r="BR163" s="4" t="s">
        <v>71</v>
      </c>
    </row>
    <row r="164" spans="1:95" ht="13.2" x14ac:dyDescent="0.25">
      <c r="A164" s="3">
        <v>45005.919205266204</v>
      </c>
      <c r="B164" s="4" t="s">
        <v>1026</v>
      </c>
      <c r="C164" s="4" t="s">
        <v>1027</v>
      </c>
      <c r="D164" s="7" t="s">
        <v>1028</v>
      </c>
      <c r="E164" s="4" t="s">
        <v>103</v>
      </c>
      <c r="F164" s="4" t="s">
        <v>294</v>
      </c>
      <c r="G164" s="4" t="s">
        <v>64</v>
      </c>
      <c r="H164" s="4" t="s">
        <v>1029</v>
      </c>
      <c r="I164" s="4" t="s">
        <v>1030</v>
      </c>
      <c r="J164" s="4" t="s">
        <v>1031</v>
      </c>
      <c r="K164" s="4" t="s">
        <v>1026</v>
      </c>
      <c r="L164" s="4" t="s">
        <v>67</v>
      </c>
      <c r="M164" s="4" t="s">
        <v>631</v>
      </c>
      <c r="N164" s="4">
        <v>29</v>
      </c>
      <c r="O164" s="4" t="s">
        <v>69</v>
      </c>
      <c r="P164" s="4">
        <v>4</v>
      </c>
      <c r="Q164" s="4">
        <v>4</v>
      </c>
      <c r="R164" s="4">
        <v>5</v>
      </c>
      <c r="T164" s="4" t="s">
        <v>70</v>
      </c>
      <c r="U164" s="4" t="s">
        <v>71</v>
      </c>
      <c r="V164" s="4" t="s">
        <v>72</v>
      </c>
      <c r="W164" s="6" t="s">
        <v>99</v>
      </c>
      <c r="AV164" s="4" t="s">
        <v>70</v>
      </c>
      <c r="AW164" s="4" t="s">
        <v>70</v>
      </c>
      <c r="AX164" s="4" t="s">
        <v>71</v>
      </c>
      <c r="AY164" s="4" t="s">
        <v>71</v>
      </c>
      <c r="AZ164" s="4" t="s">
        <v>70</v>
      </c>
      <c r="BA164" s="4" t="s">
        <v>71</v>
      </c>
      <c r="BB164" s="4" t="s">
        <v>71</v>
      </c>
      <c r="BC164" s="4" t="s">
        <v>71</v>
      </c>
      <c r="BD164" s="4" t="s">
        <v>71</v>
      </c>
      <c r="BE164" s="4" t="s">
        <v>71</v>
      </c>
      <c r="BF164" s="4" t="s">
        <v>71</v>
      </c>
      <c r="BG164" s="4" t="s">
        <v>71</v>
      </c>
      <c r="BH164" s="4" t="s">
        <v>70</v>
      </c>
      <c r="BI164" s="4" t="s">
        <v>71</v>
      </c>
      <c r="BJ164" s="4" t="s">
        <v>71</v>
      </c>
      <c r="BK164" s="4" t="s">
        <v>71</v>
      </c>
      <c r="BL164" s="4" t="s">
        <v>71</v>
      </c>
      <c r="BM164" s="4" t="s">
        <v>71</v>
      </c>
      <c r="BN164" s="4" t="s">
        <v>70</v>
      </c>
      <c r="BO164" s="4" t="s">
        <v>70</v>
      </c>
      <c r="BP164" s="4" t="s">
        <v>71</v>
      </c>
      <c r="BQ164" s="4" t="s">
        <v>71</v>
      </c>
      <c r="BR164" s="4" t="s">
        <v>71</v>
      </c>
      <c r="BS164" s="4" t="s">
        <v>1032</v>
      </c>
    </row>
    <row r="165" spans="1:95" ht="13.2" x14ac:dyDescent="0.25">
      <c r="A165" s="3">
        <v>45005.923207025466</v>
      </c>
      <c r="B165" s="4" t="s">
        <v>1026</v>
      </c>
      <c r="C165" s="4" t="s">
        <v>1033</v>
      </c>
      <c r="D165" s="7" t="s">
        <v>1028</v>
      </c>
      <c r="E165" s="4" t="s">
        <v>149</v>
      </c>
      <c r="F165" s="4" t="s">
        <v>205</v>
      </c>
      <c r="G165" s="4" t="s">
        <v>64</v>
      </c>
      <c r="H165" s="4" t="s">
        <v>1030</v>
      </c>
      <c r="I165" s="4" t="s">
        <v>1029</v>
      </c>
      <c r="J165" s="4" t="s">
        <v>1031</v>
      </c>
      <c r="K165" s="4" t="s">
        <v>1026</v>
      </c>
      <c r="L165" s="4" t="s">
        <v>67</v>
      </c>
      <c r="M165" s="4" t="s">
        <v>631</v>
      </c>
      <c r="N165" s="4">
        <v>30</v>
      </c>
      <c r="O165" s="4" t="s">
        <v>69</v>
      </c>
      <c r="P165" s="4">
        <v>4</v>
      </c>
      <c r="Q165" s="4">
        <v>4</v>
      </c>
      <c r="R165" s="4">
        <v>5</v>
      </c>
      <c r="T165" s="4" t="s">
        <v>70</v>
      </c>
      <c r="U165" s="4" t="s">
        <v>71</v>
      </c>
      <c r="V165" s="4" t="s">
        <v>72</v>
      </c>
      <c r="W165" s="6" t="s">
        <v>99</v>
      </c>
      <c r="AV165" s="4" t="s">
        <v>71</v>
      </c>
      <c r="AW165" s="4" t="s">
        <v>70</v>
      </c>
      <c r="AX165" s="4" t="s">
        <v>71</v>
      </c>
      <c r="AY165" s="4" t="s">
        <v>71</v>
      </c>
      <c r="AZ165" s="4" t="s">
        <v>71</v>
      </c>
      <c r="BA165" s="4" t="s">
        <v>70</v>
      </c>
      <c r="BB165" s="4" t="s">
        <v>71</v>
      </c>
      <c r="BC165" s="4" t="s">
        <v>71</v>
      </c>
      <c r="BD165" s="4" t="s">
        <v>71</v>
      </c>
      <c r="BE165" s="4" t="s">
        <v>71</v>
      </c>
      <c r="BF165" s="4" t="s">
        <v>71</v>
      </c>
      <c r="BG165" s="4" t="s">
        <v>71</v>
      </c>
      <c r="BH165" s="4" t="s">
        <v>70</v>
      </c>
      <c r="BI165" s="4" t="s">
        <v>71</v>
      </c>
      <c r="BJ165" s="4" t="s">
        <v>70</v>
      </c>
      <c r="BK165" s="4" t="s">
        <v>71</v>
      </c>
      <c r="BL165" s="4" t="s">
        <v>71</v>
      </c>
      <c r="BM165" s="4" t="s">
        <v>71</v>
      </c>
      <c r="BN165" s="4" t="s">
        <v>71</v>
      </c>
      <c r="BO165" s="4" t="s">
        <v>70</v>
      </c>
      <c r="BS165" s="4" t="s">
        <v>1034</v>
      </c>
    </row>
    <row r="166" spans="1:95" ht="13.2" x14ac:dyDescent="0.25">
      <c r="A166" s="3">
        <v>45000.747829861109</v>
      </c>
      <c r="B166" s="4" t="s">
        <v>1035</v>
      </c>
      <c r="C166" s="4" t="s">
        <v>1036</v>
      </c>
      <c r="D166" s="7" t="s">
        <v>1037</v>
      </c>
      <c r="E166" s="4" t="s">
        <v>103</v>
      </c>
      <c r="F166" s="4" t="s">
        <v>104</v>
      </c>
      <c r="G166" s="4" t="s">
        <v>64</v>
      </c>
      <c r="H166" s="4" t="s">
        <v>1038</v>
      </c>
      <c r="I166" s="4" t="s">
        <v>1039</v>
      </c>
      <c r="J166" s="4" t="s">
        <v>1040</v>
      </c>
      <c r="K166" s="4" t="s">
        <v>1035</v>
      </c>
      <c r="L166" s="4" t="s">
        <v>656</v>
      </c>
      <c r="M166" s="4" t="s">
        <v>639</v>
      </c>
      <c r="N166" s="4">
        <v>30</v>
      </c>
      <c r="O166" s="4" t="s">
        <v>69</v>
      </c>
      <c r="P166" s="4">
        <v>5</v>
      </c>
      <c r="Q166" s="4">
        <v>1</v>
      </c>
      <c r="R166" s="4">
        <v>20</v>
      </c>
      <c r="T166" s="4" t="s">
        <v>70</v>
      </c>
      <c r="U166" s="4" t="s">
        <v>71</v>
      </c>
      <c r="V166" s="4" t="s">
        <v>72</v>
      </c>
      <c r="W166" s="6" t="s">
        <v>145</v>
      </c>
      <c r="X166" s="4" t="s">
        <v>70</v>
      </c>
      <c r="Y166" s="4" t="s">
        <v>71</v>
      </c>
      <c r="Z166" s="4" t="s">
        <v>70</v>
      </c>
      <c r="AA166" s="4" t="s">
        <v>71</v>
      </c>
      <c r="AB166" s="4" t="s">
        <v>70</v>
      </c>
      <c r="AC166" s="4" t="s">
        <v>70</v>
      </c>
      <c r="AD166" s="4" t="s">
        <v>70</v>
      </c>
      <c r="AE166" s="4" t="s">
        <v>71</v>
      </c>
      <c r="AF166" s="4" t="s">
        <v>71</v>
      </c>
      <c r="AG166" s="4" t="s">
        <v>71</v>
      </c>
      <c r="AH166" s="4" t="s">
        <v>71</v>
      </c>
      <c r="AI166" s="4" t="s">
        <v>70</v>
      </c>
      <c r="AJ166" s="4" t="s">
        <v>71</v>
      </c>
      <c r="AK166" s="4" t="s">
        <v>71</v>
      </c>
      <c r="AL166" s="4" t="s">
        <v>71</v>
      </c>
      <c r="AM166" s="4" t="s">
        <v>70</v>
      </c>
      <c r="AN166" s="4" t="s">
        <v>70</v>
      </c>
      <c r="AO166" s="4" t="s">
        <v>70</v>
      </c>
      <c r="AP166" s="4" t="s">
        <v>71</v>
      </c>
    </row>
    <row r="167" spans="1:95" ht="13.2" x14ac:dyDescent="0.25">
      <c r="A167" s="3">
        <v>45000.751942002316</v>
      </c>
      <c r="B167" s="4" t="s">
        <v>1035</v>
      </c>
      <c r="C167" s="4" t="s">
        <v>1036</v>
      </c>
      <c r="D167" s="7" t="s">
        <v>1037</v>
      </c>
      <c r="E167" s="4" t="s">
        <v>103</v>
      </c>
      <c r="F167" s="4" t="s">
        <v>104</v>
      </c>
      <c r="G167" s="4" t="s">
        <v>64</v>
      </c>
      <c r="H167" s="4" t="s">
        <v>1038</v>
      </c>
      <c r="I167" s="4" t="s">
        <v>1041</v>
      </c>
      <c r="J167" s="4" t="s">
        <v>1042</v>
      </c>
      <c r="K167" s="4" t="s">
        <v>1035</v>
      </c>
      <c r="L167" s="4" t="s">
        <v>656</v>
      </c>
      <c r="M167" s="4" t="s">
        <v>639</v>
      </c>
      <c r="N167" s="4">
        <v>35</v>
      </c>
      <c r="O167" s="4" t="s">
        <v>97</v>
      </c>
      <c r="P167" s="4">
        <v>5</v>
      </c>
      <c r="Q167" s="4">
        <v>1</v>
      </c>
      <c r="R167" s="4">
        <v>20</v>
      </c>
      <c r="T167" s="4" t="s">
        <v>70</v>
      </c>
      <c r="U167" s="4" t="s">
        <v>71</v>
      </c>
      <c r="V167" s="4" t="s">
        <v>72</v>
      </c>
      <c r="W167" s="6" t="s">
        <v>145</v>
      </c>
      <c r="X167" s="4" t="s">
        <v>70</v>
      </c>
      <c r="Y167" s="4" t="s">
        <v>71</v>
      </c>
      <c r="Z167" s="4" t="s">
        <v>71</v>
      </c>
      <c r="AA167" s="4" t="s">
        <v>71</v>
      </c>
      <c r="AB167" s="4" t="s">
        <v>70</v>
      </c>
      <c r="AC167" s="4" t="s">
        <v>70</v>
      </c>
      <c r="AD167" s="4" t="s">
        <v>70</v>
      </c>
      <c r="AE167" s="4" t="s">
        <v>71</v>
      </c>
      <c r="AF167" s="4" t="s">
        <v>71</v>
      </c>
      <c r="AG167" s="4" t="s">
        <v>71</v>
      </c>
      <c r="AH167" s="4" t="s">
        <v>70</v>
      </c>
      <c r="AI167" s="4" t="s">
        <v>70</v>
      </c>
      <c r="AJ167" s="4" t="s">
        <v>71</v>
      </c>
      <c r="AK167" s="4" t="s">
        <v>71</v>
      </c>
      <c r="AL167" s="4" t="s">
        <v>71</v>
      </c>
      <c r="AM167" s="4" t="s">
        <v>70</v>
      </c>
      <c r="AN167" s="4" t="s">
        <v>70</v>
      </c>
      <c r="AO167" s="4" t="s">
        <v>70</v>
      </c>
      <c r="AP167" s="4" t="s">
        <v>71</v>
      </c>
    </row>
    <row r="168" spans="1:95" ht="13.2" x14ac:dyDescent="0.25">
      <c r="A168" s="3">
        <v>45001.494281053238</v>
      </c>
      <c r="B168" s="4" t="s">
        <v>1035</v>
      </c>
      <c r="C168" s="4" t="s">
        <v>1036</v>
      </c>
      <c r="D168" s="7" t="s">
        <v>1037</v>
      </c>
      <c r="E168" s="4" t="s">
        <v>149</v>
      </c>
      <c r="F168" s="4" t="s">
        <v>594</v>
      </c>
      <c r="G168" s="4" t="s">
        <v>64</v>
      </c>
      <c r="H168" s="4" t="s">
        <v>1038</v>
      </c>
      <c r="I168" s="4" t="s">
        <v>1043</v>
      </c>
      <c r="J168" s="4" t="s">
        <v>1040</v>
      </c>
      <c r="K168" s="4" t="s">
        <v>1035</v>
      </c>
      <c r="L168" s="4" t="s">
        <v>656</v>
      </c>
      <c r="M168" s="4" t="s">
        <v>639</v>
      </c>
      <c r="N168" s="4">
        <v>32</v>
      </c>
      <c r="O168" s="4" t="s">
        <v>69</v>
      </c>
      <c r="P168" s="4">
        <v>5</v>
      </c>
      <c r="Q168" s="4">
        <v>1</v>
      </c>
      <c r="R168" s="4">
        <v>20</v>
      </c>
      <c r="T168" s="4" t="s">
        <v>70</v>
      </c>
      <c r="U168" s="4" t="s">
        <v>71</v>
      </c>
      <c r="V168" s="4" t="s">
        <v>72</v>
      </c>
      <c r="W168" s="6" t="s">
        <v>145</v>
      </c>
      <c r="X168" s="4" t="s">
        <v>70</v>
      </c>
      <c r="Y168" s="4" t="s">
        <v>71</v>
      </c>
      <c r="Z168" s="4" t="s">
        <v>71</v>
      </c>
      <c r="AA168" s="4" t="s">
        <v>71</v>
      </c>
      <c r="AB168" s="4" t="s">
        <v>70</v>
      </c>
      <c r="AC168" s="4" t="s">
        <v>70</v>
      </c>
      <c r="AD168" s="4" t="s">
        <v>70</v>
      </c>
      <c r="AE168" s="4" t="s">
        <v>71</v>
      </c>
      <c r="AF168" s="4" t="s">
        <v>71</v>
      </c>
      <c r="AG168" s="4" t="s">
        <v>71</v>
      </c>
      <c r="AH168" s="4" t="s">
        <v>71</v>
      </c>
      <c r="AI168" s="4" t="s">
        <v>70</v>
      </c>
      <c r="AJ168" s="4" t="s">
        <v>70</v>
      </c>
      <c r="AK168" s="4" t="s">
        <v>71</v>
      </c>
      <c r="AL168" s="4" t="s">
        <v>71</v>
      </c>
      <c r="AM168" s="4" t="s">
        <v>70</v>
      </c>
      <c r="AN168" s="4" t="s">
        <v>70</v>
      </c>
      <c r="AO168" s="4" t="s">
        <v>70</v>
      </c>
      <c r="AP168" s="4" t="s">
        <v>71</v>
      </c>
      <c r="AU168" s="4" t="s">
        <v>1044</v>
      </c>
    </row>
    <row r="169" spans="1:95" ht="13.2" x14ac:dyDescent="0.25">
      <c r="A169" s="3">
        <v>45005.920085729165</v>
      </c>
      <c r="B169" s="4" t="s">
        <v>1045</v>
      </c>
      <c r="C169" s="4" t="s">
        <v>1046</v>
      </c>
      <c r="D169" s="5" t="s">
        <v>1047</v>
      </c>
      <c r="E169" s="4" t="s">
        <v>103</v>
      </c>
      <c r="F169" s="4" t="s">
        <v>1048</v>
      </c>
      <c r="G169" s="4" t="s">
        <v>105</v>
      </c>
      <c r="H169" s="4" t="s">
        <v>1049</v>
      </c>
      <c r="I169" s="4" t="s">
        <v>1050</v>
      </c>
      <c r="J169" s="4" t="s">
        <v>1051</v>
      </c>
      <c r="K169" s="4" t="s">
        <v>1045</v>
      </c>
      <c r="L169" s="4" t="s">
        <v>656</v>
      </c>
      <c r="M169" s="4" t="s">
        <v>643</v>
      </c>
      <c r="N169" s="4">
        <v>28</v>
      </c>
      <c r="O169" s="4" t="s">
        <v>97</v>
      </c>
      <c r="P169" s="4">
        <v>3</v>
      </c>
      <c r="Q169" s="4">
        <v>3</v>
      </c>
      <c r="R169" s="4">
        <v>80</v>
      </c>
      <c r="T169" s="4" t="s">
        <v>70</v>
      </c>
      <c r="U169" s="4" t="s">
        <v>71</v>
      </c>
      <c r="V169" s="4" t="s">
        <v>72</v>
      </c>
      <c r="W169" s="6" t="s">
        <v>73</v>
      </c>
      <c r="BT169" s="4" t="s">
        <v>70</v>
      </c>
      <c r="BU169" s="4" t="s">
        <v>70</v>
      </c>
      <c r="BV169" s="4" t="s">
        <v>70</v>
      </c>
      <c r="BW169" s="4" t="s">
        <v>71</v>
      </c>
      <c r="BX169" s="4" t="s">
        <v>71</v>
      </c>
      <c r="BY169" s="4" t="s">
        <v>70</v>
      </c>
      <c r="BZ169" s="4" t="s">
        <v>70</v>
      </c>
      <c r="CA169" s="4" t="s">
        <v>70</v>
      </c>
      <c r="CB169" s="4" t="s">
        <v>71</v>
      </c>
      <c r="CD169" s="4" t="s">
        <v>70</v>
      </c>
      <c r="CE169" s="4" t="s">
        <v>70</v>
      </c>
      <c r="CF169" s="4" t="s">
        <v>70</v>
      </c>
      <c r="CI169" s="4" t="s">
        <v>70</v>
      </c>
      <c r="CJ169" s="4" t="s">
        <v>70</v>
      </c>
      <c r="CK169" s="4" t="s">
        <v>70</v>
      </c>
      <c r="CM169" s="4" t="s">
        <v>70</v>
      </c>
      <c r="CN169" s="4" t="s">
        <v>70</v>
      </c>
      <c r="CO169" s="4" t="s">
        <v>70</v>
      </c>
    </row>
    <row r="170" spans="1:95" ht="13.2" x14ac:dyDescent="0.25">
      <c r="A170" s="3">
        <v>45005.923197476848</v>
      </c>
      <c r="B170" s="4" t="s">
        <v>1045</v>
      </c>
      <c r="C170" s="4" t="s">
        <v>1052</v>
      </c>
      <c r="D170" s="5" t="s">
        <v>1047</v>
      </c>
      <c r="E170" s="4" t="s">
        <v>103</v>
      </c>
      <c r="F170" s="4" t="s">
        <v>1053</v>
      </c>
      <c r="G170" s="4" t="s">
        <v>105</v>
      </c>
      <c r="H170" s="4" t="s">
        <v>1050</v>
      </c>
      <c r="I170" s="4" t="s">
        <v>1054</v>
      </c>
      <c r="J170" s="4" t="s">
        <v>1055</v>
      </c>
      <c r="K170" s="4" t="s">
        <v>1045</v>
      </c>
      <c r="L170" s="4" t="s">
        <v>656</v>
      </c>
      <c r="M170" s="4" t="s">
        <v>643</v>
      </c>
      <c r="N170" s="4">
        <v>28</v>
      </c>
      <c r="O170" s="4" t="s">
        <v>69</v>
      </c>
      <c r="P170" s="4">
        <v>3</v>
      </c>
      <c r="Q170" s="4">
        <v>3</v>
      </c>
      <c r="R170" s="4">
        <v>80</v>
      </c>
      <c r="T170" s="4" t="s">
        <v>70</v>
      </c>
      <c r="U170" s="4" t="s">
        <v>71</v>
      </c>
      <c r="V170" s="4" t="s">
        <v>72</v>
      </c>
      <c r="W170" s="6" t="s">
        <v>73</v>
      </c>
      <c r="BT170" s="4" t="s">
        <v>70</v>
      </c>
      <c r="BU170" s="4" t="s">
        <v>70</v>
      </c>
      <c r="BV170" s="4" t="s">
        <v>70</v>
      </c>
      <c r="BW170" s="4" t="s">
        <v>71</v>
      </c>
      <c r="BX170" s="4" t="s">
        <v>70</v>
      </c>
      <c r="BY170" s="4" t="s">
        <v>70</v>
      </c>
      <c r="BZ170" s="4" t="s">
        <v>70</v>
      </c>
      <c r="CA170" s="4" t="s">
        <v>70</v>
      </c>
      <c r="CB170" s="4" t="s">
        <v>71</v>
      </c>
      <c r="CD170" s="4" t="s">
        <v>70</v>
      </c>
      <c r="CE170" s="4" t="s">
        <v>70</v>
      </c>
      <c r="CF170" s="4" t="s">
        <v>70</v>
      </c>
      <c r="CI170" s="4" t="s">
        <v>70</v>
      </c>
      <c r="CJ170" s="4" t="s">
        <v>70</v>
      </c>
      <c r="CK170" s="4" t="s">
        <v>70</v>
      </c>
      <c r="CM170" s="4" t="s">
        <v>70</v>
      </c>
      <c r="CN170" s="4" t="s">
        <v>70</v>
      </c>
      <c r="CO170" s="4" t="s">
        <v>70</v>
      </c>
    </row>
    <row r="171" spans="1:95" ht="13.2" x14ac:dyDescent="0.25">
      <c r="A171" s="3">
        <v>45001.394554814819</v>
      </c>
      <c r="B171" s="4" t="s">
        <v>1056</v>
      </c>
      <c r="C171" s="4" t="s">
        <v>1057</v>
      </c>
      <c r="D171" s="5" t="s">
        <v>1058</v>
      </c>
      <c r="E171" s="4" t="s">
        <v>103</v>
      </c>
      <c r="F171" s="4" t="s">
        <v>723</v>
      </c>
      <c r="G171" s="4" t="s">
        <v>105</v>
      </c>
      <c r="H171" s="4" t="s">
        <v>1059</v>
      </c>
      <c r="I171" s="4" t="s">
        <v>1060</v>
      </c>
      <c r="J171" s="4" t="s">
        <v>1061</v>
      </c>
      <c r="K171" s="4" t="s">
        <v>1056</v>
      </c>
      <c r="L171" s="4" t="s">
        <v>656</v>
      </c>
      <c r="M171" s="4" t="s">
        <v>648</v>
      </c>
      <c r="N171" s="4">
        <v>11</v>
      </c>
      <c r="O171" s="4" t="s">
        <v>69</v>
      </c>
      <c r="P171" s="4">
        <v>2</v>
      </c>
      <c r="Q171" s="4">
        <v>1</v>
      </c>
      <c r="R171" s="4">
        <v>30</v>
      </c>
      <c r="T171" s="4" t="s">
        <v>70</v>
      </c>
      <c r="U171" s="4" t="s">
        <v>71</v>
      </c>
      <c r="V171" s="4" t="s">
        <v>72</v>
      </c>
      <c r="W171" s="6" t="s">
        <v>73</v>
      </c>
      <c r="BT171" s="4" t="s">
        <v>70</v>
      </c>
      <c r="BU171" s="4" t="s">
        <v>71</v>
      </c>
      <c r="BV171" s="4" t="s">
        <v>71</v>
      </c>
      <c r="BW171" s="4" t="s">
        <v>71</v>
      </c>
      <c r="BX171" s="4" t="s">
        <v>70</v>
      </c>
      <c r="BY171" s="4" t="s">
        <v>71</v>
      </c>
      <c r="BZ171" s="4" t="s">
        <v>71</v>
      </c>
      <c r="CA171" s="4" t="s">
        <v>71</v>
      </c>
      <c r="CB171" s="4" t="s">
        <v>71</v>
      </c>
      <c r="CC171" s="4" t="s">
        <v>71</v>
      </c>
      <c r="CD171" s="4" t="s">
        <v>71</v>
      </c>
      <c r="CE171" s="4" t="s">
        <v>71</v>
      </c>
      <c r="CF171" s="4" t="s">
        <v>71</v>
      </c>
      <c r="CG171" s="4" t="s">
        <v>71</v>
      </c>
      <c r="CH171" s="4" t="s">
        <v>71</v>
      </c>
      <c r="CI171" s="4" t="s">
        <v>71</v>
      </c>
      <c r="CJ171" s="4" t="s">
        <v>70</v>
      </c>
      <c r="CK171" s="4" t="s">
        <v>71</v>
      </c>
      <c r="CL171" s="4" t="s">
        <v>71</v>
      </c>
      <c r="CM171" s="4" t="s">
        <v>71</v>
      </c>
      <c r="CN171" s="4" t="s">
        <v>71</v>
      </c>
      <c r="CO171" s="4" t="s">
        <v>71</v>
      </c>
      <c r="CP171" s="4" t="s">
        <v>71</v>
      </c>
    </row>
    <row r="172" spans="1:95" ht="13.2" x14ac:dyDescent="0.25">
      <c r="A172" s="3">
        <v>45001.569512662041</v>
      </c>
      <c r="B172" s="4" t="s">
        <v>1062</v>
      </c>
      <c r="C172" s="4" t="s">
        <v>1063</v>
      </c>
      <c r="D172" s="5" t="s">
        <v>1064</v>
      </c>
      <c r="E172" s="4" t="s">
        <v>427</v>
      </c>
      <c r="F172" s="4" t="s">
        <v>428</v>
      </c>
      <c r="G172" s="4" t="s">
        <v>105</v>
      </c>
      <c r="H172" s="4" t="s">
        <v>1065</v>
      </c>
      <c r="I172" s="4" t="s">
        <v>1066</v>
      </c>
      <c r="J172" s="4" t="s">
        <v>1067</v>
      </c>
      <c r="K172" s="4" t="s">
        <v>1062</v>
      </c>
      <c r="L172" s="4" t="s">
        <v>656</v>
      </c>
      <c r="M172" s="4" t="s">
        <v>657</v>
      </c>
      <c r="N172" s="4">
        <v>35</v>
      </c>
      <c r="O172" s="4" t="s">
        <v>69</v>
      </c>
      <c r="P172" s="4">
        <v>2</v>
      </c>
      <c r="Q172" s="4">
        <v>1</v>
      </c>
      <c r="R172" s="4">
        <v>90</v>
      </c>
      <c r="S172" s="4" t="s">
        <v>1068</v>
      </c>
      <c r="T172" s="4" t="s">
        <v>70</v>
      </c>
      <c r="U172" s="4" t="s">
        <v>70</v>
      </c>
      <c r="V172" s="4" t="s">
        <v>237</v>
      </c>
      <c r="W172" s="6" t="s">
        <v>99</v>
      </c>
      <c r="AV172" s="4" t="s">
        <v>70</v>
      </c>
      <c r="AW172" s="4" t="s">
        <v>70</v>
      </c>
      <c r="AX172" s="4" t="s">
        <v>70</v>
      </c>
      <c r="AY172" s="4" t="s">
        <v>70</v>
      </c>
      <c r="AZ172" s="4" t="s">
        <v>70</v>
      </c>
      <c r="BA172" s="4" t="s">
        <v>71</v>
      </c>
      <c r="BB172" s="4" t="s">
        <v>70</v>
      </c>
      <c r="BC172" s="4" t="s">
        <v>71</v>
      </c>
      <c r="BD172" s="4" t="s">
        <v>70</v>
      </c>
      <c r="BE172" s="4" t="s">
        <v>71</v>
      </c>
      <c r="BF172" s="4" t="s">
        <v>70</v>
      </c>
      <c r="BG172" s="4" t="s">
        <v>70</v>
      </c>
      <c r="BH172" s="4" t="s">
        <v>70</v>
      </c>
      <c r="BI172" s="4" t="s">
        <v>70</v>
      </c>
      <c r="BJ172" s="4" t="s">
        <v>70</v>
      </c>
      <c r="BK172" s="4" t="s">
        <v>70</v>
      </c>
      <c r="BL172" s="4" t="s">
        <v>70</v>
      </c>
      <c r="BM172" s="4" t="s">
        <v>70</v>
      </c>
      <c r="BN172" s="4" t="s">
        <v>70</v>
      </c>
      <c r="BO172" s="4" t="s">
        <v>70</v>
      </c>
      <c r="BP172" s="4" t="s">
        <v>71</v>
      </c>
      <c r="BQ172" s="4" t="s">
        <v>71</v>
      </c>
      <c r="BR172" s="4" t="s">
        <v>70</v>
      </c>
      <c r="BS172" s="4" t="s">
        <v>1069</v>
      </c>
    </row>
    <row r="173" spans="1:95" ht="13.2" x14ac:dyDescent="0.25">
      <c r="A173" s="3">
        <v>45004.016620925926</v>
      </c>
      <c r="B173" s="4" t="s">
        <v>1070</v>
      </c>
      <c r="C173" s="4" t="s">
        <v>1071</v>
      </c>
      <c r="D173" s="5" t="s">
        <v>1072</v>
      </c>
      <c r="E173" s="4" t="s">
        <v>103</v>
      </c>
      <c r="F173" s="4" t="s">
        <v>384</v>
      </c>
      <c r="G173" s="4" t="s">
        <v>105</v>
      </c>
      <c r="H173" s="4" t="s">
        <v>1073</v>
      </c>
      <c r="I173" s="4" t="s">
        <v>1074</v>
      </c>
      <c r="J173" s="4" t="s">
        <v>1075</v>
      </c>
      <c r="K173" s="4" t="s">
        <v>1070</v>
      </c>
      <c r="L173" s="4" t="s">
        <v>656</v>
      </c>
      <c r="M173" s="4" t="s">
        <v>666</v>
      </c>
      <c r="N173" s="4">
        <v>35</v>
      </c>
      <c r="O173" s="4" t="s">
        <v>69</v>
      </c>
      <c r="P173" s="4">
        <v>2</v>
      </c>
      <c r="Q173" s="4">
        <v>2</v>
      </c>
      <c r="R173" s="4">
        <v>90</v>
      </c>
      <c r="S173" s="4" t="s">
        <v>1076</v>
      </c>
      <c r="T173" s="4" t="s">
        <v>70</v>
      </c>
      <c r="U173" s="4" t="s">
        <v>71</v>
      </c>
      <c r="V173" s="4" t="s">
        <v>72</v>
      </c>
      <c r="W173" s="6" t="s">
        <v>99</v>
      </c>
      <c r="AV173" s="4" t="s">
        <v>71</v>
      </c>
      <c r="AW173" s="4" t="s">
        <v>70</v>
      </c>
      <c r="AX173" s="4" t="s">
        <v>71</v>
      </c>
      <c r="AY173" s="4" t="s">
        <v>71</v>
      </c>
      <c r="AZ173" s="4" t="s">
        <v>70</v>
      </c>
      <c r="BA173" s="4" t="s">
        <v>71</v>
      </c>
      <c r="BB173" s="4" t="s">
        <v>71</v>
      </c>
      <c r="BC173" s="4" t="s">
        <v>71</v>
      </c>
      <c r="BD173" s="4" t="s">
        <v>71</v>
      </c>
      <c r="BE173" s="4" t="s">
        <v>70</v>
      </c>
      <c r="BF173" s="4" t="s">
        <v>71</v>
      </c>
      <c r="BG173" s="4" t="s">
        <v>71</v>
      </c>
      <c r="BH173" s="4" t="s">
        <v>71</v>
      </c>
      <c r="BI173" s="4" t="s">
        <v>71</v>
      </c>
      <c r="BJ173" s="4" t="s">
        <v>70</v>
      </c>
      <c r="BK173" s="4" t="s">
        <v>71</v>
      </c>
      <c r="BL173" s="4" t="s">
        <v>71</v>
      </c>
      <c r="BM173" s="4" t="s">
        <v>71</v>
      </c>
      <c r="BN173" s="4" t="s">
        <v>71</v>
      </c>
      <c r="BO173" s="4" t="s">
        <v>71</v>
      </c>
      <c r="BP173" s="4" t="s">
        <v>71</v>
      </c>
      <c r="BQ173" s="4" t="s">
        <v>71</v>
      </c>
      <c r="BR173" s="4" t="s">
        <v>71</v>
      </c>
      <c r="BS173" s="4" t="s">
        <v>1077</v>
      </c>
    </row>
    <row r="174" spans="1:95" ht="13.2" x14ac:dyDescent="0.25">
      <c r="A174" s="3">
        <v>45000.896914363431</v>
      </c>
      <c r="B174" s="4" t="s">
        <v>1078</v>
      </c>
      <c r="C174" s="4" t="s">
        <v>1079</v>
      </c>
      <c r="D174" s="5" t="s">
        <v>1080</v>
      </c>
      <c r="E174" s="4" t="s">
        <v>103</v>
      </c>
      <c r="F174" s="4" t="s">
        <v>1081</v>
      </c>
      <c r="G174" s="4" t="s">
        <v>105</v>
      </c>
      <c r="H174" s="4" t="s">
        <v>1082</v>
      </c>
      <c r="I174" s="4" t="s">
        <v>1083</v>
      </c>
      <c r="J174" s="4" t="s">
        <v>1084</v>
      </c>
      <c r="K174" s="4" t="s">
        <v>1078</v>
      </c>
      <c r="L174" s="4" t="s">
        <v>656</v>
      </c>
      <c r="M174" s="4" t="s">
        <v>579</v>
      </c>
      <c r="N174" s="4">
        <v>35</v>
      </c>
      <c r="O174" s="4" t="s">
        <v>69</v>
      </c>
      <c r="P174" s="4">
        <v>4</v>
      </c>
      <c r="Q174" s="4">
        <v>1</v>
      </c>
      <c r="R174" s="4">
        <v>95</v>
      </c>
      <c r="S174" s="4" t="s">
        <v>1085</v>
      </c>
      <c r="T174" s="4" t="s">
        <v>70</v>
      </c>
      <c r="U174" s="4" t="s">
        <v>70</v>
      </c>
      <c r="V174" s="4" t="s">
        <v>237</v>
      </c>
      <c r="W174" s="6" t="s">
        <v>73</v>
      </c>
      <c r="BT174" s="4" t="s">
        <v>71</v>
      </c>
      <c r="BU174" s="4" t="s">
        <v>71</v>
      </c>
      <c r="BV174" s="4" t="s">
        <v>70</v>
      </c>
      <c r="BW174" s="4" t="s">
        <v>71</v>
      </c>
      <c r="BX174" s="4" t="s">
        <v>71</v>
      </c>
      <c r="BY174" s="4" t="s">
        <v>71</v>
      </c>
      <c r="BZ174" s="4" t="s">
        <v>70</v>
      </c>
      <c r="CA174" s="4" t="s">
        <v>71</v>
      </c>
      <c r="CB174" s="4" t="s">
        <v>71</v>
      </c>
      <c r="CC174" s="4" t="s">
        <v>71</v>
      </c>
      <c r="CD174" s="4" t="s">
        <v>71</v>
      </c>
      <c r="CE174" s="4" t="s">
        <v>70</v>
      </c>
      <c r="CF174" s="4" t="s">
        <v>71</v>
      </c>
      <c r="CG174" s="4" t="s">
        <v>71</v>
      </c>
      <c r="CH174" s="4" t="s">
        <v>71</v>
      </c>
      <c r="CI174" s="4" t="s">
        <v>70</v>
      </c>
      <c r="CJ174" s="4" t="s">
        <v>71</v>
      </c>
      <c r="CK174" s="4" t="s">
        <v>71</v>
      </c>
      <c r="CL174" s="4" t="s">
        <v>71</v>
      </c>
      <c r="CM174" s="4" t="s">
        <v>71</v>
      </c>
      <c r="CN174" s="4" t="s">
        <v>71</v>
      </c>
      <c r="CO174" s="4" t="s">
        <v>71</v>
      </c>
      <c r="CP174" s="4" t="s">
        <v>70</v>
      </c>
      <c r="CQ174" s="4" t="s">
        <v>1086</v>
      </c>
    </row>
    <row r="175" spans="1:95" ht="13.2" x14ac:dyDescent="0.25">
      <c r="A175" s="3">
        <v>45002.812788946758</v>
      </c>
      <c r="B175" s="4" t="s">
        <v>1087</v>
      </c>
      <c r="C175" s="4" t="s">
        <v>1088</v>
      </c>
      <c r="D175" s="7" t="s">
        <v>1089</v>
      </c>
      <c r="E175" s="4" t="s">
        <v>103</v>
      </c>
      <c r="F175" s="4" t="s">
        <v>594</v>
      </c>
      <c r="G175" s="4" t="s">
        <v>105</v>
      </c>
      <c r="H175" s="4" t="s">
        <v>1090</v>
      </c>
      <c r="I175" s="4" t="s">
        <v>1091</v>
      </c>
      <c r="J175" s="4" t="s">
        <v>1092</v>
      </c>
      <c r="K175" s="4" t="s">
        <v>1087</v>
      </c>
      <c r="L175" s="4" t="s">
        <v>656</v>
      </c>
      <c r="M175" s="4" t="s">
        <v>674</v>
      </c>
      <c r="N175" s="4">
        <v>35</v>
      </c>
      <c r="O175" s="4" t="s">
        <v>69</v>
      </c>
      <c r="P175" s="4">
        <v>2</v>
      </c>
      <c r="Q175" s="4">
        <v>3</v>
      </c>
      <c r="R175" s="4">
        <v>80</v>
      </c>
      <c r="S175" s="4" t="s">
        <v>1093</v>
      </c>
      <c r="T175" s="4" t="s">
        <v>71</v>
      </c>
      <c r="U175" s="4" t="s">
        <v>70</v>
      </c>
      <c r="V175" s="4" t="s">
        <v>87</v>
      </c>
      <c r="W175" s="6" t="s">
        <v>73</v>
      </c>
      <c r="BT175" s="4" t="s">
        <v>71</v>
      </c>
      <c r="BU175" s="4" t="s">
        <v>70</v>
      </c>
      <c r="BV175" s="4" t="s">
        <v>70</v>
      </c>
      <c r="BW175" s="4" t="s">
        <v>71</v>
      </c>
      <c r="BX175" s="4" t="s">
        <v>71</v>
      </c>
      <c r="BY175" s="4" t="s">
        <v>70</v>
      </c>
      <c r="BZ175" s="4" t="s">
        <v>70</v>
      </c>
      <c r="CA175" s="4" t="s">
        <v>70</v>
      </c>
      <c r="CB175" s="4" t="s">
        <v>70</v>
      </c>
      <c r="CC175" s="4" t="s">
        <v>71</v>
      </c>
      <c r="CD175" s="4" t="s">
        <v>71</v>
      </c>
      <c r="CE175" s="4" t="s">
        <v>70</v>
      </c>
      <c r="CF175" s="4" t="s">
        <v>70</v>
      </c>
      <c r="CG175" s="4" t="s">
        <v>70</v>
      </c>
      <c r="CH175" s="4" t="s">
        <v>71</v>
      </c>
      <c r="CI175" s="4" t="s">
        <v>70</v>
      </c>
      <c r="CJ175" s="4" t="s">
        <v>70</v>
      </c>
      <c r="CK175" s="4" t="s">
        <v>70</v>
      </c>
      <c r="CL175" s="4" t="s">
        <v>70</v>
      </c>
      <c r="CM175" s="4" t="s">
        <v>71</v>
      </c>
      <c r="CN175" s="4" t="s">
        <v>70</v>
      </c>
      <c r="CO175" s="4" t="s">
        <v>70</v>
      </c>
      <c r="CP175" s="4" t="s">
        <v>70</v>
      </c>
      <c r="CQ175" s="4" t="s">
        <v>1094</v>
      </c>
    </row>
    <row r="176" spans="1:95" ht="13.2" x14ac:dyDescent="0.25">
      <c r="A176" s="3">
        <v>45002.915442592595</v>
      </c>
      <c r="B176" s="4" t="s">
        <v>1095</v>
      </c>
      <c r="C176" s="4" t="s">
        <v>1096</v>
      </c>
      <c r="D176" s="5" t="s">
        <v>1089</v>
      </c>
      <c r="E176" s="4" t="s">
        <v>62</v>
      </c>
      <c r="F176" s="4" t="s">
        <v>1097</v>
      </c>
      <c r="G176" s="4" t="s">
        <v>105</v>
      </c>
      <c r="H176" s="4" t="s">
        <v>1090</v>
      </c>
      <c r="I176" s="4" t="s">
        <v>1098</v>
      </c>
      <c r="J176" s="4" t="s">
        <v>1099</v>
      </c>
      <c r="K176" s="4" t="s">
        <v>1095</v>
      </c>
      <c r="L176" s="4" t="s">
        <v>656</v>
      </c>
      <c r="M176" s="4" t="s">
        <v>458</v>
      </c>
      <c r="N176" s="4">
        <v>35</v>
      </c>
      <c r="O176" s="4" t="s">
        <v>69</v>
      </c>
      <c r="P176" s="4">
        <v>2</v>
      </c>
      <c r="Q176" s="4">
        <v>3</v>
      </c>
      <c r="R176" s="4">
        <v>80</v>
      </c>
      <c r="S176" s="4" t="s">
        <v>1100</v>
      </c>
      <c r="T176" s="4" t="s">
        <v>70</v>
      </c>
      <c r="U176" s="4" t="s">
        <v>70</v>
      </c>
      <c r="V176" s="4" t="s">
        <v>237</v>
      </c>
      <c r="W176" s="6" t="s">
        <v>73</v>
      </c>
      <c r="BT176" s="4" t="s">
        <v>71</v>
      </c>
      <c r="BU176" s="4" t="s">
        <v>70</v>
      </c>
      <c r="BV176" s="4" t="s">
        <v>70</v>
      </c>
      <c r="BW176" s="4" t="s">
        <v>71</v>
      </c>
      <c r="BX176" s="4" t="s">
        <v>71</v>
      </c>
      <c r="BY176" s="4" t="s">
        <v>70</v>
      </c>
      <c r="BZ176" s="4" t="s">
        <v>70</v>
      </c>
      <c r="CA176" s="4" t="s">
        <v>70</v>
      </c>
      <c r="CB176" s="4" t="s">
        <v>70</v>
      </c>
      <c r="CC176" s="4" t="s">
        <v>71</v>
      </c>
      <c r="CD176" s="4" t="s">
        <v>71</v>
      </c>
      <c r="CE176" s="4" t="s">
        <v>70</v>
      </c>
      <c r="CF176" s="4" t="s">
        <v>70</v>
      </c>
      <c r="CG176" s="4" t="s">
        <v>70</v>
      </c>
      <c r="CH176" s="4" t="s">
        <v>71</v>
      </c>
      <c r="CI176" s="4" t="s">
        <v>70</v>
      </c>
      <c r="CJ176" s="4" t="s">
        <v>70</v>
      </c>
      <c r="CK176" s="4" t="s">
        <v>70</v>
      </c>
      <c r="CL176" s="4" t="s">
        <v>70</v>
      </c>
      <c r="CM176" s="4" t="s">
        <v>71</v>
      </c>
      <c r="CN176" s="4" t="s">
        <v>70</v>
      </c>
      <c r="CO176" s="4" t="s">
        <v>70</v>
      </c>
      <c r="CP176" s="4" t="s">
        <v>70</v>
      </c>
      <c r="CQ176" s="4" t="s">
        <v>1101</v>
      </c>
    </row>
    <row r="177" spans="1:94" ht="13.2" x14ac:dyDescent="0.25">
      <c r="A177" s="3">
        <v>45002.566896562501</v>
      </c>
      <c r="B177" s="4" t="s">
        <v>1014</v>
      </c>
      <c r="C177" s="4" t="s">
        <v>1102</v>
      </c>
      <c r="D177" s="5" t="s">
        <v>1103</v>
      </c>
      <c r="E177" s="4" t="s">
        <v>62</v>
      </c>
      <c r="F177" s="4" t="s">
        <v>581</v>
      </c>
      <c r="G177" s="4" t="s">
        <v>105</v>
      </c>
      <c r="H177" s="4" t="s">
        <v>1104</v>
      </c>
      <c r="I177" s="4" t="s">
        <v>1105</v>
      </c>
      <c r="K177" s="4" t="s">
        <v>1014</v>
      </c>
      <c r="L177" s="4" t="s">
        <v>656</v>
      </c>
      <c r="M177" s="4" t="s">
        <v>361</v>
      </c>
      <c r="N177" s="4">
        <v>35</v>
      </c>
      <c r="O177" s="4" t="s">
        <v>69</v>
      </c>
      <c r="P177" s="4">
        <v>3</v>
      </c>
      <c r="Q177" s="4">
        <v>1</v>
      </c>
      <c r="R177" s="4">
        <v>75</v>
      </c>
      <c r="T177" s="4" t="s">
        <v>70</v>
      </c>
      <c r="U177" s="4" t="s">
        <v>71</v>
      </c>
      <c r="V177" s="4" t="s">
        <v>72</v>
      </c>
      <c r="W177" s="6" t="s">
        <v>145</v>
      </c>
      <c r="X177" s="4" t="s">
        <v>70</v>
      </c>
      <c r="Y177" s="4" t="s">
        <v>71</v>
      </c>
      <c r="Z177" s="4" t="s">
        <v>71</v>
      </c>
      <c r="AA177" s="4" t="s">
        <v>71</v>
      </c>
      <c r="AB177" s="4" t="s">
        <v>71</v>
      </c>
      <c r="AC177" s="4" t="s">
        <v>71</v>
      </c>
      <c r="AD177" s="4" t="s">
        <v>70</v>
      </c>
      <c r="AE177" s="4" t="s">
        <v>70</v>
      </c>
      <c r="AF177" s="4" t="s">
        <v>70</v>
      </c>
      <c r="AG177" s="4" t="s">
        <v>71</v>
      </c>
      <c r="AH177" s="4" t="s">
        <v>70</v>
      </c>
      <c r="AI177" s="4" t="s">
        <v>71</v>
      </c>
      <c r="AJ177" s="4" t="s">
        <v>71</v>
      </c>
      <c r="AK177" s="4" t="s">
        <v>71</v>
      </c>
      <c r="AL177" s="4" t="s">
        <v>71</v>
      </c>
      <c r="AM177" s="4" t="s">
        <v>71</v>
      </c>
      <c r="AN177" s="4" t="s">
        <v>70</v>
      </c>
      <c r="AO177" s="4" t="s">
        <v>71</v>
      </c>
      <c r="AP177" s="4" t="s">
        <v>71</v>
      </c>
      <c r="AQ177" s="4" t="s">
        <v>71</v>
      </c>
      <c r="AR177" s="4" t="s">
        <v>71</v>
      </c>
      <c r="AS177" s="4" t="s">
        <v>70</v>
      </c>
      <c r="AT177" s="4" t="s">
        <v>70</v>
      </c>
    </row>
    <row r="178" spans="1:94" ht="13.2" x14ac:dyDescent="0.25">
      <c r="A178" s="3">
        <v>45005.626857986106</v>
      </c>
      <c r="B178" s="4" t="s">
        <v>1106</v>
      </c>
      <c r="C178" s="4" t="s">
        <v>1107</v>
      </c>
      <c r="D178" s="5" t="s">
        <v>1108</v>
      </c>
      <c r="E178" s="4" t="s">
        <v>62</v>
      </c>
      <c r="F178" s="4" t="s">
        <v>1109</v>
      </c>
      <c r="G178" s="4" t="s">
        <v>105</v>
      </c>
      <c r="H178" s="4" t="s">
        <v>1110</v>
      </c>
      <c r="I178" s="4" t="s">
        <v>1111</v>
      </c>
      <c r="J178" s="4" t="s">
        <v>1112</v>
      </c>
      <c r="K178" s="4" t="s">
        <v>1106</v>
      </c>
      <c r="L178" s="4" t="s">
        <v>656</v>
      </c>
      <c r="M178" s="4" t="s">
        <v>680</v>
      </c>
      <c r="N178" s="4">
        <v>30</v>
      </c>
      <c r="O178" s="4" t="s">
        <v>200</v>
      </c>
      <c r="P178" s="4">
        <v>4</v>
      </c>
      <c r="Q178" s="4">
        <v>1</v>
      </c>
      <c r="R178" s="4">
        <v>80</v>
      </c>
      <c r="T178" s="4" t="s">
        <v>70</v>
      </c>
      <c r="U178" s="4" t="s">
        <v>70</v>
      </c>
      <c r="V178" s="4" t="s">
        <v>237</v>
      </c>
      <c r="W178" s="6" t="s">
        <v>145</v>
      </c>
      <c r="X178" s="4" t="s">
        <v>70</v>
      </c>
      <c r="Y178" s="4" t="s">
        <v>71</v>
      </c>
      <c r="Z178" s="4" t="s">
        <v>70</v>
      </c>
      <c r="AA178" s="4" t="s">
        <v>71</v>
      </c>
      <c r="AB178" s="4" t="s">
        <v>71</v>
      </c>
      <c r="AC178" s="4" t="s">
        <v>71</v>
      </c>
      <c r="AD178" s="4" t="s">
        <v>70</v>
      </c>
      <c r="AE178" s="4" t="s">
        <v>71</v>
      </c>
      <c r="AF178" s="4" t="s">
        <v>71</v>
      </c>
      <c r="AG178" s="4" t="s">
        <v>71</v>
      </c>
      <c r="AH178" s="4" t="s">
        <v>71</v>
      </c>
      <c r="AI178" s="4" t="s">
        <v>70</v>
      </c>
      <c r="AJ178" s="4" t="s">
        <v>70</v>
      </c>
      <c r="AK178" s="4" t="s">
        <v>71</v>
      </c>
      <c r="AL178" s="4" t="s">
        <v>71</v>
      </c>
      <c r="AM178" s="4" t="s">
        <v>70</v>
      </c>
      <c r="AN178" s="4" t="s">
        <v>71</v>
      </c>
      <c r="AO178" s="4" t="s">
        <v>71</v>
      </c>
      <c r="AP178" s="4" t="s">
        <v>71</v>
      </c>
      <c r="AQ178" s="4" t="s">
        <v>71</v>
      </c>
      <c r="AR178" s="4" t="s">
        <v>70</v>
      </c>
      <c r="AS178" s="4" t="s">
        <v>71</v>
      </c>
      <c r="AT178" s="4" t="s">
        <v>71</v>
      </c>
    </row>
    <row r="179" spans="1:94" ht="13.2" x14ac:dyDescent="0.25">
      <c r="A179" s="3">
        <v>45005.723544733795</v>
      </c>
      <c r="B179" s="4" t="s">
        <v>1113</v>
      </c>
      <c r="C179" s="4" t="s">
        <v>1114</v>
      </c>
      <c r="D179" s="6" t="s">
        <v>1115</v>
      </c>
      <c r="E179" s="4" t="s">
        <v>1116</v>
      </c>
      <c r="F179" s="4" t="s">
        <v>581</v>
      </c>
      <c r="G179" s="4" t="s">
        <v>105</v>
      </c>
      <c r="H179" s="4" t="s">
        <v>1117</v>
      </c>
      <c r="I179" s="4" t="s">
        <v>1118</v>
      </c>
      <c r="J179" s="4" t="s">
        <v>1119</v>
      </c>
      <c r="K179" s="4" t="s">
        <v>1113</v>
      </c>
      <c r="L179" s="4" t="s">
        <v>665</v>
      </c>
      <c r="M179" s="4" t="s">
        <v>681</v>
      </c>
      <c r="N179" s="4">
        <v>20</v>
      </c>
      <c r="O179" s="4" t="s">
        <v>69</v>
      </c>
      <c r="P179" s="4">
        <v>3</v>
      </c>
      <c r="Q179" s="4">
        <v>2</v>
      </c>
      <c r="R179" s="4">
        <v>100</v>
      </c>
      <c r="T179" s="4" t="s">
        <v>70</v>
      </c>
      <c r="U179" s="4" t="s">
        <v>70</v>
      </c>
      <c r="V179" s="4" t="s">
        <v>237</v>
      </c>
      <c r="W179" s="6" t="s">
        <v>99</v>
      </c>
      <c r="AV179" s="4" t="s">
        <v>71</v>
      </c>
      <c r="AW179" s="4" t="s">
        <v>71</v>
      </c>
      <c r="AX179" s="4" t="s">
        <v>70</v>
      </c>
      <c r="AY179" s="4" t="s">
        <v>71</v>
      </c>
      <c r="AZ179" s="4" t="s">
        <v>70</v>
      </c>
      <c r="BA179" s="4" t="s">
        <v>71</v>
      </c>
      <c r="BB179" s="4" t="s">
        <v>70</v>
      </c>
      <c r="BC179" s="4" t="s">
        <v>71</v>
      </c>
      <c r="BD179" s="4" t="s">
        <v>71</v>
      </c>
      <c r="BL179" s="4" t="s">
        <v>70</v>
      </c>
    </row>
    <row r="180" spans="1:94" ht="13.2" x14ac:dyDescent="0.25">
      <c r="A180" s="3">
        <v>45005.70891346065</v>
      </c>
      <c r="B180" s="4" t="s">
        <v>1120</v>
      </c>
      <c r="C180" s="4" t="s">
        <v>1121</v>
      </c>
      <c r="D180" s="6" t="s">
        <v>1122</v>
      </c>
      <c r="E180" s="4" t="s">
        <v>263</v>
      </c>
      <c r="F180" s="4" t="s">
        <v>1123</v>
      </c>
      <c r="G180" s="4" t="s">
        <v>105</v>
      </c>
      <c r="H180" s="4" t="s">
        <v>1124</v>
      </c>
      <c r="I180" s="4" t="s">
        <v>1125</v>
      </c>
      <c r="J180" s="4" t="s">
        <v>1126</v>
      </c>
      <c r="K180" s="4" t="s">
        <v>1120</v>
      </c>
      <c r="L180" s="4" t="s">
        <v>656</v>
      </c>
      <c r="M180" s="4" t="s">
        <v>689</v>
      </c>
      <c r="N180" s="4">
        <v>35</v>
      </c>
      <c r="O180" s="4" t="s">
        <v>69</v>
      </c>
      <c r="P180" s="4">
        <v>3</v>
      </c>
      <c r="Q180" s="4">
        <v>1</v>
      </c>
      <c r="R180" s="4">
        <v>90</v>
      </c>
      <c r="T180" s="4" t="s">
        <v>70</v>
      </c>
      <c r="U180" s="4" t="s">
        <v>70</v>
      </c>
      <c r="V180" s="4" t="s">
        <v>237</v>
      </c>
      <c r="W180" s="6" t="s">
        <v>99</v>
      </c>
      <c r="AV180" s="4" t="s">
        <v>70</v>
      </c>
      <c r="AW180" s="4" t="s">
        <v>70</v>
      </c>
      <c r="AX180" s="4" t="s">
        <v>71</v>
      </c>
      <c r="AY180" s="4" t="s">
        <v>71</v>
      </c>
      <c r="AZ180" s="4" t="s">
        <v>70</v>
      </c>
      <c r="BA180" s="4" t="s">
        <v>71</v>
      </c>
      <c r="BB180" s="4" t="s">
        <v>71</v>
      </c>
      <c r="BC180" s="4" t="s">
        <v>71</v>
      </c>
      <c r="BD180" s="4" t="s">
        <v>71</v>
      </c>
      <c r="BE180" s="4" t="s">
        <v>71</v>
      </c>
      <c r="BF180" s="4" t="s">
        <v>71</v>
      </c>
      <c r="BG180" s="4" t="s">
        <v>71</v>
      </c>
      <c r="BH180" s="4" t="s">
        <v>70</v>
      </c>
      <c r="BI180" s="4" t="s">
        <v>71</v>
      </c>
      <c r="BJ180" s="4" t="s">
        <v>71</v>
      </c>
      <c r="BK180" s="4" t="s">
        <v>71</v>
      </c>
      <c r="BL180" s="4" t="s">
        <v>71</v>
      </c>
      <c r="BM180" s="4" t="s">
        <v>71</v>
      </c>
      <c r="BN180" s="4" t="s">
        <v>70</v>
      </c>
      <c r="BO180" s="4" t="s">
        <v>71</v>
      </c>
      <c r="BP180" s="4" t="s">
        <v>71</v>
      </c>
      <c r="BQ180" s="4" t="s">
        <v>71</v>
      </c>
      <c r="BR180" s="4" t="s">
        <v>71</v>
      </c>
    </row>
    <row r="181" spans="1:94" ht="13.2" x14ac:dyDescent="0.25">
      <c r="A181" s="3">
        <v>45000.836320347225</v>
      </c>
      <c r="B181" s="4" t="s">
        <v>1127</v>
      </c>
      <c r="C181" s="4" t="s">
        <v>1128</v>
      </c>
      <c r="D181" s="5" t="s">
        <v>1129</v>
      </c>
      <c r="E181" s="4" t="s">
        <v>103</v>
      </c>
      <c r="F181" s="4" t="s">
        <v>1130</v>
      </c>
      <c r="G181" s="4" t="s">
        <v>64</v>
      </c>
      <c r="H181" s="4" t="s">
        <v>1131</v>
      </c>
      <c r="I181" s="4" t="s">
        <v>1132</v>
      </c>
      <c r="J181" s="4" t="s">
        <v>1133</v>
      </c>
      <c r="K181" s="4" t="s">
        <v>1127</v>
      </c>
      <c r="L181" s="4" t="s">
        <v>656</v>
      </c>
      <c r="M181" s="4" t="s">
        <v>693</v>
      </c>
      <c r="N181" s="4">
        <v>35</v>
      </c>
      <c r="O181" s="4" t="s">
        <v>200</v>
      </c>
      <c r="P181" s="4">
        <v>5</v>
      </c>
      <c r="Q181" s="4">
        <v>4</v>
      </c>
      <c r="R181" s="4">
        <v>0</v>
      </c>
      <c r="T181" s="4" t="s">
        <v>70</v>
      </c>
      <c r="U181" s="4" t="s">
        <v>70</v>
      </c>
      <c r="V181" s="4" t="s">
        <v>237</v>
      </c>
      <c r="W181" s="6" t="s">
        <v>99</v>
      </c>
      <c r="AV181" s="4" t="s">
        <v>71</v>
      </c>
      <c r="AW181" s="4" t="s">
        <v>70</v>
      </c>
      <c r="AX181" s="4" t="s">
        <v>71</v>
      </c>
      <c r="AY181" s="4" t="s">
        <v>71</v>
      </c>
      <c r="AZ181" s="4" t="s">
        <v>71</v>
      </c>
      <c r="BA181" s="4" t="s">
        <v>70</v>
      </c>
      <c r="BB181" s="4" t="s">
        <v>71</v>
      </c>
      <c r="BC181" s="4" t="s">
        <v>71</v>
      </c>
      <c r="BD181" s="4" t="s">
        <v>71</v>
      </c>
      <c r="BE181" s="4" t="s">
        <v>71</v>
      </c>
      <c r="BF181" s="4" t="s">
        <v>71</v>
      </c>
      <c r="BG181" s="4" t="s">
        <v>70</v>
      </c>
      <c r="BH181" s="4" t="s">
        <v>71</v>
      </c>
      <c r="BI181" s="4" t="s">
        <v>71</v>
      </c>
      <c r="BJ181" s="4" t="s">
        <v>71</v>
      </c>
      <c r="BK181" s="4" t="s">
        <v>71</v>
      </c>
      <c r="BL181" s="4" t="s">
        <v>71</v>
      </c>
      <c r="BM181" s="4" t="s">
        <v>71</v>
      </c>
      <c r="BN181" s="4" t="s">
        <v>71</v>
      </c>
      <c r="BO181" s="4" t="s">
        <v>71</v>
      </c>
      <c r="BP181" s="4" t="s">
        <v>70</v>
      </c>
      <c r="BQ181" s="4" t="s">
        <v>71</v>
      </c>
      <c r="BR181" s="4" t="s">
        <v>71</v>
      </c>
    </row>
    <row r="182" spans="1:94" ht="13.2" x14ac:dyDescent="0.25">
      <c r="A182" s="3">
        <v>45000.841201817129</v>
      </c>
      <c r="B182" s="4" t="s">
        <v>1127</v>
      </c>
      <c r="C182" s="4" t="s">
        <v>1128</v>
      </c>
      <c r="D182" s="5" t="s">
        <v>1129</v>
      </c>
      <c r="E182" s="4" t="s">
        <v>103</v>
      </c>
      <c r="F182" s="4" t="s">
        <v>1130</v>
      </c>
      <c r="G182" s="4" t="s">
        <v>64</v>
      </c>
      <c r="H182" s="4" t="s">
        <v>1131</v>
      </c>
      <c r="I182" s="4" t="s">
        <v>1132</v>
      </c>
      <c r="J182" s="4" t="s">
        <v>1134</v>
      </c>
      <c r="K182" s="4" t="s">
        <v>1127</v>
      </c>
      <c r="L182" s="4" t="s">
        <v>656</v>
      </c>
      <c r="M182" s="4" t="s">
        <v>693</v>
      </c>
      <c r="N182" s="4">
        <v>35</v>
      </c>
      <c r="O182" s="4" t="s">
        <v>200</v>
      </c>
      <c r="P182" s="4">
        <v>5</v>
      </c>
      <c r="Q182" s="4">
        <v>4</v>
      </c>
      <c r="R182" s="4">
        <v>0</v>
      </c>
      <c r="T182" s="4" t="s">
        <v>70</v>
      </c>
      <c r="U182" s="4" t="s">
        <v>70</v>
      </c>
      <c r="V182" s="4" t="s">
        <v>237</v>
      </c>
      <c r="W182" s="6" t="s">
        <v>99</v>
      </c>
      <c r="AV182" s="4" t="s">
        <v>71</v>
      </c>
      <c r="AW182" s="4" t="s">
        <v>70</v>
      </c>
      <c r="AX182" s="4" t="s">
        <v>71</v>
      </c>
      <c r="AY182" s="4" t="s">
        <v>70</v>
      </c>
      <c r="AZ182" s="4" t="s">
        <v>71</v>
      </c>
      <c r="BA182" s="4" t="s">
        <v>70</v>
      </c>
      <c r="BB182" s="4" t="s">
        <v>71</v>
      </c>
      <c r="BC182" s="4" t="s">
        <v>71</v>
      </c>
      <c r="BD182" s="4" t="s">
        <v>71</v>
      </c>
      <c r="BE182" s="4" t="s">
        <v>71</v>
      </c>
      <c r="BF182" s="4" t="s">
        <v>71</v>
      </c>
      <c r="BG182" s="4" t="s">
        <v>70</v>
      </c>
      <c r="BH182" s="4" t="s">
        <v>71</v>
      </c>
      <c r="BI182" s="4" t="s">
        <v>71</v>
      </c>
      <c r="BK182" s="4" t="s">
        <v>71</v>
      </c>
      <c r="BL182" s="4" t="s">
        <v>70</v>
      </c>
      <c r="BM182" s="4" t="s">
        <v>71</v>
      </c>
      <c r="BN182" s="4" t="s">
        <v>71</v>
      </c>
      <c r="BO182" s="4" t="s">
        <v>71</v>
      </c>
      <c r="BP182" s="4" t="s">
        <v>70</v>
      </c>
      <c r="BR182" s="4" t="s">
        <v>71</v>
      </c>
    </row>
    <row r="183" spans="1:94" ht="13.2" x14ac:dyDescent="0.25">
      <c r="A183" s="3">
        <v>45000.843717060183</v>
      </c>
      <c r="B183" s="4" t="s">
        <v>1127</v>
      </c>
      <c r="C183" s="4" t="s">
        <v>1128</v>
      </c>
      <c r="D183" s="5" t="s">
        <v>1129</v>
      </c>
      <c r="E183" s="4" t="s">
        <v>103</v>
      </c>
      <c r="F183" s="4" t="s">
        <v>1135</v>
      </c>
      <c r="G183" s="4" t="s">
        <v>64</v>
      </c>
      <c r="H183" s="4" t="s">
        <v>1136</v>
      </c>
      <c r="I183" s="4" t="s">
        <v>1132</v>
      </c>
      <c r="J183" s="4" t="s">
        <v>1134</v>
      </c>
      <c r="K183" s="4" t="s">
        <v>1127</v>
      </c>
      <c r="L183" s="4" t="s">
        <v>656</v>
      </c>
      <c r="M183" s="4" t="s">
        <v>700</v>
      </c>
      <c r="N183" s="4">
        <v>35</v>
      </c>
      <c r="O183" s="4" t="s">
        <v>200</v>
      </c>
      <c r="P183" s="4">
        <v>5</v>
      </c>
      <c r="Q183" s="4">
        <v>4</v>
      </c>
      <c r="R183" s="4">
        <v>0</v>
      </c>
      <c r="T183" s="4" t="s">
        <v>70</v>
      </c>
      <c r="U183" s="4" t="s">
        <v>70</v>
      </c>
      <c r="V183" s="4" t="s">
        <v>237</v>
      </c>
      <c r="W183" s="6" t="s">
        <v>99</v>
      </c>
      <c r="AV183" s="4" t="s">
        <v>71</v>
      </c>
      <c r="AW183" s="4" t="s">
        <v>70</v>
      </c>
      <c r="AX183" s="4" t="s">
        <v>71</v>
      </c>
      <c r="AY183" s="4" t="s">
        <v>71</v>
      </c>
      <c r="AZ183" s="4" t="s">
        <v>71</v>
      </c>
      <c r="BA183" s="4" t="s">
        <v>71</v>
      </c>
      <c r="BB183" s="4" t="s">
        <v>70</v>
      </c>
      <c r="BC183" s="4" t="s">
        <v>71</v>
      </c>
      <c r="BD183" s="4" t="s">
        <v>71</v>
      </c>
      <c r="BE183" s="4" t="s">
        <v>71</v>
      </c>
      <c r="BF183" s="4" t="s">
        <v>71</v>
      </c>
      <c r="BG183" s="4" t="s">
        <v>70</v>
      </c>
      <c r="BH183" s="4" t="s">
        <v>71</v>
      </c>
      <c r="BI183" s="4" t="s">
        <v>71</v>
      </c>
      <c r="BJ183" s="4" t="s">
        <v>71</v>
      </c>
      <c r="BK183" s="4" t="s">
        <v>71</v>
      </c>
      <c r="BL183" s="4" t="s">
        <v>70</v>
      </c>
      <c r="BM183" s="4" t="s">
        <v>71</v>
      </c>
      <c r="BN183" s="4" t="s">
        <v>71</v>
      </c>
      <c r="BO183" s="4" t="s">
        <v>71</v>
      </c>
      <c r="BP183" s="4" t="s">
        <v>70</v>
      </c>
      <c r="BQ183" s="4" t="s">
        <v>71</v>
      </c>
      <c r="BR183" s="4" t="s">
        <v>71</v>
      </c>
    </row>
    <row r="184" spans="1:94" ht="13.2" x14ac:dyDescent="0.25">
      <c r="A184" s="3">
        <v>45001.604640810183</v>
      </c>
      <c r="B184" s="4" t="s">
        <v>1137</v>
      </c>
      <c r="C184" s="4" t="s">
        <v>1138</v>
      </c>
      <c r="D184" s="7" t="s">
        <v>1139</v>
      </c>
      <c r="E184" s="4" t="s">
        <v>149</v>
      </c>
      <c r="F184" s="4" t="s">
        <v>671</v>
      </c>
      <c r="G184" s="4" t="s">
        <v>64</v>
      </c>
      <c r="H184" s="4" t="s">
        <v>1140</v>
      </c>
      <c r="I184" s="4" t="s">
        <v>1141</v>
      </c>
      <c r="J184" s="4" t="s">
        <v>1142</v>
      </c>
      <c r="K184" s="4" t="s">
        <v>1137</v>
      </c>
      <c r="L184" s="4" t="s">
        <v>656</v>
      </c>
      <c r="M184" s="4" t="s">
        <v>708</v>
      </c>
      <c r="N184" s="4">
        <v>39</v>
      </c>
      <c r="O184" s="4" t="s">
        <v>69</v>
      </c>
      <c r="P184" s="4">
        <v>3</v>
      </c>
      <c r="Q184" s="4">
        <v>2</v>
      </c>
      <c r="R184" s="4">
        <v>30</v>
      </c>
      <c r="T184" s="4" t="s">
        <v>70</v>
      </c>
      <c r="U184" s="4" t="s">
        <v>71</v>
      </c>
      <c r="V184" s="4" t="s">
        <v>72</v>
      </c>
      <c r="W184" s="6" t="s">
        <v>145</v>
      </c>
      <c r="X184" s="4" t="s">
        <v>70</v>
      </c>
      <c r="Y184" s="4" t="s">
        <v>71</v>
      </c>
      <c r="Z184" s="4" t="s">
        <v>71</v>
      </c>
      <c r="AA184" s="4" t="s">
        <v>71</v>
      </c>
      <c r="AB184" s="4" t="s">
        <v>71</v>
      </c>
      <c r="AC184" s="4" t="s">
        <v>70</v>
      </c>
      <c r="AD184" s="4" t="s">
        <v>71</v>
      </c>
      <c r="AE184" s="4" t="s">
        <v>71</v>
      </c>
      <c r="AF184" s="4" t="s">
        <v>71</v>
      </c>
      <c r="AG184" s="4" t="s">
        <v>71</v>
      </c>
      <c r="AH184" s="4" t="s">
        <v>71</v>
      </c>
      <c r="AI184" s="4" t="s">
        <v>71</v>
      </c>
      <c r="AJ184" s="4" t="s">
        <v>71</v>
      </c>
      <c r="AK184" s="4" t="s">
        <v>71</v>
      </c>
      <c r="AL184" s="4" t="s">
        <v>71</v>
      </c>
      <c r="AM184" s="4" t="s">
        <v>71</v>
      </c>
      <c r="AN184" s="4" t="s">
        <v>71</v>
      </c>
      <c r="AO184" s="4" t="s">
        <v>71</v>
      </c>
      <c r="AP184" s="4" t="s">
        <v>71</v>
      </c>
      <c r="AQ184" s="4" t="s">
        <v>70</v>
      </c>
    </row>
    <row r="185" spans="1:94" ht="13.2" x14ac:dyDescent="0.25">
      <c r="A185" s="3">
        <v>45002.927558981479</v>
      </c>
      <c r="B185" s="4" t="s">
        <v>1143</v>
      </c>
      <c r="C185" s="4" t="s">
        <v>1144</v>
      </c>
      <c r="D185" s="5" t="s">
        <v>1145</v>
      </c>
      <c r="E185" s="4" t="s">
        <v>62</v>
      </c>
      <c r="F185" s="4" t="s">
        <v>1146</v>
      </c>
      <c r="G185" s="4" t="s">
        <v>64</v>
      </c>
      <c r="H185" s="4" t="s">
        <v>1147</v>
      </c>
      <c r="I185" s="4" t="s">
        <v>1148</v>
      </c>
      <c r="J185" s="4" t="s">
        <v>1149</v>
      </c>
      <c r="K185" s="4" t="s">
        <v>1143</v>
      </c>
      <c r="L185" s="4" t="s">
        <v>656</v>
      </c>
      <c r="M185" s="4" t="s">
        <v>411</v>
      </c>
      <c r="N185" s="4">
        <v>21</v>
      </c>
      <c r="O185" s="4" t="s">
        <v>69</v>
      </c>
      <c r="P185" s="4">
        <v>5</v>
      </c>
      <c r="Q185" s="4">
        <v>5</v>
      </c>
      <c r="R185" s="4">
        <v>0</v>
      </c>
      <c r="T185" s="4" t="s">
        <v>70</v>
      </c>
      <c r="U185" s="4" t="s">
        <v>70</v>
      </c>
      <c r="V185" s="4" t="s">
        <v>237</v>
      </c>
      <c r="W185" s="6" t="s">
        <v>73</v>
      </c>
      <c r="BT185" s="4" t="s">
        <v>71</v>
      </c>
      <c r="BU185" s="4" t="s">
        <v>70</v>
      </c>
      <c r="BV185" s="4" t="s">
        <v>71</v>
      </c>
      <c r="BW185" s="4" t="s">
        <v>70</v>
      </c>
      <c r="BX185" s="4" t="s">
        <v>70</v>
      </c>
      <c r="BY185" s="4" t="s">
        <v>71</v>
      </c>
      <c r="BZ185" s="4" t="s">
        <v>71</v>
      </c>
      <c r="CA185" s="4" t="s">
        <v>71</v>
      </c>
      <c r="CB185" s="4" t="s">
        <v>71</v>
      </c>
      <c r="CC185" s="4" t="s">
        <v>71</v>
      </c>
      <c r="CD185" s="4" t="s">
        <v>71</v>
      </c>
      <c r="CE185" s="4" t="s">
        <v>71</v>
      </c>
      <c r="CF185" s="4" t="s">
        <v>71</v>
      </c>
      <c r="CG185" s="4" t="s">
        <v>71</v>
      </c>
      <c r="CH185" s="4" t="s">
        <v>71</v>
      </c>
      <c r="CI185" s="4" t="s">
        <v>71</v>
      </c>
      <c r="CJ185" s="4" t="s">
        <v>71</v>
      </c>
      <c r="CK185" s="4" t="s">
        <v>71</v>
      </c>
      <c r="CL185" s="4" t="s">
        <v>71</v>
      </c>
      <c r="CM185" s="4" t="s">
        <v>70</v>
      </c>
      <c r="CN185" s="4" t="s">
        <v>71</v>
      </c>
      <c r="CO185" s="4" t="s">
        <v>71</v>
      </c>
      <c r="CP185" s="4" t="s">
        <v>71</v>
      </c>
    </row>
    <row r="186" spans="1:94" ht="13.2" x14ac:dyDescent="0.25">
      <c r="A186" s="3">
        <v>45002.930021296299</v>
      </c>
      <c r="B186" s="4" t="s">
        <v>1143</v>
      </c>
      <c r="C186" s="4" t="s">
        <v>1150</v>
      </c>
      <c r="D186" s="5" t="s">
        <v>1145</v>
      </c>
      <c r="E186" s="4" t="s">
        <v>62</v>
      </c>
      <c r="F186" s="4" t="s">
        <v>391</v>
      </c>
      <c r="G186" s="4" t="s">
        <v>64</v>
      </c>
      <c r="H186" s="4" t="s">
        <v>1151</v>
      </c>
      <c r="I186" s="4" t="s">
        <v>1152</v>
      </c>
      <c r="J186" s="4" t="s">
        <v>1149</v>
      </c>
      <c r="K186" s="4" t="s">
        <v>1143</v>
      </c>
      <c r="L186" s="4" t="s">
        <v>656</v>
      </c>
      <c r="M186" s="4" t="s">
        <v>411</v>
      </c>
      <c r="N186" s="4">
        <v>26</v>
      </c>
      <c r="O186" s="4" t="s">
        <v>69</v>
      </c>
      <c r="P186" s="4">
        <v>5</v>
      </c>
      <c r="Q186" s="4">
        <v>5</v>
      </c>
      <c r="R186" s="4">
        <v>0</v>
      </c>
      <c r="T186" s="4" t="s">
        <v>70</v>
      </c>
      <c r="U186" s="4" t="s">
        <v>70</v>
      </c>
      <c r="V186" s="4" t="s">
        <v>237</v>
      </c>
      <c r="W186" s="6" t="s">
        <v>73</v>
      </c>
      <c r="BT186" s="4" t="s">
        <v>71</v>
      </c>
      <c r="BU186" s="4" t="s">
        <v>70</v>
      </c>
      <c r="BV186" s="4" t="s">
        <v>71</v>
      </c>
      <c r="BW186" s="4" t="s">
        <v>70</v>
      </c>
      <c r="BX186" s="4" t="s">
        <v>70</v>
      </c>
      <c r="BY186" s="4" t="s">
        <v>71</v>
      </c>
      <c r="BZ186" s="4" t="s">
        <v>71</v>
      </c>
      <c r="CA186" s="4" t="s">
        <v>71</v>
      </c>
      <c r="CB186" s="4" t="s">
        <v>71</v>
      </c>
      <c r="CC186" s="4" t="s">
        <v>71</v>
      </c>
      <c r="CD186" s="4" t="s">
        <v>71</v>
      </c>
      <c r="CE186" s="4" t="s">
        <v>71</v>
      </c>
      <c r="CF186" s="4" t="s">
        <v>71</v>
      </c>
      <c r="CG186" s="4" t="s">
        <v>71</v>
      </c>
      <c r="CH186" s="4" t="s">
        <v>71</v>
      </c>
      <c r="CI186" s="4" t="s">
        <v>71</v>
      </c>
      <c r="CJ186" s="4" t="s">
        <v>71</v>
      </c>
      <c r="CK186" s="4" t="s">
        <v>71</v>
      </c>
      <c r="CL186" s="4" t="s">
        <v>71</v>
      </c>
      <c r="CM186" s="4" t="s">
        <v>70</v>
      </c>
      <c r="CN186" s="4" t="s">
        <v>71</v>
      </c>
      <c r="CO186" s="4" t="s">
        <v>71</v>
      </c>
      <c r="CP186" s="4" t="s">
        <v>71</v>
      </c>
    </row>
    <row r="187" spans="1:94" ht="13.2" x14ac:dyDescent="0.25">
      <c r="A187" s="3">
        <v>45006.468651608797</v>
      </c>
      <c r="B187" s="4" t="s">
        <v>1153</v>
      </c>
      <c r="C187" s="4" t="s">
        <v>1154</v>
      </c>
      <c r="D187" s="5" t="s">
        <v>1155</v>
      </c>
      <c r="E187" s="4" t="s">
        <v>149</v>
      </c>
      <c r="F187" s="4" t="s">
        <v>205</v>
      </c>
      <c r="G187" s="4" t="s">
        <v>64</v>
      </c>
      <c r="H187" s="4" t="s">
        <v>1156</v>
      </c>
      <c r="I187" s="4" t="s">
        <v>1157</v>
      </c>
      <c r="K187" s="4" t="s">
        <v>1153</v>
      </c>
      <c r="L187" s="4" t="s">
        <v>656</v>
      </c>
      <c r="M187" s="4" t="s">
        <v>710</v>
      </c>
      <c r="N187" s="4">
        <v>25</v>
      </c>
      <c r="O187" s="4" t="s">
        <v>69</v>
      </c>
      <c r="P187" s="4">
        <v>4</v>
      </c>
      <c r="Q187" s="4">
        <v>1</v>
      </c>
      <c r="R187" s="4">
        <v>75</v>
      </c>
      <c r="T187" s="4" t="s">
        <v>70</v>
      </c>
      <c r="U187" s="4" t="s">
        <v>70</v>
      </c>
      <c r="V187" s="4" t="s">
        <v>237</v>
      </c>
      <c r="W187" s="6" t="s">
        <v>145</v>
      </c>
      <c r="X187" s="4" t="s">
        <v>70</v>
      </c>
      <c r="Y187" s="4" t="s">
        <v>71</v>
      </c>
      <c r="Z187" s="4" t="s">
        <v>71</v>
      </c>
      <c r="AA187" s="4" t="s">
        <v>71</v>
      </c>
      <c r="AB187" s="4" t="s">
        <v>71</v>
      </c>
      <c r="AC187" s="4" t="s">
        <v>71</v>
      </c>
      <c r="AD187" s="4" t="s">
        <v>70</v>
      </c>
      <c r="AE187" s="4" t="s">
        <v>71</v>
      </c>
      <c r="AF187" s="4" t="s">
        <v>71</v>
      </c>
      <c r="AG187" s="4" t="s">
        <v>71</v>
      </c>
      <c r="AH187" s="4" t="s">
        <v>71</v>
      </c>
      <c r="AI187" s="4" t="s">
        <v>70</v>
      </c>
      <c r="AJ187" s="4" t="s">
        <v>71</v>
      </c>
      <c r="AK187" s="4" t="s">
        <v>71</v>
      </c>
      <c r="AL187" s="4" t="s">
        <v>71</v>
      </c>
      <c r="AM187" s="4" t="s">
        <v>70</v>
      </c>
      <c r="AN187" s="4" t="s">
        <v>71</v>
      </c>
      <c r="AO187" s="4" t="s">
        <v>71</v>
      </c>
      <c r="AP187" s="4" t="s">
        <v>71</v>
      </c>
      <c r="AQ187" s="4" t="s">
        <v>71</v>
      </c>
      <c r="AR187" s="4" t="s">
        <v>71</v>
      </c>
      <c r="AS187" s="4" t="s">
        <v>71</v>
      </c>
      <c r="AT187" s="4" t="s">
        <v>71</v>
      </c>
      <c r="AU187" s="4" t="s">
        <v>1158</v>
      </c>
    </row>
    <row r="188" spans="1:94" ht="13.2" x14ac:dyDescent="0.25">
      <c r="A188" s="3">
        <v>45006.483010752316</v>
      </c>
      <c r="B188" s="4" t="s">
        <v>1159</v>
      </c>
      <c r="C188" s="4" t="s">
        <v>1160</v>
      </c>
      <c r="D188" s="5" t="s">
        <v>1155</v>
      </c>
      <c r="E188" s="4" t="s">
        <v>149</v>
      </c>
      <c r="F188" s="4" t="s">
        <v>1004</v>
      </c>
      <c r="G188" s="4" t="s">
        <v>64</v>
      </c>
      <c r="H188" s="4" t="s">
        <v>1161</v>
      </c>
      <c r="I188" s="4" t="s">
        <v>1156</v>
      </c>
      <c r="K188" s="4" t="s">
        <v>1159</v>
      </c>
      <c r="L188" s="4" t="s">
        <v>656</v>
      </c>
      <c r="M188" s="4" t="s">
        <v>710</v>
      </c>
      <c r="N188" s="4">
        <v>25</v>
      </c>
      <c r="O188" s="4" t="s">
        <v>69</v>
      </c>
      <c r="P188" s="4">
        <v>4</v>
      </c>
      <c r="Q188" s="4">
        <v>1</v>
      </c>
      <c r="R188" s="4">
        <v>75</v>
      </c>
      <c r="T188" s="4" t="s">
        <v>70</v>
      </c>
      <c r="U188" s="4" t="s">
        <v>70</v>
      </c>
      <c r="V188" s="4" t="s">
        <v>237</v>
      </c>
      <c r="W188" s="6" t="s">
        <v>145</v>
      </c>
      <c r="X188" s="4" t="s">
        <v>70</v>
      </c>
      <c r="Y188" s="4" t="s">
        <v>71</v>
      </c>
      <c r="Z188" s="4" t="s">
        <v>71</v>
      </c>
      <c r="AA188" s="4" t="s">
        <v>71</v>
      </c>
      <c r="AB188" s="4" t="s">
        <v>71</v>
      </c>
      <c r="AC188" s="4" t="s">
        <v>71</v>
      </c>
      <c r="AD188" s="4" t="s">
        <v>70</v>
      </c>
      <c r="AE188" s="4" t="s">
        <v>71</v>
      </c>
      <c r="AF188" s="4" t="s">
        <v>71</v>
      </c>
      <c r="AG188" s="4" t="s">
        <v>71</v>
      </c>
      <c r="AH188" s="4" t="s">
        <v>71</v>
      </c>
      <c r="AI188" s="4" t="s">
        <v>70</v>
      </c>
      <c r="AJ188" s="4" t="s">
        <v>71</v>
      </c>
      <c r="AK188" s="4" t="s">
        <v>71</v>
      </c>
      <c r="AL188" s="4" t="s">
        <v>71</v>
      </c>
      <c r="AM188" s="4" t="s">
        <v>70</v>
      </c>
      <c r="AN188" s="4" t="s">
        <v>71</v>
      </c>
      <c r="AO188" s="4" t="s">
        <v>71</v>
      </c>
      <c r="AP188" s="4" t="s">
        <v>71</v>
      </c>
      <c r="AQ188" s="4" t="s">
        <v>71</v>
      </c>
      <c r="AR188" s="4" t="s">
        <v>71</v>
      </c>
      <c r="AS188" s="4" t="s">
        <v>70</v>
      </c>
      <c r="AT188" s="4" t="s">
        <v>71</v>
      </c>
      <c r="AU188" s="4" t="s">
        <v>1162</v>
      </c>
    </row>
    <row r="189" spans="1:94" ht="13.2" x14ac:dyDescent="0.25">
      <c r="A189" s="3">
        <v>45005.953918101848</v>
      </c>
      <c r="B189" s="4" t="s">
        <v>1163</v>
      </c>
      <c r="C189" s="4" t="s">
        <v>1164</v>
      </c>
      <c r="D189" s="5" t="s">
        <v>1165</v>
      </c>
      <c r="E189" s="4" t="s">
        <v>103</v>
      </c>
      <c r="F189" s="4" t="s">
        <v>1166</v>
      </c>
      <c r="G189" s="4" t="s">
        <v>105</v>
      </c>
      <c r="H189" s="4" t="s">
        <v>1167</v>
      </c>
      <c r="I189" s="4" t="s">
        <v>1168</v>
      </c>
      <c r="J189" s="4" t="s">
        <v>1169</v>
      </c>
      <c r="K189" s="4" t="s">
        <v>1163</v>
      </c>
      <c r="L189" s="4" t="s">
        <v>665</v>
      </c>
      <c r="M189" s="4" t="s">
        <v>719</v>
      </c>
      <c r="N189" s="4">
        <v>35</v>
      </c>
      <c r="O189" s="4" t="s">
        <v>433</v>
      </c>
      <c r="P189" s="4">
        <v>5</v>
      </c>
      <c r="Q189" s="4">
        <v>5</v>
      </c>
      <c r="R189" s="4">
        <v>10</v>
      </c>
      <c r="S189" s="4" t="s">
        <v>1170</v>
      </c>
      <c r="T189" s="4" t="s">
        <v>70</v>
      </c>
      <c r="U189" s="4" t="s">
        <v>71</v>
      </c>
      <c r="V189" s="4" t="s">
        <v>72</v>
      </c>
      <c r="W189" s="8" t="s">
        <v>145</v>
      </c>
      <c r="X189" s="4" t="s">
        <v>70</v>
      </c>
      <c r="Y189" s="4" t="s">
        <v>70</v>
      </c>
      <c r="Z189" s="4" t="s">
        <v>70</v>
      </c>
      <c r="AA189" s="4" t="s">
        <v>70</v>
      </c>
      <c r="AB189" s="4" t="s">
        <v>70</v>
      </c>
      <c r="AC189" s="4" t="s">
        <v>70</v>
      </c>
      <c r="AD189" s="4" t="s">
        <v>71</v>
      </c>
      <c r="AE189" s="4" t="s">
        <v>71</v>
      </c>
      <c r="AF189" s="4" t="s">
        <v>71</v>
      </c>
      <c r="AG189" s="4" t="s">
        <v>70</v>
      </c>
      <c r="AH189" s="4" t="s">
        <v>70</v>
      </c>
      <c r="AI189" s="4" t="s">
        <v>70</v>
      </c>
      <c r="AJ189" s="4" t="s">
        <v>71</v>
      </c>
      <c r="AK189" s="4" t="s">
        <v>71</v>
      </c>
      <c r="AL189" s="4" t="s">
        <v>70</v>
      </c>
      <c r="AM189" s="4" t="s">
        <v>70</v>
      </c>
      <c r="AN189" s="4" t="s">
        <v>70</v>
      </c>
      <c r="AO189" s="4" t="s">
        <v>71</v>
      </c>
      <c r="AP189" s="4" t="s">
        <v>71</v>
      </c>
      <c r="AQ189" s="4" t="s">
        <v>70</v>
      </c>
      <c r="AU189" s="4" t="s">
        <v>1171</v>
      </c>
    </row>
    <row r="190" spans="1:94" ht="13.2" x14ac:dyDescent="0.25">
      <c r="A190" s="3">
        <v>45005.956144710653</v>
      </c>
      <c r="B190" s="4" t="s">
        <v>1163</v>
      </c>
      <c r="C190" s="4" t="s">
        <v>1164</v>
      </c>
      <c r="D190" s="5" t="s">
        <v>1165</v>
      </c>
      <c r="E190" s="4" t="s">
        <v>103</v>
      </c>
      <c r="F190" s="4" t="s">
        <v>1172</v>
      </c>
      <c r="G190" s="4" t="s">
        <v>105</v>
      </c>
      <c r="H190" s="4" t="s">
        <v>1167</v>
      </c>
      <c r="I190" s="4" t="s">
        <v>1168</v>
      </c>
      <c r="J190" s="4" t="s">
        <v>1169</v>
      </c>
      <c r="K190" s="4" t="s">
        <v>1163</v>
      </c>
      <c r="L190" s="4" t="s">
        <v>665</v>
      </c>
      <c r="M190" s="4" t="s">
        <v>719</v>
      </c>
      <c r="N190" s="4">
        <v>35</v>
      </c>
      <c r="O190" s="4" t="s">
        <v>433</v>
      </c>
      <c r="P190" s="4">
        <v>5</v>
      </c>
      <c r="Q190" s="4">
        <v>5</v>
      </c>
      <c r="R190" s="4">
        <v>10</v>
      </c>
      <c r="S190" s="4" t="s">
        <v>1173</v>
      </c>
      <c r="T190" s="4" t="s">
        <v>70</v>
      </c>
      <c r="U190" s="4" t="s">
        <v>71</v>
      </c>
      <c r="V190" s="4" t="s">
        <v>72</v>
      </c>
      <c r="W190" s="8" t="s">
        <v>145</v>
      </c>
      <c r="X190" s="4" t="s">
        <v>70</v>
      </c>
      <c r="Y190" s="4" t="s">
        <v>70</v>
      </c>
      <c r="Z190" s="4" t="s">
        <v>71</v>
      </c>
      <c r="AA190" s="4" t="s">
        <v>70</v>
      </c>
      <c r="AB190" s="4" t="s">
        <v>70</v>
      </c>
      <c r="AC190" s="4" t="s">
        <v>70</v>
      </c>
      <c r="AD190" s="4" t="s">
        <v>71</v>
      </c>
      <c r="AE190" s="4" t="s">
        <v>71</v>
      </c>
      <c r="AF190" s="4" t="s">
        <v>71</v>
      </c>
      <c r="AG190" s="4" t="s">
        <v>70</v>
      </c>
      <c r="AH190" s="4" t="s">
        <v>70</v>
      </c>
      <c r="AI190" s="4" t="s">
        <v>70</v>
      </c>
      <c r="AJ190" s="4" t="s">
        <v>71</v>
      </c>
      <c r="AK190" s="4" t="s">
        <v>71</v>
      </c>
      <c r="AL190" s="4" t="s">
        <v>70</v>
      </c>
      <c r="AM190" s="4" t="s">
        <v>70</v>
      </c>
      <c r="AN190" s="4" t="s">
        <v>70</v>
      </c>
      <c r="AO190" s="4" t="s">
        <v>71</v>
      </c>
      <c r="AP190" s="4" t="s">
        <v>71</v>
      </c>
      <c r="AQ190" s="4" t="s">
        <v>70</v>
      </c>
      <c r="AR190" s="4" t="s">
        <v>71</v>
      </c>
      <c r="AS190" s="4" t="s">
        <v>71</v>
      </c>
      <c r="AT190" s="4" t="s">
        <v>71</v>
      </c>
      <c r="AU190" s="4" t="s">
        <v>1174</v>
      </c>
    </row>
    <row r="191" spans="1:94" ht="13.2" x14ac:dyDescent="0.25">
      <c r="A191" s="3">
        <v>45005.958572719908</v>
      </c>
      <c r="B191" s="4" t="s">
        <v>1163</v>
      </c>
      <c r="C191" s="4" t="s">
        <v>1164</v>
      </c>
      <c r="D191" s="5" t="s">
        <v>1165</v>
      </c>
      <c r="E191" s="4" t="s">
        <v>103</v>
      </c>
      <c r="F191" s="4" t="s">
        <v>1166</v>
      </c>
      <c r="G191" s="4" t="s">
        <v>105</v>
      </c>
      <c r="H191" s="4" t="s">
        <v>1167</v>
      </c>
      <c r="I191" s="4" t="s">
        <v>1168</v>
      </c>
      <c r="J191" s="4" t="s">
        <v>1175</v>
      </c>
      <c r="K191" s="4" t="s">
        <v>1163</v>
      </c>
      <c r="L191" s="4" t="s">
        <v>665</v>
      </c>
      <c r="M191" s="4" t="s">
        <v>719</v>
      </c>
      <c r="N191" s="4">
        <v>35</v>
      </c>
      <c r="O191" s="4" t="s">
        <v>433</v>
      </c>
      <c r="P191" s="4">
        <v>5</v>
      </c>
      <c r="Q191" s="4">
        <v>5</v>
      </c>
      <c r="R191" s="4">
        <v>10</v>
      </c>
      <c r="S191" s="4" t="s">
        <v>1176</v>
      </c>
      <c r="T191" s="4" t="s">
        <v>71</v>
      </c>
      <c r="U191" s="4" t="s">
        <v>70</v>
      </c>
      <c r="V191" s="4" t="s">
        <v>87</v>
      </c>
      <c r="W191" s="6" t="s">
        <v>99</v>
      </c>
      <c r="AV191" s="4" t="s">
        <v>70</v>
      </c>
      <c r="AW191" s="4" t="s">
        <v>70</v>
      </c>
      <c r="AX191" s="4" t="s">
        <v>71</v>
      </c>
      <c r="AY191" s="4" t="s">
        <v>71</v>
      </c>
      <c r="AZ191" s="4" t="s">
        <v>71</v>
      </c>
      <c r="BA191" s="4" t="s">
        <v>71</v>
      </c>
      <c r="BB191" s="4" t="s">
        <v>70</v>
      </c>
      <c r="BC191" s="4" t="s">
        <v>70</v>
      </c>
      <c r="BD191" s="4" t="s">
        <v>70</v>
      </c>
      <c r="BE191" s="4" t="s">
        <v>71</v>
      </c>
      <c r="BF191" s="4" t="s">
        <v>71</v>
      </c>
      <c r="BG191" s="4" t="s">
        <v>71</v>
      </c>
      <c r="BH191" s="4" t="s">
        <v>70</v>
      </c>
      <c r="BI191" s="4" t="s">
        <v>70</v>
      </c>
      <c r="BJ191" s="4" t="s">
        <v>71</v>
      </c>
      <c r="BK191" s="4" t="s">
        <v>71</v>
      </c>
      <c r="BL191" s="4" t="s">
        <v>71</v>
      </c>
      <c r="BM191" s="4" t="s">
        <v>70</v>
      </c>
      <c r="BN191" s="4" t="s">
        <v>70</v>
      </c>
      <c r="BO191" s="4" t="s">
        <v>71</v>
      </c>
      <c r="BP191" s="4" t="s">
        <v>71</v>
      </c>
      <c r="BQ191" s="4" t="s">
        <v>70</v>
      </c>
      <c r="BS191" s="4" t="s">
        <v>1177</v>
      </c>
    </row>
    <row r="192" spans="1:94" ht="13.2" x14ac:dyDescent="0.25">
      <c r="A192" s="3">
        <v>45005.960503078706</v>
      </c>
      <c r="B192" s="4" t="s">
        <v>1163</v>
      </c>
      <c r="C192" s="4" t="s">
        <v>1164</v>
      </c>
      <c r="D192" s="5" t="s">
        <v>1165</v>
      </c>
      <c r="E192" s="4" t="s">
        <v>103</v>
      </c>
      <c r="F192" s="4" t="s">
        <v>1166</v>
      </c>
      <c r="G192" s="4" t="s">
        <v>105</v>
      </c>
      <c r="H192" s="4" t="s">
        <v>1167</v>
      </c>
      <c r="I192" s="4" t="s">
        <v>1175</v>
      </c>
      <c r="J192" s="4" t="s">
        <v>1178</v>
      </c>
      <c r="K192" s="4" t="s">
        <v>1163</v>
      </c>
      <c r="L192" s="4" t="s">
        <v>665</v>
      </c>
      <c r="M192" s="4" t="s">
        <v>719</v>
      </c>
      <c r="N192" s="4">
        <v>35</v>
      </c>
      <c r="O192" s="4" t="s">
        <v>433</v>
      </c>
      <c r="P192" s="4">
        <v>5</v>
      </c>
      <c r="Q192" s="4">
        <v>5</v>
      </c>
      <c r="R192" s="4">
        <v>10</v>
      </c>
      <c r="S192" s="4" t="s">
        <v>1179</v>
      </c>
      <c r="T192" s="4" t="s">
        <v>71</v>
      </c>
      <c r="U192" s="4" t="s">
        <v>70</v>
      </c>
      <c r="V192" s="4" t="s">
        <v>87</v>
      </c>
      <c r="W192" s="6" t="s">
        <v>99</v>
      </c>
      <c r="AV192" s="4" t="s">
        <v>71</v>
      </c>
      <c r="AW192" s="4" t="s">
        <v>71</v>
      </c>
      <c r="AX192" s="4" t="s">
        <v>70</v>
      </c>
      <c r="AY192" s="4" t="s">
        <v>71</v>
      </c>
      <c r="AZ192" s="4" t="s">
        <v>71</v>
      </c>
      <c r="BA192" s="4" t="s">
        <v>71</v>
      </c>
      <c r="BB192" s="4" t="s">
        <v>70</v>
      </c>
      <c r="BC192" s="4" t="s">
        <v>70</v>
      </c>
      <c r="BD192" s="4" t="s">
        <v>70</v>
      </c>
      <c r="BE192" s="4" t="s">
        <v>71</v>
      </c>
      <c r="BF192" s="4" t="s">
        <v>71</v>
      </c>
      <c r="BG192" s="4" t="s">
        <v>71</v>
      </c>
      <c r="BH192" s="4" t="s">
        <v>70</v>
      </c>
      <c r="BI192" s="4" t="s">
        <v>70</v>
      </c>
      <c r="BJ192" s="4" t="s">
        <v>71</v>
      </c>
      <c r="BK192" s="4" t="s">
        <v>71</v>
      </c>
      <c r="BL192" s="4" t="s">
        <v>71</v>
      </c>
      <c r="BM192" s="4" t="s">
        <v>70</v>
      </c>
      <c r="BN192" s="4" t="s">
        <v>70</v>
      </c>
      <c r="BO192" s="4" t="s">
        <v>71</v>
      </c>
      <c r="BP192" s="4" t="s">
        <v>71</v>
      </c>
      <c r="BQ192" s="4" t="s">
        <v>70</v>
      </c>
      <c r="BS192" s="4" t="s">
        <v>1180</v>
      </c>
    </row>
    <row r="193" spans="1:94" ht="13.2" x14ac:dyDescent="0.25">
      <c r="A193" s="3">
        <v>45002.439637488424</v>
      </c>
      <c r="B193" s="4" t="s">
        <v>1181</v>
      </c>
      <c r="C193" s="4" t="s">
        <v>1182</v>
      </c>
      <c r="D193" s="7" t="s">
        <v>1183</v>
      </c>
      <c r="E193" s="4" t="s">
        <v>103</v>
      </c>
      <c r="F193" s="4" t="s">
        <v>446</v>
      </c>
      <c r="G193" s="4" t="s">
        <v>105</v>
      </c>
      <c r="H193" s="4" t="s">
        <v>1184</v>
      </c>
      <c r="I193" s="4" t="s">
        <v>1185</v>
      </c>
      <c r="J193" s="4" t="s">
        <v>1186</v>
      </c>
      <c r="K193" s="4" t="s">
        <v>1181</v>
      </c>
      <c r="L193" s="4" t="s">
        <v>656</v>
      </c>
      <c r="M193" s="4" t="s">
        <v>727</v>
      </c>
      <c r="N193" s="4">
        <v>23</v>
      </c>
      <c r="O193" s="4" t="s">
        <v>69</v>
      </c>
      <c r="P193" s="4">
        <v>4</v>
      </c>
      <c r="Q193" s="4">
        <v>3</v>
      </c>
      <c r="R193" s="4">
        <v>15</v>
      </c>
      <c r="T193" s="4" t="s">
        <v>70</v>
      </c>
      <c r="U193" s="4" t="s">
        <v>71</v>
      </c>
      <c r="V193" s="4" t="s">
        <v>72</v>
      </c>
      <c r="W193" s="6" t="s">
        <v>73</v>
      </c>
      <c r="BT193" s="4" t="s">
        <v>70</v>
      </c>
      <c r="BU193" s="4" t="s">
        <v>70</v>
      </c>
      <c r="BV193" s="4" t="s">
        <v>71</v>
      </c>
      <c r="BW193" s="4" t="s">
        <v>70</v>
      </c>
      <c r="BX193" s="4" t="s">
        <v>70</v>
      </c>
      <c r="BY193" s="4" t="s">
        <v>71</v>
      </c>
      <c r="BZ193" s="4" t="s">
        <v>71</v>
      </c>
      <c r="CA193" s="4" t="s">
        <v>71</v>
      </c>
      <c r="CB193" s="4" t="s">
        <v>71</v>
      </c>
      <c r="CC193" s="4" t="s">
        <v>70</v>
      </c>
      <c r="CD193" s="4" t="s">
        <v>70</v>
      </c>
      <c r="CE193" s="4" t="s">
        <v>71</v>
      </c>
      <c r="CF193" s="4" t="s">
        <v>71</v>
      </c>
      <c r="CG193" s="4" t="s">
        <v>71</v>
      </c>
      <c r="CH193" s="4" t="s">
        <v>70</v>
      </c>
      <c r="CI193" s="4" t="s">
        <v>70</v>
      </c>
      <c r="CJ193" s="4" t="s">
        <v>71</v>
      </c>
      <c r="CK193" s="4" t="s">
        <v>71</v>
      </c>
      <c r="CL193" s="4" t="s">
        <v>71</v>
      </c>
      <c r="CM193" s="4" t="s">
        <v>70</v>
      </c>
      <c r="CN193" s="4" t="s">
        <v>71</v>
      </c>
      <c r="CO193" s="4" t="s">
        <v>71</v>
      </c>
      <c r="CP193" s="4" t="s">
        <v>71</v>
      </c>
    </row>
    <row r="194" spans="1:94" ht="13.2" x14ac:dyDescent="0.25">
      <c r="A194" s="3">
        <v>45002.442378414351</v>
      </c>
      <c r="B194" s="4" t="s">
        <v>1181</v>
      </c>
      <c r="C194" s="4" t="s">
        <v>1182</v>
      </c>
      <c r="D194" s="7" t="s">
        <v>1183</v>
      </c>
      <c r="E194" s="4" t="s">
        <v>103</v>
      </c>
      <c r="F194" s="4" t="s">
        <v>384</v>
      </c>
      <c r="G194" s="4" t="s">
        <v>105</v>
      </c>
      <c r="H194" s="4" t="s">
        <v>1187</v>
      </c>
      <c r="I194" s="4" t="s">
        <v>1188</v>
      </c>
      <c r="J194" s="4" t="s">
        <v>1186</v>
      </c>
      <c r="K194" s="4" t="s">
        <v>1181</v>
      </c>
      <c r="L194" s="4" t="s">
        <v>656</v>
      </c>
      <c r="M194" s="4" t="s">
        <v>467</v>
      </c>
      <c r="N194" s="4">
        <v>22</v>
      </c>
      <c r="O194" s="4" t="s">
        <v>97</v>
      </c>
      <c r="P194" s="4">
        <v>4</v>
      </c>
      <c r="Q194" s="4">
        <v>3</v>
      </c>
      <c r="R194" s="4">
        <v>15</v>
      </c>
      <c r="T194" s="4" t="s">
        <v>70</v>
      </c>
      <c r="U194" s="4" t="s">
        <v>71</v>
      </c>
      <c r="V194" s="4" t="s">
        <v>72</v>
      </c>
      <c r="W194" s="6" t="s">
        <v>73</v>
      </c>
      <c r="BT194" s="4" t="s">
        <v>70</v>
      </c>
      <c r="BU194" s="4" t="s">
        <v>70</v>
      </c>
      <c r="BV194" s="4" t="s">
        <v>71</v>
      </c>
      <c r="BW194" s="4" t="s">
        <v>70</v>
      </c>
      <c r="BX194" s="4" t="s">
        <v>70</v>
      </c>
      <c r="BY194" s="4" t="s">
        <v>71</v>
      </c>
      <c r="BZ194" s="4" t="s">
        <v>71</v>
      </c>
      <c r="CA194" s="4" t="s">
        <v>71</v>
      </c>
      <c r="CB194" s="4" t="s">
        <v>71</v>
      </c>
      <c r="CC194" s="4" t="s">
        <v>70</v>
      </c>
      <c r="CD194" s="4" t="s">
        <v>70</v>
      </c>
      <c r="CE194" s="4" t="s">
        <v>71</v>
      </c>
      <c r="CF194" s="4" t="s">
        <v>71</v>
      </c>
      <c r="CG194" s="4" t="s">
        <v>71</v>
      </c>
      <c r="CH194" s="4" t="s">
        <v>70</v>
      </c>
      <c r="CI194" s="4" t="s">
        <v>70</v>
      </c>
      <c r="CJ194" s="4" t="s">
        <v>71</v>
      </c>
      <c r="CK194" s="4" t="s">
        <v>71</v>
      </c>
      <c r="CL194" s="4" t="s">
        <v>71</v>
      </c>
      <c r="CM194" s="4" t="s">
        <v>70</v>
      </c>
      <c r="CN194" s="4" t="s">
        <v>71</v>
      </c>
      <c r="CO194" s="4" t="s">
        <v>71</v>
      </c>
      <c r="CP194" s="4" t="s">
        <v>71</v>
      </c>
    </row>
    <row r="197" spans="1:94" ht="13.2" x14ac:dyDescent="0.25">
      <c r="N197" s="14">
        <f>SUM(N1:N194)</f>
        <v>5978</v>
      </c>
    </row>
  </sheetData>
  <autoFilter ref="A1:CQ19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9"/>
  <sheetViews>
    <sheetView workbookViewId="0"/>
  </sheetViews>
  <sheetFormatPr baseColWidth="10" defaultColWidth="12.6640625" defaultRowHeight="15.75" customHeight="1" x14ac:dyDescent="0.25"/>
  <sheetData>
    <row r="1" spans="1:3" x14ac:dyDescent="0.25">
      <c r="A1" s="4">
        <v>10</v>
      </c>
      <c r="B1" s="4" t="s">
        <v>1189</v>
      </c>
      <c r="C1" s="4" t="s">
        <v>62</v>
      </c>
    </row>
    <row r="2" spans="1:3" x14ac:dyDescent="0.25">
      <c r="A2" s="4">
        <v>5</v>
      </c>
      <c r="B2" s="4" t="s">
        <v>1190</v>
      </c>
      <c r="C2" s="4" t="s">
        <v>91</v>
      </c>
    </row>
    <row r="3" spans="1:3" x14ac:dyDescent="0.25">
      <c r="A3" s="4">
        <v>1</v>
      </c>
      <c r="B3" s="4" t="s">
        <v>1191</v>
      </c>
      <c r="C3" s="4" t="s">
        <v>103</v>
      </c>
    </row>
    <row r="4" spans="1:3" x14ac:dyDescent="0.25">
      <c r="A4" s="4">
        <v>2</v>
      </c>
      <c r="B4" s="4" t="s">
        <v>1192</v>
      </c>
      <c r="C4" s="4" t="s">
        <v>140</v>
      </c>
    </row>
    <row r="5" spans="1:3" x14ac:dyDescent="0.25">
      <c r="A5" s="4">
        <v>9</v>
      </c>
      <c r="B5" s="4" t="s">
        <v>1193</v>
      </c>
      <c r="C5" s="4" t="s">
        <v>149</v>
      </c>
    </row>
    <row r="6" spans="1:3" x14ac:dyDescent="0.25">
      <c r="A6" s="4">
        <v>3</v>
      </c>
      <c r="B6" s="4" t="s">
        <v>1194</v>
      </c>
      <c r="C6" s="4" t="s">
        <v>263</v>
      </c>
    </row>
    <row r="7" spans="1:3" x14ac:dyDescent="0.25">
      <c r="A7" s="4">
        <v>4</v>
      </c>
      <c r="B7" s="4" t="s">
        <v>1195</v>
      </c>
      <c r="C7" s="4" t="s">
        <v>427</v>
      </c>
    </row>
    <row r="8" spans="1:3" x14ac:dyDescent="0.25">
      <c r="A8" s="4">
        <v>13</v>
      </c>
      <c r="B8" s="4" t="s">
        <v>1196</v>
      </c>
      <c r="C8" s="4" t="s">
        <v>604</v>
      </c>
    </row>
    <row r="9" spans="1:3" x14ac:dyDescent="0.25">
      <c r="A9" s="4">
        <v>11</v>
      </c>
      <c r="B9" s="4" t="s">
        <v>1197</v>
      </c>
      <c r="C9" s="4" t="s">
        <v>1116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V210"/>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1" max="2" width="18.88671875" customWidth="1"/>
    <col min="3" max="3" width="56.88671875" customWidth="1"/>
    <col min="4" max="4" width="10.44140625" customWidth="1"/>
    <col min="5" max="5" width="34.77734375" customWidth="1"/>
    <col min="6" max="6" width="18.88671875" customWidth="1"/>
    <col min="7" max="7" width="9.88671875" customWidth="1"/>
    <col min="8" max="10" width="18.88671875" customWidth="1"/>
    <col min="11" max="11" width="33.21875" customWidth="1"/>
    <col min="12" max="100" width="18.88671875" customWidth="1"/>
  </cols>
  <sheetData>
    <row r="1" spans="1:100" x14ac:dyDescent="0.25">
      <c r="A1" s="15" t="s">
        <v>0</v>
      </c>
      <c r="B1" s="15" t="s">
        <v>1</v>
      </c>
      <c r="C1" s="15" t="s">
        <v>2</v>
      </c>
      <c r="D1" s="15" t="s">
        <v>1198</v>
      </c>
      <c r="E1" s="15" t="s">
        <v>1199</v>
      </c>
      <c r="F1" s="15" t="s">
        <v>5</v>
      </c>
      <c r="G1" s="15" t="s">
        <v>6</v>
      </c>
      <c r="H1" s="15" t="s">
        <v>7</v>
      </c>
      <c r="I1" s="15" t="s">
        <v>8</v>
      </c>
      <c r="J1" s="15" t="s">
        <v>9</v>
      </c>
      <c r="K1" s="15" t="s">
        <v>10</v>
      </c>
      <c r="L1" s="15" t="s">
        <v>1200</v>
      </c>
      <c r="M1" s="15" t="s">
        <v>12</v>
      </c>
      <c r="N1" s="15" t="s">
        <v>1201</v>
      </c>
      <c r="O1" s="15" t="s">
        <v>1202</v>
      </c>
      <c r="P1" s="15" t="s">
        <v>15</v>
      </c>
      <c r="Q1" s="15" t="s">
        <v>16</v>
      </c>
      <c r="R1" s="15" t="s">
        <v>1203</v>
      </c>
      <c r="S1" s="15" t="s">
        <v>18</v>
      </c>
      <c r="T1" s="15" t="s">
        <v>19</v>
      </c>
      <c r="U1" s="15" t="s">
        <v>20</v>
      </c>
      <c r="V1" s="15" t="s">
        <v>1204</v>
      </c>
      <c r="W1" s="15" t="s">
        <v>23</v>
      </c>
      <c r="X1" s="15" t="s">
        <v>24</v>
      </c>
      <c r="Y1" s="15" t="s">
        <v>25</v>
      </c>
      <c r="Z1" s="15" t="s">
        <v>26</v>
      </c>
      <c r="AA1" s="15" t="s">
        <v>27</v>
      </c>
      <c r="AB1" s="15" t="s">
        <v>28</v>
      </c>
      <c r="AC1" s="15" t="s">
        <v>29</v>
      </c>
      <c r="AD1" s="15" t="s">
        <v>30</v>
      </c>
      <c r="AE1" s="15" t="s">
        <v>31</v>
      </c>
      <c r="AF1" s="15" t="s">
        <v>32</v>
      </c>
      <c r="AG1" s="15" t="s">
        <v>33</v>
      </c>
      <c r="AH1" s="15" t="s">
        <v>34</v>
      </c>
      <c r="AI1" s="15" t="s">
        <v>35</v>
      </c>
      <c r="AJ1" s="15" t="s">
        <v>36</v>
      </c>
      <c r="AK1" s="15" t="s">
        <v>37</v>
      </c>
      <c r="AL1" s="15" t="s">
        <v>38</v>
      </c>
      <c r="AM1" s="15" t="s">
        <v>39</v>
      </c>
      <c r="AN1" s="15" t="s">
        <v>40</v>
      </c>
      <c r="AO1" s="15" t="s">
        <v>41</v>
      </c>
      <c r="AP1" s="15" t="s">
        <v>42</v>
      </c>
      <c r="AQ1" s="15" t="s">
        <v>43</v>
      </c>
      <c r="AR1" s="15" t="s">
        <v>44</v>
      </c>
      <c r="AS1" s="15" t="s">
        <v>45</v>
      </c>
      <c r="AT1" s="15" t="s">
        <v>46</v>
      </c>
      <c r="AU1" s="15" t="s">
        <v>47</v>
      </c>
      <c r="AV1" s="15" t="s">
        <v>48</v>
      </c>
      <c r="AW1" s="15" t="s">
        <v>49</v>
      </c>
      <c r="AX1" s="15" t="s">
        <v>26</v>
      </c>
      <c r="AY1" s="15" t="s">
        <v>27</v>
      </c>
      <c r="AZ1" s="15" t="s">
        <v>28</v>
      </c>
      <c r="BA1" s="15" t="s">
        <v>29</v>
      </c>
      <c r="BB1" s="15" t="s">
        <v>30</v>
      </c>
      <c r="BC1" s="15" t="s">
        <v>31</v>
      </c>
      <c r="BD1" s="15" t="s">
        <v>50</v>
      </c>
      <c r="BE1" s="15" t="s">
        <v>33</v>
      </c>
      <c r="BF1" s="15" t="s">
        <v>34</v>
      </c>
      <c r="BG1" s="15" t="s">
        <v>35</v>
      </c>
      <c r="BH1" s="15" t="s">
        <v>36</v>
      </c>
      <c r="BI1" s="15" t="s">
        <v>37</v>
      </c>
      <c r="BJ1" s="15" t="s">
        <v>38</v>
      </c>
      <c r="BK1" s="15" t="s">
        <v>39</v>
      </c>
      <c r="BL1" s="15" t="s">
        <v>40</v>
      </c>
      <c r="BM1" s="15" t="s">
        <v>41</v>
      </c>
      <c r="BN1" s="15" t="s">
        <v>51</v>
      </c>
      <c r="BO1" s="15" t="s">
        <v>52</v>
      </c>
      <c r="BP1" s="15" t="s">
        <v>53</v>
      </c>
      <c r="BQ1" s="15" t="s">
        <v>54</v>
      </c>
      <c r="BR1" s="15" t="s">
        <v>46</v>
      </c>
      <c r="BS1" s="15" t="s">
        <v>55</v>
      </c>
      <c r="BT1" s="15" t="s">
        <v>56</v>
      </c>
      <c r="BU1" s="15" t="s">
        <v>57</v>
      </c>
      <c r="BV1" s="15" t="s">
        <v>26</v>
      </c>
      <c r="BW1" s="15" t="s">
        <v>27</v>
      </c>
      <c r="BX1" s="15" t="s">
        <v>28</v>
      </c>
      <c r="BY1" s="15" t="s">
        <v>29</v>
      </c>
      <c r="BZ1" s="15" t="s">
        <v>30</v>
      </c>
      <c r="CA1" s="15" t="s">
        <v>31</v>
      </c>
      <c r="CB1" s="15" t="s">
        <v>32</v>
      </c>
      <c r="CC1" s="15" t="s">
        <v>58</v>
      </c>
      <c r="CD1" s="15" t="s">
        <v>34</v>
      </c>
      <c r="CE1" s="15" t="s">
        <v>35</v>
      </c>
      <c r="CF1" s="15" t="s">
        <v>36</v>
      </c>
      <c r="CG1" s="15" t="s">
        <v>37</v>
      </c>
      <c r="CH1" s="15" t="s">
        <v>38</v>
      </c>
      <c r="CI1" s="15" t="s">
        <v>39</v>
      </c>
      <c r="CJ1" s="15" t="s">
        <v>40</v>
      </c>
      <c r="CK1" s="15" t="s">
        <v>41</v>
      </c>
      <c r="CL1" s="15" t="s">
        <v>51</v>
      </c>
      <c r="CM1" s="15" t="s">
        <v>52</v>
      </c>
      <c r="CN1" s="15" t="s">
        <v>53</v>
      </c>
      <c r="CO1" s="15" t="s">
        <v>54</v>
      </c>
      <c r="CP1" s="15" t="s">
        <v>46</v>
      </c>
      <c r="CQ1" s="16"/>
      <c r="CR1" s="16"/>
      <c r="CS1" s="16"/>
      <c r="CT1" s="16"/>
      <c r="CU1" s="16"/>
      <c r="CV1" s="16"/>
    </row>
    <row r="2" spans="1:100" x14ac:dyDescent="0.25">
      <c r="A2" s="3">
        <v>45003.815387372684</v>
      </c>
      <c r="B2" s="4" t="s">
        <v>920</v>
      </c>
      <c r="C2" s="4" t="s">
        <v>921</v>
      </c>
      <c r="D2" s="5" t="s">
        <v>922</v>
      </c>
      <c r="E2" s="4" t="s">
        <v>91</v>
      </c>
      <c r="F2" s="4" t="s">
        <v>923</v>
      </c>
      <c r="G2" s="4" t="s">
        <v>105</v>
      </c>
      <c r="H2" s="4" t="s">
        <v>924</v>
      </c>
      <c r="I2" s="4" t="s">
        <v>925</v>
      </c>
      <c r="J2" s="4" t="s">
        <v>926</v>
      </c>
      <c r="K2" s="4" t="s">
        <v>920</v>
      </c>
      <c r="L2" s="4" t="s">
        <v>665</v>
      </c>
      <c r="M2" s="4" t="s">
        <v>558</v>
      </c>
      <c r="N2" s="4">
        <v>34</v>
      </c>
      <c r="O2" s="4" t="s">
        <v>927</v>
      </c>
      <c r="P2" s="4">
        <v>3</v>
      </c>
      <c r="Q2" s="4">
        <v>3</v>
      </c>
      <c r="R2" s="4">
        <v>88</v>
      </c>
      <c r="S2" s="4" t="s">
        <v>928</v>
      </c>
      <c r="T2" s="4" t="s">
        <v>71</v>
      </c>
      <c r="U2" s="4" t="s">
        <v>70</v>
      </c>
      <c r="V2" s="6" t="s">
        <v>145</v>
      </c>
      <c r="W2" s="4" t="s">
        <v>71</v>
      </c>
      <c r="X2" s="4" t="s">
        <v>71</v>
      </c>
      <c r="Y2" s="4" t="s">
        <v>70</v>
      </c>
      <c r="Z2" s="4" t="s">
        <v>71</v>
      </c>
      <c r="AA2" s="4" t="s">
        <v>71</v>
      </c>
      <c r="AB2" s="4" t="s">
        <v>70</v>
      </c>
      <c r="AC2" s="4" t="s">
        <v>70</v>
      </c>
      <c r="AD2" s="4" t="s">
        <v>71</v>
      </c>
      <c r="AE2" s="4" t="s">
        <v>71</v>
      </c>
      <c r="AJ2" s="4" t="s">
        <v>70</v>
      </c>
      <c r="AO2" s="4" t="s">
        <v>70</v>
      </c>
      <c r="AP2" s="4" t="s">
        <v>70</v>
      </c>
      <c r="AT2" s="4" t="s">
        <v>929</v>
      </c>
    </row>
    <row r="3" spans="1:100" x14ac:dyDescent="0.25">
      <c r="A3" s="3">
        <v>45000.682377916666</v>
      </c>
      <c r="B3" s="4" t="s">
        <v>381</v>
      </c>
      <c r="C3" s="4" t="s">
        <v>382</v>
      </c>
      <c r="D3" s="5" t="s">
        <v>383</v>
      </c>
      <c r="E3" s="4" t="s">
        <v>103</v>
      </c>
      <c r="F3" s="4" t="s">
        <v>384</v>
      </c>
      <c r="G3" s="4" t="s">
        <v>64</v>
      </c>
      <c r="H3" s="4" t="s">
        <v>385</v>
      </c>
      <c r="I3" s="4" t="s">
        <v>386</v>
      </c>
      <c r="K3" s="4" t="s">
        <v>381</v>
      </c>
      <c r="L3" s="4" t="s">
        <v>67</v>
      </c>
      <c r="M3" s="4" t="s">
        <v>68</v>
      </c>
      <c r="N3" s="4">
        <v>30</v>
      </c>
      <c r="O3" s="4" t="s">
        <v>69</v>
      </c>
      <c r="P3" s="4">
        <v>2</v>
      </c>
      <c r="Q3" s="4">
        <v>3</v>
      </c>
      <c r="R3" s="4">
        <v>0</v>
      </c>
      <c r="T3" s="4" t="s">
        <v>70</v>
      </c>
      <c r="U3" s="4" t="s">
        <v>70</v>
      </c>
      <c r="V3" s="6" t="s">
        <v>73</v>
      </c>
      <c r="BS3" s="4" t="s">
        <v>70</v>
      </c>
      <c r="BT3" s="4" t="s">
        <v>70</v>
      </c>
      <c r="BU3" s="4" t="s">
        <v>70</v>
      </c>
      <c r="BV3" s="4" t="s">
        <v>70</v>
      </c>
      <c r="BW3" s="4" t="s">
        <v>70</v>
      </c>
      <c r="BX3" s="4" t="s">
        <v>70</v>
      </c>
      <c r="BY3" s="4" t="s">
        <v>70</v>
      </c>
      <c r="BZ3" s="4" t="s">
        <v>70</v>
      </c>
      <c r="CA3" s="4" t="s">
        <v>70</v>
      </c>
      <c r="CB3" s="4" t="s">
        <v>70</v>
      </c>
      <c r="CC3" s="4" t="s">
        <v>70</v>
      </c>
      <c r="CD3" s="4" t="s">
        <v>70</v>
      </c>
      <c r="CE3" s="4" t="s">
        <v>70</v>
      </c>
      <c r="CF3" s="4" t="s">
        <v>70</v>
      </c>
      <c r="CG3" s="4" t="s">
        <v>70</v>
      </c>
      <c r="CH3" s="4" t="s">
        <v>70</v>
      </c>
      <c r="CI3" s="4" t="s">
        <v>70</v>
      </c>
      <c r="CJ3" s="4" t="s">
        <v>70</v>
      </c>
      <c r="CK3" s="4" t="s">
        <v>70</v>
      </c>
      <c r="CL3" s="4" t="s">
        <v>70</v>
      </c>
      <c r="CM3" s="4" t="s">
        <v>70</v>
      </c>
      <c r="CN3" s="4" t="s">
        <v>70</v>
      </c>
      <c r="CO3" s="4" t="s">
        <v>70</v>
      </c>
    </row>
    <row r="4" spans="1:100" x14ac:dyDescent="0.25">
      <c r="A4" s="3">
        <v>45005.590160740743</v>
      </c>
      <c r="B4" s="4" t="s">
        <v>930</v>
      </c>
      <c r="C4" s="4" t="s">
        <v>931</v>
      </c>
      <c r="D4" s="5" t="s">
        <v>932</v>
      </c>
      <c r="E4" s="4" t="s">
        <v>103</v>
      </c>
      <c r="F4" s="4" t="s">
        <v>384</v>
      </c>
      <c r="G4" s="4" t="s">
        <v>64</v>
      </c>
      <c r="H4" s="4" t="s">
        <v>933</v>
      </c>
      <c r="I4" s="4" t="s">
        <v>934</v>
      </c>
      <c r="J4" s="4" t="s">
        <v>935</v>
      </c>
      <c r="K4" s="4" t="s">
        <v>930</v>
      </c>
      <c r="L4" s="4" t="s">
        <v>656</v>
      </c>
      <c r="M4" s="4" t="s">
        <v>558</v>
      </c>
      <c r="N4" s="4">
        <v>35</v>
      </c>
      <c r="O4" s="4" t="s">
        <v>69</v>
      </c>
      <c r="P4" s="4">
        <v>5</v>
      </c>
      <c r="Q4" s="4">
        <v>5</v>
      </c>
      <c r="R4" s="4">
        <v>0</v>
      </c>
      <c r="T4" s="4" t="s">
        <v>70</v>
      </c>
      <c r="U4" s="4" t="s">
        <v>70</v>
      </c>
      <c r="V4" s="6" t="s">
        <v>145</v>
      </c>
      <c r="W4" s="4" t="s">
        <v>70</v>
      </c>
      <c r="X4" s="4" t="s">
        <v>71</v>
      </c>
      <c r="Y4" s="4" t="s">
        <v>70</v>
      </c>
      <c r="Z4" s="4" t="s">
        <v>71</v>
      </c>
      <c r="AA4" s="4" t="s">
        <v>71</v>
      </c>
      <c r="AB4" s="4" t="s">
        <v>71</v>
      </c>
      <c r="AC4" s="4" t="s">
        <v>71</v>
      </c>
      <c r="AD4" s="4" t="s">
        <v>71</v>
      </c>
      <c r="AE4" s="4" t="s">
        <v>70</v>
      </c>
      <c r="AF4" s="4" t="s">
        <v>71</v>
      </c>
      <c r="AG4" s="4" t="s">
        <v>70</v>
      </c>
      <c r="AH4" s="4" t="s">
        <v>71</v>
      </c>
      <c r="AI4" s="4" t="s">
        <v>71</v>
      </c>
      <c r="AJ4" s="4" t="s">
        <v>71</v>
      </c>
      <c r="AK4" s="4" t="s">
        <v>71</v>
      </c>
      <c r="AL4" s="4" t="s">
        <v>71</v>
      </c>
      <c r="AM4" s="4" t="s">
        <v>71</v>
      </c>
      <c r="AN4" s="4" t="s">
        <v>71</v>
      </c>
      <c r="AO4" s="4" t="s">
        <v>71</v>
      </c>
      <c r="AP4" s="4" t="s">
        <v>71</v>
      </c>
      <c r="AQ4" s="4" t="s">
        <v>70</v>
      </c>
      <c r="AR4" s="4" t="s">
        <v>71</v>
      </c>
      <c r="AS4" s="4" t="s">
        <v>71</v>
      </c>
    </row>
    <row r="5" spans="1:100" x14ac:dyDescent="0.25">
      <c r="A5" s="3">
        <v>45001.578125590277</v>
      </c>
      <c r="B5" s="4" t="s">
        <v>1020</v>
      </c>
      <c r="C5" s="4" t="s">
        <v>1021</v>
      </c>
      <c r="D5" s="7" t="s">
        <v>1022</v>
      </c>
      <c r="E5" s="4" t="s">
        <v>103</v>
      </c>
      <c r="F5" s="4" t="s">
        <v>1004</v>
      </c>
      <c r="G5" s="4" t="s">
        <v>64</v>
      </c>
      <c r="H5" s="4" t="s">
        <v>1023</v>
      </c>
      <c r="I5" s="4" t="s">
        <v>1024</v>
      </c>
      <c r="J5" s="4" t="s">
        <v>1025</v>
      </c>
      <c r="K5" s="4" t="s">
        <v>1020</v>
      </c>
      <c r="L5" s="4" t="s">
        <v>656</v>
      </c>
      <c r="M5" s="4" t="s">
        <v>625</v>
      </c>
      <c r="N5" s="4">
        <v>28</v>
      </c>
      <c r="O5" s="4" t="s">
        <v>69</v>
      </c>
      <c r="P5" s="4">
        <v>5</v>
      </c>
      <c r="Q5" s="4">
        <v>3</v>
      </c>
      <c r="R5" s="4">
        <v>0</v>
      </c>
      <c r="T5" s="4" t="s">
        <v>70</v>
      </c>
      <c r="U5" s="4" t="s">
        <v>71</v>
      </c>
      <c r="V5" s="6" t="s">
        <v>99</v>
      </c>
      <c r="AU5" s="4" t="s">
        <v>70</v>
      </c>
      <c r="AV5" s="4" t="s">
        <v>71</v>
      </c>
      <c r="AW5" s="4" t="s">
        <v>71</v>
      </c>
      <c r="AX5" s="4" t="s">
        <v>71</v>
      </c>
      <c r="AY5" s="4" t="s">
        <v>71</v>
      </c>
      <c r="AZ5" s="4" t="s">
        <v>70</v>
      </c>
      <c r="BA5" s="4" t="s">
        <v>71</v>
      </c>
      <c r="BB5" s="4" t="s">
        <v>71</v>
      </c>
      <c r="BC5" s="4" t="s">
        <v>71</v>
      </c>
      <c r="BD5" s="4" t="s">
        <v>71</v>
      </c>
      <c r="BE5" s="4" t="s">
        <v>71</v>
      </c>
      <c r="BF5" s="4" t="s">
        <v>71</v>
      </c>
      <c r="BG5" s="4" t="s">
        <v>71</v>
      </c>
      <c r="BH5" s="4" t="s">
        <v>71</v>
      </c>
      <c r="BI5" s="4" t="s">
        <v>71</v>
      </c>
      <c r="BJ5" s="4" t="s">
        <v>70</v>
      </c>
      <c r="BK5" s="4" t="s">
        <v>71</v>
      </c>
      <c r="BL5" s="4" t="s">
        <v>71</v>
      </c>
      <c r="BM5" s="4" t="s">
        <v>71</v>
      </c>
      <c r="BN5" s="4" t="s">
        <v>71</v>
      </c>
      <c r="BO5" s="4" t="s">
        <v>71</v>
      </c>
      <c r="BP5" s="4" t="s">
        <v>71</v>
      </c>
      <c r="BQ5" s="4" t="s">
        <v>71</v>
      </c>
    </row>
    <row r="6" spans="1:100" x14ac:dyDescent="0.25">
      <c r="A6" s="3">
        <v>45001.629127442131</v>
      </c>
      <c r="B6" s="4" t="s">
        <v>906</v>
      </c>
      <c r="C6" s="4" t="s">
        <v>912</v>
      </c>
      <c r="D6" s="5" t="s">
        <v>908</v>
      </c>
      <c r="E6" s="4" t="s">
        <v>103</v>
      </c>
      <c r="F6" s="4" t="s">
        <v>913</v>
      </c>
      <c r="G6" s="4" t="s">
        <v>64</v>
      </c>
      <c r="H6" s="4" t="s">
        <v>914</v>
      </c>
      <c r="I6" s="4" t="s">
        <v>915</v>
      </c>
      <c r="K6" s="4" t="s">
        <v>906</v>
      </c>
      <c r="L6" s="4" t="s">
        <v>656</v>
      </c>
      <c r="M6" s="4" t="s">
        <v>552</v>
      </c>
      <c r="N6" s="4">
        <v>35</v>
      </c>
      <c r="O6" s="4" t="s">
        <v>69</v>
      </c>
      <c r="P6" s="4">
        <v>5</v>
      </c>
      <c r="Q6" s="4">
        <v>4</v>
      </c>
      <c r="R6" s="4">
        <v>2</v>
      </c>
      <c r="T6" s="4" t="s">
        <v>70</v>
      </c>
      <c r="U6" s="4" t="s">
        <v>71</v>
      </c>
      <c r="V6" s="6" t="s">
        <v>145</v>
      </c>
      <c r="W6" s="4" t="s">
        <v>70</v>
      </c>
      <c r="X6" s="4" t="s">
        <v>71</v>
      </c>
      <c r="Y6" s="4" t="s">
        <v>71</v>
      </c>
      <c r="Z6" s="4" t="s">
        <v>71</v>
      </c>
      <c r="AA6" s="4" t="s">
        <v>70</v>
      </c>
      <c r="AB6" s="4" t="s">
        <v>71</v>
      </c>
      <c r="AC6" s="4" t="s">
        <v>71</v>
      </c>
      <c r="AD6" s="4" t="s">
        <v>71</v>
      </c>
      <c r="AE6" s="4" t="s">
        <v>71</v>
      </c>
      <c r="AG6" s="4" t="s">
        <v>70</v>
      </c>
      <c r="AH6" s="4" t="s">
        <v>70</v>
      </c>
      <c r="AM6" s="4" t="s">
        <v>70</v>
      </c>
    </row>
    <row r="7" spans="1:100" x14ac:dyDescent="0.25">
      <c r="A7" s="3">
        <v>45001.624717766201</v>
      </c>
      <c r="B7" s="4" t="s">
        <v>906</v>
      </c>
      <c r="C7" s="4" t="s">
        <v>907</v>
      </c>
      <c r="D7" s="5" t="s">
        <v>908</v>
      </c>
      <c r="E7" s="4" t="s">
        <v>103</v>
      </c>
      <c r="F7" s="4" t="s">
        <v>909</v>
      </c>
      <c r="G7" s="4" t="s">
        <v>64</v>
      </c>
      <c r="H7" s="4" t="s">
        <v>910</v>
      </c>
      <c r="I7" s="4" t="s">
        <v>911</v>
      </c>
      <c r="K7" s="4" t="s">
        <v>906</v>
      </c>
      <c r="L7" s="4" t="s">
        <v>656</v>
      </c>
      <c r="M7" s="4" t="s">
        <v>552</v>
      </c>
      <c r="N7" s="4">
        <v>35</v>
      </c>
      <c r="O7" s="4" t="s">
        <v>69</v>
      </c>
      <c r="P7" s="4">
        <v>5</v>
      </c>
      <c r="Q7" s="4">
        <v>4</v>
      </c>
      <c r="R7" s="4">
        <v>2</v>
      </c>
      <c r="T7" s="4" t="s">
        <v>70</v>
      </c>
      <c r="U7" s="4" t="s">
        <v>71</v>
      </c>
      <c r="V7" s="6" t="s">
        <v>145</v>
      </c>
      <c r="W7" s="4" t="s">
        <v>70</v>
      </c>
      <c r="X7" s="4" t="s">
        <v>71</v>
      </c>
      <c r="Y7" s="4" t="s">
        <v>71</v>
      </c>
      <c r="Z7" s="4" t="s">
        <v>71</v>
      </c>
      <c r="AA7" s="4" t="s">
        <v>70</v>
      </c>
      <c r="AB7" s="4" t="s">
        <v>71</v>
      </c>
      <c r="AC7" s="4" t="s">
        <v>71</v>
      </c>
      <c r="AD7" s="4" t="s">
        <v>71</v>
      </c>
      <c r="AE7" s="4" t="s">
        <v>71</v>
      </c>
      <c r="AG7" s="4" t="s">
        <v>70</v>
      </c>
      <c r="AH7" s="4" t="s">
        <v>70</v>
      </c>
      <c r="AM7" s="4" t="s">
        <v>70</v>
      </c>
      <c r="AP7" s="4" t="s">
        <v>70</v>
      </c>
      <c r="AQ7" s="4" t="s">
        <v>70</v>
      </c>
      <c r="AR7" s="4" t="s">
        <v>71</v>
      </c>
      <c r="AS7" s="4" t="s">
        <v>71</v>
      </c>
    </row>
    <row r="8" spans="1:100" x14ac:dyDescent="0.25">
      <c r="A8" s="3">
        <v>45001.659661122685</v>
      </c>
      <c r="B8" s="4" t="s">
        <v>906</v>
      </c>
      <c r="C8" s="4" t="s">
        <v>916</v>
      </c>
      <c r="D8" s="5" t="s">
        <v>908</v>
      </c>
      <c r="E8" s="4" t="s">
        <v>103</v>
      </c>
      <c r="F8" s="4" t="s">
        <v>917</v>
      </c>
      <c r="G8" s="4" t="s">
        <v>64</v>
      </c>
      <c r="H8" s="4" t="s">
        <v>918</v>
      </c>
      <c r="I8" s="4" t="s">
        <v>911</v>
      </c>
      <c r="J8" s="4" t="s">
        <v>919</v>
      </c>
      <c r="K8" s="4" t="s">
        <v>906</v>
      </c>
      <c r="L8" s="4" t="s">
        <v>656</v>
      </c>
      <c r="M8" s="4" t="s">
        <v>556</v>
      </c>
      <c r="N8" s="4">
        <v>35</v>
      </c>
      <c r="O8" s="4" t="s">
        <v>69</v>
      </c>
      <c r="P8" s="4">
        <v>5</v>
      </c>
      <c r="Q8" s="4">
        <v>4</v>
      </c>
      <c r="R8" s="4">
        <v>2</v>
      </c>
      <c r="T8" s="4" t="s">
        <v>70</v>
      </c>
      <c r="U8" s="4" t="s">
        <v>71</v>
      </c>
      <c r="V8" s="6" t="s">
        <v>145</v>
      </c>
      <c r="W8" s="4" t="s">
        <v>70</v>
      </c>
      <c r="X8" s="4" t="s">
        <v>71</v>
      </c>
      <c r="Y8" s="4" t="s">
        <v>71</v>
      </c>
      <c r="Z8" s="4" t="s">
        <v>71</v>
      </c>
      <c r="AA8" s="4" t="s">
        <v>70</v>
      </c>
      <c r="AB8" s="4" t="s">
        <v>70</v>
      </c>
      <c r="AC8" s="4" t="s">
        <v>71</v>
      </c>
      <c r="AD8" s="4" t="s">
        <v>71</v>
      </c>
      <c r="AE8" s="4" t="s">
        <v>71</v>
      </c>
      <c r="AG8" s="4" t="s">
        <v>70</v>
      </c>
      <c r="AL8" s="4" t="s">
        <v>70</v>
      </c>
      <c r="AM8" s="4" t="s">
        <v>70</v>
      </c>
    </row>
    <row r="9" spans="1:100" x14ac:dyDescent="0.25">
      <c r="A9" s="3">
        <v>45005.919205266204</v>
      </c>
      <c r="B9" s="4" t="s">
        <v>1026</v>
      </c>
      <c r="C9" s="4" t="s">
        <v>1027</v>
      </c>
      <c r="D9" s="7" t="s">
        <v>1028</v>
      </c>
      <c r="E9" s="4" t="s">
        <v>103</v>
      </c>
      <c r="F9" s="4" t="s">
        <v>294</v>
      </c>
      <c r="G9" s="4" t="s">
        <v>64</v>
      </c>
      <c r="H9" s="4" t="s">
        <v>1029</v>
      </c>
      <c r="I9" s="4" t="s">
        <v>1030</v>
      </c>
      <c r="J9" s="4" t="s">
        <v>1031</v>
      </c>
      <c r="K9" s="4" t="s">
        <v>1026</v>
      </c>
      <c r="L9" s="4" t="s">
        <v>67</v>
      </c>
      <c r="M9" s="4" t="s">
        <v>631</v>
      </c>
      <c r="N9" s="4">
        <v>29</v>
      </c>
      <c r="O9" s="4" t="s">
        <v>69</v>
      </c>
      <c r="P9" s="4">
        <v>4</v>
      </c>
      <c r="Q9" s="4">
        <v>4</v>
      </c>
      <c r="R9" s="4">
        <v>5</v>
      </c>
      <c r="T9" s="4" t="s">
        <v>70</v>
      </c>
      <c r="U9" s="4" t="s">
        <v>71</v>
      </c>
      <c r="V9" s="6" t="s">
        <v>99</v>
      </c>
      <c r="AU9" s="4" t="s">
        <v>70</v>
      </c>
      <c r="AV9" s="4" t="s">
        <v>70</v>
      </c>
      <c r="AW9" s="4" t="s">
        <v>71</v>
      </c>
      <c r="AX9" s="4" t="s">
        <v>71</v>
      </c>
      <c r="AY9" s="4" t="s">
        <v>70</v>
      </c>
      <c r="AZ9" s="4" t="s">
        <v>71</v>
      </c>
      <c r="BA9" s="4" t="s">
        <v>71</v>
      </c>
      <c r="BB9" s="4" t="s">
        <v>71</v>
      </c>
      <c r="BC9" s="4" t="s">
        <v>71</v>
      </c>
      <c r="BD9" s="4" t="s">
        <v>71</v>
      </c>
      <c r="BE9" s="4" t="s">
        <v>71</v>
      </c>
      <c r="BF9" s="4" t="s">
        <v>71</v>
      </c>
      <c r="BG9" s="4" t="s">
        <v>70</v>
      </c>
      <c r="BH9" s="4" t="s">
        <v>71</v>
      </c>
      <c r="BI9" s="4" t="s">
        <v>71</v>
      </c>
      <c r="BJ9" s="4" t="s">
        <v>71</v>
      </c>
      <c r="BK9" s="4" t="s">
        <v>71</v>
      </c>
      <c r="BL9" s="4" t="s">
        <v>71</v>
      </c>
      <c r="BM9" s="4" t="s">
        <v>70</v>
      </c>
      <c r="BN9" s="4" t="s">
        <v>70</v>
      </c>
      <c r="BO9" s="4" t="s">
        <v>71</v>
      </c>
      <c r="BP9" s="4" t="s">
        <v>71</v>
      </c>
      <c r="BQ9" s="4" t="s">
        <v>71</v>
      </c>
      <c r="BR9" s="4" t="s">
        <v>1032</v>
      </c>
    </row>
    <row r="10" spans="1:100" x14ac:dyDescent="0.25">
      <c r="A10" s="3">
        <v>45000.827784085646</v>
      </c>
      <c r="B10" s="4" t="s">
        <v>493</v>
      </c>
      <c r="C10" s="4" t="s">
        <v>494</v>
      </c>
      <c r="D10" s="5" t="s">
        <v>495</v>
      </c>
      <c r="E10" s="4" t="s">
        <v>103</v>
      </c>
      <c r="F10" s="4" t="s">
        <v>501</v>
      </c>
      <c r="G10" s="4" t="s">
        <v>64</v>
      </c>
      <c r="H10" s="4" t="s">
        <v>502</v>
      </c>
      <c r="I10" s="4" t="s">
        <v>503</v>
      </c>
      <c r="K10" s="4" t="s">
        <v>493</v>
      </c>
      <c r="L10" s="4" t="s">
        <v>67</v>
      </c>
      <c r="M10" s="4" t="s">
        <v>322</v>
      </c>
      <c r="N10" s="4">
        <v>30</v>
      </c>
      <c r="O10" s="4" t="s">
        <v>69</v>
      </c>
      <c r="P10" s="4">
        <v>3</v>
      </c>
      <c r="Q10" s="4">
        <v>1</v>
      </c>
      <c r="R10" s="4">
        <v>10</v>
      </c>
      <c r="T10" s="4" t="s">
        <v>70</v>
      </c>
      <c r="U10" s="4" t="s">
        <v>71</v>
      </c>
      <c r="V10" s="6" t="s">
        <v>99</v>
      </c>
      <c r="AU10" s="4" t="s">
        <v>71</v>
      </c>
      <c r="AV10" s="4" t="s">
        <v>70</v>
      </c>
      <c r="AW10" s="4" t="s">
        <v>71</v>
      </c>
      <c r="AX10" s="4" t="s">
        <v>71</v>
      </c>
      <c r="AY10" s="4" t="s">
        <v>71</v>
      </c>
      <c r="AZ10" s="4" t="s">
        <v>71</v>
      </c>
      <c r="BA10" s="4" t="s">
        <v>71</v>
      </c>
      <c r="BB10" s="4" t="s">
        <v>71</v>
      </c>
      <c r="BC10" s="4" t="s">
        <v>71</v>
      </c>
      <c r="BD10" s="4" t="s">
        <v>70</v>
      </c>
      <c r="BI10" s="4" t="s">
        <v>71</v>
      </c>
      <c r="BJ10" s="4" t="s">
        <v>71</v>
      </c>
      <c r="BK10" s="4" t="s">
        <v>71</v>
      </c>
      <c r="BL10" s="4" t="s">
        <v>71</v>
      </c>
      <c r="BM10" s="4" t="s">
        <v>71</v>
      </c>
      <c r="BN10" s="4" t="s">
        <v>70</v>
      </c>
      <c r="BO10" s="4" t="s">
        <v>71</v>
      </c>
      <c r="BP10" s="4" t="s">
        <v>71</v>
      </c>
      <c r="BQ10" s="4" t="s">
        <v>71</v>
      </c>
      <c r="BR10" s="4" t="s">
        <v>505</v>
      </c>
    </row>
    <row r="11" spans="1:100" x14ac:dyDescent="0.25">
      <c r="A11" s="3">
        <v>45005.81125875</v>
      </c>
      <c r="B11" s="4" t="s">
        <v>768</v>
      </c>
      <c r="C11" s="4" t="s">
        <v>769</v>
      </c>
      <c r="D11" s="6" t="s">
        <v>770</v>
      </c>
      <c r="E11" s="4" t="s">
        <v>103</v>
      </c>
      <c r="F11" s="4" t="s">
        <v>384</v>
      </c>
      <c r="G11" s="4" t="s">
        <v>64</v>
      </c>
      <c r="H11" s="4" t="s">
        <v>774</v>
      </c>
      <c r="I11" s="4" t="s">
        <v>772</v>
      </c>
      <c r="J11" s="4" t="s">
        <v>775</v>
      </c>
      <c r="K11" s="4" t="s">
        <v>768</v>
      </c>
      <c r="L11" s="4" t="s">
        <v>656</v>
      </c>
      <c r="M11" s="4" t="s">
        <v>458</v>
      </c>
      <c r="N11" s="4">
        <v>38</v>
      </c>
      <c r="O11" s="4" t="s">
        <v>69</v>
      </c>
      <c r="P11" s="4">
        <v>3</v>
      </c>
      <c r="Q11" s="4">
        <v>4</v>
      </c>
      <c r="R11" s="4">
        <v>10</v>
      </c>
      <c r="T11" s="4" t="s">
        <v>70</v>
      </c>
      <c r="U11" s="4" t="s">
        <v>70</v>
      </c>
      <c r="V11" s="6" t="s">
        <v>145</v>
      </c>
      <c r="W11" s="4" t="s">
        <v>70</v>
      </c>
      <c r="X11" s="4" t="s">
        <v>70</v>
      </c>
      <c r="Y11" s="4" t="s">
        <v>70</v>
      </c>
      <c r="Z11" s="4" t="s">
        <v>70</v>
      </c>
      <c r="AA11" s="4" t="s">
        <v>70</v>
      </c>
      <c r="AB11" s="4" t="s">
        <v>70</v>
      </c>
      <c r="AC11" s="4" t="s">
        <v>70</v>
      </c>
      <c r="AD11" s="4" t="s">
        <v>71</v>
      </c>
      <c r="AE11" s="4" t="s">
        <v>71</v>
      </c>
      <c r="AF11" s="4" t="s">
        <v>70</v>
      </c>
      <c r="AG11" s="4" t="s">
        <v>70</v>
      </c>
      <c r="AH11" s="4" t="s">
        <v>70</v>
      </c>
      <c r="AI11" s="4" t="s">
        <v>71</v>
      </c>
      <c r="AJ11" s="4" t="s">
        <v>71</v>
      </c>
      <c r="AK11" s="4" t="s">
        <v>70</v>
      </c>
      <c r="AL11" s="4" t="s">
        <v>70</v>
      </c>
      <c r="AM11" s="4" t="s">
        <v>70</v>
      </c>
      <c r="AN11" s="4" t="s">
        <v>71</v>
      </c>
      <c r="AO11" s="4" t="s">
        <v>71</v>
      </c>
      <c r="AP11" s="4" t="s">
        <v>70</v>
      </c>
      <c r="AQ11" s="4" t="s">
        <v>70</v>
      </c>
      <c r="AR11" s="4" t="s">
        <v>70</v>
      </c>
      <c r="AS11" s="4" t="s">
        <v>71</v>
      </c>
    </row>
    <row r="12" spans="1:100" x14ac:dyDescent="0.25">
      <c r="A12" s="3">
        <v>45006.488201030093</v>
      </c>
      <c r="B12" s="4" t="s">
        <v>971</v>
      </c>
      <c r="C12" s="4" t="s">
        <v>972</v>
      </c>
      <c r="D12" s="7" t="s">
        <v>973</v>
      </c>
      <c r="E12" s="4" t="s">
        <v>103</v>
      </c>
      <c r="F12" s="4" t="s">
        <v>63</v>
      </c>
      <c r="G12" s="4" t="s">
        <v>64</v>
      </c>
      <c r="H12" s="4" t="s">
        <v>974</v>
      </c>
      <c r="I12" s="4" t="s">
        <v>975</v>
      </c>
      <c r="J12" s="4" t="s">
        <v>976</v>
      </c>
      <c r="K12" s="4" t="s">
        <v>971</v>
      </c>
      <c r="L12" s="4" t="s">
        <v>656</v>
      </c>
      <c r="M12" s="4" t="s">
        <v>579</v>
      </c>
      <c r="N12" s="4">
        <v>34</v>
      </c>
      <c r="O12" s="4" t="s">
        <v>69</v>
      </c>
      <c r="P12" s="4">
        <v>3</v>
      </c>
      <c r="Q12" s="4">
        <v>3</v>
      </c>
      <c r="R12" s="4">
        <v>10</v>
      </c>
      <c r="T12" s="4" t="s">
        <v>70</v>
      </c>
      <c r="U12" s="4" t="s">
        <v>71</v>
      </c>
      <c r="V12" s="6" t="s">
        <v>145</v>
      </c>
      <c r="W12" s="4" t="s">
        <v>70</v>
      </c>
      <c r="X12" s="4" t="s">
        <v>71</v>
      </c>
      <c r="Y12" s="4" t="s">
        <v>71</v>
      </c>
      <c r="Z12" s="4" t="s">
        <v>71</v>
      </c>
      <c r="AA12" s="4" t="s">
        <v>71</v>
      </c>
      <c r="AB12" s="4" t="s">
        <v>70</v>
      </c>
      <c r="AC12" s="4" t="s">
        <v>71</v>
      </c>
      <c r="AD12" s="4" t="s">
        <v>71</v>
      </c>
      <c r="AE12" s="4" t="s">
        <v>71</v>
      </c>
      <c r="AF12" s="4" t="s">
        <v>71</v>
      </c>
      <c r="AG12" s="4" t="s">
        <v>71</v>
      </c>
      <c r="AH12" s="4" t="s">
        <v>71</v>
      </c>
      <c r="AI12" s="4" t="s">
        <v>70</v>
      </c>
      <c r="AJ12" s="4" t="s">
        <v>71</v>
      </c>
      <c r="AK12" s="4" t="s">
        <v>71</v>
      </c>
      <c r="AL12" s="4" t="s">
        <v>71</v>
      </c>
      <c r="AM12" s="4" t="s">
        <v>70</v>
      </c>
      <c r="AN12" s="4" t="s">
        <v>71</v>
      </c>
      <c r="AO12" s="4" t="s">
        <v>71</v>
      </c>
      <c r="AP12" s="4" t="s">
        <v>70</v>
      </c>
    </row>
    <row r="13" spans="1:100" x14ac:dyDescent="0.25">
      <c r="A13" s="3">
        <v>45001.937873287039</v>
      </c>
      <c r="B13" s="4" t="s">
        <v>584</v>
      </c>
      <c r="C13" s="4" t="s">
        <v>585</v>
      </c>
      <c r="D13" s="7" t="s">
        <v>586</v>
      </c>
      <c r="E13" s="4" t="s">
        <v>103</v>
      </c>
      <c r="F13" s="4" t="s">
        <v>587</v>
      </c>
      <c r="G13" s="4" t="s">
        <v>64</v>
      </c>
      <c r="H13" s="4" t="s">
        <v>588</v>
      </c>
      <c r="I13" s="4" t="s">
        <v>589</v>
      </c>
      <c r="J13" s="4" t="s">
        <v>590</v>
      </c>
      <c r="K13" s="4" t="s">
        <v>591</v>
      </c>
      <c r="L13" s="4" t="s">
        <v>67</v>
      </c>
      <c r="M13" s="4" t="s">
        <v>228</v>
      </c>
      <c r="N13" s="4">
        <v>25</v>
      </c>
      <c r="O13" s="4" t="s">
        <v>69</v>
      </c>
      <c r="P13" s="4">
        <v>5</v>
      </c>
      <c r="Q13" s="4">
        <v>5</v>
      </c>
      <c r="R13" s="4">
        <v>10</v>
      </c>
      <c r="T13" s="4" t="s">
        <v>70</v>
      </c>
      <c r="U13" s="4" t="s">
        <v>70</v>
      </c>
      <c r="V13" s="6" t="s">
        <v>73</v>
      </c>
      <c r="BS13" s="4" t="s">
        <v>71</v>
      </c>
      <c r="BT13" s="4" t="s">
        <v>71</v>
      </c>
      <c r="BU13" s="4" t="s">
        <v>71</v>
      </c>
      <c r="BV13" s="4" t="s">
        <v>71</v>
      </c>
      <c r="BW13" s="4" t="s">
        <v>71</v>
      </c>
      <c r="BX13" s="4" t="s">
        <v>70</v>
      </c>
      <c r="BY13" s="4" t="s">
        <v>70</v>
      </c>
      <c r="BZ13" s="4" t="s">
        <v>70</v>
      </c>
      <c r="CA13" s="4" t="s">
        <v>70</v>
      </c>
      <c r="CB13" s="4" t="s">
        <v>71</v>
      </c>
      <c r="CC13" s="4" t="s">
        <v>71</v>
      </c>
      <c r="CD13" s="4" t="s">
        <v>71</v>
      </c>
      <c r="CE13" s="4" t="s">
        <v>71</v>
      </c>
      <c r="CF13" s="4" t="s">
        <v>71</v>
      </c>
      <c r="CG13" s="4" t="s">
        <v>70</v>
      </c>
      <c r="CH13" s="4" t="s">
        <v>70</v>
      </c>
      <c r="CI13" s="4" t="s">
        <v>70</v>
      </c>
      <c r="CJ13" s="4" t="s">
        <v>70</v>
      </c>
      <c r="CK13" s="4" t="s">
        <v>70</v>
      </c>
      <c r="CL13" s="4" t="s">
        <v>70</v>
      </c>
      <c r="CM13" s="4" t="s">
        <v>70</v>
      </c>
      <c r="CN13" s="4" t="s">
        <v>70</v>
      </c>
      <c r="CO13" s="4" t="s">
        <v>70</v>
      </c>
      <c r="CP13" s="4" t="s">
        <v>593</v>
      </c>
    </row>
    <row r="14" spans="1:100" x14ac:dyDescent="0.25">
      <c r="A14" s="3">
        <v>45001.944243252314</v>
      </c>
      <c r="B14" s="4" t="s">
        <v>591</v>
      </c>
      <c r="C14" s="4" t="s">
        <v>598</v>
      </c>
      <c r="D14" s="7" t="s">
        <v>586</v>
      </c>
      <c r="E14" s="4" t="s">
        <v>103</v>
      </c>
      <c r="F14" s="4" t="s">
        <v>599</v>
      </c>
      <c r="G14" s="4" t="s">
        <v>64</v>
      </c>
      <c r="H14" s="4" t="s">
        <v>595</v>
      </c>
      <c r="I14" s="4" t="s">
        <v>589</v>
      </c>
      <c r="J14" s="4" t="s">
        <v>590</v>
      </c>
      <c r="K14" s="4" t="s">
        <v>591</v>
      </c>
      <c r="L14" s="4" t="s">
        <v>67</v>
      </c>
      <c r="M14" s="4" t="s">
        <v>228</v>
      </c>
      <c r="N14" s="4">
        <v>30</v>
      </c>
      <c r="O14" s="4" t="s">
        <v>69</v>
      </c>
      <c r="P14" s="4">
        <v>5</v>
      </c>
      <c r="Q14" s="4">
        <v>5</v>
      </c>
      <c r="R14" s="4">
        <v>10</v>
      </c>
      <c r="T14" s="4" t="s">
        <v>70</v>
      </c>
      <c r="U14" s="4" t="s">
        <v>70</v>
      </c>
      <c r="V14" s="6" t="s">
        <v>73</v>
      </c>
      <c r="BS14" s="4" t="s">
        <v>71</v>
      </c>
      <c r="BT14" s="4" t="s">
        <v>71</v>
      </c>
      <c r="BU14" s="4" t="s">
        <v>71</v>
      </c>
      <c r="BV14" s="4" t="s">
        <v>70</v>
      </c>
      <c r="BW14" s="4" t="s">
        <v>70</v>
      </c>
      <c r="BX14" s="4" t="s">
        <v>70</v>
      </c>
      <c r="BY14" s="4" t="s">
        <v>70</v>
      </c>
      <c r="BZ14" s="4" t="s">
        <v>70</v>
      </c>
      <c r="CA14" s="4" t="s">
        <v>70</v>
      </c>
      <c r="CB14" s="4" t="s">
        <v>71</v>
      </c>
      <c r="CC14" s="4" t="s">
        <v>71</v>
      </c>
      <c r="CD14" s="4" t="s">
        <v>71</v>
      </c>
      <c r="CE14" s="4" t="s">
        <v>71</v>
      </c>
      <c r="CF14" s="4" t="s">
        <v>71</v>
      </c>
      <c r="CG14" s="4" t="s">
        <v>70</v>
      </c>
      <c r="CH14" s="4" t="s">
        <v>70</v>
      </c>
      <c r="CI14" s="4" t="s">
        <v>70</v>
      </c>
      <c r="CJ14" s="4" t="s">
        <v>70</v>
      </c>
      <c r="CK14" s="4" t="s">
        <v>70</v>
      </c>
      <c r="CL14" s="4" t="s">
        <v>70</v>
      </c>
      <c r="CM14" s="4" t="s">
        <v>70</v>
      </c>
      <c r="CN14" s="4" t="s">
        <v>70</v>
      </c>
      <c r="CO14" s="4" t="s">
        <v>70</v>
      </c>
      <c r="CP14" s="4" t="s">
        <v>597</v>
      </c>
    </row>
    <row r="15" spans="1:100" x14ac:dyDescent="0.25">
      <c r="A15" s="3">
        <v>45002.412812291666</v>
      </c>
      <c r="B15" s="4" t="s">
        <v>332</v>
      </c>
      <c r="C15" s="4" t="s">
        <v>333</v>
      </c>
      <c r="D15" s="7" t="s">
        <v>327</v>
      </c>
      <c r="E15" s="4" t="s">
        <v>103</v>
      </c>
      <c r="F15" s="4" t="s">
        <v>334</v>
      </c>
      <c r="G15" s="4" t="s">
        <v>105</v>
      </c>
      <c r="H15" s="4" t="s">
        <v>335</v>
      </c>
      <c r="I15" s="4" t="s">
        <v>339</v>
      </c>
      <c r="J15" s="4" t="s">
        <v>340</v>
      </c>
      <c r="K15" s="4" t="s">
        <v>341</v>
      </c>
      <c r="L15" s="4" t="s">
        <v>67</v>
      </c>
      <c r="M15" s="4" t="s">
        <v>228</v>
      </c>
      <c r="N15" s="4">
        <v>35</v>
      </c>
      <c r="O15" s="4" t="s">
        <v>69</v>
      </c>
      <c r="P15" s="4">
        <v>4</v>
      </c>
      <c r="Q15" s="4">
        <v>4</v>
      </c>
      <c r="R15" s="4">
        <v>10</v>
      </c>
      <c r="T15" s="4" t="s">
        <v>70</v>
      </c>
      <c r="U15" s="4" t="s">
        <v>70</v>
      </c>
      <c r="V15" s="6" t="s">
        <v>145</v>
      </c>
      <c r="W15" s="4" t="s">
        <v>70</v>
      </c>
      <c r="X15" s="4" t="s">
        <v>71</v>
      </c>
      <c r="Y15" s="4" t="s">
        <v>71</v>
      </c>
      <c r="Z15" s="4" t="s">
        <v>71</v>
      </c>
      <c r="AA15" s="4" t="s">
        <v>71</v>
      </c>
      <c r="AB15" s="4" t="s">
        <v>70</v>
      </c>
      <c r="AC15" s="4" t="s">
        <v>70</v>
      </c>
      <c r="AD15" s="4" t="s">
        <v>71</v>
      </c>
      <c r="AE15" s="4" t="s">
        <v>71</v>
      </c>
      <c r="AF15" s="4" t="s">
        <v>71</v>
      </c>
      <c r="AG15" s="4" t="s">
        <v>70</v>
      </c>
      <c r="AH15" s="4" t="s">
        <v>70</v>
      </c>
      <c r="AI15" s="4" t="s">
        <v>71</v>
      </c>
      <c r="AJ15" s="4" t="s">
        <v>71</v>
      </c>
      <c r="AK15" s="4" t="s">
        <v>71</v>
      </c>
      <c r="AL15" s="4" t="s">
        <v>70</v>
      </c>
      <c r="AM15" s="4" t="s">
        <v>70</v>
      </c>
      <c r="AN15" s="4" t="s">
        <v>71</v>
      </c>
      <c r="AO15" s="4" t="s">
        <v>71</v>
      </c>
      <c r="AP15" s="4" t="s">
        <v>70</v>
      </c>
      <c r="AQ15" s="4" t="s">
        <v>70</v>
      </c>
      <c r="AR15" s="4" t="s">
        <v>71</v>
      </c>
      <c r="AS15" s="4" t="s">
        <v>71</v>
      </c>
    </row>
    <row r="16" spans="1:100" x14ac:dyDescent="0.25">
      <c r="A16" s="3">
        <v>45002.439637488424</v>
      </c>
      <c r="B16" s="4" t="s">
        <v>1181</v>
      </c>
      <c r="C16" s="4" t="s">
        <v>1182</v>
      </c>
      <c r="D16" s="7" t="s">
        <v>1183</v>
      </c>
      <c r="E16" s="4" t="s">
        <v>103</v>
      </c>
      <c r="F16" s="4" t="s">
        <v>446</v>
      </c>
      <c r="G16" s="4" t="s">
        <v>105</v>
      </c>
      <c r="H16" s="4" t="s">
        <v>1184</v>
      </c>
      <c r="I16" s="4" t="s">
        <v>1185</v>
      </c>
      <c r="J16" s="4" t="s">
        <v>1186</v>
      </c>
      <c r="K16" s="4" t="s">
        <v>1181</v>
      </c>
      <c r="L16" s="4" t="s">
        <v>656</v>
      </c>
      <c r="M16" s="4" t="s">
        <v>727</v>
      </c>
      <c r="N16" s="4">
        <v>23</v>
      </c>
      <c r="O16" s="4" t="s">
        <v>69</v>
      </c>
      <c r="P16" s="4">
        <v>4</v>
      </c>
      <c r="Q16" s="4">
        <v>3</v>
      </c>
      <c r="R16" s="4">
        <v>15</v>
      </c>
      <c r="T16" s="4" t="s">
        <v>70</v>
      </c>
      <c r="U16" s="4" t="s">
        <v>71</v>
      </c>
      <c r="V16" s="6" t="s">
        <v>73</v>
      </c>
      <c r="BS16" s="4" t="s">
        <v>70</v>
      </c>
      <c r="BT16" s="4" t="s">
        <v>70</v>
      </c>
      <c r="BU16" s="4" t="s">
        <v>71</v>
      </c>
      <c r="BV16" s="4" t="s">
        <v>70</v>
      </c>
      <c r="BW16" s="4" t="s">
        <v>70</v>
      </c>
      <c r="BX16" s="4" t="s">
        <v>71</v>
      </c>
      <c r="BY16" s="4" t="s">
        <v>71</v>
      </c>
      <c r="BZ16" s="4" t="s">
        <v>71</v>
      </c>
      <c r="CA16" s="4" t="s">
        <v>71</v>
      </c>
      <c r="CB16" s="4" t="s">
        <v>70</v>
      </c>
      <c r="CC16" s="4" t="s">
        <v>70</v>
      </c>
      <c r="CD16" s="4" t="s">
        <v>71</v>
      </c>
      <c r="CE16" s="4" t="s">
        <v>71</v>
      </c>
      <c r="CF16" s="4" t="s">
        <v>71</v>
      </c>
      <c r="CG16" s="4" t="s">
        <v>70</v>
      </c>
      <c r="CH16" s="4" t="s">
        <v>70</v>
      </c>
      <c r="CI16" s="4" t="s">
        <v>71</v>
      </c>
      <c r="CJ16" s="4" t="s">
        <v>71</v>
      </c>
      <c r="CK16" s="4" t="s">
        <v>71</v>
      </c>
      <c r="CL16" s="4" t="s">
        <v>70</v>
      </c>
      <c r="CM16" s="4" t="s">
        <v>71</v>
      </c>
      <c r="CN16" s="4" t="s">
        <v>71</v>
      </c>
      <c r="CO16" s="4" t="s">
        <v>71</v>
      </c>
    </row>
    <row r="17" spans="1:94" x14ac:dyDescent="0.25">
      <c r="A17" s="3">
        <v>45004.529857268513</v>
      </c>
      <c r="B17" s="4" t="s">
        <v>632</v>
      </c>
      <c r="C17" s="4" t="s">
        <v>633</v>
      </c>
      <c r="D17" s="7" t="s">
        <v>634</v>
      </c>
      <c r="E17" s="4" t="s">
        <v>103</v>
      </c>
      <c r="F17" s="4" t="s">
        <v>635</v>
      </c>
      <c r="G17" s="4" t="s">
        <v>105</v>
      </c>
      <c r="H17" s="4" t="s">
        <v>640</v>
      </c>
      <c r="I17" s="4" t="s">
        <v>641</v>
      </c>
      <c r="J17" s="4" t="s">
        <v>642</v>
      </c>
      <c r="K17" s="4" t="s">
        <v>632</v>
      </c>
      <c r="L17" s="4" t="s">
        <v>67</v>
      </c>
      <c r="M17" s="4" t="s">
        <v>353</v>
      </c>
      <c r="N17" s="4">
        <v>40</v>
      </c>
      <c r="O17" s="4" t="s">
        <v>69</v>
      </c>
      <c r="P17" s="4">
        <v>5</v>
      </c>
      <c r="Q17" s="4">
        <v>5</v>
      </c>
      <c r="R17" s="4">
        <v>20</v>
      </c>
      <c r="T17" s="4" t="s">
        <v>70</v>
      </c>
      <c r="U17" s="4" t="s">
        <v>71</v>
      </c>
      <c r="V17" s="6" t="s">
        <v>145</v>
      </c>
      <c r="W17" s="4" t="s">
        <v>70</v>
      </c>
      <c r="X17" s="4" t="s">
        <v>70</v>
      </c>
      <c r="Y17" s="4" t="s">
        <v>71</v>
      </c>
      <c r="Z17" s="4" t="s">
        <v>70</v>
      </c>
      <c r="AA17" s="4" t="s">
        <v>70</v>
      </c>
      <c r="AB17" s="4" t="s">
        <v>70</v>
      </c>
      <c r="AC17" s="4" t="s">
        <v>71</v>
      </c>
      <c r="AD17" s="4" t="s">
        <v>71</v>
      </c>
      <c r="AE17" s="4" t="s">
        <v>71</v>
      </c>
      <c r="AF17" s="4" t="s">
        <v>70</v>
      </c>
      <c r="AG17" s="4" t="s">
        <v>70</v>
      </c>
      <c r="AH17" s="4" t="s">
        <v>70</v>
      </c>
      <c r="AI17" s="4" t="s">
        <v>71</v>
      </c>
      <c r="AJ17" s="4" t="s">
        <v>71</v>
      </c>
      <c r="AK17" s="4" t="s">
        <v>70</v>
      </c>
      <c r="AL17" s="4" t="s">
        <v>70</v>
      </c>
      <c r="AM17" s="4" t="s">
        <v>70</v>
      </c>
      <c r="AN17" s="4" t="s">
        <v>71</v>
      </c>
      <c r="AO17" s="4" t="s">
        <v>71</v>
      </c>
      <c r="AP17" s="4" t="s">
        <v>70</v>
      </c>
      <c r="AQ17" s="4" t="s">
        <v>70</v>
      </c>
      <c r="AR17" s="4" t="s">
        <v>71</v>
      </c>
      <c r="AS17" s="4" t="s">
        <v>71</v>
      </c>
      <c r="AT17" s="4" t="s">
        <v>644</v>
      </c>
    </row>
    <row r="18" spans="1:94" x14ac:dyDescent="0.25">
      <c r="A18" s="3">
        <v>45004.534473506945</v>
      </c>
      <c r="B18" s="4" t="s">
        <v>632</v>
      </c>
      <c r="C18" s="4" t="s">
        <v>633</v>
      </c>
      <c r="D18" s="7" t="s">
        <v>634</v>
      </c>
      <c r="E18" s="4" t="s">
        <v>103</v>
      </c>
      <c r="F18" s="4" t="s">
        <v>635</v>
      </c>
      <c r="G18" s="4" t="s">
        <v>105</v>
      </c>
      <c r="H18" s="4" t="s">
        <v>645</v>
      </c>
      <c r="I18" s="4" t="s">
        <v>646</v>
      </c>
      <c r="J18" s="4" t="s">
        <v>647</v>
      </c>
      <c r="K18" s="4" t="s">
        <v>632</v>
      </c>
      <c r="L18" s="4" t="s">
        <v>67</v>
      </c>
      <c r="M18" s="4" t="s">
        <v>353</v>
      </c>
      <c r="N18" s="4">
        <v>40</v>
      </c>
      <c r="O18" s="4" t="s">
        <v>69</v>
      </c>
      <c r="P18" s="4">
        <v>5</v>
      </c>
      <c r="Q18" s="4">
        <v>5</v>
      </c>
      <c r="R18" s="4">
        <v>20</v>
      </c>
      <c r="T18" s="4" t="s">
        <v>70</v>
      </c>
      <c r="U18" s="4" t="s">
        <v>71</v>
      </c>
      <c r="V18" s="6" t="s">
        <v>99</v>
      </c>
      <c r="AU18" s="4" t="s">
        <v>70</v>
      </c>
      <c r="AV18" s="4" t="s">
        <v>70</v>
      </c>
      <c r="AW18" s="4" t="s">
        <v>71</v>
      </c>
      <c r="AX18" s="4" t="s">
        <v>70</v>
      </c>
      <c r="AY18" s="4" t="s">
        <v>70</v>
      </c>
      <c r="AZ18" s="4" t="s">
        <v>70</v>
      </c>
      <c r="BA18" s="4" t="s">
        <v>71</v>
      </c>
      <c r="BB18" s="4" t="s">
        <v>71</v>
      </c>
      <c r="BC18" s="4" t="s">
        <v>71</v>
      </c>
      <c r="BD18" s="4" t="s">
        <v>70</v>
      </c>
      <c r="BE18" s="4" t="s">
        <v>70</v>
      </c>
      <c r="BF18" s="4" t="s">
        <v>70</v>
      </c>
      <c r="BG18" s="4" t="s">
        <v>71</v>
      </c>
      <c r="BH18" s="4" t="s">
        <v>71</v>
      </c>
      <c r="BI18" s="4" t="s">
        <v>70</v>
      </c>
      <c r="BJ18" s="4" t="s">
        <v>70</v>
      </c>
      <c r="BK18" s="4" t="s">
        <v>70</v>
      </c>
      <c r="BL18" s="4" t="s">
        <v>71</v>
      </c>
      <c r="BM18" s="4" t="s">
        <v>71</v>
      </c>
      <c r="BN18" s="4" t="s">
        <v>70</v>
      </c>
      <c r="BO18" s="4" t="s">
        <v>70</v>
      </c>
      <c r="BP18" s="4" t="s">
        <v>71</v>
      </c>
      <c r="BQ18" s="4" t="s">
        <v>71</v>
      </c>
    </row>
    <row r="19" spans="1:94" x14ac:dyDescent="0.25">
      <c r="A19" s="3">
        <v>45004.537609432868</v>
      </c>
      <c r="B19" s="4" t="s">
        <v>632</v>
      </c>
      <c r="C19" s="4" t="s">
        <v>633</v>
      </c>
      <c r="D19" s="7" t="s">
        <v>634</v>
      </c>
      <c r="E19" s="4" t="s">
        <v>103</v>
      </c>
      <c r="F19" s="4" t="s">
        <v>635</v>
      </c>
      <c r="G19" s="4" t="s">
        <v>105</v>
      </c>
      <c r="H19" s="4" t="s">
        <v>636</v>
      </c>
      <c r="I19" s="4" t="s">
        <v>637</v>
      </c>
      <c r="J19" s="4" t="s">
        <v>638</v>
      </c>
      <c r="K19" s="4" t="s">
        <v>632</v>
      </c>
      <c r="L19" s="4" t="s">
        <v>67</v>
      </c>
      <c r="M19" s="4" t="s">
        <v>353</v>
      </c>
      <c r="N19" s="4">
        <v>35</v>
      </c>
      <c r="O19" s="4" t="s">
        <v>69</v>
      </c>
      <c r="P19" s="4">
        <v>5</v>
      </c>
      <c r="Q19" s="4">
        <v>5</v>
      </c>
      <c r="R19" s="4">
        <v>20</v>
      </c>
      <c r="T19" s="4" t="s">
        <v>70</v>
      </c>
      <c r="U19" s="4" t="s">
        <v>71</v>
      </c>
      <c r="V19" s="6" t="s">
        <v>73</v>
      </c>
      <c r="BS19" s="4" t="s">
        <v>70</v>
      </c>
      <c r="BT19" s="4" t="s">
        <v>70</v>
      </c>
      <c r="BU19" s="4" t="s">
        <v>71</v>
      </c>
      <c r="BV19" s="4" t="s">
        <v>70</v>
      </c>
      <c r="BW19" s="4" t="s">
        <v>70</v>
      </c>
      <c r="BX19" s="4" t="s">
        <v>70</v>
      </c>
      <c r="BY19" s="4" t="s">
        <v>71</v>
      </c>
      <c r="BZ19" s="4" t="s">
        <v>71</v>
      </c>
      <c r="CA19" s="4" t="s">
        <v>71</v>
      </c>
      <c r="CB19" s="4" t="s">
        <v>70</v>
      </c>
      <c r="CC19" s="4" t="s">
        <v>70</v>
      </c>
      <c r="CD19" s="4" t="s">
        <v>70</v>
      </c>
      <c r="CE19" s="4" t="s">
        <v>71</v>
      </c>
      <c r="CF19" s="4" t="s">
        <v>71</v>
      </c>
      <c r="CG19" s="4" t="s">
        <v>70</v>
      </c>
      <c r="CH19" s="4" t="s">
        <v>70</v>
      </c>
      <c r="CI19" s="4" t="s">
        <v>70</v>
      </c>
      <c r="CJ19" s="4" t="s">
        <v>71</v>
      </c>
      <c r="CK19" s="4" t="s">
        <v>71</v>
      </c>
      <c r="CL19" s="4" t="s">
        <v>70</v>
      </c>
      <c r="CM19" s="4" t="s">
        <v>70</v>
      </c>
      <c r="CN19" s="4" t="s">
        <v>71</v>
      </c>
      <c r="CO19" s="4" t="s">
        <v>71</v>
      </c>
    </row>
    <row r="20" spans="1:94" x14ac:dyDescent="0.25">
      <c r="A20" s="3">
        <v>45000.747829861109</v>
      </c>
      <c r="B20" s="4" t="s">
        <v>1035</v>
      </c>
      <c r="C20" s="4" t="s">
        <v>1036</v>
      </c>
      <c r="D20" s="7" t="s">
        <v>1037</v>
      </c>
      <c r="E20" s="4" t="s">
        <v>103</v>
      </c>
      <c r="F20" s="4" t="s">
        <v>104</v>
      </c>
      <c r="G20" s="4" t="s">
        <v>64</v>
      </c>
      <c r="H20" s="4" t="s">
        <v>1038</v>
      </c>
      <c r="I20" s="4" t="s">
        <v>1039</v>
      </c>
      <c r="J20" s="4" t="s">
        <v>1040</v>
      </c>
      <c r="K20" s="4" t="s">
        <v>1035</v>
      </c>
      <c r="L20" s="4" t="s">
        <v>656</v>
      </c>
      <c r="M20" s="4" t="s">
        <v>639</v>
      </c>
      <c r="N20" s="4">
        <v>30</v>
      </c>
      <c r="O20" s="4" t="s">
        <v>69</v>
      </c>
      <c r="P20" s="4">
        <v>5</v>
      </c>
      <c r="Q20" s="4">
        <v>1</v>
      </c>
      <c r="R20" s="4">
        <v>20</v>
      </c>
      <c r="T20" s="4" t="s">
        <v>70</v>
      </c>
      <c r="U20" s="4" t="s">
        <v>71</v>
      </c>
      <c r="V20" s="6" t="s">
        <v>145</v>
      </c>
      <c r="W20" s="4" t="s">
        <v>70</v>
      </c>
      <c r="X20" s="4" t="s">
        <v>71</v>
      </c>
      <c r="Y20" s="4" t="s">
        <v>70</v>
      </c>
      <c r="Z20" s="4" t="s">
        <v>71</v>
      </c>
      <c r="AA20" s="4" t="s">
        <v>70</v>
      </c>
      <c r="AB20" s="4" t="s">
        <v>70</v>
      </c>
      <c r="AC20" s="4" t="s">
        <v>70</v>
      </c>
      <c r="AD20" s="4" t="s">
        <v>71</v>
      </c>
      <c r="AE20" s="4" t="s">
        <v>71</v>
      </c>
      <c r="AF20" s="4" t="s">
        <v>71</v>
      </c>
      <c r="AG20" s="4" t="s">
        <v>71</v>
      </c>
      <c r="AH20" s="4" t="s">
        <v>70</v>
      </c>
      <c r="AI20" s="4" t="s">
        <v>71</v>
      </c>
      <c r="AJ20" s="4" t="s">
        <v>71</v>
      </c>
      <c r="AK20" s="4" t="s">
        <v>71</v>
      </c>
      <c r="AL20" s="4" t="s">
        <v>70</v>
      </c>
      <c r="AM20" s="4" t="s">
        <v>70</v>
      </c>
      <c r="AN20" s="4" t="s">
        <v>70</v>
      </c>
      <c r="AO20" s="4" t="s">
        <v>71</v>
      </c>
    </row>
    <row r="21" spans="1:94" x14ac:dyDescent="0.25">
      <c r="A21" s="3">
        <v>45001.647660289353</v>
      </c>
      <c r="B21" s="4" t="s">
        <v>675</v>
      </c>
      <c r="C21" s="4" t="s">
        <v>676</v>
      </c>
      <c r="D21" s="5" t="s">
        <v>670</v>
      </c>
      <c r="E21" s="4" t="s">
        <v>103</v>
      </c>
      <c r="F21" s="4" t="s">
        <v>671</v>
      </c>
      <c r="G21" s="4" t="s">
        <v>64</v>
      </c>
      <c r="H21" s="4" t="s">
        <v>677</v>
      </c>
      <c r="I21" s="4" t="s">
        <v>678</v>
      </c>
      <c r="J21" s="4" t="s">
        <v>679</v>
      </c>
      <c r="K21" s="4" t="s">
        <v>675</v>
      </c>
      <c r="L21" s="4" t="s">
        <v>656</v>
      </c>
      <c r="M21" s="4" t="s">
        <v>375</v>
      </c>
      <c r="N21" s="4">
        <v>31</v>
      </c>
      <c r="O21" s="4" t="s">
        <v>69</v>
      </c>
      <c r="P21" s="4">
        <v>4</v>
      </c>
      <c r="Q21" s="4">
        <v>1</v>
      </c>
      <c r="R21" s="4">
        <v>25</v>
      </c>
      <c r="T21" s="4" t="s">
        <v>70</v>
      </c>
      <c r="U21" s="4" t="s">
        <v>70</v>
      </c>
      <c r="V21" s="6" t="s">
        <v>73</v>
      </c>
      <c r="BS21" s="4" t="s">
        <v>71</v>
      </c>
      <c r="BT21" s="4" t="s">
        <v>71</v>
      </c>
      <c r="BU21" s="4" t="s">
        <v>70</v>
      </c>
      <c r="BV21" s="4" t="s">
        <v>70</v>
      </c>
      <c r="BW21" s="4" t="s">
        <v>71</v>
      </c>
      <c r="BX21" s="4" t="s">
        <v>71</v>
      </c>
      <c r="BY21" s="4" t="s">
        <v>71</v>
      </c>
      <c r="BZ21" s="4" t="s">
        <v>71</v>
      </c>
      <c r="CA21" s="4" t="s">
        <v>71</v>
      </c>
      <c r="CB21" s="4" t="s">
        <v>71</v>
      </c>
      <c r="CC21" s="4" t="s">
        <v>71</v>
      </c>
      <c r="CD21" s="4" t="s">
        <v>70</v>
      </c>
      <c r="CE21" s="4" t="s">
        <v>71</v>
      </c>
      <c r="CF21" s="4" t="s">
        <v>71</v>
      </c>
      <c r="CG21" s="4" t="s">
        <v>71</v>
      </c>
      <c r="CH21" s="4" t="s">
        <v>70</v>
      </c>
      <c r="CI21" s="4" t="s">
        <v>71</v>
      </c>
      <c r="CJ21" s="4" t="s">
        <v>71</v>
      </c>
      <c r="CK21" s="4" t="s">
        <v>71</v>
      </c>
      <c r="CL21" s="4" t="s">
        <v>70</v>
      </c>
      <c r="CM21" s="4" t="s">
        <v>71</v>
      </c>
      <c r="CN21" s="4" t="s">
        <v>71</v>
      </c>
      <c r="CO21" s="4" t="s">
        <v>71</v>
      </c>
    </row>
    <row r="22" spans="1:94" x14ac:dyDescent="0.25">
      <c r="A22" s="3">
        <v>45001.649417465276</v>
      </c>
      <c r="B22" s="4" t="s">
        <v>675</v>
      </c>
      <c r="C22" s="4" t="s">
        <v>676</v>
      </c>
      <c r="D22" s="5" t="s">
        <v>670</v>
      </c>
      <c r="E22" s="4" t="s">
        <v>103</v>
      </c>
      <c r="F22" s="4" t="s">
        <v>671</v>
      </c>
      <c r="G22" s="4" t="s">
        <v>64</v>
      </c>
      <c r="H22" s="4" t="s">
        <v>677</v>
      </c>
      <c r="I22" s="4" t="s">
        <v>678</v>
      </c>
      <c r="J22" s="4" t="s">
        <v>679</v>
      </c>
      <c r="K22" s="4" t="s">
        <v>675</v>
      </c>
      <c r="L22" s="4" t="s">
        <v>656</v>
      </c>
      <c r="M22" s="4" t="s">
        <v>380</v>
      </c>
      <c r="N22" s="4">
        <v>25</v>
      </c>
      <c r="O22" s="4" t="s">
        <v>69</v>
      </c>
      <c r="P22" s="4">
        <v>4</v>
      </c>
      <c r="Q22" s="4">
        <v>1</v>
      </c>
      <c r="R22" s="4">
        <v>25</v>
      </c>
      <c r="T22" s="4" t="s">
        <v>70</v>
      </c>
      <c r="U22" s="4" t="s">
        <v>70</v>
      </c>
      <c r="V22" s="6" t="s">
        <v>73</v>
      </c>
      <c r="BS22" s="4" t="s">
        <v>71</v>
      </c>
      <c r="BT22" s="4" t="s">
        <v>71</v>
      </c>
      <c r="BU22" s="4" t="s">
        <v>70</v>
      </c>
      <c r="BV22" s="4" t="s">
        <v>70</v>
      </c>
      <c r="BW22" s="4" t="s">
        <v>71</v>
      </c>
      <c r="BX22" s="4" t="s">
        <v>71</v>
      </c>
      <c r="BY22" s="4" t="s">
        <v>71</v>
      </c>
      <c r="BZ22" s="4" t="s">
        <v>71</v>
      </c>
      <c r="CA22" s="4" t="s">
        <v>71</v>
      </c>
      <c r="CB22" s="4" t="s">
        <v>71</v>
      </c>
      <c r="CC22" s="4" t="s">
        <v>71</v>
      </c>
      <c r="CD22" s="4" t="s">
        <v>70</v>
      </c>
      <c r="CE22" s="4" t="s">
        <v>71</v>
      </c>
      <c r="CF22" s="4" t="s">
        <v>71</v>
      </c>
      <c r="CG22" s="4" t="s">
        <v>71</v>
      </c>
      <c r="CH22" s="4" t="s">
        <v>70</v>
      </c>
      <c r="CI22" s="4" t="s">
        <v>71</v>
      </c>
      <c r="CJ22" s="4" t="s">
        <v>71</v>
      </c>
      <c r="CK22" s="4" t="s">
        <v>71</v>
      </c>
      <c r="CL22" s="4" t="s">
        <v>70</v>
      </c>
      <c r="CM22" s="4" t="s">
        <v>71</v>
      </c>
      <c r="CN22" s="4" t="s">
        <v>71</v>
      </c>
      <c r="CO22" s="4" t="s">
        <v>71</v>
      </c>
    </row>
    <row r="23" spans="1:94" x14ac:dyDescent="0.25">
      <c r="A23" s="3">
        <v>45001.394554814819</v>
      </c>
      <c r="B23" s="4" t="s">
        <v>1056</v>
      </c>
      <c r="C23" s="4" t="s">
        <v>1057</v>
      </c>
      <c r="D23" s="5" t="s">
        <v>1058</v>
      </c>
      <c r="E23" s="4" t="s">
        <v>103</v>
      </c>
      <c r="F23" s="4" t="s">
        <v>723</v>
      </c>
      <c r="G23" s="4" t="s">
        <v>105</v>
      </c>
      <c r="H23" s="4" t="s">
        <v>1059</v>
      </c>
      <c r="I23" s="4" t="s">
        <v>1060</v>
      </c>
      <c r="J23" s="4" t="s">
        <v>1061</v>
      </c>
      <c r="K23" s="4" t="s">
        <v>1056</v>
      </c>
      <c r="L23" s="4" t="s">
        <v>656</v>
      </c>
      <c r="M23" s="4" t="s">
        <v>648</v>
      </c>
      <c r="N23" s="4">
        <v>11</v>
      </c>
      <c r="O23" s="4" t="s">
        <v>69</v>
      </c>
      <c r="P23" s="4">
        <v>2</v>
      </c>
      <c r="Q23" s="4">
        <v>1</v>
      </c>
      <c r="R23" s="4">
        <v>30</v>
      </c>
      <c r="T23" s="4" t="s">
        <v>70</v>
      </c>
      <c r="U23" s="4" t="s">
        <v>71</v>
      </c>
      <c r="V23" s="6" t="s">
        <v>73</v>
      </c>
      <c r="BS23" s="4" t="s">
        <v>70</v>
      </c>
      <c r="BT23" s="4" t="s">
        <v>71</v>
      </c>
      <c r="BU23" s="4" t="s">
        <v>71</v>
      </c>
      <c r="BV23" s="4" t="s">
        <v>71</v>
      </c>
      <c r="BW23" s="4" t="s">
        <v>70</v>
      </c>
      <c r="BX23" s="4" t="s">
        <v>71</v>
      </c>
      <c r="BY23" s="4" t="s">
        <v>71</v>
      </c>
      <c r="BZ23" s="4" t="s">
        <v>71</v>
      </c>
      <c r="CA23" s="4" t="s">
        <v>71</v>
      </c>
      <c r="CB23" s="4" t="s">
        <v>71</v>
      </c>
      <c r="CC23" s="4" t="s">
        <v>71</v>
      </c>
      <c r="CD23" s="4" t="s">
        <v>71</v>
      </c>
      <c r="CE23" s="4" t="s">
        <v>71</v>
      </c>
      <c r="CF23" s="4" t="s">
        <v>71</v>
      </c>
      <c r="CG23" s="4" t="s">
        <v>71</v>
      </c>
      <c r="CH23" s="4" t="s">
        <v>71</v>
      </c>
      <c r="CI23" s="4" t="s">
        <v>70</v>
      </c>
      <c r="CJ23" s="4" t="s">
        <v>71</v>
      </c>
      <c r="CK23" s="4" t="s">
        <v>71</v>
      </c>
      <c r="CL23" s="4" t="s">
        <v>71</v>
      </c>
      <c r="CM23" s="4" t="s">
        <v>71</v>
      </c>
      <c r="CN23" s="4" t="s">
        <v>71</v>
      </c>
      <c r="CO23" s="4" t="s">
        <v>71</v>
      </c>
    </row>
    <row r="24" spans="1:94" x14ac:dyDescent="0.25">
      <c r="A24" s="3">
        <v>45005.964537025458</v>
      </c>
      <c r="B24" s="4" t="s">
        <v>867</v>
      </c>
      <c r="C24" s="4" t="s">
        <v>874</v>
      </c>
      <c r="D24" s="5" t="s">
        <v>869</v>
      </c>
      <c r="E24" s="4" t="s">
        <v>103</v>
      </c>
      <c r="F24" s="4" t="s">
        <v>840</v>
      </c>
      <c r="G24" s="4" t="s">
        <v>105</v>
      </c>
      <c r="H24" s="4" t="s">
        <v>871</v>
      </c>
      <c r="I24" s="4" t="s">
        <v>875</v>
      </c>
      <c r="K24" s="4" t="s">
        <v>867</v>
      </c>
      <c r="L24" s="4" t="s">
        <v>656</v>
      </c>
      <c r="M24" s="4" t="s">
        <v>411</v>
      </c>
      <c r="N24" s="4">
        <v>25</v>
      </c>
      <c r="O24" s="4" t="s">
        <v>69</v>
      </c>
      <c r="P24" s="4">
        <v>4</v>
      </c>
      <c r="Q24" s="4">
        <v>5</v>
      </c>
      <c r="R24" s="4">
        <v>30</v>
      </c>
      <c r="T24" s="4" t="s">
        <v>70</v>
      </c>
      <c r="U24" s="4" t="s">
        <v>70</v>
      </c>
      <c r="V24" s="6" t="s">
        <v>99</v>
      </c>
      <c r="AU24" s="4" t="s">
        <v>71</v>
      </c>
      <c r="AV24" s="4" t="s">
        <v>70</v>
      </c>
      <c r="AW24" s="4" t="s">
        <v>71</v>
      </c>
      <c r="AX24" s="4" t="s">
        <v>70</v>
      </c>
      <c r="AY24" s="4" t="s">
        <v>71</v>
      </c>
      <c r="AZ24" s="4" t="s">
        <v>71</v>
      </c>
      <c r="BA24" s="4" t="s">
        <v>71</v>
      </c>
      <c r="BB24" s="4" t="s">
        <v>71</v>
      </c>
      <c r="BC24" s="4" t="s">
        <v>71</v>
      </c>
      <c r="BD24" s="4" t="s">
        <v>71</v>
      </c>
      <c r="BE24" s="4" t="s">
        <v>70</v>
      </c>
      <c r="BF24" s="4" t="s">
        <v>70</v>
      </c>
      <c r="BG24" s="4" t="s">
        <v>71</v>
      </c>
      <c r="BH24" s="4" t="s">
        <v>71</v>
      </c>
      <c r="BL24" s="4" t="s">
        <v>70</v>
      </c>
      <c r="BQ24" s="4" t="s">
        <v>70</v>
      </c>
    </row>
    <row r="25" spans="1:94" x14ac:dyDescent="0.25">
      <c r="A25" s="3">
        <v>45000.83467074074</v>
      </c>
      <c r="B25" s="4" t="s">
        <v>483</v>
      </c>
      <c r="C25" s="4" t="s">
        <v>484</v>
      </c>
      <c r="D25" s="7" t="s">
        <v>485</v>
      </c>
      <c r="E25" s="4" t="s">
        <v>103</v>
      </c>
      <c r="F25" s="4" t="s">
        <v>486</v>
      </c>
      <c r="G25" s="4" t="s">
        <v>105</v>
      </c>
      <c r="H25" s="4" t="s">
        <v>487</v>
      </c>
      <c r="I25" s="4" t="s">
        <v>488</v>
      </c>
      <c r="J25" s="4" t="s">
        <v>489</v>
      </c>
      <c r="K25" s="4" t="s">
        <v>483</v>
      </c>
      <c r="L25" s="4" t="s">
        <v>67</v>
      </c>
      <c r="M25" s="4" t="s">
        <v>312</v>
      </c>
      <c r="N25" s="4">
        <v>15</v>
      </c>
      <c r="O25" s="4" t="s">
        <v>69</v>
      </c>
      <c r="P25" s="4">
        <v>3</v>
      </c>
      <c r="Q25" s="4">
        <v>3</v>
      </c>
      <c r="R25" s="4">
        <v>30</v>
      </c>
      <c r="T25" s="4" t="s">
        <v>70</v>
      </c>
      <c r="U25" s="4" t="s">
        <v>71</v>
      </c>
      <c r="V25" s="6" t="s">
        <v>145</v>
      </c>
      <c r="W25" s="4" t="s">
        <v>70</v>
      </c>
      <c r="X25" s="4" t="s">
        <v>71</v>
      </c>
      <c r="Y25" s="4" t="s">
        <v>71</v>
      </c>
      <c r="Z25" s="4" t="s">
        <v>71</v>
      </c>
      <c r="AA25" s="4" t="s">
        <v>71</v>
      </c>
      <c r="AB25" s="4" t="s">
        <v>70</v>
      </c>
      <c r="AC25" s="4" t="s">
        <v>70</v>
      </c>
      <c r="AD25" s="4" t="s">
        <v>71</v>
      </c>
      <c r="AE25" s="4" t="s">
        <v>71</v>
      </c>
      <c r="AH25" s="4" t="s">
        <v>70</v>
      </c>
      <c r="AL25" s="4" t="s">
        <v>70</v>
      </c>
      <c r="AR25" s="4" t="s">
        <v>70</v>
      </c>
    </row>
    <row r="26" spans="1:94" x14ac:dyDescent="0.25">
      <c r="A26" s="3">
        <v>45005.834669247684</v>
      </c>
      <c r="B26" s="4" t="s">
        <v>867</v>
      </c>
      <c r="C26" s="4" t="s">
        <v>868</v>
      </c>
      <c r="D26" s="7" t="s">
        <v>869</v>
      </c>
      <c r="E26" s="4" t="s">
        <v>103</v>
      </c>
      <c r="F26" s="4" t="s">
        <v>870</v>
      </c>
      <c r="G26" s="4" t="s">
        <v>105</v>
      </c>
      <c r="H26" s="4" t="s">
        <v>871</v>
      </c>
      <c r="I26" s="4" t="s">
        <v>872</v>
      </c>
      <c r="K26" s="4" t="s">
        <v>867</v>
      </c>
      <c r="L26" s="4" t="s">
        <v>656</v>
      </c>
      <c r="M26" s="4" t="s">
        <v>411</v>
      </c>
      <c r="N26" s="4">
        <v>35</v>
      </c>
      <c r="O26" s="4" t="s">
        <v>69</v>
      </c>
      <c r="P26" s="4">
        <v>4</v>
      </c>
      <c r="Q26" s="4">
        <v>5</v>
      </c>
      <c r="R26" s="4">
        <v>30</v>
      </c>
      <c r="T26" s="4" t="s">
        <v>70</v>
      </c>
      <c r="U26" s="4" t="s">
        <v>70</v>
      </c>
      <c r="V26" s="6" t="s">
        <v>99</v>
      </c>
      <c r="AU26" s="4" t="s">
        <v>71</v>
      </c>
      <c r="AV26" s="4" t="s">
        <v>70</v>
      </c>
      <c r="AW26" s="4" t="s">
        <v>71</v>
      </c>
      <c r="AX26" s="4" t="s">
        <v>70</v>
      </c>
      <c r="AY26" s="4" t="s">
        <v>71</v>
      </c>
      <c r="AZ26" s="4" t="s">
        <v>71</v>
      </c>
      <c r="BA26" s="4" t="s">
        <v>71</v>
      </c>
      <c r="BB26" s="4" t="s">
        <v>71</v>
      </c>
      <c r="BC26" s="4" t="s">
        <v>71</v>
      </c>
      <c r="BD26" s="4" t="s">
        <v>71</v>
      </c>
      <c r="BE26" s="4" t="s">
        <v>70</v>
      </c>
      <c r="BF26" s="4" t="s">
        <v>70</v>
      </c>
      <c r="BG26" s="4" t="s">
        <v>71</v>
      </c>
      <c r="BH26" s="4" t="s">
        <v>71</v>
      </c>
      <c r="BL26" s="4" t="s">
        <v>70</v>
      </c>
      <c r="BQ26" s="4" t="s">
        <v>70</v>
      </c>
      <c r="BR26" s="4" t="s">
        <v>873</v>
      </c>
    </row>
    <row r="27" spans="1:94" x14ac:dyDescent="0.25">
      <c r="A27" s="3">
        <v>45000.737666921297</v>
      </c>
      <c r="B27" s="4" t="s">
        <v>473</v>
      </c>
      <c r="C27" s="4" t="s">
        <v>474</v>
      </c>
      <c r="D27" s="7" t="s">
        <v>475</v>
      </c>
      <c r="E27" s="4" t="s">
        <v>103</v>
      </c>
      <c r="F27" s="4" t="s">
        <v>476</v>
      </c>
      <c r="G27" s="4" t="s">
        <v>105</v>
      </c>
      <c r="H27" s="4" t="s">
        <v>477</v>
      </c>
      <c r="I27" s="4" t="s">
        <v>478</v>
      </c>
      <c r="J27" s="4" t="s">
        <v>479</v>
      </c>
      <c r="K27" s="4" t="s">
        <v>473</v>
      </c>
      <c r="L27" s="4" t="s">
        <v>67</v>
      </c>
      <c r="M27" s="4" t="s">
        <v>303</v>
      </c>
      <c r="N27" s="4">
        <v>23</v>
      </c>
      <c r="O27" s="4" t="s">
        <v>69</v>
      </c>
      <c r="P27" s="4">
        <v>4</v>
      </c>
      <c r="Q27" s="4">
        <v>4</v>
      </c>
      <c r="R27" s="4">
        <v>50</v>
      </c>
      <c r="S27" s="4" t="s">
        <v>481</v>
      </c>
      <c r="T27" s="4" t="s">
        <v>70</v>
      </c>
      <c r="U27" s="4" t="s">
        <v>71</v>
      </c>
      <c r="V27" s="6" t="s">
        <v>145</v>
      </c>
      <c r="W27" s="4" t="s">
        <v>70</v>
      </c>
      <c r="X27" s="4" t="s">
        <v>71</v>
      </c>
      <c r="Y27" s="4" t="s">
        <v>71</v>
      </c>
      <c r="Z27" s="4" t="s">
        <v>71</v>
      </c>
      <c r="AA27" s="4" t="s">
        <v>70</v>
      </c>
      <c r="AB27" s="4" t="s">
        <v>71</v>
      </c>
      <c r="AC27" s="4" t="s">
        <v>71</v>
      </c>
      <c r="AD27" s="4" t="s">
        <v>71</v>
      </c>
      <c r="AE27" s="4" t="s">
        <v>71</v>
      </c>
      <c r="AF27" s="4" t="s">
        <v>71</v>
      </c>
      <c r="AG27" s="4" t="s">
        <v>71</v>
      </c>
      <c r="AH27" s="4" t="s">
        <v>70</v>
      </c>
      <c r="AI27" s="4" t="s">
        <v>71</v>
      </c>
      <c r="AJ27" s="4" t="s">
        <v>71</v>
      </c>
      <c r="AK27" s="4" t="s">
        <v>71</v>
      </c>
      <c r="AL27" s="4" t="s">
        <v>71</v>
      </c>
      <c r="AM27" s="4" t="s">
        <v>71</v>
      </c>
      <c r="AN27" s="4" t="s">
        <v>71</v>
      </c>
      <c r="AO27" s="4" t="s">
        <v>71</v>
      </c>
      <c r="AP27" s="4" t="s">
        <v>71</v>
      </c>
      <c r="AQ27" s="4" t="s">
        <v>71</v>
      </c>
      <c r="AR27" s="4" t="s">
        <v>71</v>
      </c>
      <c r="AS27" s="4" t="s">
        <v>71</v>
      </c>
      <c r="AT27" s="4" t="s">
        <v>482</v>
      </c>
    </row>
    <row r="28" spans="1:94" x14ac:dyDescent="0.25">
      <c r="A28" s="3">
        <v>45001.52091958333</v>
      </c>
      <c r="B28" s="4" t="s">
        <v>115</v>
      </c>
      <c r="C28" s="4" t="s">
        <v>116</v>
      </c>
      <c r="D28" s="7" t="s">
        <v>102</v>
      </c>
      <c r="E28" s="4" t="s">
        <v>103</v>
      </c>
      <c r="F28" s="4" t="s">
        <v>117</v>
      </c>
      <c r="G28" s="4" t="s">
        <v>105</v>
      </c>
      <c r="H28" s="4" t="s">
        <v>118</v>
      </c>
      <c r="I28" s="4" t="s">
        <v>119</v>
      </c>
      <c r="K28" s="4" t="s">
        <v>115</v>
      </c>
      <c r="L28" s="4" t="s">
        <v>67</v>
      </c>
      <c r="M28" s="4" t="s">
        <v>98</v>
      </c>
      <c r="N28" s="4">
        <v>35</v>
      </c>
      <c r="O28" s="4" t="s">
        <v>69</v>
      </c>
      <c r="P28" s="4">
        <v>4</v>
      </c>
      <c r="Q28" s="4">
        <v>1</v>
      </c>
      <c r="R28" s="4">
        <v>50</v>
      </c>
      <c r="T28" s="4" t="s">
        <v>71</v>
      </c>
      <c r="U28" s="4" t="s">
        <v>70</v>
      </c>
      <c r="V28" s="6" t="s">
        <v>73</v>
      </c>
      <c r="BS28" s="4" t="s">
        <v>71</v>
      </c>
      <c r="BT28" s="4" t="s">
        <v>70</v>
      </c>
      <c r="BU28" s="4" t="s">
        <v>70</v>
      </c>
      <c r="BV28" s="4" t="s">
        <v>71</v>
      </c>
      <c r="BW28" s="4" t="s">
        <v>71</v>
      </c>
      <c r="BX28" s="4" t="s">
        <v>71</v>
      </c>
      <c r="BY28" s="4" t="s">
        <v>70</v>
      </c>
      <c r="BZ28" s="4" t="s">
        <v>71</v>
      </c>
      <c r="CA28" s="4" t="s">
        <v>71</v>
      </c>
      <c r="CB28" s="4" t="s">
        <v>71</v>
      </c>
      <c r="CC28" s="4" t="s">
        <v>71</v>
      </c>
      <c r="CD28" s="4" t="s">
        <v>71</v>
      </c>
      <c r="CE28" s="4" t="s">
        <v>71</v>
      </c>
      <c r="CF28" s="4" t="s">
        <v>70</v>
      </c>
      <c r="CG28" s="4" t="s">
        <v>71</v>
      </c>
      <c r="CH28" s="4" t="s">
        <v>71</v>
      </c>
      <c r="CI28" s="4" t="s">
        <v>71</v>
      </c>
      <c r="CJ28" s="4" t="s">
        <v>71</v>
      </c>
      <c r="CK28" s="4" t="s">
        <v>70</v>
      </c>
      <c r="CL28" s="4" t="s">
        <v>71</v>
      </c>
      <c r="CM28" s="4" t="s">
        <v>71</v>
      </c>
      <c r="CN28" s="4" t="s">
        <v>71</v>
      </c>
      <c r="CO28" s="4" t="s">
        <v>70</v>
      </c>
    </row>
    <row r="29" spans="1:94" x14ac:dyDescent="0.25">
      <c r="A29" s="3">
        <v>45001.840379687499</v>
      </c>
      <c r="B29" s="4" t="s">
        <v>965</v>
      </c>
      <c r="C29" s="4" t="s">
        <v>966</v>
      </c>
      <c r="D29" s="7" t="s">
        <v>967</v>
      </c>
      <c r="E29" s="4" t="s">
        <v>103</v>
      </c>
      <c r="F29" s="4" t="s">
        <v>671</v>
      </c>
      <c r="G29" s="4" t="s">
        <v>64</v>
      </c>
      <c r="H29" s="4" t="s">
        <v>968</v>
      </c>
      <c r="I29" s="4" t="s">
        <v>969</v>
      </c>
      <c r="J29" s="4" t="s">
        <v>970</v>
      </c>
      <c r="K29" s="4" t="s">
        <v>965</v>
      </c>
      <c r="L29" s="4" t="s">
        <v>656</v>
      </c>
      <c r="M29" s="4" t="s">
        <v>571</v>
      </c>
      <c r="N29" s="4">
        <v>20</v>
      </c>
      <c r="O29" s="4" t="s">
        <v>69</v>
      </c>
      <c r="P29" s="4">
        <v>4</v>
      </c>
      <c r="Q29" s="4">
        <v>3</v>
      </c>
      <c r="R29" s="4">
        <v>50</v>
      </c>
      <c r="T29" s="4" t="s">
        <v>70</v>
      </c>
      <c r="U29" s="4" t="s">
        <v>71</v>
      </c>
      <c r="V29" s="6" t="s">
        <v>99</v>
      </c>
      <c r="AU29" s="4" t="s">
        <v>70</v>
      </c>
      <c r="AV29" s="4" t="s">
        <v>70</v>
      </c>
      <c r="AW29" s="4" t="s">
        <v>70</v>
      </c>
      <c r="AX29" s="4" t="s">
        <v>71</v>
      </c>
      <c r="AY29" s="4" t="s">
        <v>70</v>
      </c>
      <c r="AZ29" s="4" t="s">
        <v>71</v>
      </c>
      <c r="BA29" s="4" t="s">
        <v>70</v>
      </c>
      <c r="BB29" s="4" t="s">
        <v>71</v>
      </c>
      <c r="BC29" s="4" t="s">
        <v>71</v>
      </c>
      <c r="BD29" s="4" t="s">
        <v>71</v>
      </c>
      <c r="BE29" s="4" t="s">
        <v>70</v>
      </c>
      <c r="BF29" s="4" t="s">
        <v>70</v>
      </c>
      <c r="BG29" s="4" t="s">
        <v>71</v>
      </c>
      <c r="BH29" s="4" t="s">
        <v>71</v>
      </c>
      <c r="BJ29" s="4" t="s">
        <v>70</v>
      </c>
      <c r="BK29" s="4" t="s">
        <v>70</v>
      </c>
      <c r="BN29" s="4" t="s">
        <v>70</v>
      </c>
      <c r="BO29" s="4" t="s">
        <v>70</v>
      </c>
    </row>
    <row r="30" spans="1:94" x14ac:dyDescent="0.25">
      <c r="A30" s="3">
        <v>45003.708134085653</v>
      </c>
      <c r="B30" s="4" t="s">
        <v>936</v>
      </c>
      <c r="C30" s="4" t="s">
        <v>951</v>
      </c>
      <c r="D30" s="5" t="s">
        <v>952</v>
      </c>
      <c r="E30" s="4" t="s">
        <v>103</v>
      </c>
      <c r="F30" s="4" t="s">
        <v>384</v>
      </c>
      <c r="G30" s="4" t="s">
        <v>105</v>
      </c>
      <c r="H30" s="4" t="s">
        <v>939</v>
      </c>
      <c r="I30" s="4" t="s">
        <v>953</v>
      </c>
      <c r="J30" s="4" t="s">
        <v>954</v>
      </c>
      <c r="K30" s="4" t="s">
        <v>936</v>
      </c>
      <c r="L30" s="4" t="s">
        <v>656</v>
      </c>
      <c r="M30" s="4" t="s">
        <v>558</v>
      </c>
      <c r="N30" s="4">
        <v>30</v>
      </c>
      <c r="O30" s="4" t="s">
        <v>69</v>
      </c>
      <c r="P30" s="4">
        <v>1</v>
      </c>
      <c r="Q30" s="4">
        <v>4</v>
      </c>
      <c r="R30" s="4">
        <v>60</v>
      </c>
      <c r="T30" s="4" t="s">
        <v>70</v>
      </c>
      <c r="U30" s="4" t="s">
        <v>71</v>
      </c>
      <c r="V30" s="6" t="s">
        <v>145</v>
      </c>
      <c r="W30" s="4" t="s">
        <v>70</v>
      </c>
      <c r="X30" s="4" t="s">
        <v>70</v>
      </c>
      <c r="Y30" s="4" t="s">
        <v>71</v>
      </c>
      <c r="Z30" s="4" t="s">
        <v>70</v>
      </c>
      <c r="AA30" s="4" t="s">
        <v>70</v>
      </c>
      <c r="AB30" s="4" t="s">
        <v>70</v>
      </c>
      <c r="AC30" s="4" t="s">
        <v>71</v>
      </c>
      <c r="AD30" s="4" t="s">
        <v>71</v>
      </c>
      <c r="AE30" s="4" t="s">
        <v>71</v>
      </c>
      <c r="AF30" s="4" t="s">
        <v>70</v>
      </c>
      <c r="AG30" s="4" t="s">
        <v>70</v>
      </c>
      <c r="AH30" s="4" t="s">
        <v>70</v>
      </c>
      <c r="AI30" s="4" t="s">
        <v>71</v>
      </c>
      <c r="AJ30" s="4" t="s">
        <v>71</v>
      </c>
      <c r="AK30" s="4" t="s">
        <v>70</v>
      </c>
      <c r="AL30" s="4" t="s">
        <v>70</v>
      </c>
      <c r="AM30" s="4" t="s">
        <v>70</v>
      </c>
      <c r="AN30" s="4" t="s">
        <v>71</v>
      </c>
      <c r="AO30" s="4" t="s">
        <v>71</v>
      </c>
      <c r="AP30" s="4" t="s">
        <v>70</v>
      </c>
      <c r="AQ30" s="4" t="s">
        <v>70</v>
      </c>
      <c r="AR30" s="4" t="s">
        <v>71</v>
      </c>
      <c r="AS30" s="4" t="s">
        <v>71</v>
      </c>
      <c r="AT30" s="4" t="s">
        <v>955</v>
      </c>
    </row>
    <row r="31" spans="1:94" x14ac:dyDescent="0.25">
      <c r="A31" s="3">
        <v>45001.750830023149</v>
      </c>
      <c r="B31" s="4" t="s">
        <v>221</v>
      </c>
      <c r="C31" s="4" t="s">
        <v>222</v>
      </c>
      <c r="D31" s="7" t="s">
        <v>223</v>
      </c>
      <c r="E31" s="4" t="s">
        <v>103</v>
      </c>
      <c r="F31" s="4" t="s">
        <v>224</v>
      </c>
      <c r="G31" s="4" t="s">
        <v>105</v>
      </c>
      <c r="H31" s="4" t="s">
        <v>225</v>
      </c>
      <c r="I31" s="4" t="s">
        <v>226</v>
      </c>
      <c r="J31" s="4" t="s">
        <v>227</v>
      </c>
      <c r="K31" s="4" t="s">
        <v>221</v>
      </c>
      <c r="L31" s="4" t="s">
        <v>67</v>
      </c>
      <c r="M31" s="4" t="s">
        <v>77</v>
      </c>
      <c r="N31" s="4">
        <v>27</v>
      </c>
      <c r="O31" s="4" t="s">
        <v>69</v>
      </c>
      <c r="P31" s="4">
        <v>4</v>
      </c>
      <c r="Q31" s="4">
        <v>3</v>
      </c>
      <c r="R31" s="4">
        <v>60</v>
      </c>
      <c r="T31" s="4" t="s">
        <v>70</v>
      </c>
      <c r="U31" s="4" t="s">
        <v>71</v>
      </c>
      <c r="V31" s="6" t="s">
        <v>99</v>
      </c>
      <c r="AU31" s="4" t="s">
        <v>70</v>
      </c>
      <c r="AV31" s="4" t="s">
        <v>71</v>
      </c>
      <c r="AW31" s="4" t="s">
        <v>71</v>
      </c>
      <c r="AX31" s="4" t="s">
        <v>71</v>
      </c>
      <c r="AY31" s="4" t="s">
        <v>70</v>
      </c>
      <c r="AZ31" s="4" t="s">
        <v>71</v>
      </c>
      <c r="BA31" s="4" t="s">
        <v>71</v>
      </c>
      <c r="BB31" s="4" t="s">
        <v>71</v>
      </c>
      <c r="BC31" s="4" t="s">
        <v>71</v>
      </c>
      <c r="BD31" s="4" t="s">
        <v>71</v>
      </c>
      <c r="BE31" s="4" t="s">
        <v>71</v>
      </c>
      <c r="BF31" s="4" t="s">
        <v>70</v>
      </c>
      <c r="BG31" s="4" t="s">
        <v>71</v>
      </c>
      <c r="BH31" s="4" t="s">
        <v>71</v>
      </c>
      <c r="BI31" s="4" t="s">
        <v>71</v>
      </c>
      <c r="BJ31" s="4" t="s">
        <v>71</v>
      </c>
      <c r="BK31" s="4" t="s">
        <v>70</v>
      </c>
      <c r="BL31" s="4" t="s">
        <v>71</v>
      </c>
      <c r="BM31" s="4" t="s">
        <v>71</v>
      </c>
      <c r="BN31" s="4" t="s">
        <v>71</v>
      </c>
      <c r="BO31" s="4" t="s">
        <v>71</v>
      </c>
      <c r="BP31" s="4" t="s">
        <v>71</v>
      </c>
      <c r="BQ31" s="4" t="s">
        <v>71</v>
      </c>
    </row>
    <row r="32" spans="1:94" x14ac:dyDescent="0.25">
      <c r="A32" s="3">
        <v>45005.519819282403</v>
      </c>
      <c r="B32" s="4" t="s">
        <v>1205</v>
      </c>
      <c r="C32" s="4" t="s">
        <v>1206</v>
      </c>
      <c r="D32" s="7" t="s">
        <v>1207</v>
      </c>
      <c r="E32" s="4" t="s">
        <v>103</v>
      </c>
      <c r="F32" s="4" t="s">
        <v>1208</v>
      </c>
      <c r="G32" s="4" t="s">
        <v>105</v>
      </c>
      <c r="H32" s="4" t="s">
        <v>1209</v>
      </c>
      <c r="I32" s="4" t="s">
        <v>1210</v>
      </c>
      <c r="K32" s="4" t="s">
        <v>1205</v>
      </c>
      <c r="L32" s="4" t="s">
        <v>656</v>
      </c>
      <c r="M32" s="4" t="s">
        <v>1211</v>
      </c>
      <c r="N32" s="4">
        <v>30</v>
      </c>
      <c r="O32" s="4" t="s">
        <v>69</v>
      </c>
      <c r="P32" s="4">
        <v>3</v>
      </c>
      <c r="Q32" s="4">
        <v>3</v>
      </c>
      <c r="R32" s="4">
        <v>70</v>
      </c>
      <c r="T32" s="4" t="s">
        <v>71</v>
      </c>
      <c r="U32" s="4" t="s">
        <v>71</v>
      </c>
      <c r="V32" s="6" t="s">
        <v>73</v>
      </c>
      <c r="BS32" s="4" t="s">
        <v>70</v>
      </c>
      <c r="BT32" s="4" t="s">
        <v>70</v>
      </c>
      <c r="BU32" s="4" t="s">
        <v>70</v>
      </c>
      <c r="BV32" s="4" t="s">
        <v>71</v>
      </c>
      <c r="BW32" s="4" t="s">
        <v>71</v>
      </c>
      <c r="BX32" s="4" t="s">
        <v>71</v>
      </c>
      <c r="BY32" s="4" t="s">
        <v>70</v>
      </c>
      <c r="BZ32" s="4" t="s">
        <v>71</v>
      </c>
      <c r="CA32" s="4" t="s">
        <v>71</v>
      </c>
      <c r="CB32" s="4" t="s">
        <v>71</v>
      </c>
      <c r="CC32" s="4" t="s">
        <v>71</v>
      </c>
      <c r="CD32" s="4" t="s">
        <v>71</v>
      </c>
      <c r="CE32" s="4" t="s">
        <v>71</v>
      </c>
      <c r="CF32" s="4" t="s">
        <v>70</v>
      </c>
      <c r="CJ32" s="4" t="s">
        <v>70</v>
      </c>
      <c r="CM32" s="4" t="s">
        <v>71</v>
      </c>
      <c r="CP32" s="4" t="s">
        <v>1212</v>
      </c>
    </row>
    <row r="33" spans="1:94" x14ac:dyDescent="0.25">
      <c r="A33" s="3">
        <v>45000.685528321759</v>
      </c>
      <c r="B33" s="4" t="s">
        <v>790</v>
      </c>
      <c r="C33" s="4" t="s">
        <v>791</v>
      </c>
      <c r="D33" s="5" t="s">
        <v>792</v>
      </c>
      <c r="E33" s="4" t="s">
        <v>103</v>
      </c>
      <c r="F33" s="4" t="s">
        <v>384</v>
      </c>
      <c r="G33" s="4" t="s">
        <v>105</v>
      </c>
      <c r="H33" s="4" t="s">
        <v>793</v>
      </c>
      <c r="I33" s="4" t="s">
        <v>794</v>
      </c>
      <c r="J33" s="4" t="s">
        <v>795</v>
      </c>
      <c r="K33" s="4" t="s">
        <v>790</v>
      </c>
      <c r="L33" s="4" t="s">
        <v>656</v>
      </c>
      <c r="M33" s="4" t="s">
        <v>480</v>
      </c>
      <c r="N33" s="4">
        <v>34</v>
      </c>
      <c r="O33" s="4" t="s">
        <v>69</v>
      </c>
      <c r="P33" s="4">
        <v>2</v>
      </c>
      <c r="Q33" s="4">
        <v>2</v>
      </c>
      <c r="R33" s="4">
        <v>75</v>
      </c>
      <c r="T33" s="4" t="s">
        <v>70</v>
      </c>
      <c r="U33" s="4" t="s">
        <v>71</v>
      </c>
      <c r="V33" s="6" t="s">
        <v>99</v>
      </c>
      <c r="AU33" s="4" t="s">
        <v>70</v>
      </c>
      <c r="AV33" s="4" t="s">
        <v>70</v>
      </c>
      <c r="AW33" s="4" t="s">
        <v>70</v>
      </c>
      <c r="AX33" s="4" t="s">
        <v>70</v>
      </c>
      <c r="AY33" s="4" t="s">
        <v>70</v>
      </c>
      <c r="AZ33" s="4" t="s">
        <v>70</v>
      </c>
      <c r="BA33" s="4" t="s">
        <v>70</v>
      </c>
      <c r="BB33" s="4" t="s">
        <v>70</v>
      </c>
      <c r="BC33" s="4" t="s">
        <v>71</v>
      </c>
      <c r="BD33" s="4" t="s">
        <v>70</v>
      </c>
      <c r="BE33" s="4" t="s">
        <v>70</v>
      </c>
      <c r="BF33" s="4" t="s">
        <v>70</v>
      </c>
      <c r="BG33" s="4" t="s">
        <v>70</v>
      </c>
      <c r="BI33" s="4" t="s">
        <v>70</v>
      </c>
      <c r="BJ33" s="4" t="s">
        <v>70</v>
      </c>
      <c r="BK33" s="4" t="s">
        <v>70</v>
      </c>
      <c r="BL33" s="4" t="s">
        <v>70</v>
      </c>
      <c r="BN33" s="4" t="s">
        <v>70</v>
      </c>
      <c r="BO33" s="4" t="s">
        <v>70</v>
      </c>
      <c r="BP33" s="4" t="s">
        <v>70</v>
      </c>
    </row>
    <row r="34" spans="1:94" x14ac:dyDescent="0.25">
      <c r="A34" s="3">
        <v>45000.853107164352</v>
      </c>
      <c r="B34" s="4" t="s">
        <v>858</v>
      </c>
      <c r="C34" s="4" t="s">
        <v>859</v>
      </c>
      <c r="D34" s="5" t="s">
        <v>860</v>
      </c>
      <c r="E34" s="4" t="s">
        <v>103</v>
      </c>
      <c r="F34" s="4" t="s">
        <v>861</v>
      </c>
      <c r="G34" s="4" t="s">
        <v>105</v>
      </c>
      <c r="H34" s="4" t="s">
        <v>862</v>
      </c>
      <c r="I34" s="4" t="s">
        <v>863</v>
      </c>
      <c r="J34" s="4" t="s">
        <v>864</v>
      </c>
      <c r="K34" s="4" t="s">
        <v>858</v>
      </c>
      <c r="L34" s="4" t="s">
        <v>656</v>
      </c>
      <c r="M34" s="4" t="s">
        <v>530</v>
      </c>
      <c r="N34" s="4">
        <v>35</v>
      </c>
      <c r="O34" s="4" t="s">
        <v>69</v>
      </c>
      <c r="P34" s="4">
        <v>2</v>
      </c>
      <c r="Q34" s="4">
        <v>3</v>
      </c>
      <c r="R34" s="4">
        <v>80</v>
      </c>
      <c r="S34" s="4" t="s">
        <v>865</v>
      </c>
      <c r="T34" s="4" t="s">
        <v>70</v>
      </c>
      <c r="U34" s="4" t="s">
        <v>70</v>
      </c>
      <c r="V34" s="6" t="s">
        <v>145</v>
      </c>
      <c r="W34" s="4" t="s">
        <v>70</v>
      </c>
      <c r="X34" s="4" t="s">
        <v>70</v>
      </c>
      <c r="Y34" s="4" t="s">
        <v>70</v>
      </c>
      <c r="Z34" s="4" t="s">
        <v>71</v>
      </c>
      <c r="AA34" s="4" t="s">
        <v>71</v>
      </c>
      <c r="AB34" s="4" t="s">
        <v>71</v>
      </c>
      <c r="AC34" s="4" t="s">
        <v>70</v>
      </c>
      <c r="AD34" s="4" t="s">
        <v>71</v>
      </c>
      <c r="AE34" s="4" t="s">
        <v>71</v>
      </c>
      <c r="AF34" s="4" t="s">
        <v>71</v>
      </c>
      <c r="AG34" s="4" t="s">
        <v>70</v>
      </c>
      <c r="AH34" s="4" t="s">
        <v>71</v>
      </c>
      <c r="AI34" s="4" t="s">
        <v>71</v>
      </c>
      <c r="AJ34" s="4" t="s">
        <v>71</v>
      </c>
      <c r="AK34" s="4" t="s">
        <v>71</v>
      </c>
      <c r="AL34" s="4" t="s">
        <v>71</v>
      </c>
      <c r="AM34" s="4" t="s">
        <v>71</v>
      </c>
      <c r="AN34" s="4" t="s">
        <v>71</v>
      </c>
      <c r="AO34" s="4" t="s">
        <v>70</v>
      </c>
      <c r="AP34" s="4" t="s">
        <v>71</v>
      </c>
      <c r="AQ34" s="4" t="s">
        <v>71</v>
      </c>
      <c r="AR34" s="4" t="s">
        <v>70</v>
      </c>
      <c r="AS34" s="4" t="s">
        <v>71</v>
      </c>
      <c r="AT34" s="4" t="s">
        <v>866</v>
      </c>
    </row>
    <row r="35" spans="1:94" x14ac:dyDescent="0.25">
      <c r="A35" s="3">
        <v>45005.879274895837</v>
      </c>
      <c r="B35" s="4" t="s">
        <v>828</v>
      </c>
      <c r="C35" s="4" t="s">
        <v>829</v>
      </c>
      <c r="D35" s="5" t="s">
        <v>830</v>
      </c>
      <c r="E35" s="4" t="s">
        <v>103</v>
      </c>
      <c r="F35" s="4" t="s">
        <v>384</v>
      </c>
      <c r="G35" s="4" t="s">
        <v>105</v>
      </c>
      <c r="H35" s="4" t="s">
        <v>831</v>
      </c>
      <c r="I35" s="4" t="s">
        <v>832</v>
      </c>
      <c r="J35" s="4" t="s">
        <v>833</v>
      </c>
      <c r="K35" s="4" t="s">
        <v>834</v>
      </c>
      <c r="L35" s="4" t="s">
        <v>656</v>
      </c>
      <c r="M35" s="4" t="s">
        <v>507</v>
      </c>
      <c r="N35" s="4">
        <v>35</v>
      </c>
      <c r="O35" s="4" t="s">
        <v>69</v>
      </c>
      <c r="P35" s="4">
        <v>5</v>
      </c>
      <c r="Q35" s="4">
        <v>5</v>
      </c>
      <c r="R35" s="4">
        <v>80</v>
      </c>
      <c r="S35" s="4" t="s">
        <v>835</v>
      </c>
      <c r="T35" s="4" t="s">
        <v>70</v>
      </c>
      <c r="U35" s="4" t="s">
        <v>70</v>
      </c>
      <c r="V35" s="6" t="s">
        <v>145</v>
      </c>
      <c r="W35" s="4" t="s">
        <v>70</v>
      </c>
      <c r="X35" s="4" t="s">
        <v>71</v>
      </c>
      <c r="Y35" s="4" t="s">
        <v>71</v>
      </c>
      <c r="Z35" s="4" t="s">
        <v>71</v>
      </c>
      <c r="AA35" s="4" t="s">
        <v>70</v>
      </c>
      <c r="AB35" s="4" t="s">
        <v>71</v>
      </c>
      <c r="AC35" s="4" t="s">
        <v>70</v>
      </c>
      <c r="AD35" s="4" t="s">
        <v>71</v>
      </c>
      <c r="AE35" s="4" t="s">
        <v>71</v>
      </c>
      <c r="AH35" s="4" t="s">
        <v>70</v>
      </c>
      <c r="AN35" s="4" t="s">
        <v>70</v>
      </c>
      <c r="AS35" s="4" t="s">
        <v>70</v>
      </c>
    </row>
    <row r="36" spans="1:94" x14ac:dyDescent="0.25">
      <c r="A36" s="3">
        <v>45006.469990937505</v>
      </c>
      <c r="B36" s="4" t="s">
        <v>828</v>
      </c>
      <c r="C36" s="4" t="s">
        <v>829</v>
      </c>
      <c r="D36" s="5" t="s">
        <v>830</v>
      </c>
      <c r="E36" s="4" t="s">
        <v>103</v>
      </c>
      <c r="F36" s="4" t="s">
        <v>384</v>
      </c>
      <c r="G36" s="4" t="s">
        <v>105</v>
      </c>
      <c r="H36" s="4" t="s">
        <v>836</v>
      </c>
      <c r="I36" s="4" t="s">
        <v>832</v>
      </c>
      <c r="J36" s="4" t="s">
        <v>837</v>
      </c>
      <c r="K36" s="4" t="s">
        <v>828</v>
      </c>
      <c r="L36" s="4" t="s">
        <v>656</v>
      </c>
      <c r="M36" s="4" t="s">
        <v>507</v>
      </c>
      <c r="N36" s="4">
        <v>35</v>
      </c>
      <c r="O36" s="4" t="s">
        <v>69</v>
      </c>
      <c r="P36" s="4">
        <v>5</v>
      </c>
      <c r="Q36" s="4">
        <v>5</v>
      </c>
      <c r="R36" s="4">
        <v>80</v>
      </c>
      <c r="S36" s="4" t="s">
        <v>835</v>
      </c>
      <c r="T36" s="4" t="s">
        <v>70</v>
      </c>
      <c r="U36" s="4" t="s">
        <v>70</v>
      </c>
      <c r="V36" s="6" t="s">
        <v>145</v>
      </c>
      <c r="W36" s="4" t="s">
        <v>70</v>
      </c>
      <c r="X36" s="4" t="s">
        <v>70</v>
      </c>
      <c r="Y36" s="4" t="s">
        <v>71</v>
      </c>
      <c r="Z36" s="4" t="s">
        <v>70</v>
      </c>
      <c r="AA36" s="4" t="s">
        <v>71</v>
      </c>
      <c r="AB36" s="4" t="s">
        <v>70</v>
      </c>
      <c r="AC36" s="4" t="s">
        <v>71</v>
      </c>
      <c r="AD36" s="4" t="s">
        <v>70</v>
      </c>
      <c r="AE36" s="4" t="s">
        <v>71</v>
      </c>
      <c r="AG36" s="4" t="s">
        <v>70</v>
      </c>
      <c r="AI36" s="4" t="s">
        <v>70</v>
      </c>
      <c r="AK36" s="4" t="s">
        <v>70</v>
      </c>
      <c r="AN36" s="4" t="s">
        <v>70</v>
      </c>
      <c r="AO36" s="4" t="s">
        <v>70</v>
      </c>
      <c r="AR36" s="4" t="s">
        <v>70</v>
      </c>
      <c r="AS36" s="4" t="s">
        <v>70</v>
      </c>
    </row>
    <row r="37" spans="1:94" x14ac:dyDescent="0.25">
      <c r="A37" s="3">
        <v>45001.3768016088</v>
      </c>
      <c r="B37" s="4" t="s">
        <v>252</v>
      </c>
      <c r="C37" s="4" t="s">
        <v>253</v>
      </c>
      <c r="D37" s="5" t="s">
        <v>254</v>
      </c>
      <c r="E37" s="4" t="s">
        <v>103</v>
      </c>
      <c r="F37" s="4" t="s">
        <v>255</v>
      </c>
      <c r="G37" s="4" t="s">
        <v>105</v>
      </c>
      <c r="H37" s="4" t="s">
        <v>256</v>
      </c>
      <c r="I37" s="4" t="s">
        <v>257</v>
      </c>
      <c r="J37" s="4" t="s">
        <v>258</v>
      </c>
      <c r="K37" s="4" t="s">
        <v>252</v>
      </c>
      <c r="L37" s="4" t="s">
        <v>67</v>
      </c>
      <c r="M37" s="4" t="s">
        <v>189</v>
      </c>
      <c r="N37" s="4">
        <v>40</v>
      </c>
      <c r="O37" s="4" t="s">
        <v>69</v>
      </c>
      <c r="P37" s="4">
        <v>4</v>
      </c>
      <c r="Q37" s="4">
        <v>3</v>
      </c>
      <c r="R37" s="4">
        <v>80</v>
      </c>
      <c r="T37" s="4" t="s">
        <v>70</v>
      </c>
      <c r="U37" s="4" t="s">
        <v>70</v>
      </c>
      <c r="V37" s="6" t="s">
        <v>73</v>
      </c>
      <c r="BS37" s="4" t="s">
        <v>70</v>
      </c>
      <c r="BT37" s="4" t="s">
        <v>70</v>
      </c>
      <c r="BU37" s="4" t="s">
        <v>70</v>
      </c>
      <c r="BV37" s="4" t="s">
        <v>70</v>
      </c>
      <c r="BW37" s="4" t="s">
        <v>70</v>
      </c>
      <c r="BX37" s="4" t="s">
        <v>70</v>
      </c>
      <c r="BY37" s="4" t="s">
        <v>70</v>
      </c>
      <c r="BZ37" s="4" t="s">
        <v>70</v>
      </c>
      <c r="CA37" s="4" t="s">
        <v>70</v>
      </c>
      <c r="CB37" s="4" t="s">
        <v>70</v>
      </c>
      <c r="CC37" s="4" t="s">
        <v>70</v>
      </c>
      <c r="CD37" s="4" t="s">
        <v>70</v>
      </c>
      <c r="CE37" s="4" t="s">
        <v>70</v>
      </c>
      <c r="CF37" s="4" t="s">
        <v>70</v>
      </c>
      <c r="CG37" s="4" t="s">
        <v>71</v>
      </c>
      <c r="CH37" s="4" t="s">
        <v>71</v>
      </c>
      <c r="CI37" s="4" t="s">
        <v>71</v>
      </c>
      <c r="CJ37" s="4" t="s">
        <v>71</v>
      </c>
      <c r="CK37" s="4" t="s">
        <v>71</v>
      </c>
      <c r="CL37" s="4" t="s">
        <v>70</v>
      </c>
      <c r="CM37" s="4" t="s">
        <v>70</v>
      </c>
      <c r="CN37" s="4" t="s">
        <v>70</v>
      </c>
      <c r="CO37" s="4" t="s">
        <v>70</v>
      </c>
    </row>
    <row r="38" spans="1:94" x14ac:dyDescent="0.25">
      <c r="A38" s="3">
        <v>45002.812788946758</v>
      </c>
      <c r="B38" s="4" t="s">
        <v>1087</v>
      </c>
      <c r="C38" s="4" t="s">
        <v>1088</v>
      </c>
      <c r="D38" s="7" t="s">
        <v>1089</v>
      </c>
      <c r="E38" s="4" t="s">
        <v>103</v>
      </c>
      <c r="F38" s="4" t="s">
        <v>594</v>
      </c>
      <c r="G38" s="4" t="s">
        <v>105</v>
      </c>
      <c r="H38" s="4" t="s">
        <v>1090</v>
      </c>
      <c r="I38" s="4" t="s">
        <v>1091</v>
      </c>
      <c r="J38" s="4" t="s">
        <v>1092</v>
      </c>
      <c r="K38" s="4" t="s">
        <v>1087</v>
      </c>
      <c r="L38" s="4" t="s">
        <v>656</v>
      </c>
      <c r="M38" s="4" t="s">
        <v>674</v>
      </c>
      <c r="N38" s="4">
        <v>35</v>
      </c>
      <c r="O38" s="4" t="s">
        <v>69</v>
      </c>
      <c r="P38" s="4">
        <v>2</v>
      </c>
      <c r="Q38" s="4">
        <v>3</v>
      </c>
      <c r="R38" s="4">
        <v>80</v>
      </c>
      <c r="S38" s="4" t="s">
        <v>1093</v>
      </c>
      <c r="T38" s="4" t="s">
        <v>71</v>
      </c>
      <c r="U38" s="4" t="s">
        <v>70</v>
      </c>
      <c r="V38" s="6" t="s">
        <v>73</v>
      </c>
      <c r="BS38" s="4" t="s">
        <v>71</v>
      </c>
      <c r="BT38" s="4" t="s">
        <v>70</v>
      </c>
      <c r="BU38" s="4" t="s">
        <v>70</v>
      </c>
      <c r="BV38" s="4" t="s">
        <v>71</v>
      </c>
      <c r="BW38" s="4" t="s">
        <v>71</v>
      </c>
      <c r="BX38" s="4" t="s">
        <v>70</v>
      </c>
      <c r="BY38" s="4" t="s">
        <v>70</v>
      </c>
      <c r="BZ38" s="4" t="s">
        <v>70</v>
      </c>
      <c r="CA38" s="4" t="s">
        <v>70</v>
      </c>
      <c r="CB38" s="4" t="s">
        <v>71</v>
      </c>
      <c r="CC38" s="4" t="s">
        <v>71</v>
      </c>
      <c r="CD38" s="4" t="s">
        <v>70</v>
      </c>
      <c r="CE38" s="4" t="s">
        <v>70</v>
      </c>
      <c r="CF38" s="4" t="s">
        <v>70</v>
      </c>
      <c r="CG38" s="4" t="s">
        <v>71</v>
      </c>
      <c r="CH38" s="4" t="s">
        <v>70</v>
      </c>
      <c r="CI38" s="4" t="s">
        <v>70</v>
      </c>
      <c r="CJ38" s="4" t="s">
        <v>70</v>
      </c>
      <c r="CK38" s="4" t="s">
        <v>70</v>
      </c>
      <c r="CL38" s="4" t="s">
        <v>71</v>
      </c>
      <c r="CM38" s="4" t="s">
        <v>70</v>
      </c>
      <c r="CN38" s="4" t="s">
        <v>70</v>
      </c>
      <c r="CO38" s="4" t="s">
        <v>70</v>
      </c>
      <c r="CP38" s="4" t="s">
        <v>1094</v>
      </c>
    </row>
    <row r="39" spans="1:94" x14ac:dyDescent="0.25">
      <c r="A39" s="3">
        <v>45005.923197476848</v>
      </c>
      <c r="B39" s="4" t="s">
        <v>1045</v>
      </c>
      <c r="C39" s="4" t="s">
        <v>1052</v>
      </c>
      <c r="D39" s="5" t="s">
        <v>1047</v>
      </c>
      <c r="E39" s="4" t="s">
        <v>103</v>
      </c>
      <c r="F39" s="4" t="s">
        <v>1053</v>
      </c>
      <c r="G39" s="4" t="s">
        <v>105</v>
      </c>
      <c r="H39" s="4" t="s">
        <v>1050</v>
      </c>
      <c r="I39" s="4" t="s">
        <v>1054</v>
      </c>
      <c r="J39" s="4" t="s">
        <v>1055</v>
      </c>
      <c r="K39" s="4" t="s">
        <v>1045</v>
      </c>
      <c r="L39" s="4" t="s">
        <v>656</v>
      </c>
      <c r="M39" s="4" t="s">
        <v>643</v>
      </c>
      <c r="N39" s="4">
        <v>28</v>
      </c>
      <c r="O39" s="4" t="s">
        <v>69</v>
      </c>
      <c r="P39" s="4">
        <v>3</v>
      </c>
      <c r="Q39" s="4">
        <v>3</v>
      </c>
      <c r="R39" s="4">
        <v>80</v>
      </c>
      <c r="T39" s="4" t="s">
        <v>70</v>
      </c>
      <c r="U39" s="4" t="s">
        <v>71</v>
      </c>
      <c r="V39" s="6" t="s">
        <v>73</v>
      </c>
      <c r="BS39" s="4" t="s">
        <v>70</v>
      </c>
      <c r="BT39" s="4" t="s">
        <v>70</v>
      </c>
      <c r="BU39" s="4" t="s">
        <v>70</v>
      </c>
      <c r="BV39" s="4" t="s">
        <v>71</v>
      </c>
      <c r="BW39" s="4" t="s">
        <v>70</v>
      </c>
      <c r="BX39" s="4" t="s">
        <v>70</v>
      </c>
      <c r="BY39" s="4" t="s">
        <v>70</v>
      </c>
      <c r="BZ39" s="4" t="s">
        <v>70</v>
      </c>
      <c r="CA39" s="4" t="s">
        <v>71</v>
      </c>
      <c r="CC39" s="4" t="s">
        <v>70</v>
      </c>
      <c r="CD39" s="4" t="s">
        <v>70</v>
      </c>
      <c r="CE39" s="4" t="s">
        <v>70</v>
      </c>
      <c r="CH39" s="4" t="s">
        <v>70</v>
      </c>
      <c r="CI39" s="4" t="s">
        <v>70</v>
      </c>
      <c r="CJ39" s="4" t="s">
        <v>70</v>
      </c>
      <c r="CL39" s="4" t="s">
        <v>70</v>
      </c>
      <c r="CM39" s="4" t="s">
        <v>70</v>
      </c>
      <c r="CN39" s="4" t="s">
        <v>70</v>
      </c>
    </row>
    <row r="40" spans="1:94" x14ac:dyDescent="0.25">
      <c r="A40" s="3">
        <v>45004.016620925926</v>
      </c>
      <c r="B40" s="4" t="s">
        <v>1070</v>
      </c>
      <c r="C40" s="4" t="s">
        <v>1071</v>
      </c>
      <c r="D40" s="5" t="s">
        <v>1072</v>
      </c>
      <c r="E40" s="4" t="s">
        <v>103</v>
      </c>
      <c r="F40" s="4" t="s">
        <v>384</v>
      </c>
      <c r="G40" s="4" t="s">
        <v>105</v>
      </c>
      <c r="H40" s="4" t="s">
        <v>1073</v>
      </c>
      <c r="I40" s="4" t="s">
        <v>1074</v>
      </c>
      <c r="J40" s="4" t="s">
        <v>1075</v>
      </c>
      <c r="K40" s="4" t="s">
        <v>1070</v>
      </c>
      <c r="L40" s="4" t="s">
        <v>656</v>
      </c>
      <c r="M40" s="4" t="s">
        <v>666</v>
      </c>
      <c r="N40" s="4">
        <v>35</v>
      </c>
      <c r="O40" s="4" t="s">
        <v>69</v>
      </c>
      <c r="P40" s="4">
        <v>2</v>
      </c>
      <c r="Q40" s="4">
        <v>2</v>
      </c>
      <c r="R40" s="4">
        <v>90</v>
      </c>
      <c r="S40" s="4" t="s">
        <v>1076</v>
      </c>
      <c r="T40" s="4" t="s">
        <v>70</v>
      </c>
      <c r="U40" s="4" t="s">
        <v>71</v>
      </c>
      <c r="V40" s="6" t="s">
        <v>99</v>
      </c>
      <c r="AU40" s="4" t="s">
        <v>71</v>
      </c>
      <c r="AV40" s="4" t="s">
        <v>70</v>
      </c>
      <c r="AW40" s="4" t="s">
        <v>71</v>
      </c>
      <c r="AX40" s="4" t="s">
        <v>71</v>
      </c>
      <c r="AY40" s="4" t="s">
        <v>70</v>
      </c>
      <c r="AZ40" s="4" t="s">
        <v>71</v>
      </c>
      <c r="BA40" s="4" t="s">
        <v>71</v>
      </c>
      <c r="BB40" s="4" t="s">
        <v>71</v>
      </c>
      <c r="BC40" s="4" t="s">
        <v>71</v>
      </c>
      <c r="BD40" s="4" t="s">
        <v>70</v>
      </c>
      <c r="BE40" s="4" t="s">
        <v>71</v>
      </c>
      <c r="BF40" s="4" t="s">
        <v>71</v>
      </c>
      <c r="BG40" s="4" t="s">
        <v>71</v>
      </c>
      <c r="BH40" s="4" t="s">
        <v>71</v>
      </c>
      <c r="BI40" s="4" t="s">
        <v>70</v>
      </c>
      <c r="BJ40" s="4" t="s">
        <v>71</v>
      </c>
      <c r="BK40" s="4" t="s">
        <v>71</v>
      </c>
      <c r="BL40" s="4" t="s">
        <v>71</v>
      </c>
      <c r="BM40" s="4" t="s">
        <v>71</v>
      </c>
      <c r="BN40" s="4" t="s">
        <v>71</v>
      </c>
      <c r="BO40" s="4" t="s">
        <v>71</v>
      </c>
      <c r="BP40" s="4" t="s">
        <v>71</v>
      </c>
      <c r="BQ40" s="4" t="s">
        <v>71</v>
      </c>
      <c r="BR40" s="4" t="s">
        <v>1077</v>
      </c>
    </row>
    <row r="41" spans="1:94" x14ac:dyDescent="0.25">
      <c r="A41" s="3">
        <v>45006.449418553239</v>
      </c>
      <c r="B41" s="4" t="s">
        <v>720</v>
      </c>
      <c r="C41" s="4" t="s">
        <v>721</v>
      </c>
      <c r="D41" s="7" t="s">
        <v>722</v>
      </c>
      <c r="E41" s="4" t="s">
        <v>103</v>
      </c>
      <c r="F41" s="4" t="s">
        <v>723</v>
      </c>
      <c r="G41" s="4" t="s">
        <v>105</v>
      </c>
      <c r="H41" s="4" t="s">
        <v>724</v>
      </c>
      <c r="I41" s="4" t="s">
        <v>725</v>
      </c>
      <c r="J41" s="4" t="s">
        <v>726</v>
      </c>
      <c r="K41" s="4" t="s">
        <v>720</v>
      </c>
      <c r="L41" s="4" t="s">
        <v>656</v>
      </c>
      <c r="M41" s="4" t="s">
        <v>422</v>
      </c>
      <c r="N41" s="4">
        <v>35</v>
      </c>
      <c r="O41" s="4" t="s">
        <v>69</v>
      </c>
      <c r="P41" s="4">
        <v>3</v>
      </c>
      <c r="Q41" s="4">
        <v>2</v>
      </c>
      <c r="R41" s="4">
        <v>90</v>
      </c>
      <c r="T41" s="4" t="s">
        <v>70</v>
      </c>
      <c r="U41" s="4" t="s">
        <v>70</v>
      </c>
      <c r="V41" s="6" t="s">
        <v>99</v>
      </c>
      <c r="AU41" s="4" t="s">
        <v>71</v>
      </c>
      <c r="AV41" s="4" t="s">
        <v>70</v>
      </c>
      <c r="AW41" s="4" t="s">
        <v>71</v>
      </c>
      <c r="AX41" s="4" t="s">
        <v>71</v>
      </c>
      <c r="AY41" s="4" t="s">
        <v>70</v>
      </c>
      <c r="AZ41" s="4" t="s">
        <v>70</v>
      </c>
      <c r="BA41" s="4" t="s">
        <v>70</v>
      </c>
      <c r="BB41" s="4" t="s">
        <v>71</v>
      </c>
      <c r="BC41" s="4" t="s">
        <v>71</v>
      </c>
      <c r="BD41" s="4" t="s">
        <v>71</v>
      </c>
      <c r="BE41" s="4" t="s">
        <v>70</v>
      </c>
      <c r="BF41" s="4" t="s">
        <v>71</v>
      </c>
      <c r="BG41" s="4" t="s">
        <v>71</v>
      </c>
      <c r="BH41" s="4" t="s">
        <v>71</v>
      </c>
      <c r="BI41" s="4" t="s">
        <v>71</v>
      </c>
      <c r="BJ41" s="4" t="s">
        <v>71</v>
      </c>
      <c r="BK41" s="4" t="s">
        <v>71</v>
      </c>
      <c r="BL41" s="4" t="s">
        <v>71</v>
      </c>
      <c r="BM41" s="4" t="s">
        <v>71</v>
      </c>
      <c r="BN41" s="4" t="s">
        <v>70</v>
      </c>
      <c r="BO41" s="4" t="s">
        <v>70</v>
      </c>
      <c r="BP41" s="4" t="s">
        <v>71</v>
      </c>
      <c r="BQ41" s="4" t="s">
        <v>71</v>
      </c>
    </row>
    <row r="42" spans="1:94" x14ac:dyDescent="0.25">
      <c r="A42" s="3">
        <v>45000.896914363431</v>
      </c>
      <c r="B42" s="4" t="s">
        <v>1078</v>
      </c>
      <c r="C42" s="4" t="s">
        <v>1079</v>
      </c>
      <c r="D42" s="5" t="s">
        <v>1080</v>
      </c>
      <c r="E42" s="4" t="s">
        <v>103</v>
      </c>
      <c r="F42" s="4" t="s">
        <v>1081</v>
      </c>
      <c r="G42" s="4" t="s">
        <v>105</v>
      </c>
      <c r="H42" s="4" t="s">
        <v>1082</v>
      </c>
      <c r="I42" s="4" t="s">
        <v>1083</v>
      </c>
      <c r="J42" s="4" t="s">
        <v>1084</v>
      </c>
      <c r="K42" s="4" t="s">
        <v>1078</v>
      </c>
      <c r="L42" s="4" t="s">
        <v>656</v>
      </c>
      <c r="M42" s="4" t="s">
        <v>579</v>
      </c>
      <c r="N42" s="4">
        <v>35</v>
      </c>
      <c r="O42" s="4" t="s">
        <v>69</v>
      </c>
      <c r="P42" s="4">
        <v>4</v>
      </c>
      <c r="Q42" s="4">
        <v>1</v>
      </c>
      <c r="R42" s="4">
        <v>95</v>
      </c>
      <c r="S42" s="4" t="s">
        <v>1085</v>
      </c>
      <c r="T42" s="4" t="s">
        <v>70</v>
      </c>
      <c r="U42" s="4" t="s">
        <v>70</v>
      </c>
      <c r="V42" s="6" t="s">
        <v>73</v>
      </c>
      <c r="BS42" s="4" t="s">
        <v>71</v>
      </c>
      <c r="BT42" s="4" t="s">
        <v>71</v>
      </c>
      <c r="BU42" s="4" t="s">
        <v>70</v>
      </c>
      <c r="BV42" s="4" t="s">
        <v>71</v>
      </c>
      <c r="BW42" s="4" t="s">
        <v>71</v>
      </c>
      <c r="BX42" s="4" t="s">
        <v>71</v>
      </c>
      <c r="BY42" s="4" t="s">
        <v>70</v>
      </c>
      <c r="BZ42" s="4" t="s">
        <v>71</v>
      </c>
      <c r="CA42" s="4" t="s">
        <v>71</v>
      </c>
      <c r="CB42" s="4" t="s">
        <v>71</v>
      </c>
      <c r="CC42" s="4" t="s">
        <v>71</v>
      </c>
      <c r="CD42" s="4" t="s">
        <v>70</v>
      </c>
      <c r="CE42" s="4" t="s">
        <v>71</v>
      </c>
      <c r="CF42" s="4" t="s">
        <v>71</v>
      </c>
      <c r="CG42" s="4" t="s">
        <v>71</v>
      </c>
      <c r="CH42" s="4" t="s">
        <v>70</v>
      </c>
      <c r="CI42" s="4" t="s">
        <v>71</v>
      </c>
      <c r="CJ42" s="4" t="s">
        <v>71</v>
      </c>
      <c r="CK42" s="4" t="s">
        <v>71</v>
      </c>
      <c r="CL42" s="4" t="s">
        <v>71</v>
      </c>
      <c r="CM42" s="4" t="s">
        <v>71</v>
      </c>
      <c r="CN42" s="4" t="s">
        <v>71</v>
      </c>
      <c r="CO42" s="4" t="s">
        <v>70</v>
      </c>
      <c r="CP42" s="4" t="s">
        <v>1086</v>
      </c>
    </row>
    <row r="43" spans="1:94" x14ac:dyDescent="0.25">
      <c r="A43" s="3">
        <v>45005.588681226851</v>
      </c>
      <c r="B43" s="4" t="s">
        <v>213</v>
      </c>
      <c r="C43" s="4" t="s">
        <v>214</v>
      </c>
      <c r="D43" s="7" t="s">
        <v>215</v>
      </c>
      <c r="E43" s="4" t="s">
        <v>62</v>
      </c>
      <c r="F43" s="4" t="s">
        <v>216</v>
      </c>
      <c r="G43" s="4" t="s">
        <v>105</v>
      </c>
      <c r="H43" s="4" t="s">
        <v>217</v>
      </c>
      <c r="I43" s="4" t="s">
        <v>218</v>
      </c>
      <c r="J43" s="4" t="s">
        <v>219</v>
      </c>
      <c r="K43" s="4" t="s">
        <v>213</v>
      </c>
      <c r="L43" s="4" t="s">
        <v>67</v>
      </c>
      <c r="M43" s="4" t="s">
        <v>176</v>
      </c>
      <c r="N43" s="4">
        <v>35</v>
      </c>
      <c r="O43" s="4" t="s">
        <v>69</v>
      </c>
      <c r="P43" s="4">
        <v>4</v>
      </c>
      <c r="Q43" s="4">
        <v>4</v>
      </c>
      <c r="R43" s="4">
        <v>40</v>
      </c>
      <c r="T43" s="4" t="s">
        <v>70</v>
      </c>
      <c r="U43" s="4" t="s">
        <v>71</v>
      </c>
      <c r="V43" s="6" t="s">
        <v>73</v>
      </c>
      <c r="BS43" s="4" t="s">
        <v>70</v>
      </c>
      <c r="BT43" s="4" t="s">
        <v>71</v>
      </c>
      <c r="BU43" s="4" t="s">
        <v>71</v>
      </c>
      <c r="BV43" s="4" t="s">
        <v>71</v>
      </c>
      <c r="BW43" s="4" t="s">
        <v>70</v>
      </c>
      <c r="BX43" s="4" t="s">
        <v>71</v>
      </c>
      <c r="BY43" s="4" t="s">
        <v>71</v>
      </c>
      <c r="BZ43" s="4" t="s">
        <v>71</v>
      </c>
      <c r="CA43" s="4" t="s">
        <v>71</v>
      </c>
      <c r="CB43" s="4" t="s">
        <v>71</v>
      </c>
      <c r="CC43" s="4" t="s">
        <v>71</v>
      </c>
      <c r="CD43" s="4" t="s">
        <v>70</v>
      </c>
      <c r="CE43" s="4" t="s">
        <v>71</v>
      </c>
      <c r="CF43" s="4" t="s">
        <v>71</v>
      </c>
      <c r="CG43" s="4" t="s">
        <v>71</v>
      </c>
      <c r="CH43" s="4" t="s">
        <v>71</v>
      </c>
      <c r="CI43" s="4" t="s">
        <v>71</v>
      </c>
      <c r="CJ43" s="4" t="s">
        <v>71</v>
      </c>
      <c r="CK43" s="4" t="s">
        <v>71</v>
      </c>
      <c r="CL43" s="4" t="s">
        <v>70</v>
      </c>
      <c r="CM43" s="4" t="s">
        <v>70</v>
      </c>
      <c r="CN43" s="4" t="s">
        <v>71</v>
      </c>
      <c r="CO43" s="4" t="s">
        <v>71</v>
      </c>
    </row>
    <row r="44" spans="1:94" x14ac:dyDescent="0.25">
      <c r="A44" s="3">
        <v>45003.415186446757</v>
      </c>
      <c r="B44" s="4" t="s">
        <v>78</v>
      </c>
      <c r="C44" s="4" t="s">
        <v>79</v>
      </c>
      <c r="D44" s="5" t="s">
        <v>80</v>
      </c>
      <c r="E44" s="4" t="s">
        <v>62</v>
      </c>
      <c r="F44" s="4" t="s">
        <v>81</v>
      </c>
      <c r="G44" s="4" t="s">
        <v>64</v>
      </c>
      <c r="H44" s="4" t="s">
        <v>82</v>
      </c>
      <c r="I44" s="4" t="s">
        <v>83</v>
      </c>
      <c r="J44" s="4" t="s">
        <v>84</v>
      </c>
      <c r="K44" s="4" t="s">
        <v>78</v>
      </c>
      <c r="L44" s="4" t="s">
        <v>67</v>
      </c>
      <c r="M44" s="4" t="s">
        <v>77</v>
      </c>
      <c r="N44" s="4">
        <v>15</v>
      </c>
      <c r="O44" s="4" t="s">
        <v>69</v>
      </c>
      <c r="P44" s="4">
        <v>3</v>
      </c>
      <c r="Q44" s="4">
        <v>2</v>
      </c>
      <c r="R44" s="4">
        <v>40</v>
      </c>
      <c r="S44" s="4" t="s">
        <v>86</v>
      </c>
      <c r="T44" s="4" t="s">
        <v>71</v>
      </c>
      <c r="U44" s="4" t="s">
        <v>70</v>
      </c>
      <c r="V44" s="6" t="s">
        <v>73</v>
      </c>
      <c r="BS44" s="4" t="s">
        <v>71</v>
      </c>
      <c r="BT44" s="4" t="s">
        <v>71</v>
      </c>
      <c r="BU44" s="4" t="s">
        <v>70</v>
      </c>
      <c r="BV44" s="4" t="s">
        <v>71</v>
      </c>
      <c r="BW44" s="4" t="s">
        <v>71</v>
      </c>
      <c r="BX44" s="4" t="s">
        <v>71</v>
      </c>
      <c r="BY44" s="4" t="s">
        <v>71</v>
      </c>
      <c r="BZ44" s="4" t="s">
        <v>70</v>
      </c>
      <c r="CA44" s="4" t="s">
        <v>70</v>
      </c>
      <c r="CB44" s="4" t="s">
        <v>71</v>
      </c>
      <c r="CC44" s="4" t="s">
        <v>71</v>
      </c>
      <c r="CD44" s="4" t="s">
        <v>71</v>
      </c>
      <c r="CE44" s="4" t="s">
        <v>70</v>
      </c>
      <c r="CF44" s="4" t="s">
        <v>70</v>
      </c>
      <c r="CG44" s="4" t="s">
        <v>71</v>
      </c>
      <c r="CH44" s="4" t="s">
        <v>71</v>
      </c>
      <c r="CI44" s="4" t="s">
        <v>71</v>
      </c>
      <c r="CJ44" s="4" t="s">
        <v>70</v>
      </c>
      <c r="CK44" s="4" t="s">
        <v>70</v>
      </c>
      <c r="CL44" s="4" t="s">
        <v>71</v>
      </c>
      <c r="CM44" s="4" t="s">
        <v>71</v>
      </c>
      <c r="CN44" s="4" t="s">
        <v>70</v>
      </c>
      <c r="CO44" s="4" t="s">
        <v>70</v>
      </c>
    </row>
    <row r="45" spans="1:94" x14ac:dyDescent="0.25">
      <c r="A45" s="3">
        <v>45005.865266979163</v>
      </c>
      <c r="B45" s="4" t="s">
        <v>121</v>
      </c>
      <c r="C45" s="4" t="s">
        <v>122</v>
      </c>
      <c r="D45" s="5" t="s">
        <v>123</v>
      </c>
      <c r="E45" s="4" t="s">
        <v>62</v>
      </c>
      <c r="F45" s="4" t="s">
        <v>124</v>
      </c>
      <c r="G45" s="4" t="s">
        <v>105</v>
      </c>
      <c r="H45" s="4" t="s">
        <v>125</v>
      </c>
      <c r="I45" s="4" t="s">
        <v>126</v>
      </c>
      <c r="K45" s="4" t="s">
        <v>121</v>
      </c>
      <c r="L45" s="4" t="s">
        <v>67</v>
      </c>
      <c r="M45" s="4" t="s">
        <v>108</v>
      </c>
      <c r="N45" s="4">
        <v>20</v>
      </c>
      <c r="O45" s="4" t="s">
        <v>69</v>
      </c>
      <c r="P45" s="4">
        <v>4</v>
      </c>
      <c r="Q45" s="4">
        <v>2</v>
      </c>
      <c r="R45" s="4">
        <v>40</v>
      </c>
      <c r="T45" s="4" t="s">
        <v>70</v>
      </c>
      <c r="U45" s="4" t="s">
        <v>71</v>
      </c>
      <c r="V45" s="6" t="s">
        <v>99</v>
      </c>
      <c r="AU45" s="4" t="s">
        <v>70</v>
      </c>
      <c r="AV45" s="4" t="s">
        <v>70</v>
      </c>
      <c r="AW45" s="4" t="s">
        <v>71</v>
      </c>
      <c r="AX45" s="4" t="s">
        <v>70</v>
      </c>
      <c r="AY45" s="4" t="s">
        <v>70</v>
      </c>
      <c r="AZ45" s="4" t="s">
        <v>70</v>
      </c>
      <c r="BA45" s="4" t="s">
        <v>71</v>
      </c>
      <c r="BB45" s="4" t="s">
        <v>71</v>
      </c>
      <c r="BC45" s="4" t="s">
        <v>71</v>
      </c>
      <c r="BD45" s="4" t="s">
        <v>70</v>
      </c>
      <c r="BE45" s="4" t="s">
        <v>70</v>
      </c>
      <c r="BF45" s="4" t="s">
        <v>70</v>
      </c>
      <c r="BG45" s="4" t="s">
        <v>71</v>
      </c>
      <c r="BH45" s="4" t="s">
        <v>71</v>
      </c>
      <c r="BI45" s="4" t="s">
        <v>71</v>
      </c>
      <c r="BJ45" s="4" t="s">
        <v>71</v>
      </c>
      <c r="BK45" s="4" t="s">
        <v>71</v>
      </c>
      <c r="BL45" s="4" t="s">
        <v>71</v>
      </c>
      <c r="BM45" s="4" t="s">
        <v>71</v>
      </c>
      <c r="BN45" s="4" t="s">
        <v>70</v>
      </c>
      <c r="BO45" s="4" t="s">
        <v>70</v>
      </c>
      <c r="BR45" s="4" t="s">
        <v>128</v>
      </c>
    </row>
    <row r="46" spans="1:94" x14ac:dyDescent="0.25">
      <c r="A46" s="3">
        <v>45000.705323576389</v>
      </c>
      <c r="B46" s="4" t="s">
        <v>416</v>
      </c>
      <c r="C46" s="4" t="s">
        <v>417</v>
      </c>
      <c r="D46" s="7" t="s">
        <v>418</v>
      </c>
      <c r="E46" s="4" t="s">
        <v>62</v>
      </c>
      <c r="F46" s="4" t="s">
        <v>211</v>
      </c>
      <c r="G46" s="4" t="s">
        <v>64</v>
      </c>
      <c r="H46" s="4" t="s">
        <v>419</v>
      </c>
      <c r="I46" s="4" t="s">
        <v>420</v>
      </c>
      <c r="J46" s="4" t="s">
        <v>421</v>
      </c>
      <c r="K46" s="4" t="s">
        <v>416</v>
      </c>
      <c r="L46" s="4" t="s">
        <v>67</v>
      </c>
      <c r="M46" s="4" t="s">
        <v>280</v>
      </c>
      <c r="N46" s="4">
        <v>30</v>
      </c>
      <c r="O46" s="4" t="s">
        <v>69</v>
      </c>
      <c r="P46" s="4">
        <v>2</v>
      </c>
      <c r="Q46" s="4">
        <v>1</v>
      </c>
      <c r="R46" s="4">
        <v>40</v>
      </c>
      <c r="T46" s="4" t="s">
        <v>70</v>
      </c>
      <c r="U46" s="4" t="s">
        <v>71</v>
      </c>
      <c r="V46" s="6" t="s">
        <v>99</v>
      </c>
      <c r="AU46" s="4" t="s">
        <v>70</v>
      </c>
      <c r="AV46" s="4" t="s">
        <v>71</v>
      </c>
      <c r="AW46" s="4" t="s">
        <v>71</v>
      </c>
      <c r="AX46" s="4" t="s">
        <v>71</v>
      </c>
      <c r="AY46" s="4" t="s">
        <v>70</v>
      </c>
      <c r="AZ46" s="4" t="s">
        <v>71</v>
      </c>
      <c r="BA46" s="4" t="s">
        <v>71</v>
      </c>
      <c r="BB46" s="4" t="s">
        <v>71</v>
      </c>
      <c r="BC46" s="4" t="s">
        <v>71</v>
      </c>
      <c r="BD46" s="4" t="s">
        <v>71</v>
      </c>
      <c r="BE46" s="4" t="s">
        <v>71</v>
      </c>
      <c r="BF46" s="4" t="s">
        <v>71</v>
      </c>
      <c r="BG46" s="4" t="s">
        <v>71</v>
      </c>
      <c r="BH46" s="4" t="s">
        <v>71</v>
      </c>
      <c r="BI46" s="4" t="s">
        <v>71</v>
      </c>
      <c r="BJ46" s="4" t="s">
        <v>71</v>
      </c>
      <c r="BK46" s="4" t="s">
        <v>70</v>
      </c>
      <c r="BL46" s="4" t="s">
        <v>71</v>
      </c>
      <c r="BM46" s="4" t="s">
        <v>71</v>
      </c>
      <c r="BN46" s="4" t="s">
        <v>71</v>
      </c>
      <c r="BO46" s="4" t="s">
        <v>71</v>
      </c>
      <c r="BP46" s="4" t="s">
        <v>71</v>
      </c>
      <c r="BQ46" s="4" t="s">
        <v>71</v>
      </c>
    </row>
    <row r="47" spans="1:94" x14ac:dyDescent="0.25">
      <c r="A47" s="3">
        <v>45000.707809884261</v>
      </c>
      <c r="B47" s="4" t="s">
        <v>416</v>
      </c>
      <c r="C47" s="4" t="s">
        <v>417</v>
      </c>
      <c r="D47" s="7" t="s">
        <v>418</v>
      </c>
      <c r="E47" s="4" t="s">
        <v>149</v>
      </c>
      <c r="F47" s="4" t="s">
        <v>150</v>
      </c>
      <c r="G47" s="4" t="s">
        <v>64</v>
      </c>
      <c r="H47" s="4" t="s">
        <v>419</v>
      </c>
      <c r="I47" s="4" t="s">
        <v>420</v>
      </c>
      <c r="J47" s="4" t="s">
        <v>421</v>
      </c>
      <c r="K47" s="4" t="s">
        <v>416</v>
      </c>
      <c r="L47" s="4" t="s">
        <v>67</v>
      </c>
      <c r="M47" s="4" t="s">
        <v>280</v>
      </c>
      <c r="N47" s="4">
        <v>30</v>
      </c>
      <c r="O47" s="4" t="s">
        <v>69</v>
      </c>
      <c r="P47" s="4">
        <v>2</v>
      </c>
      <c r="Q47" s="4">
        <v>1</v>
      </c>
      <c r="R47" s="4">
        <v>40</v>
      </c>
      <c r="T47" s="4" t="s">
        <v>70</v>
      </c>
      <c r="U47" s="4" t="s">
        <v>71</v>
      </c>
      <c r="V47" s="6" t="s">
        <v>99</v>
      </c>
      <c r="AU47" s="4" t="s">
        <v>70</v>
      </c>
      <c r="AV47" s="4" t="s">
        <v>71</v>
      </c>
      <c r="AW47" s="4" t="s">
        <v>71</v>
      </c>
      <c r="AX47" s="4" t="s">
        <v>71</v>
      </c>
      <c r="AY47" s="4" t="s">
        <v>70</v>
      </c>
      <c r="AZ47" s="4" t="s">
        <v>71</v>
      </c>
      <c r="BA47" s="4" t="s">
        <v>71</v>
      </c>
      <c r="BB47" s="4" t="s">
        <v>71</v>
      </c>
      <c r="BC47" s="4" t="s">
        <v>71</v>
      </c>
      <c r="BD47" s="4" t="s">
        <v>71</v>
      </c>
      <c r="BE47" s="4" t="s">
        <v>71</v>
      </c>
      <c r="BF47" s="4" t="s">
        <v>71</v>
      </c>
      <c r="BG47" s="4" t="s">
        <v>71</v>
      </c>
      <c r="BH47" s="4" t="s">
        <v>71</v>
      </c>
      <c r="BI47" s="4" t="s">
        <v>71</v>
      </c>
      <c r="BJ47" s="4" t="s">
        <v>71</v>
      </c>
      <c r="BK47" s="4" t="s">
        <v>70</v>
      </c>
      <c r="BL47" s="4" t="s">
        <v>71</v>
      </c>
      <c r="BM47" s="4" t="s">
        <v>71</v>
      </c>
      <c r="BN47" s="4" t="s">
        <v>71</v>
      </c>
      <c r="BO47" s="4" t="s">
        <v>71</v>
      </c>
      <c r="BP47" s="4" t="s">
        <v>71</v>
      </c>
      <c r="BQ47" s="4" t="s">
        <v>71</v>
      </c>
    </row>
    <row r="48" spans="1:94" x14ac:dyDescent="0.25">
      <c r="A48" s="3">
        <v>45003.740165891199</v>
      </c>
      <c r="B48" s="4" t="s">
        <v>239</v>
      </c>
      <c r="C48" s="4" t="s">
        <v>248</v>
      </c>
      <c r="D48" s="5" t="s">
        <v>241</v>
      </c>
      <c r="E48" s="4" t="s">
        <v>62</v>
      </c>
      <c r="F48" s="4" t="s">
        <v>249</v>
      </c>
      <c r="G48" s="4" t="s">
        <v>64</v>
      </c>
      <c r="H48" s="4" t="s">
        <v>243</v>
      </c>
      <c r="I48" s="4" t="s">
        <v>243</v>
      </c>
      <c r="J48" s="4" t="s">
        <v>250</v>
      </c>
      <c r="K48" s="4" t="s">
        <v>239</v>
      </c>
      <c r="L48" s="4" t="s">
        <v>67</v>
      </c>
      <c r="M48" s="4" t="s">
        <v>77</v>
      </c>
      <c r="N48" s="4">
        <v>25</v>
      </c>
      <c r="O48" s="4" t="s">
        <v>69</v>
      </c>
      <c r="P48" s="4">
        <v>4</v>
      </c>
      <c r="Q48" s="4">
        <v>4</v>
      </c>
      <c r="R48" s="4">
        <v>30</v>
      </c>
      <c r="S48" s="4" t="s">
        <v>247</v>
      </c>
      <c r="T48" s="4" t="s">
        <v>70</v>
      </c>
      <c r="U48" s="4" t="s">
        <v>71</v>
      </c>
      <c r="V48" s="6" t="s">
        <v>145</v>
      </c>
      <c r="W48" s="4" t="s">
        <v>70</v>
      </c>
      <c r="X48" s="4" t="s">
        <v>71</v>
      </c>
      <c r="Y48" s="4" t="s">
        <v>71</v>
      </c>
      <c r="Z48" s="4" t="s">
        <v>71</v>
      </c>
      <c r="AA48" s="4" t="s">
        <v>70</v>
      </c>
      <c r="AB48" s="4" t="s">
        <v>70</v>
      </c>
      <c r="AC48" s="4" t="s">
        <v>71</v>
      </c>
      <c r="AD48" s="4" t="s">
        <v>71</v>
      </c>
      <c r="AE48" s="4" t="s">
        <v>71</v>
      </c>
      <c r="AF48" s="4" t="s">
        <v>71</v>
      </c>
      <c r="AG48" s="4" t="s">
        <v>70</v>
      </c>
      <c r="AH48" s="4" t="s">
        <v>70</v>
      </c>
      <c r="AI48" s="4" t="s">
        <v>71</v>
      </c>
      <c r="AJ48" s="4" t="s">
        <v>71</v>
      </c>
      <c r="AK48" s="4" t="s">
        <v>71</v>
      </c>
      <c r="AL48" s="4" t="s">
        <v>70</v>
      </c>
      <c r="AM48" s="4" t="s">
        <v>70</v>
      </c>
      <c r="AN48" s="4" t="s">
        <v>71</v>
      </c>
      <c r="AO48" s="4" t="s">
        <v>71</v>
      </c>
      <c r="AP48" s="4" t="s">
        <v>70</v>
      </c>
      <c r="AQ48" s="4" t="s">
        <v>70</v>
      </c>
      <c r="AR48" s="4" t="s">
        <v>71</v>
      </c>
      <c r="AS48" s="4" t="s">
        <v>71</v>
      </c>
    </row>
    <row r="49" spans="1:100" x14ac:dyDescent="0.25">
      <c r="A49" s="3">
        <v>45002.545335844909</v>
      </c>
      <c r="B49" s="4" t="s">
        <v>239</v>
      </c>
      <c r="C49" s="4" t="s">
        <v>240</v>
      </c>
      <c r="D49" s="7" t="s">
        <v>241</v>
      </c>
      <c r="E49" s="4" t="s">
        <v>62</v>
      </c>
      <c r="F49" s="4" t="s">
        <v>242</v>
      </c>
      <c r="G49" s="4" t="s">
        <v>64</v>
      </c>
      <c r="H49" s="4" t="s">
        <v>243</v>
      </c>
      <c r="I49" s="4" t="s">
        <v>244</v>
      </c>
      <c r="J49" s="4" t="s">
        <v>245</v>
      </c>
      <c r="K49" s="4" t="s">
        <v>239</v>
      </c>
      <c r="L49" s="4" t="s">
        <v>67</v>
      </c>
      <c r="M49" s="4" t="s">
        <v>77</v>
      </c>
      <c r="N49" s="4">
        <v>24</v>
      </c>
      <c r="O49" s="4" t="s">
        <v>69</v>
      </c>
      <c r="P49" s="4">
        <v>4</v>
      </c>
      <c r="Q49" s="4">
        <v>4</v>
      </c>
      <c r="R49" s="4">
        <v>30</v>
      </c>
      <c r="S49" s="4" t="s">
        <v>247</v>
      </c>
      <c r="T49" s="4" t="s">
        <v>70</v>
      </c>
      <c r="U49" s="4" t="s">
        <v>71</v>
      </c>
      <c r="V49" s="6" t="s">
        <v>145</v>
      </c>
      <c r="W49" s="4" t="s">
        <v>70</v>
      </c>
      <c r="X49" s="4" t="s">
        <v>71</v>
      </c>
      <c r="Y49" s="4" t="s">
        <v>70</v>
      </c>
      <c r="Z49" s="4" t="s">
        <v>71</v>
      </c>
      <c r="AA49" s="4" t="s">
        <v>70</v>
      </c>
      <c r="AB49" s="4" t="s">
        <v>70</v>
      </c>
      <c r="AC49" s="4" t="s">
        <v>71</v>
      </c>
      <c r="AD49" s="4" t="s">
        <v>71</v>
      </c>
      <c r="AE49" s="4" t="s">
        <v>71</v>
      </c>
      <c r="AF49" s="4" t="s">
        <v>71</v>
      </c>
      <c r="AG49" s="4" t="s">
        <v>70</v>
      </c>
      <c r="AH49" s="4" t="s">
        <v>70</v>
      </c>
      <c r="AI49" s="4" t="s">
        <v>71</v>
      </c>
      <c r="AJ49" s="4" t="s">
        <v>71</v>
      </c>
      <c r="AK49" s="4" t="s">
        <v>71</v>
      </c>
      <c r="AL49" s="4" t="s">
        <v>70</v>
      </c>
      <c r="AM49" s="4" t="s">
        <v>70</v>
      </c>
      <c r="AN49" s="4" t="s">
        <v>71</v>
      </c>
      <c r="AO49" s="4" t="s">
        <v>71</v>
      </c>
      <c r="AP49" s="4" t="s">
        <v>70</v>
      </c>
      <c r="AQ49" s="4" t="s">
        <v>70</v>
      </c>
      <c r="AR49" s="4" t="s">
        <v>71</v>
      </c>
      <c r="AS49" s="4" t="s">
        <v>71</v>
      </c>
    </row>
    <row r="50" spans="1:100" x14ac:dyDescent="0.25">
      <c r="A50" s="3">
        <v>45000.769938599537</v>
      </c>
      <c r="B50" s="4" t="s">
        <v>325</v>
      </c>
      <c r="C50" s="4" t="s">
        <v>326</v>
      </c>
      <c r="D50" s="7" t="s">
        <v>327</v>
      </c>
      <c r="E50" s="4" t="s">
        <v>149</v>
      </c>
      <c r="F50" s="4" t="s">
        <v>328</v>
      </c>
      <c r="G50" s="4" t="s">
        <v>105</v>
      </c>
      <c r="H50" s="4" t="s">
        <v>329</v>
      </c>
      <c r="I50" s="4" t="s">
        <v>330</v>
      </c>
      <c r="K50" s="4" t="s">
        <v>325</v>
      </c>
      <c r="L50" s="4" t="s">
        <v>67</v>
      </c>
      <c r="M50" s="4" t="s">
        <v>228</v>
      </c>
      <c r="N50" s="4">
        <v>10</v>
      </c>
      <c r="O50" s="4" t="s">
        <v>69</v>
      </c>
      <c r="P50" s="4">
        <v>4</v>
      </c>
      <c r="Q50" s="4">
        <v>3</v>
      </c>
      <c r="R50" s="4">
        <v>30</v>
      </c>
      <c r="T50" s="4" t="s">
        <v>70</v>
      </c>
      <c r="U50" s="4" t="s">
        <v>70</v>
      </c>
      <c r="V50" s="6" t="s">
        <v>73</v>
      </c>
      <c r="BS50" s="4" t="s">
        <v>70</v>
      </c>
      <c r="BT50" s="4" t="s">
        <v>71</v>
      </c>
      <c r="BU50" s="4" t="s">
        <v>70</v>
      </c>
      <c r="BV50" s="4" t="s">
        <v>71</v>
      </c>
      <c r="BW50" s="4" t="s">
        <v>71</v>
      </c>
      <c r="BX50" s="4" t="s">
        <v>71</v>
      </c>
      <c r="BY50" s="4" t="s">
        <v>70</v>
      </c>
      <c r="BZ50" s="4" t="s">
        <v>71</v>
      </c>
      <c r="CA50" s="4" t="s">
        <v>71</v>
      </c>
      <c r="CB50" s="4" t="s">
        <v>71</v>
      </c>
      <c r="CC50" s="4" t="s">
        <v>71</v>
      </c>
      <c r="CD50" s="4" t="s">
        <v>70</v>
      </c>
      <c r="CE50" s="4" t="s">
        <v>71</v>
      </c>
      <c r="CF50" s="4" t="s">
        <v>71</v>
      </c>
      <c r="CG50" s="4" t="s">
        <v>71</v>
      </c>
      <c r="CH50" s="4" t="s">
        <v>71</v>
      </c>
      <c r="CI50" s="4" t="s">
        <v>71</v>
      </c>
      <c r="CJ50" s="4" t="s">
        <v>70</v>
      </c>
      <c r="CK50" s="4" t="s">
        <v>70</v>
      </c>
    </row>
    <row r="51" spans="1:100" x14ac:dyDescent="0.25">
      <c r="A51" s="3">
        <v>45001.604640810183</v>
      </c>
      <c r="B51" s="4" t="s">
        <v>1137</v>
      </c>
      <c r="C51" s="4" t="s">
        <v>1138</v>
      </c>
      <c r="D51" s="7" t="s">
        <v>1139</v>
      </c>
      <c r="E51" s="4" t="s">
        <v>149</v>
      </c>
      <c r="F51" s="4" t="s">
        <v>671</v>
      </c>
      <c r="G51" s="4" t="s">
        <v>64</v>
      </c>
      <c r="H51" s="4" t="s">
        <v>1140</v>
      </c>
      <c r="I51" s="4" t="s">
        <v>1141</v>
      </c>
      <c r="J51" s="4" t="s">
        <v>1142</v>
      </c>
      <c r="K51" s="4" t="s">
        <v>1137</v>
      </c>
      <c r="L51" s="4" t="s">
        <v>656</v>
      </c>
      <c r="M51" s="4" t="s">
        <v>708</v>
      </c>
      <c r="N51" s="4">
        <v>39</v>
      </c>
      <c r="O51" s="4" t="s">
        <v>69</v>
      </c>
      <c r="P51" s="4">
        <v>3</v>
      </c>
      <c r="Q51" s="4">
        <v>2</v>
      </c>
      <c r="R51" s="4">
        <v>30</v>
      </c>
      <c r="T51" s="4" t="s">
        <v>70</v>
      </c>
      <c r="U51" s="4" t="s">
        <v>71</v>
      </c>
      <c r="V51" s="6" t="s">
        <v>145</v>
      </c>
      <c r="W51" s="4" t="s">
        <v>70</v>
      </c>
      <c r="X51" s="4" t="s">
        <v>71</v>
      </c>
      <c r="Y51" s="4" t="s">
        <v>71</v>
      </c>
      <c r="Z51" s="4" t="s">
        <v>71</v>
      </c>
      <c r="AA51" s="4" t="s">
        <v>71</v>
      </c>
      <c r="AB51" s="4" t="s">
        <v>70</v>
      </c>
      <c r="AC51" s="4" t="s">
        <v>71</v>
      </c>
      <c r="AD51" s="4" t="s">
        <v>71</v>
      </c>
      <c r="AE51" s="4" t="s">
        <v>71</v>
      </c>
      <c r="AF51" s="4" t="s">
        <v>71</v>
      </c>
      <c r="AG51" s="4" t="s">
        <v>71</v>
      </c>
      <c r="AH51" s="4" t="s">
        <v>71</v>
      </c>
      <c r="AI51" s="4" t="s">
        <v>71</v>
      </c>
      <c r="AJ51" s="4" t="s">
        <v>71</v>
      </c>
      <c r="AK51" s="4" t="s">
        <v>71</v>
      </c>
      <c r="AL51" s="4" t="s">
        <v>71</v>
      </c>
      <c r="AM51" s="4" t="s">
        <v>71</v>
      </c>
      <c r="AN51" s="4" t="s">
        <v>71</v>
      </c>
      <c r="AO51" s="4" t="s">
        <v>71</v>
      </c>
      <c r="AP51" s="4" t="s">
        <v>70</v>
      </c>
    </row>
    <row r="52" spans="1:100" x14ac:dyDescent="0.25">
      <c r="A52" s="3">
        <v>45002.570582789354</v>
      </c>
      <c r="B52" s="4" t="s">
        <v>561</v>
      </c>
      <c r="C52" s="4" t="s">
        <v>562</v>
      </c>
      <c r="D52" s="7" t="s">
        <v>563</v>
      </c>
      <c r="E52" s="4" t="s">
        <v>149</v>
      </c>
      <c r="F52" s="4" t="s">
        <v>564</v>
      </c>
      <c r="G52" s="4" t="s">
        <v>64</v>
      </c>
      <c r="H52" s="4" t="s">
        <v>569</v>
      </c>
      <c r="I52" s="4" t="s">
        <v>570</v>
      </c>
      <c r="K52" s="4" t="s">
        <v>561</v>
      </c>
      <c r="L52" s="4" t="s">
        <v>67</v>
      </c>
      <c r="M52" s="4" t="s">
        <v>338</v>
      </c>
      <c r="N52" s="4">
        <v>35</v>
      </c>
      <c r="O52" s="4" t="s">
        <v>69</v>
      </c>
      <c r="P52" s="4">
        <v>5</v>
      </c>
      <c r="Q52" s="4">
        <v>5</v>
      </c>
      <c r="R52" s="4">
        <v>30</v>
      </c>
      <c r="S52" s="4" t="s">
        <v>568</v>
      </c>
      <c r="T52" s="4" t="s">
        <v>70</v>
      </c>
      <c r="U52" s="4" t="s">
        <v>71</v>
      </c>
      <c r="V52" s="6" t="s">
        <v>99</v>
      </c>
      <c r="AU52" s="4" t="s">
        <v>71</v>
      </c>
      <c r="AV52" s="4" t="s">
        <v>70</v>
      </c>
      <c r="AW52" s="4" t="s">
        <v>71</v>
      </c>
      <c r="AX52" s="4" t="s">
        <v>70</v>
      </c>
      <c r="AY52" s="4" t="s">
        <v>70</v>
      </c>
      <c r="AZ52" s="4" t="s">
        <v>70</v>
      </c>
      <c r="BA52" s="4" t="s">
        <v>71</v>
      </c>
      <c r="BB52" s="4" t="s">
        <v>71</v>
      </c>
      <c r="BC52" s="4" t="s">
        <v>71</v>
      </c>
      <c r="BD52" s="4" t="s">
        <v>70</v>
      </c>
      <c r="BE52" s="4" t="s">
        <v>70</v>
      </c>
      <c r="BF52" s="4" t="s">
        <v>70</v>
      </c>
      <c r="BG52" s="4" t="s">
        <v>71</v>
      </c>
      <c r="BH52" s="4" t="s">
        <v>71</v>
      </c>
      <c r="BI52" s="4" t="s">
        <v>70</v>
      </c>
      <c r="BJ52" s="4" t="s">
        <v>70</v>
      </c>
      <c r="BK52" s="4" t="s">
        <v>70</v>
      </c>
      <c r="BL52" s="4" t="s">
        <v>71</v>
      </c>
      <c r="BM52" s="4" t="s">
        <v>71</v>
      </c>
      <c r="BN52" s="4" t="s">
        <v>71</v>
      </c>
      <c r="BO52" s="4" t="s">
        <v>71</v>
      </c>
      <c r="BP52" s="4" t="s">
        <v>71</v>
      </c>
      <c r="BQ52" s="4" t="s">
        <v>71</v>
      </c>
    </row>
    <row r="53" spans="1:100" x14ac:dyDescent="0.25">
      <c r="A53" s="3">
        <v>45002.736449976852</v>
      </c>
      <c r="B53" s="4" t="s">
        <v>275</v>
      </c>
      <c r="C53" s="4" t="s">
        <v>276</v>
      </c>
      <c r="D53" s="5" t="s">
        <v>277</v>
      </c>
      <c r="E53" s="4" t="s">
        <v>62</v>
      </c>
      <c r="F53" s="4" t="s">
        <v>211</v>
      </c>
      <c r="G53" s="4" t="s">
        <v>64</v>
      </c>
      <c r="H53" s="4" t="s">
        <v>206</v>
      </c>
      <c r="I53" s="4" t="s">
        <v>278</v>
      </c>
      <c r="J53" s="4" t="s">
        <v>279</v>
      </c>
      <c r="K53" s="4" t="s">
        <v>275</v>
      </c>
      <c r="L53" s="4" t="s">
        <v>67</v>
      </c>
      <c r="M53" s="4" t="s">
        <v>174</v>
      </c>
      <c r="N53" s="4">
        <v>31</v>
      </c>
      <c r="O53" s="4" t="s">
        <v>69</v>
      </c>
      <c r="P53" s="4">
        <v>4</v>
      </c>
      <c r="Q53" s="4">
        <v>4</v>
      </c>
      <c r="R53" s="4">
        <v>25</v>
      </c>
      <c r="T53" s="4" t="s">
        <v>70</v>
      </c>
      <c r="U53" s="4" t="s">
        <v>71</v>
      </c>
      <c r="V53" s="6" t="s">
        <v>145</v>
      </c>
      <c r="W53" s="4" t="s">
        <v>70</v>
      </c>
      <c r="X53" s="4" t="s">
        <v>71</v>
      </c>
      <c r="Y53" s="4" t="s">
        <v>71</v>
      </c>
      <c r="Z53" s="4" t="s">
        <v>71</v>
      </c>
      <c r="AA53" s="4" t="s">
        <v>70</v>
      </c>
      <c r="AB53" s="4" t="s">
        <v>70</v>
      </c>
      <c r="AC53" s="4" t="s">
        <v>71</v>
      </c>
      <c r="AD53" s="4" t="s">
        <v>71</v>
      </c>
      <c r="AE53" s="4" t="s">
        <v>71</v>
      </c>
      <c r="AF53" s="4" t="s">
        <v>71</v>
      </c>
      <c r="AG53" s="4" t="s">
        <v>70</v>
      </c>
      <c r="AH53" s="4" t="s">
        <v>70</v>
      </c>
      <c r="AI53" s="4" t="s">
        <v>71</v>
      </c>
      <c r="AJ53" s="4" t="s">
        <v>71</v>
      </c>
      <c r="AK53" s="4" t="s">
        <v>71</v>
      </c>
      <c r="AL53" s="4" t="s">
        <v>70</v>
      </c>
      <c r="AM53" s="4" t="s">
        <v>70</v>
      </c>
      <c r="AN53" s="4" t="s">
        <v>71</v>
      </c>
      <c r="AO53" s="4" t="s">
        <v>71</v>
      </c>
      <c r="AP53" s="4" t="s">
        <v>71</v>
      </c>
      <c r="AQ53" s="4" t="s">
        <v>71</v>
      </c>
      <c r="AR53" s="4" t="s">
        <v>71</v>
      </c>
      <c r="AS53" s="4" t="s">
        <v>71</v>
      </c>
    </row>
    <row r="54" spans="1:100" x14ac:dyDescent="0.25">
      <c r="A54" s="3">
        <v>45002.738249467591</v>
      </c>
      <c r="B54" s="4" t="s">
        <v>281</v>
      </c>
      <c r="C54" s="4" t="s">
        <v>276</v>
      </c>
      <c r="D54" s="5" t="s">
        <v>277</v>
      </c>
      <c r="E54" s="4" t="s">
        <v>62</v>
      </c>
      <c r="F54" s="4" t="s">
        <v>211</v>
      </c>
      <c r="G54" s="4" t="s">
        <v>64</v>
      </c>
      <c r="H54" s="4" t="s">
        <v>206</v>
      </c>
      <c r="I54" s="4" t="s">
        <v>278</v>
      </c>
      <c r="J54" s="4" t="s">
        <v>279</v>
      </c>
      <c r="K54" s="4" t="s">
        <v>281</v>
      </c>
      <c r="L54" s="4" t="s">
        <v>67</v>
      </c>
      <c r="M54" s="4" t="s">
        <v>174</v>
      </c>
      <c r="N54" s="4">
        <v>34</v>
      </c>
      <c r="O54" s="4" t="s">
        <v>69</v>
      </c>
      <c r="P54" s="4">
        <v>4</v>
      </c>
      <c r="Q54" s="4">
        <v>4</v>
      </c>
      <c r="R54" s="4">
        <v>25</v>
      </c>
      <c r="T54" s="4" t="s">
        <v>70</v>
      </c>
      <c r="U54" s="4" t="s">
        <v>71</v>
      </c>
      <c r="V54" s="6" t="s">
        <v>145</v>
      </c>
      <c r="W54" s="4" t="s">
        <v>70</v>
      </c>
      <c r="X54" s="4" t="s">
        <v>71</v>
      </c>
      <c r="Y54" s="4" t="s">
        <v>71</v>
      </c>
      <c r="Z54" s="4" t="s">
        <v>71</v>
      </c>
      <c r="AA54" s="4" t="s">
        <v>70</v>
      </c>
      <c r="AB54" s="4" t="s">
        <v>70</v>
      </c>
      <c r="AC54" s="4" t="s">
        <v>71</v>
      </c>
      <c r="AD54" s="4" t="s">
        <v>71</v>
      </c>
      <c r="AE54" s="4" t="s">
        <v>71</v>
      </c>
      <c r="AF54" s="4" t="s">
        <v>71</v>
      </c>
      <c r="AG54" s="4" t="s">
        <v>70</v>
      </c>
      <c r="AH54" s="4" t="s">
        <v>70</v>
      </c>
      <c r="AI54" s="4" t="s">
        <v>71</v>
      </c>
      <c r="AJ54" s="4" t="s">
        <v>71</v>
      </c>
      <c r="AK54" s="4" t="s">
        <v>71</v>
      </c>
      <c r="AL54" s="4" t="s">
        <v>70</v>
      </c>
      <c r="AM54" s="4" t="s">
        <v>70</v>
      </c>
      <c r="AN54" s="4" t="s">
        <v>71</v>
      </c>
      <c r="AO54" s="4" t="s">
        <v>71</v>
      </c>
      <c r="AP54" s="4" t="s">
        <v>71</v>
      </c>
      <c r="AQ54" s="4" t="s">
        <v>71</v>
      </c>
      <c r="AR54" s="4" t="s">
        <v>71</v>
      </c>
      <c r="AS54" s="4" t="s">
        <v>71</v>
      </c>
    </row>
    <row r="55" spans="1:100" x14ac:dyDescent="0.25">
      <c r="A55" s="3">
        <v>45005.668450393518</v>
      </c>
      <c r="B55" s="4" t="s">
        <v>701</v>
      </c>
      <c r="C55" s="4" t="s">
        <v>838</v>
      </c>
      <c r="D55" s="6" t="s">
        <v>839</v>
      </c>
      <c r="E55" s="4" t="s">
        <v>149</v>
      </c>
      <c r="F55" s="4" t="s">
        <v>205</v>
      </c>
      <c r="G55" s="4" t="s">
        <v>64</v>
      </c>
      <c r="H55" s="4" t="s">
        <v>709</v>
      </c>
      <c r="I55" s="4" t="s">
        <v>842</v>
      </c>
      <c r="K55" s="4" t="s">
        <v>701</v>
      </c>
      <c r="L55" s="4" t="s">
        <v>656</v>
      </c>
      <c r="M55" s="4" t="s">
        <v>411</v>
      </c>
      <c r="N55" s="4">
        <v>35</v>
      </c>
      <c r="O55" s="4" t="s">
        <v>69</v>
      </c>
      <c r="P55" s="4">
        <v>3</v>
      </c>
      <c r="Q55" s="4">
        <v>2</v>
      </c>
      <c r="R55" s="4">
        <v>25</v>
      </c>
      <c r="T55" s="4" t="s">
        <v>70</v>
      </c>
      <c r="U55" s="4" t="s">
        <v>71</v>
      </c>
      <c r="V55" s="6" t="s">
        <v>73</v>
      </c>
      <c r="BS55" s="4" t="s">
        <v>70</v>
      </c>
      <c r="BT55" s="4" t="s">
        <v>70</v>
      </c>
      <c r="BU55" s="4" t="s">
        <v>71</v>
      </c>
      <c r="BV55" s="4" t="s">
        <v>70</v>
      </c>
      <c r="BW55" s="4" t="s">
        <v>70</v>
      </c>
      <c r="BX55" s="4" t="s">
        <v>70</v>
      </c>
      <c r="BY55" s="4" t="s">
        <v>71</v>
      </c>
      <c r="BZ55" s="4" t="s">
        <v>71</v>
      </c>
      <c r="CA55" s="4" t="s">
        <v>71</v>
      </c>
      <c r="CB55" s="4" t="s">
        <v>70</v>
      </c>
      <c r="CC55" s="4" t="s">
        <v>70</v>
      </c>
      <c r="CD55" s="4" t="s">
        <v>70</v>
      </c>
      <c r="CE55" s="4" t="s">
        <v>71</v>
      </c>
      <c r="CF55" s="4" t="s">
        <v>71</v>
      </c>
      <c r="CG55" s="4" t="s">
        <v>70</v>
      </c>
      <c r="CH55" s="4" t="s">
        <v>70</v>
      </c>
      <c r="CI55" s="4" t="s">
        <v>70</v>
      </c>
      <c r="CJ55" s="4" t="s">
        <v>71</v>
      </c>
      <c r="CK55" s="4" t="s">
        <v>71</v>
      </c>
      <c r="CL55" s="4" t="s">
        <v>70</v>
      </c>
      <c r="CM55" s="4" t="s">
        <v>70</v>
      </c>
      <c r="CN55" s="4" t="s">
        <v>71</v>
      </c>
      <c r="CO55" s="4" t="s">
        <v>71</v>
      </c>
    </row>
    <row r="56" spans="1:100" x14ac:dyDescent="0.25">
      <c r="A56" s="3">
        <v>45001.498919201389</v>
      </c>
      <c r="B56" s="4" t="s">
        <v>260</v>
      </c>
      <c r="C56" s="4" t="s">
        <v>268</v>
      </c>
      <c r="D56" s="5" t="s">
        <v>262</v>
      </c>
      <c r="E56" s="4" t="s">
        <v>62</v>
      </c>
      <c r="F56" s="4" t="s">
        <v>269</v>
      </c>
      <c r="G56" s="4" t="s">
        <v>64</v>
      </c>
      <c r="H56" s="4" t="s">
        <v>270</v>
      </c>
      <c r="I56" s="4" t="s">
        <v>271</v>
      </c>
      <c r="K56" s="4" t="s">
        <v>260</v>
      </c>
      <c r="L56" s="4" t="s">
        <v>67</v>
      </c>
      <c r="M56" s="4" t="s">
        <v>199</v>
      </c>
      <c r="N56" s="4">
        <v>35</v>
      </c>
      <c r="O56" s="4" t="s">
        <v>69</v>
      </c>
      <c r="P56" s="4">
        <v>3</v>
      </c>
      <c r="Q56" s="4">
        <v>2</v>
      </c>
      <c r="R56" s="4">
        <v>20</v>
      </c>
      <c r="T56" s="4" t="s">
        <v>70</v>
      </c>
      <c r="U56" s="4" t="s">
        <v>71</v>
      </c>
      <c r="V56" s="6" t="s">
        <v>73</v>
      </c>
      <c r="BS56" s="4" t="s">
        <v>70</v>
      </c>
      <c r="BT56" s="4" t="s">
        <v>70</v>
      </c>
      <c r="BU56" s="4" t="s">
        <v>71</v>
      </c>
      <c r="BV56" s="4" t="s">
        <v>70</v>
      </c>
      <c r="BW56" s="4" t="s">
        <v>70</v>
      </c>
      <c r="BX56" s="4" t="s">
        <v>70</v>
      </c>
      <c r="BY56" s="4" t="s">
        <v>71</v>
      </c>
      <c r="BZ56" s="4" t="s">
        <v>71</v>
      </c>
      <c r="CA56" s="4" t="s">
        <v>71</v>
      </c>
      <c r="CB56" s="4" t="s">
        <v>70</v>
      </c>
      <c r="CC56" s="4" t="s">
        <v>70</v>
      </c>
      <c r="CD56" s="4" t="s">
        <v>70</v>
      </c>
      <c r="CE56" s="4" t="s">
        <v>71</v>
      </c>
      <c r="CF56" s="4" t="s">
        <v>71</v>
      </c>
      <c r="CG56" s="4" t="s">
        <v>70</v>
      </c>
      <c r="CH56" s="4" t="s">
        <v>70</v>
      </c>
      <c r="CI56" s="4" t="s">
        <v>70</v>
      </c>
      <c r="CJ56" s="4" t="s">
        <v>71</v>
      </c>
      <c r="CK56" s="4" t="s">
        <v>71</v>
      </c>
      <c r="CL56" s="4" t="s">
        <v>70</v>
      </c>
      <c r="CM56" s="4" t="s">
        <v>70</v>
      </c>
      <c r="CN56" s="4" t="s">
        <v>71</v>
      </c>
      <c r="CO56" s="4" t="s">
        <v>71</v>
      </c>
    </row>
    <row r="57" spans="1:100" x14ac:dyDescent="0.25">
      <c r="A57" s="3">
        <v>45005.500209340273</v>
      </c>
      <c r="B57" s="4" t="s">
        <v>796</v>
      </c>
      <c r="C57" s="4" t="s">
        <v>797</v>
      </c>
      <c r="D57" s="7" t="s">
        <v>798</v>
      </c>
      <c r="E57" s="4" t="s">
        <v>62</v>
      </c>
      <c r="F57" s="4" t="s">
        <v>803</v>
      </c>
      <c r="G57" s="4" t="s">
        <v>64</v>
      </c>
      <c r="H57" s="4" t="s">
        <v>804</v>
      </c>
      <c r="I57" s="4" t="s">
        <v>805</v>
      </c>
      <c r="J57" s="4" t="s">
        <v>801</v>
      </c>
      <c r="K57" s="4" t="s">
        <v>796</v>
      </c>
      <c r="L57" s="4" t="s">
        <v>656</v>
      </c>
      <c r="M57" s="4" t="s">
        <v>490</v>
      </c>
      <c r="N57" s="4">
        <v>35</v>
      </c>
      <c r="O57" s="4" t="s">
        <v>69</v>
      </c>
      <c r="P57" s="4">
        <v>1</v>
      </c>
      <c r="Q57" s="4">
        <v>3</v>
      </c>
      <c r="R57" s="4">
        <v>20</v>
      </c>
      <c r="T57" s="4" t="s">
        <v>70</v>
      </c>
      <c r="U57" s="4" t="s">
        <v>71</v>
      </c>
      <c r="V57" s="6" t="s">
        <v>145</v>
      </c>
      <c r="W57" s="4" t="s">
        <v>70</v>
      </c>
      <c r="X57" s="4" t="s">
        <v>70</v>
      </c>
      <c r="Y57" s="4" t="s">
        <v>71</v>
      </c>
      <c r="Z57" s="4" t="s">
        <v>71</v>
      </c>
      <c r="AA57" s="4" t="s">
        <v>71</v>
      </c>
      <c r="AB57" s="4" t="s">
        <v>71</v>
      </c>
      <c r="AC57" s="4" t="s">
        <v>71</v>
      </c>
      <c r="AD57" s="4" t="s">
        <v>71</v>
      </c>
      <c r="AE57" s="4" t="s">
        <v>71</v>
      </c>
      <c r="AF57" s="4" t="s">
        <v>71</v>
      </c>
      <c r="AG57" s="4" t="s">
        <v>71</v>
      </c>
      <c r="AH57" s="4" t="s">
        <v>71</v>
      </c>
      <c r="AI57" s="4" t="s">
        <v>71</v>
      </c>
      <c r="AJ57" s="4" t="s">
        <v>71</v>
      </c>
      <c r="AK57" s="4" t="s">
        <v>71</v>
      </c>
      <c r="AL57" s="4" t="s">
        <v>71</v>
      </c>
      <c r="AM57" s="4" t="s">
        <v>71</v>
      </c>
      <c r="AN57" s="4" t="s">
        <v>71</v>
      </c>
      <c r="AO57" s="4" t="s">
        <v>71</v>
      </c>
      <c r="AP57" s="4" t="s">
        <v>71</v>
      </c>
      <c r="AQ57" s="4" t="s">
        <v>71</v>
      </c>
      <c r="AR57" s="4" t="s">
        <v>71</v>
      </c>
      <c r="AS57" s="4" t="s">
        <v>71</v>
      </c>
      <c r="CQ57" s="13"/>
      <c r="CR57" s="13"/>
      <c r="CS57" s="13"/>
      <c r="CT57" s="13"/>
      <c r="CU57" s="13"/>
      <c r="CV57" s="13"/>
    </row>
    <row r="58" spans="1:100" x14ac:dyDescent="0.25">
      <c r="A58" s="3">
        <v>45002.339845150462</v>
      </c>
      <c r="B58" s="4" t="s">
        <v>260</v>
      </c>
      <c r="C58" s="4" t="s">
        <v>268</v>
      </c>
      <c r="D58" s="5" t="s">
        <v>262</v>
      </c>
      <c r="E58" s="4" t="s">
        <v>62</v>
      </c>
      <c r="F58" s="4" t="s">
        <v>211</v>
      </c>
      <c r="G58" s="4" t="s">
        <v>64</v>
      </c>
      <c r="H58" s="4" t="s">
        <v>265</v>
      </c>
      <c r="I58" s="4" t="s">
        <v>266</v>
      </c>
      <c r="K58" s="4" t="s">
        <v>260</v>
      </c>
      <c r="L58" s="4" t="s">
        <v>67</v>
      </c>
      <c r="M58" s="4" t="s">
        <v>191</v>
      </c>
      <c r="N58" s="4">
        <v>35</v>
      </c>
      <c r="O58" s="4" t="s">
        <v>69</v>
      </c>
      <c r="P58" s="4">
        <v>3</v>
      </c>
      <c r="Q58" s="4">
        <v>2</v>
      </c>
      <c r="R58" s="4">
        <v>20</v>
      </c>
      <c r="S58" s="4" t="s">
        <v>274</v>
      </c>
      <c r="T58" s="4" t="s">
        <v>70</v>
      </c>
      <c r="U58" s="4" t="s">
        <v>71</v>
      </c>
      <c r="V58" s="6" t="s">
        <v>145</v>
      </c>
      <c r="W58" s="4" t="s">
        <v>70</v>
      </c>
      <c r="X58" s="4" t="s">
        <v>70</v>
      </c>
      <c r="Y58" s="4" t="s">
        <v>71</v>
      </c>
      <c r="Z58" s="4" t="s">
        <v>70</v>
      </c>
      <c r="AA58" s="4" t="s">
        <v>70</v>
      </c>
      <c r="AB58" s="4" t="s">
        <v>70</v>
      </c>
      <c r="AC58" s="4" t="s">
        <v>71</v>
      </c>
      <c r="AD58" s="4" t="s">
        <v>71</v>
      </c>
      <c r="AE58" s="4" t="s">
        <v>71</v>
      </c>
      <c r="AF58" s="4" t="s">
        <v>70</v>
      </c>
      <c r="AG58" s="4" t="s">
        <v>70</v>
      </c>
      <c r="AH58" s="4" t="s">
        <v>70</v>
      </c>
      <c r="AI58" s="4" t="s">
        <v>71</v>
      </c>
      <c r="AJ58" s="4" t="s">
        <v>71</v>
      </c>
      <c r="AK58" s="4" t="s">
        <v>70</v>
      </c>
      <c r="AL58" s="4" t="s">
        <v>70</v>
      </c>
      <c r="AM58" s="4" t="s">
        <v>70</v>
      </c>
      <c r="AN58" s="4" t="s">
        <v>71</v>
      </c>
      <c r="AO58" s="4" t="s">
        <v>71</v>
      </c>
      <c r="AP58" s="4" t="s">
        <v>70</v>
      </c>
      <c r="AQ58" s="4" t="s">
        <v>70</v>
      </c>
      <c r="AR58" s="4" t="s">
        <v>71</v>
      </c>
      <c r="AS58" s="4" t="s">
        <v>71</v>
      </c>
    </row>
    <row r="59" spans="1:100" x14ac:dyDescent="0.25">
      <c r="A59" s="3">
        <v>45005.412433206016</v>
      </c>
      <c r="B59" s="4" t="s">
        <v>796</v>
      </c>
      <c r="C59" s="4" t="s">
        <v>797</v>
      </c>
      <c r="D59" s="7" t="s">
        <v>798</v>
      </c>
      <c r="E59" s="4" t="s">
        <v>149</v>
      </c>
      <c r="F59" s="4" t="s">
        <v>799</v>
      </c>
      <c r="G59" s="4" t="s">
        <v>64</v>
      </c>
      <c r="H59" s="4" t="s">
        <v>800</v>
      </c>
      <c r="I59" s="4" t="s">
        <v>801</v>
      </c>
      <c r="J59" s="4" t="s">
        <v>802</v>
      </c>
      <c r="K59" s="4" t="s">
        <v>796</v>
      </c>
      <c r="L59" s="4" t="s">
        <v>656</v>
      </c>
      <c r="M59" s="4" t="s">
        <v>490</v>
      </c>
      <c r="N59" s="4">
        <v>35</v>
      </c>
      <c r="O59" s="4" t="s">
        <v>69</v>
      </c>
      <c r="P59" s="4">
        <v>1</v>
      </c>
      <c r="Q59" s="4">
        <v>3</v>
      </c>
      <c r="R59" s="4">
        <v>20</v>
      </c>
      <c r="T59" s="4" t="s">
        <v>70</v>
      </c>
      <c r="U59" s="4" t="s">
        <v>71</v>
      </c>
      <c r="V59" s="6" t="s">
        <v>145</v>
      </c>
      <c r="W59" s="4" t="s">
        <v>70</v>
      </c>
      <c r="X59" s="4" t="s">
        <v>70</v>
      </c>
      <c r="Y59" s="4" t="s">
        <v>71</v>
      </c>
      <c r="Z59" s="4" t="s">
        <v>71</v>
      </c>
      <c r="AA59" s="4" t="s">
        <v>71</v>
      </c>
      <c r="AB59" s="4" t="s">
        <v>71</v>
      </c>
      <c r="AC59" s="4" t="s">
        <v>71</v>
      </c>
      <c r="AD59" s="4" t="s">
        <v>71</v>
      </c>
      <c r="AE59" s="4" t="s">
        <v>71</v>
      </c>
      <c r="AF59" s="4" t="s">
        <v>71</v>
      </c>
      <c r="AG59" s="4" t="s">
        <v>71</v>
      </c>
      <c r="AH59" s="4" t="s">
        <v>71</v>
      </c>
      <c r="AI59" s="4" t="s">
        <v>71</v>
      </c>
      <c r="AJ59" s="4" t="s">
        <v>71</v>
      </c>
      <c r="AK59" s="4" t="s">
        <v>71</v>
      </c>
      <c r="AL59" s="4" t="s">
        <v>71</v>
      </c>
      <c r="AM59" s="4" t="s">
        <v>71</v>
      </c>
      <c r="AN59" s="4" t="s">
        <v>71</v>
      </c>
      <c r="AO59" s="4" t="s">
        <v>71</v>
      </c>
      <c r="AP59" s="4" t="s">
        <v>71</v>
      </c>
      <c r="AQ59" s="4" t="s">
        <v>71</v>
      </c>
      <c r="AR59" s="4" t="s">
        <v>71</v>
      </c>
      <c r="AS59" s="4" t="s">
        <v>71</v>
      </c>
    </row>
    <row r="60" spans="1:100" x14ac:dyDescent="0.25">
      <c r="A60" s="3">
        <v>45005.502667476852</v>
      </c>
      <c r="B60" s="4" t="s">
        <v>796</v>
      </c>
      <c r="C60" s="4" t="s">
        <v>797</v>
      </c>
      <c r="D60" s="7" t="s">
        <v>798</v>
      </c>
      <c r="E60" s="4" t="s">
        <v>149</v>
      </c>
      <c r="F60" s="4" t="s">
        <v>799</v>
      </c>
      <c r="G60" s="4" t="s">
        <v>64</v>
      </c>
      <c r="H60" s="4" t="s">
        <v>804</v>
      </c>
      <c r="I60" s="4" t="s">
        <v>802</v>
      </c>
      <c r="J60" s="4" t="s">
        <v>805</v>
      </c>
      <c r="K60" s="4" t="s">
        <v>796</v>
      </c>
      <c r="L60" s="4" t="s">
        <v>656</v>
      </c>
      <c r="M60" s="4" t="s">
        <v>490</v>
      </c>
      <c r="N60" s="4">
        <v>35</v>
      </c>
      <c r="O60" s="4" t="s">
        <v>69</v>
      </c>
      <c r="P60" s="4">
        <v>1</v>
      </c>
      <c r="Q60" s="4">
        <v>3</v>
      </c>
      <c r="R60" s="4">
        <v>20</v>
      </c>
      <c r="T60" s="4" t="s">
        <v>70</v>
      </c>
      <c r="U60" s="4" t="s">
        <v>71</v>
      </c>
      <c r="V60" s="6" t="s">
        <v>145</v>
      </c>
      <c r="W60" s="4" t="s">
        <v>70</v>
      </c>
      <c r="X60" s="4" t="s">
        <v>70</v>
      </c>
      <c r="Y60" s="4" t="s">
        <v>71</v>
      </c>
      <c r="Z60" s="4" t="s">
        <v>71</v>
      </c>
      <c r="AA60" s="4" t="s">
        <v>71</v>
      </c>
      <c r="AB60" s="4" t="s">
        <v>71</v>
      </c>
      <c r="AC60" s="4" t="s">
        <v>71</v>
      </c>
      <c r="AD60" s="4" t="s">
        <v>71</v>
      </c>
      <c r="AE60" s="4" t="s">
        <v>71</v>
      </c>
      <c r="AF60" s="4" t="s">
        <v>71</v>
      </c>
      <c r="AG60" s="4" t="s">
        <v>71</v>
      </c>
      <c r="AH60" s="4" t="s">
        <v>71</v>
      </c>
      <c r="AI60" s="4" t="s">
        <v>71</v>
      </c>
      <c r="AJ60" s="4" t="s">
        <v>71</v>
      </c>
      <c r="AK60" s="4" t="s">
        <v>71</v>
      </c>
      <c r="AL60" s="4" t="s">
        <v>71</v>
      </c>
      <c r="AM60" s="4" t="s">
        <v>71</v>
      </c>
      <c r="AN60" s="4" t="s">
        <v>71</v>
      </c>
      <c r="AO60" s="4" t="s">
        <v>71</v>
      </c>
      <c r="AP60" s="4" t="s">
        <v>71</v>
      </c>
      <c r="AQ60" s="4" t="s">
        <v>71</v>
      </c>
      <c r="AR60" s="4" t="s">
        <v>71</v>
      </c>
      <c r="AS60" s="4" t="s">
        <v>71</v>
      </c>
    </row>
    <row r="61" spans="1:100" x14ac:dyDescent="0.25">
      <c r="A61" s="3">
        <v>45005.741089270829</v>
      </c>
      <c r="B61" s="4" t="s">
        <v>993</v>
      </c>
      <c r="C61" s="4" t="s">
        <v>994</v>
      </c>
      <c r="D61" s="6" t="s">
        <v>988</v>
      </c>
      <c r="E61" s="4" t="s">
        <v>149</v>
      </c>
      <c r="F61" s="4" t="s">
        <v>205</v>
      </c>
      <c r="G61" s="4" t="s">
        <v>64</v>
      </c>
      <c r="H61" s="4" t="s">
        <v>989</v>
      </c>
      <c r="I61" s="4" t="s">
        <v>995</v>
      </c>
      <c r="K61" s="4" t="s">
        <v>993</v>
      </c>
      <c r="L61" s="4" t="s">
        <v>656</v>
      </c>
      <c r="M61" s="4" t="s">
        <v>596</v>
      </c>
      <c r="N61" s="4">
        <v>31</v>
      </c>
      <c r="O61" s="4" t="s">
        <v>69</v>
      </c>
      <c r="P61" s="4">
        <v>5</v>
      </c>
      <c r="Q61" s="4">
        <v>3</v>
      </c>
      <c r="R61" s="4">
        <v>20</v>
      </c>
      <c r="T61" s="4" t="s">
        <v>70</v>
      </c>
      <c r="U61" s="4" t="s">
        <v>71</v>
      </c>
      <c r="V61" s="6" t="s">
        <v>73</v>
      </c>
      <c r="BS61" s="4" t="s">
        <v>70</v>
      </c>
      <c r="BT61" s="4" t="s">
        <v>71</v>
      </c>
      <c r="BU61" s="4" t="s">
        <v>71</v>
      </c>
      <c r="BV61" s="4" t="s">
        <v>71</v>
      </c>
      <c r="BW61" s="4" t="s">
        <v>70</v>
      </c>
      <c r="BX61" s="4" t="s">
        <v>70</v>
      </c>
      <c r="BY61" s="4" t="s">
        <v>71</v>
      </c>
      <c r="BZ61" s="4" t="s">
        <v>71</v>
      </c>
      <c r="CA61" s="4" t="s">
        <v>71</v>
      </c>
      <c r="CB61" s="4" t="s">
        <v>71</v>
      </c>
      <c r="CC61" s="4" t="s">
        <v>70</v>
      </c>
      <c r="CD61" s="4" t="s">
        <v>70</v>
      </c>
      <c r="CE61" s="4" t="s">
        <v>71</v>
      </c>
      <c r="CF61" s="4" t="s">
        <v>71</v>
      </c>
      <c r="CG61" s="4" t="s">
        <v>70</v>
      </c>
      <c r="CH61" s="4" t="s">
        <v>70</v>
      </c>
      <c r="CJ61" s="4" t="s">
        <v>71</v>
      </c>
      <c r="CK61" s="4" t="s">
        <v>71</v>
      </c>
      <c r="CL61" s="4" t="s">
        <v>70</v>
      </c>
      <c r="CM61" s="4" t="s">
        <v>70</v>
      </c>
      <c r="CN61" s="4" t="s">
        <v>71</v>
      </c>
      <c r="CO61" s="4" t="s">
        <v>71</v>
      </c>
    </row>
    <row r="62" spans="1:100" x14ac:dyDescent="0.25">
      <c r="A62" s="3">
        <v>45001.494281053238</v>
      </c>
      <c r="B62" s="4" t="s">
        <v>1035</v>
      </c>
      <c r="C62" s="4" t="s">
        <v>1036</v>
      </c>
      <c r="D62" s="7" t="s">
        <v>1037</v>
      </c>
      <c r="E62" s="4" t="s">
        <v>149</v>
      </c>
      <c r="F62" s="4" t="s">
        <v>594</v>
      </c>
      <c r="G62" s="4" t="s">
        <v>64</v>
      </c>
      <c r="H62" s="4" t="s">
        <v>1038</v>
      </c>
      <c r="I62" s="4" t="s">
        <v>1043</v>
      </c>
      <c r="J62" s="4" t="s">
        <v>1040</v>
      </c>
      <c r="K62" s="4" t="s">
        <v>1035</v>
      </c>
      <c r="L62" s="4" t="s">
        <v>656</v>
      </c>
      <c r="M62" s="4" t="s">
        <v>639</v>
      </c>
      <c r="N62" s="4">
        <v>32</v>
      </c>
      <c r="O62" s="4" t="s">
        <v>69</v>
      </c>
      <c r="P62" s="4">
        <v>5</v>
      </c>
      <c r="Q62" s="4">
        <v>1</v>
      </c>
      <c r="R62" s="4">
        <v>20</v>
      </c>
      <c r="T62" s="4" t="s">
        <v>70</v>
      </c>
      <c r="U62" s="4" t="s">
        <v>71</v>
      </c>
      <c r="V62" s="6" t="s">
        <v>145</v>
      </c>
      <c r="W62" s="4" t="s">
        <v>70</v>
      </c>
      <c r="X62" s="4" t="s">
        <v>71</v>
      </c>
      <c r="Y62" s="4" t="s">
        <v>71</v>
      </c>
      <c r="Z62" s="4" t="s">
        <v>71</v>
      </c>
      <c r="AA62" s="4" t="s">
        <v>70</v>
      </c>
      <c r="AB62" s="4" t="s">
        <v>70</v>
      </c>
      <c r="AC62" s="4" t="s">
        <v>70</v>
      </c>
      <c r="AD62" s="4" t="s">
        <v>71</v>
      </c>
      <c r="AE62" s="4" t="s">
        <v>71</v>
      </c>
      <c r="AF62" s="4" t="s">
        <v>71</v>
      </c>
      <c r="AG62" s="4" t="s">
        <v>71</v>
      </c>
      <c r="AH62" s="4" t="s">
        <v>70</v>
      </c>
      <c r="AI62" s="4" t="s">
        <v>70</v>
      </c>
      <c r="AJ62" s="4" t="s">
        <v>71</v>
      </c>
      <c r="AK62" s="4" t="s">
        <v>71</v>
      </c>
      <c r="AL62" s="4" t="s">
        <v>70</v>
      </c>
      <c r="AM62" s="4" t="s">
        <v>70</v>
      </c>
      <c r="AN62" s="4" t="s">
        <v>70</v>
      </c>
      <c r="AO62" s="4" t="s">
        <v>71</v>
      </c>
      <c r="AT62" s="4" t="s">
        <v>1044</v>
      </c>
    </row>
    <row r="63" spans="1:100" x14ac:dyDescent="0.25">
      <c r="A63" s="3">
        <v>45004.57079096065</v>
      </c>
      <c r="B63" s="4" t="s">
        <v>179</v>
      </c>
      <c r="C63" s="4" t="s">
        <v>180</v>
      </c>
      <c r="D63" s="5" t="s">
        <v>181</v>
      </c>
      <c r="E63" s="4" t="s">
        <v>62</v>
      </c>
      <c r="F63" s="4" t="s">
        <v>182</v>
      </c>
      <c r="G63" s="4" t="s">
        <v>64</v>
      </c>
      <c r="H63" s="4" t="s">
        <v>183</v>
      </c>
      <c r="I63" s="4" t="s">
        <v>184</v>
      </c>
      <c r="J63" s="4" t="s">
        <v>185</v>
      </c>
      <c r="K63" s="4" t="s">
        <v>179</v>
      </c>
      <c r="L63" s="4" t="s">
        <v>67</v>
      </c>
      <c r="M63" s="4" t="s">
        <v>161</v>
      </c>
      <c r="N63" s="4">
        <v>34</v>
      </c>
      <c r="O63" s="4" t="s">
        <v>69</v>
      </c>
      <c r="P63" s="4">
        <v>4</v>
      </c>
      <c r="Q63" s="4">
        <v>4</v>
      </c>
      <c r="R63" s="4">
        <v>15</v>
      </c>
      <c r="T63" s="4" t="s">
        <v>70</v>
      </c>
      <c r="U63" s="4" t="s">
        <v>71</v>
      </c>
      <c r="V63" s="6" t="s">
        <v>145</v>
      </c>
      <c r="W63" s="4" t="s">
        <v>70</v>
      </c>
      <c r="X63" s="4" t="s">
        <v>70</v>
      </c>
      <c r="Y63" s="4" t="s">
        <v>71</v>
      </c>
      <c r="Z63" s="4" t="s">
        <v>71</v>
      </c>
      <c r="AA63" s="4" t="s">
        <v>70</v>
      </c>
      <c r="AB63" s="4" t="s">
        <v>71</v>
      </c>
      <c r="AC63" s="4" t="s">
        <v>71</v>
      </c>
      <c r="AD63" s="4" t="s">
        <v>71</v>
      </c>
      <c r="AE63" s="4" t="s">
        <v>71</v>
      </c>
      <c r="AF63" s="4" t="s">
        <v>71</v>
      </c>
      <c r="AG63" s="4" t="s">
        <v>71</v>
      </c>
      <c r="AH63" s="4" t="s">
        <v>71</v>
      </c>
      <c r="AI63" s="4" t="s">
        <v>71</v>
      </c>
      <c r="AJ63" s="4" t="s">
        <v>71</v>
      </c>
      <c r="AK63" s="4" t="s">
        <v>71</v>
      </c>
      <c r="AL63" s="4" t="s">
        <v>71</v>
      </c>
      <c r="AM63" s="4" t="s">
        <v>71</v>
      </c>
      <c r="AN63" s="4" t="s">
        <v>71</v>
      </c>
      <c r="AO63" s="4" t="s">
        <v>71</v>
      </c>
      <c r="AP63" s="4" t="s">
        <v>71</v>
      </c>
      <c r="AQ63" s="4" t="s">
        <v>71</v>
      </c>
      <c r="AR63" s="4" t="s">
        <v>71</v>
      </c>
      <c r="AS63" s="4" t="s">
        <v>71</v>
      </c>
    </row>
    <row r="64" spans="1:100" x14ac:dyDescent="0.25">
      <c r="A64" s="3">
        <v>45004.572966157408</v>
      </c>
      <c r="B64" s="4" t="s">
        <v>179</v>
      </c>
      <c r="C64" s="4" t="s">
        <v>187</v>
      </c>
      <c r="D64" s="5" t="s">
        <v>181</v>
      </c>
      <c r="E64" s="4" t="s">
        <v>62</v>
      </c>
      <c r="F64" s="4" t="s">
        <v>188</v>
      </c>
      <c r="G64" s="4" t="s">
        <v>64</v>
      </c>
      <c r="H64" s="4" t="s">
        <v>185</v>
      </c>
      <c r="I64" s="4" t="s">
        <v>184</v>
      </c>
      <c r="J64" s="4" t="s">
        <v>183</v>
      </c>
      <c r="K64" s="4" t="s">
        <v>179</v>
      </c>
      <c r="L64" s="4" t="s">
        <v>67</v>
      </c>
      <c r="M64" s="4" t="s">
        <v>161</v>
      </c>
      <c r="N64" s="4">
        <v>35</v>
      </c>
      <c r="O64" s="4" t="s">
        <v>69</v>
      </c>
      <c r="P64" s="4">
        <v>4</v>
      </c>
      <c r="Q64" s="4">
        <v>4</v>
      </c>
      <c r="R64" s="4">
        <v>15</v>
      </c>
      <c r="T64" s="4" t="s">
        <v>70</v>
      </c>
      <c r="U64" s="4" t="s">
        <v>71</v>
      </c>
      <c r="V64" s="6" t="s">
        <v>145</v>
      </c>
      <c r="W64" s="4" t="s">
        <v>70</v>
      </c>
      <c r="X64" s="4" t="s">
        <v>70</v>
      </c>
      <c r="Y64" s="4" t="s">
        <v>71</v>
      </c>
      <c r="Z64" s="4" t="s">
        <v>71</v>
      </c>
      <c r="AA64" s="4" t="s">
        <v>70</v>
      </c>
      <c r="AB64" s="4" t="s">
        <v>71</v>
      </c>
      <c r="AC64" s="4" t="s">
        <v>71</v>
      </c>
      <c r="AD64" s="4" t="s">
        <v>71</v>
      </c>
      <c r="AE64" s="4" t="s">
        <v>71</v>
      </c>
      <c r="AF64" s="4" t="s">
        <v>71</v>
      </c>
      <c r="AG64" s="4" t="s">
        <v>70</v>
      </c>
      <c r="AH64" s="4" t="s">
        <v>71</v>
      </c>
      <c r="AI64" s="4" t="s">
        <v>71</v>
      </c>
      <c r="AJ64" s="4" t="s">
        <v>71</v>
      </c>
      <c r="AK64" s="4" t="s">
        <v>71</v>
      </c>
      <c r="AL64" s="4" t="s">
        <v>71</v>
      </c>
      <c r="AM64" s="4" t="s">
        <v>71</v>
      </c>
      <c r="AN64" s="4" t="s">
        <v>71</v>
      </c>
      <c r="AO64" s="4" t="s">
        <v>71</v>
      </c>
      <c r="AP64" s="4" t="s">
        <v>71</v>
      </c>
      <c r="AQ64" s="4" t="s">
        <v>71</v>
      </c>
      <c r="AR64" s="4" t="s">
        <v>71</v>
      </c>
      <c r="AS64" s="4" t="s">
        <v>71</v>
      </c>
    </row>
    <row r="65" spans="1:94" x14ac:dyDescent="0.25">
      <c r="A65" s="3">
        <v>45004.574748125</v>
      </c>
      <c r="B65" s="4" t="s">
        <v>179</v>
      </c>
      <c r="C65" s="4" t="s">
        <v>187</v>
      </c>
      <c r="D65" s="5" t="s">
        <v>181</v>
      </c>
      <c r="E65" s="4" t="s">
        <v>62</v>
      </c>
      <c r="F65" s="4" t="s">
        <v>190</v>
      </c>
      <c r="G65" s="4" t="s">
        <v>64</v>
      </c>
      <c r="H65" s="4" t="s">
        <v>185</v>
      </c>
      <c r="I65" s="4" t="s">
        <v>184</v>
      </c>
      <c r="J65" s="4" t="s">
        <v>183</v>
      </c>
      <c r="K65" s="4" t="s">
        <v>179</v>
      </c>
      <c r="L65" s="4" t="s">
        <v>67</v>
      </c>
      <c r="M65" s="4" t="s">
        <v>161</v>
      </c>
      <c r="N65" s="4">
        <v>33</v>
      </c>
      <c r="O65" s="4" t="s">
        <v>69</v>
      </c>
      <c r="P65" s="4">
        <v>4</v>
      </c>
      <c r="Q65" s="4">
        <v>4</v>
      </c>
      <c r="R65" s="4">
        <v>15</v>
      </c>
      <c r="T65" s="4" t="s">
        <v>70</v>
      </c>
      <c r="U65" s="4" t="s">
        <v>71</v>
      </c>
      <c r="V65" s="6" t="s">
        <v>145</v>
      </c>
      <c r="W65" s="4" t="s">
        <v>70</v>
      </c>
      <c r="X65" s="4" t="s">
        <v>70</v>
      </c>
      <c r="Y65" s="4" t="s">
        <v>71</v>
      </c>
      <c r="Z65" s="4" t="s">
        <v>71</v>
      </c>
      <c r="AA65" s="4" t="s">
        <v>70</v>
      </c>
      <c r="AB65" s="4" t="s">
        <v>71</v>
      </c>
      <c r="AC65" s="4" t="s">
        <v>71</v>
      </c>
      <c r="AD65" s="4" t="s">
        <v>71</v>
      </c>
      <c r="AE65" s="4" t="s">
        <v>71</v>
      </c>
      <c r="AF65" s="4" t="s">
        <v>71</v>
      </c>
      <c r="AG65" s="4" t="s">
        <v>70</v>
      </c>
      <c r="AH65" s="4" t="s">
        <v>71</v>
      </c>
      <c r="AI65" s="4" t="s">
        <v>71</v>
      </c>
      <c r="AJ65" s="4" t="s">
        <v>71</v>
      </c>
      <c r="AK65" s="4" t="s">
        <v>71</v>
      </c>
      <c r="AL65" s="4" t="s">
        <v>70</v>
      </c>
      <c r="AM65" s="4" t="s">
        <v>71</v>
      </c>
      <c r="AN65" s="4" t="s">
        <v>71</v>
      </c>
      <c r="AO65" s="4" t="s">
        <v>71</v>
      </c>
      <c r="AP65" s="4" t="s">
        <v>71</v>
      </c>
      <c r="AQ65" s="4" t="s">
        <v>70</v>
      </c>
      <c r="AR65" s="4" t="s">
        <v>71</v>
      </c>
      <c r="AS65" s="4" t="s">
        <v>71</v>
      </c>
    </row>
    <row r="66" spans="1:94" x14ac:dyDescent="0.25">
      <c r="A66" s="3">
        <v>45000.743401585649</v>
      </c>
      <c r="B66" s="4" t="s">
        <v>759</v>
      </c>
      <c r="C66" s="4" t="s">
        <v>760</v>
      </c>
      <c r="D66" s="5" t="s">
        <v>761</v>
      </c>
      <c r="E66" s="4" t="s">
        <v>62</v>
      </c>
      <c r="F66" s="4" t="s">
        <v>762</v>
      </c>
      <c r="G66" s="4" t="s">
        <v>64</v>
      </c>
      <c r="H66" s="4" t="s">
        <v>763</v>
      </c>
      <c r="I66" s="4" t="s">
        <v>764</v>
      </c>
      <c r="J66" s="4" t="s">
        <v>765</v>
      </c>
      <c r="K66" s="4" t="s">
        <v>759</v>
      </c>
      <c r="L66" s="4" t="s">
        <v>656</v>
      </c>
      <c r="M66" s="4" t="s">
        <v>440</v>
      </c>
      <c r="N66" s="4">
        <v>35</v>
      </c>
      <c r="O66" s="4" t="s">
        <v>69</v>
      </c>
      <c r="P66" s="4">
        <v>4</v>
      </c>
      <c r="Q66" s="4">
        <v>3</v>
      </c>
      <c r="R66" s="4">
        <v>10</v>
      </c>
      <c r="T66" s="4" t="s">
        <v>70</v>
      </c>
      <c r="U66" s="4" t="s">
        <v>71</v>
      </c>
      <c r="V66" s="6" t="s">
        <v>145</v>
      </c>
      <c r="W66" s="4" t="s">
        <v>70</v>
      </c>
      <c r="X66" s="4" t="s">
        <v>71</v>
      </c>
      <c r="Y66" s="4" t="s">
        <v>71</v>
      </c>
      <c r="Z66" s="4" t="s">
        <v>71</v>
      </c>
      <c r="AA66" s="4" t="s">
        <v>70</v>
      </c>
      <c r="AB66" s="4" t="s">
        <v>71</v>
      </c>
      <c r="AC66" s="4" t="s">
        <v>71</v>
      </c>
      <c r="AD66" s="4" t="s">
        <v>71</v>
      </c>
      <c r="AE66" s="4" t="s">
        <v>71</v>
      </c>
      <c r="AM66" s="4" t="s">
        <v>70</v>
      </c>
    </row>
    <row r="67" spans="1:94" x14ac:dyDescent="0.25">
      <c r="A67" s="3">
        <v>45000.745915578707</v>
      </c>
      <c r="B67" s="4" t="s">
        <v>759</v>
      </c>
      <c r="C67" s="4" t="s">
        <v>760</v>
      </c>
      <c r="D67" s="5" t="s">
        <v>761</v>
      </c>
      <c r="E67" s="4" t="s">
        <v>62</v>
      </c>
      <c r="F67" s="4" t="s">
        <v>766</v>
      </c>
      <c r="G67" s="4" t="s">
        <v>64</v>
      </c>
      <c r="H67" s="4" t="s">
        <v>764</v>
      </c>
      <c r="I67" s="4" t="s">
        <v>767</v>
      </c>
      <c r="J67" s="4" t="s">
        <v>765</v>
      </c>
      <c r="K67" s="4" t="s">
        <v>759</v>
      </c>
      <c r="L67" s="4" t="s">
        <v>656</v>
      </c>
      <c r="M67" s="4" t="s">
        <v>450</v>
      </c>
      <c r="N67" s="4">
        <v>25</v>
      </c>
      <c r="O67" s="4" t="s">
        <v>69</v>
      </c>
      <c r="P67" s="4">
        <v>4</v>
      </c>
      <c r="Q67" s="4">
        <v>2</v>
      </c>
      <c r="R67" s="4">
        <v>10</v>
      </c>
      <c r="T67" s="4" t="s">
        <v>70</v>
      </c>
      <c r="U67" s="4" t="s">
        <v>71</v>
      </c>
      <c r="V67" s="6" t="s">
        <v>145</v>
      </c>
      <c r="W67" s="4" t="s">
        <v>70</v>
      </c>
      <c r="X67" s="4" t="s">
        <v>71</v>
      </c>
      <c r="Y67" s="4" t="s">
        <v>71</v>
      </c>
      <c r="Z67" s="4" t="s">
        <v>71</v>
      </c>
      <c r="AA67" s="4" t="s">
        <v>70</v>
      </c>
      <c r="AB67" s="4" t="s">
        <v>71</v>
      </c>
      <c r="AC67" s="4" t="s">
        <v>71</v>
      </c>
      <c r="AD67" s="4" t="s">
        <v>71</v>
      </c>
      <c r="AE67" s="4" t="s">
        <v>71</v>
      </c>
      <c r="AM67" s="4" t="s">
        <v>70</v>
      </c>
    </row>
    <row r="68" spans="1:94" x14ac:dyDescent="0.25">
      <c r="A68" s="3">
        <v>45000.830369236108</v>
      </c>
      <c r="B68" s="4" t="s">
        <v>154</v>
      </c>
      <c r="C68" s="4" t="s">
        <v>155</v>
      </c>
      <c r="D68" s="5" t="s">
        <v>156</v>
      </c>
      <c r="E68" s="4" t="s">
        <v>62</v>
      </c>
      <c r="F68" s="4" t="s">
        <v>157</v>
      </c>
      <c r="G68" s="4" t="s">
        <v>64</v>
      </c>
      <c r="H68" s="4" t="s">
        <v>158</v>
      </c>
      <c r="I68" s="4" t="s">
        <v>159</v>
      </c>
      <c r="J68" s="4" t="s">
        <v>160</v>
      </c>
      <c r="K68" s="4" t="s">
        <v>154</v>
      </c>
      <c r="L68" s="4" t="s">
        <v>67</v>
      </c>
      <c r="M68" s="4" t="s">
        <v>136</v>
      </c>
      <c r="N68" s="4">
        <v>20</v>
      </c>
      <c r="O68" s="4" t="s">
        <v>69</v>
      </c>
      <c r="P68" s="4">
        <v>5</v>
      </c>
      <c r="Q68" s="4">
        <v>4</v>
      </c>
      <c r="R68" s="4">
        <v>10</v>
      </c>
      <c r="T68" s="4" t="s">
        <v>70</v>
      </c>
      <c r="U68" s="4" t="s">
        <v>71</v>
      </c>
      <c r="V68" s="6" t="s">
        <v>73</v>
      </c>
      <c r="BS68" s="4" t="s">
        <v>70</v>
      </c>
      <c r="BT68" s="4" t="s">
        <v>71</v>
      </c>
      <c r="BU68" s="4" t="s">
        <v>71</v>
      </c>
      <c r="BV68" s="4" t="s">
        <v>71</v>
      </c>
      <c r="BW68" s="4" t="s">
        <v>71</v>
      </c>
      <c r="BX68" s="4" t="s">
        <v>70</v>
      </c>
      <c r="BY68" s="4" t="s">
        <v>71</v>
      </c>
      <c r="BZ68" s="4" t="s">
        <v>71</v>
      </c>
      <c r="CA68" s="4" t="s">
        <v>71</v>
      </c>
      <c r="CB68" s="4" t="s">
        <v>71</v>
      </c>
      <c r="CC68" s="4" t="s">
        <v>70</v>
      </c>
      <c r="CD68" s="4" t="s">
        <v>71</v>
      </c>
      <c r="CE68" s="4" t="s">
        <v>71</v>
      </c>
      <c r="CF68" s="4" t="s">
        <v>71</v>
      </c>
      <c r="CG68" s="4" t="s">
        <v>71</v>
      </c>
      <c r="CH68" s="4" t="s">
        <v>71</v>
      </c>
      <c r="CI68" s="4" t="s">
        <v>71</v>
      </c>
      <c r="CJ68" s="4" t="s">
        <v>71</v>
      </c>
      <c r="CK68" s="4" t="s">
        <v>71</v>
      </c>
      <c r="CL68" s="4" t="s">
        <v>71</v>
      </c>
      <c r="CM68" s="4" t="s">
        <v>71</v>
      </c>
      <c r="CN68" s="4" t="s">
        <v>71</v>
      </c>
      <c r="CO68" s="4" t="s">
        <v>71</v>
      </c>
    </row>
    <row r="69" spans="1:94" x14ac:dyDescent="0.25">
      <c r="A69" s="3">
        <v>45005.80737436343</v>
      </c>
      <c r="B69" s="4" t="s">
        <v>768</v>
      </c>
      <c r="C69" s="4" t="s">
        <v>769</v>
      </c>
      <c r="D69" s="6" t="s">
        <v>770</v>
      </c>
      <c r="E69" s="4" t="s">
        <v>149</v>
      </c>
      <c r="F69" s="4" t="s">
        <v>205</v>
      </c>
      <c r="G69" s="4" t="s">
        <v>64</v>
      </c>
      <c r="H69" s="4" t="s">
        <v>771</v>
      </c>
      <c r="I69" s="4" t="s">
        <v>772</v>
      </c>
      <c r="J69" s="4" t="s">
        <v>773</v>
      </c>
      <c r="K69" s="4" t="s">
        <v>768</v>
      </c>
      <c r="L69" s="4" t="s">
        <v>656</v>
      </c>
      <c r="M69" s="4" t="s">
        <v>458</v>
      </c>
      <c r="N69" s="4">
        <v>33</v>
      </c>
      <c r="O69" s="4" t="s">
        <v>69</v>
      </c>
      <c r="P69" s="4">
        <v>3</v>
      </c>
      <c r="Q69" s="4">
        <v>4</v>
      </c>
      <c r="R69" s="4">
        <v>10</v>
      </c>
      <c r="T69" s="4" t="s">
        <v>70</v>
      </c>
      <c r="U69" s="4" t="s">
        <v>70</v>
      </c>
      <c r="V69" s="6" t="s">
        <v>145</v>
      </c>
      <c r="W69" s="4" t="s">
        <v>70</v>
      </c>
      <c r="X69" s="4" t="s">
        <v>70</v>
      </c>
      <c r="Y69" s="4" t="s">
        <v>70</v>
      </c>
      <c r="Z69" s="4" t="s">
        <v>70</v>
      </c>
      <c r="AA69" s="4" t="s">
        <v>70</v>
      </c>
      <c r="AB69" s="4" t="s">
        <v>70</v>
      </c>
      <c r="AC69" s="4" t="s">
        <v>70</v>
      </c>
      <c r="AD69" s="4" t="s">
        <v>71</v>
      </c>
      <c r="AE69" s="4" t="s">
        <v>71</v>
      </c>
      <c r="AF69" s="4" t="s">
        <v>70</v>
      </c>
      <c r="AG69" s="4" t="s">
        <v>70</v>
      </c>
      <c r="AH69" s="4" t="s">
        <v>70</v>
      </c>
      <c r="AI69" s="4" t="s">
        <v>71</v>
      </c>
      <c r="AJ69" s="4" t="s">
        <v>71</v>
      </c>
      <c r="AK69" s="4" t="s">
        <v>70</v>
      </c>
      <c r="AL69" s="4" t="s">
        <v>70</v>
      </c>
      <c r="AM69" s="4" t="s">
        <v>70</v>
      </c>
      <c r="AN69" s="4" t="s">
        <v>71</v>
      </c>
      <c r="AO69" s="4" t="s">
        <v>71</v>
      </c>
      <c r="AP69" s="4" t="s">
        <v>70</v>
      </c>
      <c r="AQ69" s="4" t="s">
        <v>70</v>
      </c>
      <c r="AR69" s="4" t="s">
        <v>70</v>
      </c>
      <c r="AS69" s="4" t="s">
        <v>71</v>
      </c>
    </row>
    <row r="70" spans="1:94" x14ac:dyDescent="0.25">
      <c r="A70" s="3">
        <v>45000.763265381946</v>
      </c>
      <c r="B70" s="4" t="s">
        <v>1007</v>
      </c>
      <c r="C70" s="4" t="s">
        <v>1008</v>
      </c>
      <c r="D70" s="5" t="s">
        <v>1009</v>
      </c>
      <c r="E70" s="4" t="s">
        <v>149</v>
      </c>
      <c r="F70" s="4" t="s">
        <v>1010</v>
      </c>
      <c r="G70" s="4" t="s">
        <v>64</v>
      </c>
      <c r="H70" s="4" t="s">
        <v>1011</v>
      </c>
      <c r="I70" s="4" t="s">
        <v>1012</v>
      </c>
      <c r="K70" s="4" t="s">
        <v>1007</v>
      </c>
      <c r="L70" s="4" t="s">
        <v>656</v>
      </c>
      <c r="M70" s="4" t="s">
        <v>609</v>
      </c>
      <c r="N70" s="4">
        <v>35</v>
      </c>
      <c r="O70" s="4" t="s">
        <v>69</v>
      </c>
      <c r="P70" s="4">
        <v>5</v>
      </c>
      <c r="Q70" s="4">
        <v>3</v>
      </c>
      <c r="R70" s="4">
        <v>10</v>
      </c>
      <c r="T70" s="4" t="s">
        <v>70</v>
      </c>
      <c r="U70" s="4" t="s">
        <v>71</v>
      </c>
      <c r="V70" s="6" t="s">
        <v>99</v>
      </c>
      <c r="AU70" s="4" t="s">
        <v>70</v>
      </c>
      <c r="AV70" s="4" t="s">
        <v>70</v>
      </c>
      <c r="AW70" s="4" t="s">
        <v>71</v>
      </c>
      <c r="AX70" s="4" t="s">
        <v>70</v>
      </c>
      <c r="AY70" s="4" t="s">
        <v>70</v>
      </c>
      <c r="AZ70" s="4" t="s">
        <v>70</v>
      </c>
      <c r="BA70" s="4" t="s">
        <v>70</v>
      </c>
      <c r="BB70" s="4" t="s">
        <v>71</v>
      </c>
      <c r="BC70" s="4" t="s">
        <v>71</v>
      </c>
      <c r="BD70" s="4" t="s">
        <v>70</v>
      </c>
      <c r="BE70" s="4" t="s">
        <v>70</v>
      </c>
      <c r="BF70" s="4" t="s">
        <v>70</v>
      </c>
      <c r="BG70" s="4" t="s">
        <v>71</v>
      </c>
      <c r="BH70" s="4" t="s">
        <v>71</v>
      </c>
      <c r="BI70" s="4" t="s">
        <v>70</v>
      </c>
      <c r="BJ70" s="4" t="s">
        <v>70</v>
      </c>
      <c r="BK70" s="4" t="s">
        <v>70</v>
      </c>
      <c r="BL70" s="4" t="s">
        <v>71</v>
      </c>
      <c r="BM70" s="4" t="s">
        <v>71</v>
      </c>
      <c r="BN70" s="4" t="s">
        <v>70</v>
      </c>
      <c r="BO70" s="4" t="s">
        <v>70</v>
      </c>
      <c r="BP70" s="4" t="s">
        <v>71</v>
      </c>
      <c r="BQ70" s="4" t="s">
        <v>71</v>
      </c>
      <c r="BR70" s="4" t="s">
        <v>1013</v>
      </c>
    </row>
    <row r="71" spans="1:94" x14ac:dyDescent="0.25">
      <c r="A71" s="3">
        <v>45005.686679189814</v>
      </c>
      <c r="B71" s="4" t="s">
        <v>626</v>
      </c>
      <c r="C71" s="4" t="s">
        <v>627</v>
      </c>
      <c r="D71" s="6" t="s">
        <v>628</v>
      </c>
      <c r="E71" s="4" t="s">
        <v>149</v>
      </c>
      <c r="F71" s="4" t="s">
        <v>124</v>
      </c>
      <c r="G71" s="4" t="s">
        <v>105</v>
      </c>
      <c r="H71" s="4" t="s">
        <v>629</v>
      </c>
      <c r="I71" s="4" t="s">
        <v>630</v>
      </c>
      <c r="K71" s="4" t="s">
        <v>626</v>
      </c>
      <c r="L71" s="4" t="s">
        <v>67</v>
      </c>
      <c r="M71" s="4" t="s">
        <v>169</v>
      </c>
      <c r="N71" s="4">
        <v>20</v>
      </c>
      <c r="O71" s="4" t="s">
        <v>69</v>
      </c>
      <c r="P71" s="4">
        <v>5</v>
      </c>
      <c r="Q71" s="4">
        <v>4</v>
      </c>
      <c r="R71" s="4">
        <v>10</v>
      </c>
      <c r="T71" s="4" t="s">
        <v>70</v>
      </c>
      <c r="U71" s="4" t="s">
        <v>71</v>
      </c>
      <c r="V71" s="6" t="s">
        <v>73</v>
      </c>
      <c r="BS71" s="4" t="s">
        <v>71</v>
      </c>
      <c r="BT71" s="4" t="s">
        <v>70</v>
      </c>
      <c r="BU71" s="4" t="s">
        <v>71</v>
      </c>
      <c r="BV71" s="4" t="s">
        <v>70</v>
      </c>
      <c r="BW71" s="4" t="s">
        <v>71</v>
      </c>
      <c r="BX71" s="4" t="s">
        <v>71</v>
      </c>
      <c r="BY71" s="4" t="s">
        <v>71</v>
      </c>
      <c r="BZ71" s="4" t="s">
        <v>71</v>
      </c>
      <c r="CA71" s="4" t="s">
        <v>71</v>
      </c>
      <c r="CB71" s="4" t="s">
        <v>71</v>
      </c>
      <c r="CC71" s="4" t="s">
        <v>70</v>
      </c>
      <c r="CL71" s="4" t="s">
        <v>71</v>
      </c>
      <c r="CM71" s="4" t="s">
        <v>70</v>
      </c>
      <c r="CN71" s="4" t="s">
        <v>71</v>
      </c>
      <c r="CO71" s="4" t="s">
        <v>71</v>
      </c>
    </row>
    <row r="72" spans="1:94" x14ac:dyDescent="0.25">
      <c r="A72" s="3">
        <v>45006.433339212963</v>
      </c>
      <c r="B72" s="4" t="s">
        <v>343</v>
      </c>
      <c r="C72" s="4" t="s">
        <v>344</v>
      </c>
      <c r="D72" s="6" t="s">
        <v>345</v>
      </c>
      <c r="E72" s="4" t="s">
        <v>62</v>
      </c>
      <c r="F72" s="4" t="s">
        <v>351</v>
      </c>
      <c r="G72" s="4" t="s">
        <v>64</v>
      </c>
      <c r="H72" s="4" t="s">
        <v>347</v>
      </c>
      <c r="I72" s="4" t="s">
        <v>352</v>
      </c>
      <c r="J72" s="4" t="s">
        <v>349</v>
      </c>
      <c r="K72" s="4" t="s">
        <v>343</v>
      </c>
      <c r="L72" s="4" t="s">
        <v>67</v>
      </c>
      <c r="M72" s="4" t="s">
        <v>236</v>
      </c>
      <c r="N72" s="4">
        <v>30</v>
      </c>
      <c r="O72" s="4" t="s">
        <v>69</v>
      </c>
      <c r="P72" s="4">
        <v>5</v>
      </c>
      <c r="Q72" s="4">
        <v>4</v>
      </c>
      <c r="R72" s="4">
        <v>50</v>
      </c>
      <c r="T72" s="4" t="s">
        <v>70</v>
      </c>
      <c r="U72" s="4" t="s">
        <v>71</v>
      </c>
      <c r="V72" s="6" t="s">
        <v>73</v>
      </c>
      <c r="BS72" s="4" t="s">
        <v>70</v>
      </c>
      <c r="BT72" s="4" t="s">
        <v>71</v>
      </c>
      <c r="BU72" s="4" t="s">
        <v>71</v>
      </c>
      <c r="BV72" s="4" t="s">
        <v>71</v>
      </c>
      <c r="BW72" s="4" t="s">
        <v>70</v>
      </c>
      <c r="BX72" s="4" t="s">
        <v>71</v>
      </c>
      <c r="BY72" s="4" t="s">
        <v>71</v>
      </c>
      <c r="BZ72" s="4" t="s">
        <v>71</v>
      </c>
      <c r="CA72" s="4" t="s">
        <v>71</v>
      </c>
      <c r="CB72" s="4" t="s">
        <v>71</v>
      </c>
      <c r="CC72" s="4" t="s">
        <v>71</v>
      </c>
      <c r="CD72" s="4" t="s">
        <v>71</v>
      </c>
      <c r="CE72" s="4" t="s">
        <v>71</v>
      </c>
      <c r="CF72" s="4" t="s">
        <v>71</v>
      </c>
      <c r="CG72" s="4" t="s">
        <v>71</v>
      </c>
      <c r="CH72" s="4" t="s">
        <v>71</v>
      </c>
      <c r="CI72" s="4" t="s">
        <v>71</v>
      </c>
      <c r="CJ72" s="4" t="s">
        <v>71</v>
      </c>
      <c r="CK72" s="4" t="s">
        <v>71</v>
      </c>
      <c r="CL72" s="4" t="s">
        <v>71</v>
      </c>
      <c r="CM72" s="4" t="s">
        <v>70</v>
      </c>
      <c r="CN72" s="4" t="s">
        <v>71</v>
      </c>
      <c r="CO72" s="4" t="s">
        <v>71</v>
      </c>
    </row>
    <row r="73" spans="1:94" x14ac:dyDescent="0.25">
      <c r="A73" s="3">
        <v>45002.566896562501</v>
      </c>
      <c r="B73" s="4" t="s">
        <v>1014</v>
      </c>
      <c r="C73" s="4" t="s">
        <v>1102</v>
      </c>
      <c r="D73" s="5" t="s">
        <v>1103</v>
      </c>
      <c r="E73" s="4" t="s">
        <v>62</v>
      </c>
      <c r="F73" s="4" t="s">
        <v>581</v>
      </c>
      <c r="G73" s="4" t="s">
        <v>105</v>
      </c>
      <c r="H73" s="4" t="s">
        <v>1104</v>
      </c>
      <c r="I73" s="4" t="s">
        <v>1105</v>
      </c>
      <c r="K73" s="4" t="s">
        <v>1014</v>
      </c>
      <c r="L73" s="4" t="s">
        <v>656</v>
      </c>
      <c r="M73" s="4" t="s">
        <v>361</v>
      </c>
      <c r="N73" s="4">
        <v>35</v>
      </c>
      <c r="O73" s="4" t="s">
        <v>69</v>
      </c>
      <c r="P73" s="4">
        <v>3</v>
      </c>
      <c r="Q73" s="4">
        <v>1</v>
      </c>
      <c r="R73" s="4">
        <v>75</v>
      </c>
      <c r="T73" s="4" t="s">
        <v>70</v>
      </c>
      <c r="U73" s="4" t="s">
        <v>71</v>
      </c>
      <c r="V73" s="6" t="s">
        <v>145</v>
      </c>
      <c r="W73" s="4" t="s">
        <v>70</v>
      </c>
      <c r="X73" s="4" t="s">
        <v>71</v>
      </c>
      <c r="Y73" s="4" t="s">
        <v>71</v>
      </c>
      <c r="Z73" s="4" t="s">
        <v>71</v>
      </c>
      <c r="AA73" s="4" t="s">
        <v>71</v>
      </c>
      <c r="AB73" s="4" t="s">
        <v>71</v>
      </c>
      <c r="AC73" s="4" t="s">
        <v>70</v>
      </c>
      <c r="AD73" s="4" t="s">
        <v>70</v>
      </c>
      <c r="AE73" s="4" t="s">
        <v>70</v>
      </c>
      <c r="AF73" s="4" t="s">
        <v>71</v>
      </c>
      <c r="AG73" s="4" t="s">
        <v>70</v>
      </c>
      <c r="AH73" s="4" t="s">
        <v>71</v>
      </c>
      <c r="AI73" s="4" t="s">
        <v>71</v>
      </c>
      <c r="AJ73" s="4" t="s">
        <v>71</v>
      </c>
      <c r="AK73" s="4" t="s">
        <v>71</v>
      </c>
      <c r="AL73" s="4" t="s">
        <v>71</v>
      </c>
      <c r="AM73" s="4" t="s">
        <v>70</v>
      </c>
      <c r="AN73" s="4" t="s">
        <v>71</v>
      </c>
      <c r="AO73" s="4" t="s">
        <v>71</v>
      </c>
      <c r="AP73" s="4" t="s">
        <v>71</v>
      </c>
      <c r="AQ73" s="4" t="s">
        <v>71</v>
      </c>
      <c r="AR73" s="4" t="s">
        <v>70</v>
      </c>
      <c r="AS73" s="4" t="s">
        <v>70</v>
      </c>
    </row>
    <row r="74" spans="1:94" x14ac:dyDescent="0.25">
      <c r="A74" s="3">
        <v>45002.915442592595</v>
      </c>
      <c r="B74" s="4" t="s">
        <v>1095</v>
      </c>
      <c r="C74" s="4" t="s">
        <v>1096</v>
      </c>
      <c r="D74" s="5" t="s">
        <v>1089</v>
      </c>
      <c r="E74" s="4" t="s">
        <v>62</v>
      </c>
      <c r="F74" s="4" t="s">
        <v>1097</v>
      </c>
      <c r="G74" s="4" t="s">
        <v>105</v>
      </c>
      <c r="H74" s="4" t="s">
        <v>1090</v>
      </c>
      <c r="I74" s="4" t="s">
        <v>1098</v>
      </c>
      <c r="J74" s="4" t="s">
        <v>1099</v>
      </c>
      <c r="K74" s="4" t="s">
        <v>1095</v>
      </c>
      <c r="L74" s="4" t="s">
        <v>656</v>
      </c>
      <c r="M74" s="4" t="s">
        <v>458</v>
      </c>
      <c r="N74" s="4">
        <v>35</v>
      </c>
      <c r="O74" s="4" t="s">
        <v>69</v>
      </c>
      <c r="P74" s="4">
        <v>2</v>
      </c>
      <c r="Q74" s="4">
        <v>3</v>
      </c>
      <c r="R74" s="4">
        <v>80</v>
      </c>
      <c r="S74" s="4" t="s">
        <v>1100</v>
      </c>
      <c r="T74" s="4" t="s">
        <v>70</v>
      </c>
      <c r="U74" s="4" t="s">
        <v>70</v>
      </c>
      <c r="V74" s="6" t="s">
        <v>73</v>
      </c>
      <c r="BS74" s="4" t="s">
        <v>71</v>
      </c>
      <c r="BT74" s="4" t="s">
        <v>70</v>
      </c>
      <c r="BU74" s="4" t="s">
        <v>70</v>
      </c>
      <c r="BV74" s="4" t="s">
        <v>71</v>
      </c>
      <c r="BW74" s="4" t="s">
        <v>71</v>
      </c>
      <c r="BX74" s="4" t="s">
        <v>70</v>
      </c>
      <c r="BY74" s="4" t="s">
        <v>70</v>
      </c>
      <c r="BZ74" s="4" t="s">
        <v>70</v>
      </c>
      <c r="CA74" s="4" t="s">
        <v>70</v>
      </c>
      <c r="CB74" s="4" t="s">
        <v>71</v>
      </c>
      <c r="CC74" s="4" t="s">
        <v>71</v>
      </c>
      <c r="CD74" s="4" t="s">
        <v>70</v>
      </c>
      <c r="CE74" s="4" t="s">
        <v>70</v>
      </c>
      <c r="CF74" s="4" t="s">
        <v>70</v>
      </c>
      <c r="CG74" s="4" t="s">
        <v>71</v>
      </c>
      <c r="CH74" s="4" t="s">
        <v>70</v>
      </c>
      <c r="CI74" s="4" t="s">
        <v>70</v>
      </c>
      <c r="CJ74" s="4" t="s">
        <v>70</v>
      </c>
      <c r="CK74" s="4" t="s">
        <v>70</v>
      </c>
      <c r="CL74" s="4" t="s">
        <v>71</v>
      </c>
      <c r="CM74" s="4" t="s">
        <v>70</v>
      </c>
      <c r="CN74" s="4" t="s">
        <v>70</v>
      </c>
      <c r="CO74" s="4" t="s">
        <v>70</v>
      </c>
      <c r="CP74" s="4" t="s">
        <v>1101</v>
      </c>
    </row>
    <row r="75" spans="1:94" x14ac:dyDescent="0.25">
      <c r="A75" s="3">
        <v>45005.723544733795</v>
      </c>
      <c r="B75" s="4" t="s">
        <v>1113</v>
      </c>
      <c r="C75" s="4" t="s">
        <v>1114</v>
      </c>
      <c r="D75" s="6" t="s">
        <v>1115</v>
      </c>
      <c r="E75" s="4" t="s">
        <v>1116</v>
      </c>
      <c r="F75" s="4" t="s">
        <v>581</v>
      </c>
      <c r="G75" s="4" t="s">
        <v>105</v>
      </c>
      <c r="H75" s="4" t="s">
        <v>1117</v>
      </c>
      <c r="I75" s="4" t="s">
        <v>1118</v>
      </c>
      <c r="J75" s="4" t="s">
        <v>1119</v>
      </c>
      <c r="K75" s="4" t="s">
        <v>1113</v>
      </c>
      <c r="L75" s="4" t="s">
        <v>665</v>
      </c>
      <c r="M75" s="4" t="s">
        <v>681</v>
      </c>
      <c r="N75" s="4">
        <v>20</v>
      </c>
      <c r="O75" s="4" t="s">
        <v>69</v>
      </c>
      <c r="P75" s="4">
        <v>3</v>
      </c>
      <c r="Q75" s="4">
        <v>2</v>
      </c>
      <c r="R75" s="4">
        <v>100</v>
      </c>
      <c r="T75" s="4" t="s">
        <v>70</v>
      </c>
      <c r="U75" s="4" t="s">
        <v>70</v>
      </c>
      <c r="V75" s="6" t="s">
        <v>99</v>
      </c>
      <c r="AU75" s="4" t="s">
        <v>71</v>
      </c>
      <c r="AV75" s="4" t="s">
        <v>71</v>
      </c>
      <c r="AW75" s="4" t="s">
        <v>70</v>
      </c>
      <c r="AX75" s="4" t="s">
        <v>71</v>
      </c>
      <c r="AY75" s="4" t="s">
        <v>70</v>
      </c>
      <c r="AZ75" s="4" t="s">
        <v>71</v>
      </c>
      <c r="BA75" s="4" t="s">
        <v>70</v>
      </c>
      <c r="BB75" s="4" t="s">
        <v>71</v>
      </c>
      <c r="BC75" s="4" t="s">
        <v>71</v>
      </c>
      <c r="BK75" s="4" t="s">
        <v>70</v>
      </c>
    </row>
    <row r="76" spans="1:94" x14ac:dyDescent="0.25">
      <c r="A76" s="3">
        <v>45001.828354224534</v>
      </c>
      <c r="B76" s="4" t="s">
        <v>658</v>
      </c>
      <c r="C76" s="4" t="s">
        <v>659</v>
      </c>
      <c r="D76" s="7" t="s">
        <v>660</v>
      </c>
      <c r="E76" s="4" t="s">
        <v>604</v>
      </c>
      <c r="F76" s="4" t="s">
        <v>661</v>
      </c>
      <c r="G76" s="4" t="s">
        <v>64</v>
      </c>
      <c r="H76" s="4" t="s">
        <v>662</v>
      </c>
      <c r="I76" s="4" t="s">
        <v>663</v>
      </c>
      <c r="K76" s="4" t="s">
        <v>664</v>
      </c>
      <c r="L76" s="4" t="s">
        <v>665</v>
      </c>
      <c r="M76" s="4" t="s">
        <v>364</v>
      </c>
      <c r="N76" s="4">
        <v>30</v>
      </c>
      <c r="O76" s="4" t="s">
        <v>69</v>
      </c>
      <c r="P76" s="4">
        <v>5</v>
      </c>
      <c r="Q76" s="4">
        <v>4</v>
      </c>
      <c r="R76" s="4">
        <v>30</v>
      </c>
      <c r="S76" s="4" t="s">
        <v>667</v>
      </c>
      <c r="T76" s="4" t="s">
        <v>70</v>
      </c>
      <c r="U76" s="4" t="s">
        <v>71</v>
      </c>
      <c r="V76" s="6" t="s">
        <v>73</v>
      </c>
      <c r="BS76" s="4" t="s">
        <v>70</v>
      </c>
      <c r="BT76" s="4" t="s">
        <v>71</v>
      </c>
      <c r="BU76" s="4" t="s">
        <v>71</v>
      </c>
      <c r="BV76" s="4" t="s">
        <v>70</v>
      </c>
      <c r="BW76" s="4" t="s">
        <v>71</v>
      </c>
      <c r="BX76" s="4" t="s">
        <v>70</v>
      </c>
      <c r="BY76" s="4" t="s">
        <v>71</v>
      </c>
      <c r="BZ76" s="4" t="s">
        <v>71</v>
      </c>
      <c r="CA76" s="4" t="s">
        <v>71</v>
      </c>
      <c r="CB76" s="4" t="s">
        <v>70</v>
      </c>
      <c r="CC76" s="4" t="s">
        <v>71</v>
      </c>
      <c r="CD76" s="4" t="s">
        <v>71</v>
      </c>
      <c r="CE76" s="4" t="s">
        <v>71</v>
      </c>
      <c r="CF76" s="4" t="s">
        <v>71</v>
      </c>
      <c r="CG76" s="4" t="s">
        <v>70</v>
      </c>
      <c r="CH76" s="4" t="s">
        <v>70</v>
      </c>
      <c r="CI76" s="4" t="s">
        <v>71</v>
      </c>
      <c r="CJ76" s="4" t="s">
        <v>71</v>
      </c>
      <c r="CK76" s="4" t="s">
        <v>71</v>
      </c>
      <c r="CM76" s="4" t="s">
        <v>70</v>
      </c>
    </row>
    <row r="77" spans="1:94" x14ac:dyDescent="0.25">
      <c r="A77" s="3">
        <v>45001.832031689817</v>
      </c>
      <c r="B77" s="4" t="s">
        <v>658</v>
      </c>
      <c r="C77" s="4" t="s">
        <v>996</v>
      </c>
      <c r="D77" s="7" t="s">
        <v>997</v>
      </c>
      <c r="E77" s="4" t="s">
        <v>604</v>
      </c>
      <c r="F77" s="4" t="s">
        <v>998</v>
      </c>
      <c r="G77" s="4" t="s">
        <v>64</v>
      </c>
      <c r="H77" s="4" t="s">
        <v>662</v>
      </c>
      <c r="I77" s="4" t="s">
        <v>999</v>
      </c>
      <c r="K77" s="4" t="s">
        <v>664</v>
      </c>
      <c r="L77" s="4" t="s">
        <v>665</v>
      </c>
      <c r="M77" s="4" t="s">
        <v>600</v>
      </c>
      <c r="N77" s="4">
        <v>28</v>
      </c>
      <c r="O77" s="4" t="s">
        <v>69</v>
      </c>
      <c r="P77" s="4">
        <v>4</v>
      </c>
      <c r="Q77" s="4">
        <v>5</v>
      </c>
      <c r="R77" s="4">
        <v>40</v>
      </c>
      <c r="S77" s="4" t="s">
        <v>1000</v>
      </c>
      <c r="T77" s="4" t="s">
        <v>70</v>
      </c>
      <c r="U77" s="4" t="s">
        <v>71</v>
      </c>
      <c r="V77" s="6" t="s">
        <v>145</v>
      </c>
      <c r="W77" s="4" t="s">
        <v>71</v>
      </c>
      <c r="X77" s="4" t="s">
        <v>70</v>
      </c>
      <c r="Y77" s="4" t="s">
        <v>71</v>
      </c>
      <c r="Z77" s="4" t="s">
        <v>70</v>
      </c>
      <c r="AA77" s="4" t="s">
        <v>70</v>
      </c>
      <c r="AB77" s="4" t="s">
        <v>71</v>
      </c>
      <c r="AC77" s="4" t="s">
        <v>71</v>
      </c>
      <c r="AD77" s="4" t="s">
        <v>71</v>
      </c>
      <c r="AE77" s="4" t="s">
        <v>71</v>
      </c>
      <c r="AF77" s="4" t="s">
        <v>70</v>
      </c>
      <c r="AK77" s="4" t="s">
        <v>70</v>
      </c>
      <c r="AL77" s="4" t="s">
        <v>70</v>
      </c>
      <c r="AM77" s="4" t="s">
        <v>71</v>
      </c>
      <c r="AN77" s="4" t="s">
        <v>71</v>
      </c>
      <c r="AO77" s="4" t="s">
        <v>71</v>
      </c>
      <c r="AQ77" s="4" t="s">
        <v>71</v>
      </c>
      <c r="AT77" s="4" t="s">
        <v>1000</v>
      </c>
    </row>
    <row r="78" spans="1:94" x14ac:dyDescent="0.25">
      <c r="A78" s="3">
        <v>45005.821687916672</v>
      </c>
      <c r="B78" s="4" t="s">
        <v>229</v>
      </c>
      <c r="C78" s="4" t="s">
        <v>230</v>
      </c>
      <c r="D78" s="6" t="s">
        <v>231</v>
      </c>
      <c r="E78" s="4" t="s">
        <v>140</v>
      </c>
      <c r="F78" s="4" t="s">
        <v>232</v>
      </c>
      <c r="G78" s="4" t="s">
        <v>64</v>
      </c>
      <c r="H78" s="4" t="s">
        <v>233</v>
      </c>
      <c r="I78" s="4" t="s">
        <v>234</v>
      </c>
      <c r="J78" s="4" t="s">
        <v>235</v>
      </c>
      <c r="K78" s="4" t="s">
        <v>229</v>
      </c>
      <c r="L78" s="4" t="s">
        <v>67</v>
      </c>
      <c r="M78" s="4" t="s">
        <v>186</v>
      </c>
      <c r="N78" s="4">
        <v>25</v>
      </c>
      <c r="O78" s="4" t="s">
        <v>69</v>
      </c>
      <c r="P78" s="4">
        <v>4</v>
      </c>
      <c r="Q78" s="4">
        <v>3</v>
      </c>
      <c r="R78" s="4">
        <v>40</v>
      </c>
      <c r="T78" s="4" t="s">
        <v>70</v>
      </c>
      <c r="U78" s="4" t="s">
        <v>70</v>
      </c>
      <c r="V78" s="6" t="s">
        <v>73</v>
      </c>
      <c r="BS78" s="4" t="s">
        <v>70</v>
      </c>
      <c r="BT78" s="4" t="s">
        <v>70</v>
      </c>
      <c r="BU78" s="4" t="s">
        <v>70</v>
      </c>
      <c r="BV78" s="4" t="s">
        <v>71</v>
      </c>
      <c r="BW78" s="4" t="s">
        <v>70</v>
      </c>
      <c r="BX78" s="4" t="s">
        <v>70</v>
      </c>
      <c r="BY78" s="4" t="s">
        <v>70</v>
      </c>
      <c r="BZ78" s="4" t="s">
        <v>70</v>
      </c>
      <c r="CA78" s="4" t="s">
        <v>70</v>
      </c>
      <c r="CB78" s="4" t="s">
        <v>71</v>
      </c>
      <c r="CC78" s="4" t="s">
        <v>70</v>
      </c>
      <c r="CD78" s="4" t="s">
        <v>70</v>
      </c>
      <c r="CE78" s="4" t="s">
        <v>70</v>
      </c>
      <c r="CF78" s="4" t="s">
        <v>70</v>
      </c>
      <c r="CG78" s="4" t="s">
        <v>71</v>
      </c>
      <c r="CH78" s="4" t="s">
        <v>70</v>
      </c>
      <c r="CI78" s="4" t="s">
        <v>70</v>
      </c>
      <c r="CJ78" s="4" t="s">
        <v>70</v>
      </c>
      <c r="CK78" s="4" t="s">
        <v>70</v>
      </c>
      <c r="CL78" s="4" t="s">
        <v>70</v>
      </c>
      <c r="CM78" s="4" t="s">
        <v>70</v>
      </c>
      <c r="CN78" s="4" t="s">
        <v>70</v>
      </c>
      <c r="CO78" s="4" t="s">
        <v>70</v>
      </c>
      <c r="CP78" s="4" t="s">
        <v>238</v>
      </c>
    </row>
    <row r="79" spans="1:94" x14ac:dyDescent="0.25">
      <c r="A79" s="3">
        <v>45002.650011770835</v>
      </c>
      <c r="B79" s="4" t="s">
        <v>852</v>
      </c>
      <c r="C79" s="4" t="s">
        <v>853</v>
      </c>
      <c r="D79" s="5" t="s">
        <v>854</v>
      </c>
      <c r="E79" s="4" t="s">
        <v>140</v>
      </c>
      <c r="F79" s="4" t="s">
        <v>855</v>
      </c>
      <c r="G79" s="4" t="s">
        <v>105</v>
      </c>
      <c r="H79" s="4" t="s">
        <v>856</v>
      </c>
      <c r="I79" s="4" t="s">
        <v>857</v>
      </c>
      <c r="K79" s="4" t="s">
        <v>852</v>
      </c>
      <c r="L79" s="4" t="s">
        <v>656</v>
      </c>
      <c r="M79" s="4" t="s">
        <v>523</v>
      </c>
      <c r="N79" s="4">
        <v>18</v>
      </c>
      <c r="O79" s="4" t="s">
        <v>69</v>
      </c>
      <c r="P79" s="4">
        <v>4</v>
      </c>
      <c r="Q79" s="4">
        <v>2</v>
      </c>
      <c r="R79" s="4">
        <v>40</v>
      </c>
      <c r="T79" s="4" t="s">
        <v>71</v>
      </c>
      <c r="U79" s="4" t="s">
        <v>70</v>
      </c>
      <c r="V79" s="6" t="s">
        <v>99</v>
      </c>
      <c r="AU79" s="4" t="s">
        <v>71</v>
      </c>
      <c r="AV79" s="4" t="s">
        <v>71</v>
      </c>
      <c r="AW79" s="4" t="s">
        <v>70</v>
      </c>
      <c r="AX79" s="4" t="s">
        <v>71</v>
      </c>
      <c r="AY79" s="4" t="s">
        <v>71</v>
      </c>
      <c r="AZ79" s="4" t="s">
        <v>71</v>
      </c>
      <c r="BA79" s="4" t="s">
        <v>70</v>
      </c>
      <c r="BB79" s="4" t="s">
        <v>71</v>
      </c>
      <c r="BC79" s="4" t="s">
        <v>71</v>
      </c>
      <c r="BD79" s="4" t="s">
        <v>71</v>
      </c>
      <c r="BE79" s="4" t="s">
        <v>71</v>
      </c>
      <c r="BF79" s="4" t="s">
        <v>70</v>
      </c>
      <c r="BG79" s="4" t="s">
        <v>71</v>
      </c>
      <c r="BH79" s="4" t="s">
        <v>71</v>
      </c>
      <c r="BI79" s="4" t="s">
        <v>71</v>
      </c>
      <c r="BJ79" s="4" t="s">
        <v>71</v>
      </c>
      <c r="BK79" s="4" t="s">
        <v>71</v>
      </c>
      <c r="BL79" s="4" t="s">
        <v>71</v>
      </c>
      <c r="BM79" s="4" t="s">
        <v>70</v>
      </c>
      <c r="BN79" s="4" t="s">
        <v>71</v>
      </c>
      <c r="BO79" s="4" t="s">
        <v>71</v>
      </c>
      <c r="BP79" s="4" t="s">
        <v>71</v>
      </c>
      <c r="BQ79" s="4" t="s">
        <v>70</v>
      </c>
    </row>
    <row r="80" spans="1:94" x14ac:dyDescent="0.25">
      <c r="A80" s="3">
        <v>45005.896399722224</v>
      </c>
      <c r="B80" s="4" t="s">
        <v>899</v>
      </c>
      <c r="C80" s="4" t="s">
        <v>900</v>
      </c>
      <c r="D80" s="5" t="s">
        <v>901</v>
      </c>
      <c r="E80" s="4" t="s">
        <v>140</v>
      </c>
      <c r="F80" s="4" t="s">
        <v>902</v>
      </c>
      <c r="G80" s="4" t="s">
        <v>105</v>
      </c>
      <c r="H80" s="4" t="s">
        <v>836</v>
      </c>
      <c r="I80" s="4" t="s">
        <v>903</v>
      </c>
      <c r="K80" s="4" t="s">
        <v>899</v>
      </c>
      <c r="L80" s="4" t="s">
        <v>656</v>
      </c>
      <c r="M80" s="4" t="s">
        <v>550</v>
      </c>
      <c r="N80" s="4">
        <v>35</v>
      </c>
      <c r="O80" s="4" t="s">
        <v>69</v>
      </c>
      <c r="P80" s="4">
        <v>5</v>
      </c>
      <c r="Q80" s="4">
        <v>4</v>
      </c>
      <c r="R80" s="4">
        <v>80</v>
      </c>
      <c r="T80" s="4" t="s">
        <v>70</v>
      </c>
      <c r="U80" s="4" t="s">
        <v>70</v>
      </c>
      <c r="V80" s="6" t="s">
        <v>73</v>
      </c>
      <c r="BS80" s="4" t="s">
        <v>70</v>
      </c>
      <c r="BT80" s="4" t="s">
        <v>71</v>
      </c>
      <c r="BU80" s="4" t="s">
        <v>70</v>
      </c>
      <c r="BV80" s="4" t="s">
        <v>71</v>
      </c>
      <c r="BW80" s="4" t="s">
        <v>70</v>
      </c>
      <c r="BX80" s="4" t="s">
        <v>71</v>
      </c>
      <c r="BY80" s="4" t="s">
        <v>70</v>
      </c>
      <c r="BZ80" s="4" t="s">
        <v>71</v>
      </c>
      <c r="CA80" s="4" t="s">
        <v>70</v>
      </c>
      <c r="CD80" s="4" t="s">
        <v>70</v>
      </c>
      <c r="CE80" s="4" t="s">
        <v>70</v>
      </c>
      <c r="CH80" s="4" t="s">
        <v>70</v>
      </c>
      <c r="CK80" s="4" t="s">
        <v>70</v>
      </c>
      <c r="CN80" s="4" t="s">
        <v>70</v>
      </c>
      <c r="CP80" s="4" t="s">
        <v>904</v>
      </c>
    </row>
    <row r="81" spans="1:94" x14ac:dyDescent="0.25">
      <c r="A81" s="3">
        <v>45006.473578217592</v>
      </c>
      <c r="B81" s="4" t="s">
        <v>899</v>
      </c>
      <c r="C81" s="4" t="s">
        <v>905</v>
      </c>
      <c r="D81" s="5" t="s">
        <v>901</v>
      </c>
      <c r="E81" s="4" t="s">
        <v>140</v>
      </c>
      <c r="F81" s="4" t="s">
        <v>902</v>
      </c>
      <c r="G81" s="4" t="s">
        <v>105</v>
      </c>
      <c r="H81" s="4" t="s">
        <v>836</v>
      </c>
      <c r="I81" s="4" t="s">
        <v>903</v>
      </c>
      <c r="K81" s="4" t="s">
        <v>899</v>
      </c>
      <c r="L81" s="4" t="s">
        <v>656</v>
      </c>
      <c r="M81" s="4" t="s">
        <v>550</v>
      </c>
      <c r="N81" s="4">
        <v>35</v>
      </c>
      <c r="O81" s="4" t="s">
        <v>69</v>
      </c>
      <c r="P81" s="4">
        <v>5</v>
      </c>
      <c r="Q81" s="4">
        <v>4</v>
      </c>
      <c r="R81" s="4">
        <v>80</v>
      </c>
      <c r="S81" s="4" t="s">
        <v>835</v>
      </c>
      <c r="T81" s="4" t="s">
        <v>70</v>
      </c>
      <c r="U81" s="4" t="s">
        <v>70</v>
      </c>
      <c r="V81" s="6" t="s">
        <v>73</v>
      </c>
      <c r="BS81" s="4" t="s">
        <v>70</v>
      </c>
      <c r="BT81" s="4" t="s">
        <v>71</v>
      </c>
      <c r="BU81" s="4" t="s">
        <v>70</v>
      </c>
      <c r="BV81" s="4" t="s">
        <v>70</v>
      </c>
      <c r="BW81" s="4" t="s">
        <v>71</v>
      </c>
      <c r="BX81" s="4" t="s">
        <v>70</v>
      </c>
      <c r="BY81" s="4" t="s">
        <v>71</v>
      </c>
      <c r="BZ81" s="4" t="s">
        <v>70</v>
      </c>
      <c r="CA81" s="4" t="s">
        <v>71</v>
      </c>
      <c r="CC81" s="4" t="s">
        <v>70</v>
      </c>
      <c r="CE81" s="4" t="s">
        <v>70</v>
      </c>
      <c r="CI81" s="4" t="s">
        <v>70</v>
      </c>
      <c r="CK81" s="4" t="s">
        <v>70</v>
      </c>
      <c r="CL81" s="4" t="s">
        <v>70</v>
      </c>
      <c r="CO81" s="4" t="s">
        <v>70</v>
      </c>
    </row>
    <row r="82" spans="1:94" x14ac:dyDescent="0.25">
      <c r="A82" s="3">
        <v>45002.35234153935</v>
      </c>
      <c r="B82" s="4" t="s">
        <v>404</v>
      </c>
      <c r="C82" s="4" t="s">
        <v>405</v>
      </c>
      <c r="D82" s="7" t="s">
        <v>406</v>
      </c>
      <c r="E82" s="4" t="s">
        <v>263</v>
      </c>
      <c r="F82" s="4" t="s">
        <v>407</v>
      </c>
      <c r="G82" s="4" t="s">
        <v>64</v>
      </c>
      <c r="H82" s="4" t="s">
        <v>408</v>
      </c>
      <c r="I82" s="4" t="s">
        <v>409</v>
      </c>
      <c r="J82" s="4" t="s">
        <v>410</v>
      </c>
      <c r="K82" s="4" t="s">
        <v>404</v>
      </c>
      <c r="L82" s="4" t="s">
        <v>67</v>
      </c>
      <c r="M82" s="4" t="s">
        <v>273</v>
      </c>
      <c r="N82" s="4">
        <v>26</v>
      </c>
      <c r="O82" s="4" t="s">
        <v>69</v>
      </c>
      <c r="P82" s="4">
        <v>4</v>
      </c>
      <c r="Q82" s="4">
        <v>5</v>
      </c>
      <c r="R82" s="4">
        <v>1</v>
      </c>
      <c r="T82" s="4" t="s">
        <v>70</v>
      </c>
      <c r="U82" s="4" t="s">
        <v>71</v>
      </c>
      <c r="V82" s="6" t="s">
        <v>145</v>
      </c>
      <c r="W82" s="4" t="s">
        <v>70</v>
      </c>
      <c r="X82" s="4" t="s">
        <v>71</v>
      </c>
      <c r="Y82" s="4" t="s">
        <v>71</v>
      </c>
      <c r="Z82" s="4" t="s">
        <v>71</v>
      </c>
      <c r="AA82" s="4" t="s">
        <v>70</v>
      </c>
      <c r="AB82" s="4" t="s">
        <v>71</v>
      </c>
      <c r="AC82" s="4" t="s">
        <v>71</v>
      </c>
      <c r="AD82" s="4" t="s">
        <v>71</v>
      </c>
      <c r="AE82" s="4" t="s">
        <v>71</v>
      </c>
      <c r="AF82" s="4" t="s">
        <v>71</v>
      </c>
      <c r="AG82" s="4" t="s">
        <v>71</v>
      </c>
      <c r="AH82" s="4" t="s">
        <v>70</v>
      </c>
      <c r="AI82" s="4" t="s">
        <v>71</v>
      </c>
      <c r="AJ82" s="4" t="s">
        <v>71</v>
      </c>
      <c r="AK82" s="4" t="s">
        <v>71</v>
      </c>
      <c r="AL82" s="4" t="s">
        <v>71</v>
      </c>
      <c r="AM82" s="4" t="s">
        <v>70</v>
      </c>
      <c r="AN82" s="4" t="s">
        <v>71</v>
      </c>
      <c r="AO82" s="4" t="s">
        <v>71</v>
      </c>
    </row>
    <row r="83" spans="1:94" x14ac:dyDescent="0.25">
      <c r="A83" s="3">
        <v>45001.496991921296</v>
      </c>
      <c r="B83" s="4" t="s">
        <v>260</v>
      </c>
      <c r="C83" s="4" t="s">
        <v>261</v>
      </c>
      <c r="D83" s="5" t="s">
        <v>262</v>
      </c>
      <c r="E83" s="4" t="s">
        <v>263</v>
      </c>
      <c r="F83" s="4" t="s">
        <v>264</v>
      </c>
      <c r="G83" s="4" t="s">
        <v>64</v>
      </c>
      <c r="H83" s="4" t="s">
        <v>265</v>
      </c>
      <c r="I83" s="4" t="s">
        <v>266</v>
      </c>
      <c r="K83" s="4" t="s">
        <v>260</v>
      </c>
      <c r="L83" s="4" t="s">
        <v>67</v>
      </c>
      <c r="M83" s="4" t="s">
        <v>191</v>
      </c>
      <c r="N83" s="4">
        <v>35</v>
      </c>
      <c r="O83" s="4" t="s">
        <v>69</v>
      </c>
      <c r="P83" s="4">
        <v>3</v>
      </c>
      <c r="Q83" s="4">
        <v>2</v>
      </c>
      <c r="R83" s="4">
        <v>20</v>
      </c>
      <c r="T83" s="4" t="s">
        <v>70</v>
      </c>
      <c r="U83" s="4" t="s">
        <v>71</v>
      </c>
      <c r="V83" s="6" t="s">
        <v>145</v>
      </c>
      <c r="W83" s="4" t="s">
        <v>70</v>
      </c>
      <c r="X83" s="4" t="s">
        <v>70</v>
      </c>
      <c r="Y83" s="4" t="s">
        <v>71</v>
      </c>
      <c r="Z83" s="4" t="s">
        <v>70</v>
      </c>
      <c r="AA83" s="4" t="s">
        <v>70</v>
      </c>
      <c r="AB83" s="4" t="s">
        <v>70</v>
      </c>
      <c r="AC83" s="4" t="s">
        <v>71</v>
      </c>
      <c r="AD83" s="4" t="s">
        <v>71</v>
      </c>
      <c r="AE83" s="4" t="s">
        <v>71</v>
      </c>
      <c r="AF83" s="4" t="s">
        <v>70</v>
      </c>
      <c r="AG83" s="4" t="s">
        <v>70</v>
      </c>
      <c r="AH83" s="4" t="s">
        <v>70</v>
      </c>
      <c r="AI83" s="4" t="s">
        <v>71</v>
      </c>
      <c r="AJ83" s="4" t="s">
        <v>71</v>
      </c>
      <c r="AK83" s="4" t="s">
        <v>70</v>
      </c>
      <c r="AL83" s="4" t="s">
        <v>70</v>
      </c>
      <c r="AM83" s="4" t="s">
        <v>70</v>
      </c>
      <c r="AN83" s="4" t="s">
        <v>71</v>
      </c>
      <c r="AO83" s="4" t="s">
        <v>71</v>
      </c>
      <c r="AP83" s="4" t="s">
        <v>70</v>
      </c>
      <c r="AQ83" s="4" t="s">
        <v>70</v>
      </c>
      <c r="AR83" s="4" t="s">
        <v>71</v>
      </c>
      <c r="AS83" s="4" t="s">
        <v>71</v>
      </c>
    </row>
    <row r="84" spans="1:94" x14ac:dyDescent="0.25">
      <c r="A84" s="3">
        <v>45005.666444849536</v>
      </c>
      <c r="B84" s="4" t="s">
        <v>701</v>
      </c>
      <c r="C84" s="4" t="s">
        <v>838</v>
      </c>
      <c r="D84" s="6" t="s">
        <v>839</v>
      </c>
      <c r="E84" s="4" t="s">
        <v>263</v>
      </c>
      <c r="F84" s="4" t="s">
        <v>840</v>
      </c>
      <c r="G84" s="4" t="s">
        <v>64</v>
      </c>
      <c r="H84" s="4" t="s">
        <v>704</v>
      </c>
      <c r="I84" s="4" t="s">
        <v>841</v>
      </c>
      <c r="K84" s="4" t="s">
        <v>701</v>
      </c>
      <c r="L84" s="4" t="s">
        <v>656</v>
      </c>
      <c r="M84" s="4" t="s">
        <v>411</v>
      </c>
      <c r="N84" s="4">
        <v>35</v>
      </c>
      <c r="O84" s="4" t="s">
        <v>69</v>
      </c>
      <c r="P84" s="4">
        <v>3</v>
      </c>
      <c r="Q84" s="4">
        <v>2</v>
      </c>
      <c r="R84" s="4">
        <v>25</v>
      </c>
      <c r="T84" s="4" t="s">
        <v>70</v>
      </c>
      <c r="U84" s="4" t="s">
        <v>71</v>
      </c>
      <c r="V84" s="6" t="s">
        <v>73</v>
      </c>
      <c r="BS84" s="4" t="s">
        <v>70</v>
      </c>
      <c r="BT84" s="4" t="s">
        <v>70</v>
      </c>
      <c r="BU84" s="4" t="s">
        <v>71</v>
      </c>
      <c r="BV84" s="4" t="s">
        <v>70</v>
      </c>
      <c r="BW84" s="4" t="s">
        <v>70</v>
      </c>
      <c r="BX84" s="4" t="s">
        <v>70</v>
      </c>
      <c r="BY84" s="4" t="s">
        <v>71</v>
      </c>
      <c r="BZ84" s="4" t="s">
        <v>71</v>
      </c>
      <c r="CA84" s="4" t="s">
        <v>71</v>
      </c>
      <c r="CB84" s="4" t="s">
        <v>70</v>
      </c>
      <c r="CC84" s="4" t="s">
        <v>70</v>
      </c>
      <c r="CD84" s="4" t="s">
        <v>70</v>
      </c>
      <c r="CE84" s="4" t="s">
        <v>71</v>
      </c>
      <c r="CF84" s="4" t="s">
        <v>71</v>
      </c>
      <c r="CG84" s="4" t="s">
        <v>70</v>
      </c>
      <c r="CH84" s="4" t="s">
        <v>70</v>
      </c>
      <c r="CI84" s="4" t="s">
        <v>70</v>
      </c>
      <c r="CJ84" s="4" t="s">
        <v>71</v>
      </c>
      <c r="CK84" s="4" t="s">
        <v>71</v>
      </c>
      <c r="CL84" s="4" t="s">
        <v>70</v>
      </c>
      <c r="CM84" s="4" t="s">
        <v>70</v>
      </c>
      <c r="CN84" s="4" t="s">
        <v>71</v>
      </c>
      <c r="CO84" s="4" t="s">
        <v>71</v>
      </c>
    </row>
    <row r="85" spans="1:94" x14ac:dyDescent="0.25">
      <c r="A85" s="3">
        <v>45005.70891346065</v>
      </c>
      <c r="B85" s="4" t="s">
        <v>1120</v>
      </c>
      <c r="C85" s="4" t="s">
        <v>1121</v>
      </c>
      <c r="D85" s="6" t="s">
        <v>1122</v>
      </c>
      <c r="E85" s="4" t="s">
        <v>263</v>
      </c>
      <c r="F85" s="4" t="s">
        <v>1123</v>
      </c>
      <c r="G85" s="4" t="s">
        <v>105</v>
      </c>
      <c r="H85" s="4" t="s">
        <v>1124</v>
      </c>
      <c r="I85" s="4" t="s">
        <v>1125</v>
      </c>
      <c r="J85" s="4" t="s">
        <v>1126</v>
      </c>
      <c r="K85" s="4" t="s">
        <v>1120</v>
      </c>
      <c r="L85" s="4" t="s">
        <v>656</v>
      </c>
      <c r="M85" s="4" t="s">
        <v>689</v>
      </c>
      <c r="N85" s="4">
        <v>35</v>
      </c>
      <c r="O85" s="4" t="s">
        <v>69</v>
      </c>
      <c r="P85" s="4">
        <v>3</v>
      </c>
      <c r="Q85" s="4">
        <v>1</v>
      </c>
      <c r="R85" s="4">
        <v>90</v>
      </c>
      <c r="T85" s="4" t="s">
        <v>70</v>
      </c>
      <c r="U85" s="4" t="s">
        <v>70</v>
      </c>
      <c r="V85" s="6" t="s">
        <v>99</v>
      </c>
      <c r="AU85" s="4" t="s">
        <v>70</v>
      </c>
      <c r="AV85" s="4" t="s">
        <v>70</v>
      </c>
      <c r="AW85" s="4" t="s">
        <v>71</v>
      </c>
      <c r="AX85" s="4" t="s">
        <v>71</v>
      </c>
      <c r="AY85" s="4" t="s">
        <v>70</v>
      </c>
      <c r="AZ85" s="4" t="s">
        <v>71</v>
      </c>
      <c r="BA85" s="4" t="s">
        <v>71</v>
      </c>
      <c r="BB85" s="4" t="s">
        <v>71</v>
      </c>
      <c r="BC85" s="4" t="s">
        <v>71</v>
      </c>
      <c r="BD85" s="4" t="s">
        <v>71</v>
      </c>
      <c r="BE85" s="4" t="s">
        <v>71</v>
      </c>
      <c r="BF85" s="4" t="s">
        <v>71</v>
      </c>
      <c r="BG85" s="4" t="s">
        <v>70</v>
      </c>
      <c r="BH85" s="4" t="s">
        <v>71</v>
      </c>
      <c r="BI85" s="4" t="s">
        <v>71</v>
      </c>
      <c r="BJ85" s="4" t="s">
        <v>71</v>
      </c>
      <c r="BK85" s="4" t="s">
        <v>71</v>
      </c>
      <c r="BL85" s="4" t="s">
        <v>71</v>
      </c>
      <c r="BM85" s="4" t="s">
        <v>70</v>
      </c>
      <c r="BN85" s="4" t="s">
        <v>71</v>
      </c>
      <c r="BO85" s="4" t="s">
        <v>71</v>
      </c>
      <c r="BP85" s="4" t="s">
        <v>71</v>
      </c>
      <c r="BQ85" s="4" t="s">
        <v>71</v>
      </c>
    </row>
    <row r="86" spans="1:94" x14ac:dyDescent="0.25">
      <c r="A86" s="3">
        <v>45001.569512662041</v>
      </c>
      <c r="B86" s="4" t="s">
        <v>1062</v>
      </c>
      <c r="C86" s="4" t="s">
        <v>1063</v>
      </c>
      <c r="D86" s="5" t="s">
        <v>1064</v>
      </c>
      <c r="E86" s="4" t="s">
        <v>427</v>
      </c>
      <c r="F86" s="4" t="s">
        <v>428</v>
      </c>
      <c r="G86" s="4" t="s">
        <v>105</v>
      </c>
      <c r="H86" s="4" t="s">
        <v>1065</v>
      </c>
      <c r="I86" s="4" t="s">
        <v>1066</v>
      </c>
      <c r="J86" s="4" t="s">
        <v>1067</v>
      </c>
      <c r="K86" s="4" t="s">
        <v>1062</v>
      </c>
      <c r="L86" s="4" t="s">
        <v>656</v>
      </c>
      <c r="M86" s="4" t="s">
        <v>657</v>
      </c>
      <c r="N86" s="4">
        <v>35</v>
      </c>
      <c r="O86" s="4" t="s">
        <v>69</v>
      </c>
      <c r="P86" s="4">
        <v>2</v>
      </c>
      <c r="Q86" s="4">
        <v>1</v>
      </c>
      <c r="R86" s="4">
        <v>90</v>
      </c>
      <c r="S86" s="4" t="s">
        <v>1068</v>
      </c>
      <c r="T86" s="4" t="s">
        <v>70</v>
      </c>
      <c r="U86" s="4" t="s">
        <v>70</v>
      </c>
      <c r="V86" s="6" t="s">
        <v>99</v>
      </c>
      <c r="AU86" s="4" t="s">
        <v>70</v>
      </c>
      <c r="AV86" s="4" t="s">
        <v>70</v>
      </c>
      <c r="AW86" s="4" t="s">
        <v>70</v>
      </c>
      <c r="AX86" s="4" t="s">
        <v>70</v>
      </c>
      <c r="AY86" s="4" t="s">
        <v>70</v>
      </c>
      <c r="AZ86" s="4" t="s">
        <v>71</v>
      </c>
      <c r="BA86" s="4" t="s">
        <v>70</v>
      </c>
      <c r="BB86" s="4" t="s">
        <v>71</v>
      </c>
      <c r="BC86" s="4" t="s">
        <v>70</v>
      </c>
      <c r="BD86" s="4" t="s">
        <v>71</v>
      </c>
      <c r="BE86" s="4" t="s">
        <v>70</v>
      </c>
      <c r="BF86" s="4" t="s">
        <v>70</v>
      </c>
      <c r="BG86" s="4" t="s">
        <v>70</v>
      </c>
      <c r="BH86" s="4" t="s">
        <v>70</v>
      </c>
      <c r="BI86" s="4" t="s">
        <v>70</v>
      </c>
      <c r="BJ86" s="4" t="s">
        <v>70</v>
      </c>
      <c r="BK86" s="4" t="s">
        <v>70</v>
      </c>
      <c r="BL86" s="4" t="s">
        <v>70</v>
      </c>
      <c r="BM86" s="4" t="s">
        <v>70</v>
      </c>
      <c r="BN86" s="4" t="s">
        <v>70</v>
      </c>
      <c r="BO86" s="4" t="s">
        <v>71</v>
      </c>
      <c r="BP86" s="4" t="s">
        <v>71</v>
      </c>
      <c r="BQ86" s="4" t="s">
        <v>70</v>
      </c>
      <c r="BR86" s="4" t="s">
        <v>1069</v>
      </c>
    </row>
    <row r="87" spans="1:94" x14ac:dyDescent="0.25">
      <c r="A87" s="3">
        <v>45002.783732395837</v>
      </c>
      <c r="B87" s="4" t="s">
        <v>920</v>
      </c>
      <c r="C87" s="4" t="s">
        <v>977</v>
      </c>
      <c r="D87" s="5" t="s">
        <v>978</v>
      </c>
      <c r="E87" s="4" t="s">
        <v>427</v>
      </c>
      <c r="F87" s="4" t="s">
        <v>979</v>
      </c>
      <c r="G87" s="4" t="s">
        <v>64</v>
      </c>
      <c r="H87" s="4" t="s">
        <v>980</v>
      </c>
      <c r="I87" s="4" t="s">
        <v>981</v>
      </c>
      <c r="J87" s="4" t="s">
        <v>982</v>
      </c>
      <c r="K87" s="4" t="s">
        <v>983</v>
      </c>
      <c r="L87" s="4" t="s">
        <v>665</v>
      </c>
      <c r="M87" s="4" t="s">
        <v>583</v>
      </c>
      <c r="N87" s="4">
        <v>37</v>
      </c>
      <c r="O87" s="4" t="s">
        <v>69</v>
      </c>
      <c r="P87" s="4">
        <v>3</v>
      </c>
      <c r="Q87" s="4">
        <v>2</v>
      </c>
      <c r="R87" s="4">
        <v>95</v>
      </c>
      <c r="S87" s="4" t="s">
        <v>984</v>
      </c>
      <c r="T87" s="4" t="s">
        <v>71</v>
      </c>
      <c r="U87" s="4" t="s">
        <v>70</v>
      </c>
      <c r="V87" s="6" t="s">
        <v>73</v>
      </c>
      <c r="BS87" s="4" t="s">
        <v>71</v>
      </c>
      <c r="BT87" s="4" t="s">
        <v>70</v>
      </c>
      <c r="BU87" s="4" t="s">
        <v>70</v>
      </c>
      <c r="BV87" s="4" t="s">
        <v>71</v>
      </c>
      <c r="BW87" s="4" t="s">
        <v>71</v>
      </c>
      <c r="BX87" s="4" t="s">
        <v>71</v>
      </c>
      <c r="BY87" s="4" t="s">
        <v>70</v>
      </c>
      <c r="BZ87" s="4" t="s">
        <v>70</v>
      </c>
      <c r="CA87" s="4" t="s">
        <v>70</v>
      </c>
      <c r="CE87" s="4" t="s">
        <v>70</v>
      </c>
      <c r="CF87" s="4" t="s">
        <v>70</v>
      </c>
      <c r="CJ87" s="4" t="s">
        <v>70</v>
      </c>
      <c r="CK87" s="4" t="s">
        <v>70</v>
      </c>
      <c r="CN87" s="4" t="s">
        <v>70</v>
      </c>
      <c r="CO87" s="4" t="s">
        <v>70</v>
      </c>
      <c r="CP87" s="4" t="s">
        <v>985</v>
      </c>
    </row>
    <row r="88" spans="1:94" x14ac:dyDescent="0.25">
      <c r="A88" s="3">
        <v>45005.547353912036</v>
      </c>
      <c r="B88" s="4" t="s">
        <v>88</v>
      </c>
      <c r="C88" s="4" t="s">
        <v>89</v>
      </c>
      <c r="D88" s="5" t="s">
        <v>90</v>
      </c>
      <c r="E88" s="4" t="s">
        <v>91</v>
      </c>
      <c r="F88" s="4" t="s">
        <v>92</v>
      </c>
      <c r="G88" s="4" t="s">
        <v>64</v>
      </c>
      <c r="H88" s="4" t="s">
        <v>93</v>
      </c>
      <c r="I88" s="4" t="s">
        <v>94</v>
      </c>
      <c r="J88" s="4" t="s">
        <v>95</v>
      </c>
      <c r="K88" s="4" t="s">
        <v>88</v>
      </c>
      <c r="L88" s="4" t="s">
        <v>67</v>
      </c>
      <c r="M88" s="4" t="s">
        <v>85</v>
      </c>
      <c r="N88" s="4">
        <v>31</v>
      </c>
      <c r="O88" s="4" t="s">
        <v>69</v>
      </c>
      <c r="P88" s="4">
        <v>5</v>
      </c>
      <c r="Q88" s="4">
        <v>4</v>
      </c>
      <c r="R88" s="4">
        <v>0</v>
      </c>
      <c r="T88" s="4" t="s">
        <v>70</v>
      </c>
      <c r="U88" s="4" t="s">
        <v>71</v>
      </c>
      <c r="V88" s="6" t="s">
        <v>99</v>
      </c>
      <c r="AU88" s="4" t="s">
        <v>71</v>
      </c>
      <c r="AV88" s="4" t="s">
        <v>70</v>
      </c>
      <c r="AW88" s="4" t="s">
        <v>71</v>
      </c>
      <c r="AX88" s="4" t="s">
        <v>71</v>
      </c>
      <c r="AY88" s="4" t="s">
        <v>70</v>
      </c>
      <c r="AZ88" s="4" t="s">
        <v>71</v>
      </c>
      <c r="BA88" s="4" t="s">
        <v>71</v>
      </c>
      <c r="BB88" s="4" t="s">
        <v>71</v>
      </c>
      <c r="BC88" s="4" t="s">
        <v>71</v>
      </c>
      <c r="BD88" s="4" t="s">
        <v>70</v>
      </c>
      <c r="BE88" s="4" t="s">
        <v>71</v>
      </c>
      <c r="BF88" s="4" t="s">
        <v>71</v>
      </c>
      <c r="BG88" s="4" t="s">
        <v>71</v>
      </c>
      <c r="BH88" s="4" t="s">
        <v>71</v>
      </c>
      <c r="BI88" s="4" t="s">
        <v>71</v>
      </c>
      <c r="BJ88" s="4" t="s">
        <v>71</v>
      </c>
      <c r="BK88" s="4" t="s">
        <v>71</v>
      </c>
      <c r="BL88" s="4" t="s">
        <v>71</v>
      </c>
      <c r="BM88" s="4" t="s">
        <v>71</v>
      </c>
      <c r="BN88" s="4" t="s">
        <v>71</v>
      </c>
      <c r="BO88" s="4" t="s">
        <v>71</v>
      </c>
      <c r="BP88" s="4" t="s">
        <v>71</v>
      </c>
      <c r="BQ88" s="4" t="s">
        <v>71</v>
      </c>
    </row>
    <row r="89" spans="1:94" x14ac:dyDescent="0.25">
      <c r="A89" s="3">
        <v>45001.94058819444</v>
      </c>
      <c r="B89" s="4" t="s">
        <v>591</v>
      </c>
      <c r="C89" s="4" t="s">
        <v>585</v>
      </c>
      <c r="D89" s="7" t="s">
        <v>586</v>
      </c>
      <c r="E89" s="4" t="s">
        <v>149</v>
      </c>
      <c r="F89" s="4" t="s">
        <v>594</v>
      </c>
      <c r="G89" s="4" t="s">
        <v>64</v>
      </c>
      <c r="H89" s="4" t="s">
        <v>595</v>
      </c>
      <c r="I89" s="4" t="s">
        <v>589</v>
      </c>
      <c r="J89" s="4" t="s">
        <v>590</v>
      </c>
      <c r="K89" s="4" t="s">
        <v>591</v>
      </c>
      <c r="L89" s="4" t="s">
        <v>67</v>
      </c>
      <c r="M89" s="4" t="s">
        <v>228</v>
      </c>
      <c r="N89" s="4">
        <v>30</v>
      </c>
      <c r="O89" s="4" t="s">
        <v>69</v>
      </c>
      <c r="P89" s="4">
        <v>5</v>
      </c>
      <c r="Q89" s="4">
        <v>5</v>
      </c>
      <c r="R89" s="4">
        <v>10</v>
      </c>
      <c r="T89" s="4" t="s">
        <v>70</v>
      </c>
      <c r="U89" s="4" t="s">
        <v>70</v>
      </c>
      <c r="V89" s="6" t="s">
        <v>73</v>
      </c>
      <c r="BS89" s="4" t="s">
        <v>71</v>
      </c>
      <c r="BT89" s="4" t="s">
        <v>71</v>
      </c>
      <c r="BU89" s="4" t="s">
        <v>71</v>
      </c>
      <c r="BV89" s="4" t="s">
        <v>71</v>
      </c>
      <c r="BW89" s="4" t="s">
        <v>71</v>
      </c>
      <c r="BX89" s="4" t="s">
        <v>70</v>
      </c>
      <c r="BY89" s="4" t="s">
        <v>70</v>
      </c>
      <c r="BZ89" s="4" t="s">
        <v>70</v>
      </c>
      <c r="CA89" s="4" t="s">
        <v>70</v>
      </c>
      <c r="CB89" s="4" t="s">
        <v>71</v>
      </c>
      <c r="CC89" s="4" t="s">
        <v>71</v>
      </c>
      <c r="CD89" s="4" t="s">
        <v>71</v>
      </c>
      <c r="CE89" s="4" t="s">
        <v>71</v>
      </c>
      <c r="CF89" s="4" t="s">
        <v>71</v>
      </c>
      <c r="CG89" s="4" t="s">
        <v>70</v>
      </c>
      <c r="CH89" s="4" t="s">
        <v>70</v>
      </c>
      <c r="CI89" s="4" t="s">
        <v>70</v>
      </c>
      <c r="CJ89" s="4" t="s">
        <v>70</v>
      </c>
      <c r="CK89" s="4" t="s">
        <v>70</v>
      </c>
      <c r="CL89" s="4" t="s">
        <v>70</v>
      </c>
      <c r="CM89" s="4" t="s">
        <v>70</v>
      </c>
      <c r="CN89" s="4" t="s">
        <v>70</v>
      </c>
      <c r="CO89" s="4" t="s">
        <v>70</v>
      </c>
      <c r="CP89" s="4" t="s">
        <v>597</v>
      </c>
    </row>
    <row r="90" spans="1:94" x14ac:dyDescent="0.25">
      <c r="A90" s="3">
        <v>45005.507034837967</v>
      </c>
      <c r="B90" s="4" t="s">
        <v>728</v>
      </c>
      <c r="C90" s="4" t="s">
        <v>743</v>
      </c>
      <c r="D90" s="7" t="s">
        <v>744</v>
      </c>
      <c r="E90" s="4" t="s">
        <v>149</v>
      </c>
      <c r="F90" s="4" t="s">
        <v>671</v>
      </c>
      <c r="G90" s="4" t="s">
        <v>64</v>
      </c>
      <c r="H90" s="4" t="s">
        <v>732</v>
      </c>
      <c r="I90" s="4" t="s">
        <v>745</v>
      </c>
      <c r="J90" s="4" t="s">
        <v>746</v>
      </c>
      <c r="K90" s="4" t="s">
        <v>728</v>
      </c>
      <c r="L90" s="4" t="s">
        <v>656</v>
      </c>
      <c r="M90" s="4" t="s">
        <v>423</v>
      </c>
      <c r="N90" s="4">
        <v>40</v>
      </c>
      <c r="O90" s="4" t="s">
        <v>69</v>
      </c>
      <c r="P90" s="4">
        <v>5</v>
      </c>
      <c r="Q90" s="4">
        <v>4</v>
      </c>
      <c r="R90" s="4">
        <v>10</v>
      </c>
      <c r="S90" s="4" t="s">
        <v>747</v>
      </c>
      <c r="T90" s="4" t="s">
        <v>70</v>
      </c>
      <c r="U90" s="4" t="s">
        <v>70</v>
      </c>
      <c r="V90" s="6" t="s">
        <v>145</v>
      </c>
      <c r="W90" s="4" t="s">
        <v>70</v>
      </c>
      <c r="X90" s="4" t="s">
        <v>71</v>
      </c>
      <c r="Y90" s="4" t="s">
        <v>70</v>
      </c>
      <c r="Z90" s="4" t="s">
        <v>71</v>
      </c>
      <c r="AA90" s="4" t="s">
        <v>70</v>
      </c>
      <c r="AB90" s="4" t="s">
        <v>71</v>
      </c>
      <c r="AC90" s="4" t="s">
        <v>71</v>
      </c>
      <c r="AD90" s="4" t="s">
        <v>71</v>
      </c>
      <c r="AE90" s="4" t="s">
        <v>71</v>
      </c>
      <c r="AJ90" s="4" t="s">
        <v>70</v>
      </c>
      <c r="AK90" s="4" t="s">
        <v>71</v>
      </c>
      <c r="AL90" s="4" t="s">
        <v>71</v>
      </c>
      <c r="AM90" s="4" t="s">
        <v>71</v>
      </c>
      <c r="AN90" s="4" t="s">
        <v>71</v>
      </c>
      <c r="AO90" s="4" t="s">
        <v>71</v>
      </c>
    </row>
    <row r="91" spans="1:94" x14ac:dyDescent="0.25">
      <c r="A91" s="3">
        <v>45002.995239270836</v>
      </c>
      <c r="B91" s="4" t="s">
        <v>146</v>
      </c>
      <c r="C91" s="4" t="s">
        <v>147</v>
      </c>
      <c r="D91" s="5" t="s">
        <v>148</v>
      </c>
      <c r="E91" s="4" t="s">
        <v>149</v>
      </c>
      <c r="F91" s="4" t="s">
        <v>150</v>
      </c>
      <c r="G91" s="4" t="s">
        <v>64</v>
      </c>
      <c r="H91" s="4" t="s">
        <v>151</v>
      </c>
      <c r="I91" s="4" t="s">
        <v>152</v>
      </c>
      <c r="K91" s="4" t="s">
        <v>146</v>
      </c>
      <c r="L91" s="4" t="s">
        <v>67</v>
      </c>
      <c r="M91" s="4" t="s">
        <v>127</v>
      </c>
      <c r="N91" s="4">
        <v>25</v>
      </c>
      <c r="O91" s="4" t="s">
        <v>69</v>
      </c>
      <c r="P91" s="4">
        <v>4</v>
      </c>
      <c r="Q91" s="4">
        <v>3</v>
      </c>
      <c r="R91" s="4">
        <v>8</v>
      </c>
      <c r="T91" s="4" t="s">
        <v>70</v>
      </c>
      <c r="U91" s="4" t="s">
        <v>71</v>
      </c>
      <c r="V91" s="6" t="s">
        <v>145</v>
      </c>
      <c r="W91" s="4" t="s">
        <v>70</v>
      </c>
      <c r="X91" s="4" t="s">
        <v>71</v>
      </c>
      <c r="Y91" s="4" t="s">
        <v>71</v>
      </c>
      <c r="Z91" s="4" t="s">
        <v>71</v>
      </c>
      <c r="AA91" s="4" t="s">
        <v>71</v>
      </c>
      <c r="AB91" s="4" t="s">
        <v>71</v>
      </c>
      <c r="AC91" s="4" t="s">
        <v>70</v>
      </c>
      <c r="AD91" s="4" t="s">
        <v>71</v>
      </c>
      <c r="AE91" s="4" t="s">
        <v>71</v>
      </c>
      <c r="AF91" s="4" t="s">
        <v>71</v>
      </c>
      <c r="AG91" s="4" t="s">
        <v>70</v>
      </c>
      <c r="AH91" s="4" t="s">
        <v>71</v>
      </c>
      <c r="AI91" s="4" t="s">
        <v>71</v>
      </c>
      <c r="AJ91" s="4" t="s">
        <v>71</v>
      </c>
      <c r="AK91" s="4" t="s">
        <v>71</v>
      </c>
      <c r="AL91" s="4" t="s">
        <v>71</v>
      </c>
      <c r="AM91" s="4" t="s">
        <v>70</v>
      </c>
      <c r="AN91" s="4" t="s">
        <v>71</v>
      </c>
      <c r="AO91" s="4" t="s">
        <v>71</v>
      </c>
      <c r="AP91" s="4" t="s">
        <v>71</v>
      </c>
      <c r="AQ91" s="4" t="s">
        <v>71</v>
      </c>
      <c r="AR91" s="4" t="s">
        <v>71</v>
      </c>
      <c r="AS91" s="4" t="s">
        <v>71</v>
      </c>
    </row>
    <row r="92" spans="1:94" x14ac:dyDescent="0.25">
      <c r="A92" s="3">
        <v>45001.665316087965</v>
      </c>
      <c r="B92" s="4" t="s">
        <v>694</v>
      </c>
      <c r="C92" s="4" t="s">
        <v>695</v>
      </c>
      <c r="D92" s="5" t="s">
        <v>696</v>
      </c>
      <c r="E92" s="4" t="s">
        <v>62</v>
      </c>
      <c r="F92" s="4" t="s">
        <v>697</v>
      </c>
      <c r="G92" s="4" t="s">
        <v>64</v>
      </c>
      <c r="H92" s="4" t="s">
        <v>698</v>
      </c>
      <c r="I92" s="4" t="s">
        <v>699</v>
      </c>
      <c r="K92" s="4" t="s">
        <v>694</v>
      </c>
      <c r="L92" s="4" t="s">
        <v>656</v>
      </c>
      <c r="M92" s="4" t="s">
        <v>394</v>
      </c>
      <c r="N92" s="4">
        <v>35</v>
      </c>
      <c r="O92" s="4" t="s">
        <v>69</v>
      </c>
      <c r="P92" s="4">
        <v>3</v>
      </c>
      <c r="Q92" s="4">
        <v>3</v>
      </c>
      <c r="R92" s="4">
        <v>5</v>
      </c>
      <c r="T92" s="4" t="s">
        <v>71</v>
      </c>
      <c r="U92" s="4" t="s">
        <v>70</v>
      </c>
      <c r="V92" s="6" t="s">
        <v>145</v>
      </c>
      <c r="W92" s="4" t="s">
        <v>71</v>
      </c>
      <c r="X92" s="4" t="s">
        <v>71</v>
      </c>
      <c r="Y92" s="4" t="s">
        <v>70</v>
      </c>
      <c r="Z92" s="4" t="s">
        <v>71</v>
      </c>
      <c r="AA92" s="4" t="s">
        <v>71</v>
      </c>
      <c r="AB92" s="4" t="s">
        <v>71</v>
      </c>
      <c r="AC92" s="4" t="s">
        <v>70</v>
      </c>
      <c r="AD92" s="4" t="s">
        <v>70</v>
      </c>
      <c r="AE92" s="4" t="s">
        <v>70</v>
      </c>
      <c r="AF92" s="4" t="s">
        <v>71</v>
      </c>
      <c r="AG92" s="4" t="s">
        <v>71</v>
      </c>
      <c r="AI92" s="4" t="s">
        <v>70</v>
      </c>
      <c r="AJ92" s="4" t="s">
        <v>70</v>
      </c>
      <c r="AK92" s="4" t="s">
        <v>71</v>
      </c>
      <c r="AL92" s="4" t="s">
        <v>71</v>
      </c>
      <c r="AM92" s="4" t="s">
        <v>71</v>
      </c>
      <c r="AN92" s="4" t="s">
        <v>70</v>
      </c>
      <c r="AO92" s="4" t="s">
        <v>70</v>
      </c>
      <c r="AP92" s="4" t="s">
        <v>71</v>
      </c>
      <c r="AQ92" s="4" t="s">
        <v>71</v>
      </c>
      <c r="AR92" s="4" t="s">
        <v>70</v>
      </c>
      <c r="AS92" s="4" t="s">
        <v>70</v>
      </c>
    </row>
    <row r="93" spans="1:94" x14ac:dyDescent="0.25">
      <c r="A93" s="3">
        <v>45001.757350115746</v>
      </c>
      <c r="B93" s="4" t="s">
        <v>283</v>
      </c>
      <c r="C93" s="4" t="s">
        <v>284</v>
      </c>
      <c r="D93" s="5" t="s">
        <v>285</v>
      </c>
      <c r="E93" s="4" t="s">
        <v>62</v>
      </c>
      <c r="F93" s="4" t="s">
        <v>286</v>
      </c>
      <c r="G93" s="4" t="s">
        <v>64</v>
      </c>
      <c r="H93" s="4" t="s">
        <v>287</v>
      </c>
      <c r="I93" s="4" t="s">
        <v>288</v>
      </c>
      <c r="J93" s="4" t="s">
        <v>289</v>
      </c>
      <c r="K93" s="4" t="s">
        <v>283</v>
      </c>
      <c r="L93" s="4" t="s">
        <v>67</v>
      </c>
      <c r="M93" s="4" t="s">
        <v>209</v>
      </c>
      <c r="N93" s="4">
        <v>40</v>
      </c>
      <c r="O93" s="4" t="s">
        <v>69</v>
      </c>
      <c r="P93" s="4">
        <v>3</v>
      </c>
      <c r="Q93" s="4">
        <v>3</v>
      </c>
      <c r="R93" s="4">
        <v>5</v>
      </c>
      <c r="T93" s="4" t="s">
        <v>70</v>
      </c>
      <c r="U93" s="4" t="s">
        <v>71</v>
      </c>
      <c r="V93" s="6" t="s">
        <v>145</v>
      </c>
      <c r="W93" s="4" t="s">
        <v>70</v>
      </c>
      <c r="X93" s="4" t="s">
        <v>70</v>
      </c>
      <c r="Y93" s="4" t="s">
        <v>71</v>
      </c>
      <c r="Z93" s="4" t="s">
        <v>70</v>
      </c>
      <c r="AA93" s="4" t="s">
        <v>70</v>
      </c>
      <c r="AB93" s="4" t="s">
        <v>70</v>
      </c>
      <c r="AC93" s="4" t="s">
        <v>71</v>
      </c>
      <c r="AD93" s="4" t="s">
        <v>71</v>
      </c>
      <c r="AE93" s="4" t="s">
        <v>71</v>
      </c>
      <c r="AF93" s="4" t="s">
        <v>70</v>
      </c>
      <c r="AG93" s="4" t="s">
        <v>70</v>
      </c>
      <c r="AH93" s="4" t="s">
        <v>70</v>
      </c>
      <c r="AI93" s="4" t="s">
        <v>71</v>
      </c>
      <c r="AJ93" s="4" t="s">
        <v>71</v>
      </c>
      <c r="AK93" s="4" t="s">
        <v>70</v>
      </c>
      <c r="AL93" s="4" t="s">
        <v>70</v>
      </c>
      <c r="AM93" s="4" t="s">
        <v>70</v>
      </c>
      <c r="AN93" s="4" t="s">
        <v>71</v>
      </c>
      <c r="AO93" s="4" t="s">
        <v>71</v>
      </c>
      <c r="AP93" s="4" t="s">
        <v>70</v>
      </c>
      <c r="AQ93" s="4" t="s">
        <v>70</v>
      </c>
      <c r="AR93" s="4" t="s">
        <v>71</v>
      </c>
      <c r="AS93" s="4" t="s">
        <v>71</v>
      </c>
    </row>
    <row r="94" spans="1:94" x14ac:dyDescent="0.25">
      <c r="A94" s="3">
        <v>45005.634511053242</v>
      </c>
      <c r="B94" s="4" t="s">
        <v>610</v>
      </c>
      <c r="C94" s="4" t="s">
        <v>611</v>
      </c>
      <c r="D94" s="7" t="s">
        <v>612</v>
      </c>
      <c r="E94" s="4" t="s">
        <v>149</v>
      </c>
      <c r="F94" s="4" t="s">
        <v>613</v>
      </c>
      <c r="G94" s="4" t="s">
        <v>64</v>
      </c>
      <c r="H94" s="4" t="s">
        <v>614</v>
      </c>
      <c r="I94" s="4" t="s">
        <v>615</v>
      </c>
      <c r="J94" s="4" t="s">
        <v>616</v>
      </c>
      <c r="K94" s="4" t="s">
        <v>610</v>
      </c>
      <c r="L94" s="4" t="s">
        <v>67</v>
      </c>
      <c r="M94" s="4" t="s">
        <v>342</v>
      </c>
      <c r="N94" s="4">
        <v>20</v>
      </c>
      <c r="O94" s="4" t="s">
        <v>69</v>
      </c>
      <c r="P94" s="4">
        <v>5</v>
      </c>
      <c r="Q94" s="4">
        <v>3</v>
      </c>
      <c r="R94" s="4">
        <v>5</v>
      </c>
      <c r="T94" s="4" t="s">
        <v>70</v>
      </c>
      <c r="U94" s="4" t="s">
        <v>70</v>
      </c>
      <c r="V94" s="6" t="s">
        <v>99</v>
      </c>
      <c r="AU94" s="4" t="s">
        <v>70</v>
      </c>
      <c r="AV94" s="4" t="s">
        <v>70</v>
      </c>
      <c r="AW94" s="4" t="s">
        <v>70</v>
      </c>
      <c r="AX94" s="4" t="s">
        <v>70</v>
      </c>
      <c r="AY94" s="4" t="s">
        <v>70</v>
      </c>
      <c r="AZ94" s="4" t="s">
        <v>70</v>
      </c>
      <c r="BA94" s="4" t="s">
        <v>70</v>
      </c>
      <c r="BB94" s="4" t="s">
        <v>70</v>
      </c>
      <c r="BC94" s="4" t="s">
        <v>70</v>
      </c>
      <c r="BD94" s="4" t="s">
        <v>70</v>
      </c>
      <c r="BE94" s="4" t="s">
        <v>70</v>
      </c>
      <c r="BF94" s="4" t="s">
        <v>70</v>
      </c>
      <c r="BG94" s="4" t="s">
        <v>70</v>
      </c>
      <c r="BH94" s="4" t="s">
        <v>70</v>
      </c>
      <c r="BI94" s="4" t="s">
        <v>70</v>
      </c>
      <c r="BJ94" s="4" t="s">
        <v>70</v>
      </c>
      <c r="BK94" s="4" t="s">
        <v>70</v>
      </c>
      <c r="BL94" s="4" t="s">
        <v>70</v>
      </c>
      <c r="BM94" s="4" t="s">
        <v>70</v>
      </c>
      <c r="BN94" s="4" t="s">
        <v>70</v>
      </c>
      <c r="BO94" s="4" t="s">
        <v>70</v>
      </c>
      <c r="BP94" s="4" t="s">
        <v>70</v>
      </c>
      <c r="BQ94" s="4" t="s">
        <v>70</v>
      </c>
      <c r="BR94" s="4" t="s">
        <v>618</v>
      </c>
    </row>
    <row r="95" spans="1:94" x14ac:dyDescent="0.25">
      <c r="A95" s="3">
        <v>45005.923207025466</v>
      </c>
      <c r="B95" s="4" t="s">
        <v>1026</v>
      </c>
      <c r="C95" s="4" t="s">
        <v>1033</v>
      </c>
      <c r="D95" s="7" t="s">
        <v>1028</v>
      </c>
      <c r="E95" s="4" t="s">
        <v>149</v>
      </c>
      <c r="F95" s="4" t="s">
        <v>205</v>
      </c>
      <c r="G95" s="4" t="s">
        <v>64</v>
      </c>
      <c r="H95" s="4" t="s">
        <v>1030</v>
      </c>
      <c r="I95" s="4" t="s">
        <v>1029</v>
      </c>
      <c r="J95" s="4" t="s">
        <v>1031</v>
      </c>
      <c r="K95" s="4" t="s">
        <v>1026</v>
      </c>
      <c r="L95" s="4" t="s">
        <v>67</v>
      </c>
      <c r="M95" s="4" t="s">
        <v>631</v>
      </c>
      <c r="N95" s="4">
        <v>30</v>
      </c>
      <c r="O95" s="4" t="s">
        <v>69</v>
      </c>
      <c r="P95" s="4">
        <v>4</v>
      </c>
      <c r="Q95" s="4">
        <v>4</v>
      </c>
      <c r="R95" s="4">
        <v>5</v>
      </c>
      <c r="T95" s="4" t="s">
        <v>70</v>
      </c>
      <c r="U95" s="4" t="s">
        <v>71</v>
      </c>
      <c r="V95" s="6" t="s">
        <v>99</v>
      </c>
      <c r="AU95" s="4" t="s">
        <v>71</v>
      </c>
      <c r="AV95" s="4" t="s">
        <v>70</v>
      </c>
      <c r="AW95" s="4" t="s">
        <v>71</v>
      </c>
      <c r="AX95" s="4" t="s">
        <v>71</v>
      </c>
      <c r="AY95" s="4" t="s">
        <v>71</v>
      </c>
      <c r="AZ95" s="4" t="s">
        <v>70</v>
      </c>
      <c r="BA95" s="4" t="s">
        <v>71</v>
      </c>
      <c r="BB95" s="4" t="s">
        <v>71</v>
      </c>
      <c r="BC95" s="4" t="s">
        <v>71</v>
      </c>
      <c r="BD95" s="4" t="s">
        <v>71</v>
      </c>
      <c r="BE95" s="4" t="s">
        <v>71</v>
      </c>
      <c r="BF95" s="4" t="s">
        <v>71</v>
      </c>
      <c r="BG95" s="4" t="s">
        <v>70</v>
      </c>
      <c r="BH95" s="4" t="s">
        <v>71</v>
      </c>
      <c r="BI95" s="4" t="s">
        <v>70</v>
      </c>
      <c r="BJ95" s="4" t="s">
        <v>71</v>
      </c>
      <c r="BK95" s="4" t="s">
        <v>71</v>
      </c>
      <c r="BL95" s="4" t="s">
        <v>71</v>
      </c>
      <c r="BM95" s="4" t="s">
        <v>71</v>
      </c>
      <c r="BN95" s="4" t="s">
        <v>70</v>
      </c>
      <c r="BR95" s="4" t="s">
        <v>1034</v>
      </c>
    </row>
    <row r="96" spans="1:94" x14ac:dyDescent="0.25">
      <c r="A96" s="3">
        <v>45003.550294120374</v>
      </c>
      <c r="B96" s="4" t="s">
        <v>315</v>
      </c>
      <c r="C96" s="4" t="s">
        <v>316</v>
      </c>
      <c r="D96" s="5" t="s">
        <v>317</v>
      </c>
      <c r="E96" s="4" t="s">
        <v>149</v>
      </c>
      <c r="F96" s="4" t="s">
        <v>318</v>
      </c>
      <c r="G96" s="4" t="s">
        <v>64</v>
      </c>
      <c r="H96" s="4" t="s">
        <v>319</v>
      </c>
      <c r="I96" s="4" t="s">
        <v>320</v>
      </c>
      <c r="J96" s="4" t="s">
        <v>321</v>
      </c>
      <c r="K96" s="4" t="s">
        <v>315</v>
      </c>
      <c r="L96" s="4" t="s">
        <v>67</v>
      </c>
      <c r="M96" s="4" t="s">
        <v>96</v>
      </c>
      <c r="N96" s="4">
        <v>30</v>
      </c>
      <c r="O96" s="4" t="s">
        <v>69</v>
      </c>
      <c r="P96" s="4">
        <v>3</v>
      </c>
      <c r="Q96" s="4">
        <v>2</v>
      </c>
      <c r="R96" s="4">
        <v>5</v>
      </c>
      <c r="T96" s="4" t="s">
        <v>71</v>
      </c>
      <c r="U96" s="4" t="s">
        <v>70</v>
      </c>
      <c r="V96" s="6" t="s">
        <v>99</v>
      </c>
      <c r="AU96" s="4" t="s">
        <v>71</v>
      </c>
      <c r="AV96" s="4" t="s">
        <v>71</v>
      </c>
      <c r="AW96" s="4" t="s">
        <v>70</v>
      </c>
      <c r="AX96" s="4" t="s">
        <v>71</v>
      </c>
      <c r="AY96" s="4" t="s">
        <v>71</v>
      </c>
      <c r="AZ96" s="4" t="s">
        <v>71</v>
      </c>
      <c r="BA96" s="4" t="s">
        <v>70</v>
      </c>
      <c r="BB96" s="4" t="s">
        <v>71</v>
      </c>
      <c r="BC96" s="4" t="s">
        <v>70</v>
      </c>
      <c r="BD96" s="4" t="s">
        <v>71</v>
      </c>
      <c r="BE96" s="4" t="s">
        <v>71</v>
      </c>
      <c r="BF96" s="4" t="s">
        <v>71</v>
      </c>
      <c r="BG96" s="4" t="s">
        <v>71</v>
      </c>
      <c r="BH96" s="4" t="s">
        <v>70</v>
      </c>
      <c r="BI96" s="4" t="s">
        <v>71</v>
      </c>
      <c r="BJ96" s="4" t="s">
        <v>71</v>
      </c>
      <c r="BK96" s="4" t="s">
        <v>71</v>
      </c>
      <c r="BL96" s="4" t="s">
        <v>71</v>
      </c>
      <c r="BM96" s="4" t="s">
        <v>71</v>
      </c>
      <c r="BN96" s="4" t="s">
        <v>71</v>
      </c>
      <c r="BO96" s="4" t="s">
        <v>71</v>
      </c>
      <c r="BQ96" s="4" t="s">
        <v>71</v>
      </c>
    </row>
    <row r="97" spans="1:94" x14ac:dyDescent="0.25">
      <c r="A97" s="3">
        <v>45003.552630219907</v>
      </c>
      <c r="B97" s="4" t="s">
        <v>315</v>
      </c>
      <c r="C97" s="4" t="s">
        <v>316</v>
      </c>
      <c r="D97" s="5" t="s">
        <v>317</v>
      </c>
      <c r="E97" s="4" t="s">
        <v>149</v>
      </c>
      <c r="F97" s="4" t="s">
        <v>318</v>
      </c>
      <c r="G97" s="4" t="s">
        <v>64</v>
      </c>
      <c r="H97" s="4" t="s">
        <v>320</v>
      </c>
      <c r="I97" s="4" t="s">
        <v>323</v>
      </c>
      <c r="J97" s="4" t="s">
        <v>321</v>
      </c>
      <c r="K97" s="4" t="s">
        <v>315</v>
      </c>
      <c r="L97" s="4" t="s">
        <v>67</v>
      </c>
      <c r="M97" s="4" t="s">
        <v>96</v>
      </c>
      <c r="N97" s="4">
        <v>28</v>
      </c>
      <c r="O97" s="4" t="s">
        <v>69</v>
      </c>
      <c r="P97" s="4">
        <v>3</v>
      </c>
      <c r="Q97" s="4">
        <v>2</v>
      </c>
      <c r="R97" s="4">
        <v>5</v>
      </c>
      <c r="T97" s="4" t="s">
        <v>71</v>
      </c>
      <c r="U97" s="4" t="s">
        <v>70</v>
      </c>
      <c r="V97" s="6" t="s">
        <v>99</v>
      </c>
      <c r="AU97" s="4" t="s">
        <v>71</v>
      </c>
      <c r="AV97" s="4" t="s">
        <v>71</v>
      </c>
      <c r="AW97" s="4" t="s">
        <v>70</v>
      </c>
      <c r="AX97" s="4" t="s">
        <v>71</v>
      </c>
      <c r="AY97" s="4" t="s">
        <v>71</v>
      </c>
      <c r="AZ97" s="4" t="s">
        <v>71</v>
      </c>
      <c r="BA97" s="4" t="s">
        <v>70</v>
      </c>
      <c r="BB97" s="4" t="s">
        <v>71</v>
      </c>
      <c r="BC97" s="4" t="s">
        <v>70</v>
      </c>
      <c r="BD97" s="4" t="s">
        <v>71</v>
      </c>
      <c r="BE97" s="4" t="s">
        <v>71</v>
      </c>
      <c r="BF97" s="4" t="s">
        <v>71</v>
      </c>
      <c r="BG97" s="4" t="s">
        <v>71</v>
      </c>
      <c r="BH97" s="4" t="s">
        <v>70</v>
      </c>
      <c r="BI97" s="4" t="s">
        <v>71</v>
      </c>
      <c r="BJ97" s="4" t="s">
        <v>71</v>
      </c>
      <c r="BK97" s="4" t="s">
        <v>71</v>
      </c>
      <c r="BL97" s="4" t="s">
        <v>71</v>
      </c>
      <c r="BM97" s="4" t="s">
        <v>71</v>
      </c>
      <c r="BN97" s="4" t="s">
        <v>71</v>
      </c>
      <c r="BO97" s="4" t="s">
        <v>71</v>
      </c>
      <c r="BP97" s="4" t="s">
        <v>71</v>
      </c>
      <c r="BQ97" s="4" t="s">
        <v>71</v>
      </c>
    </row>
    <row r="98" spans="1:94" x14ac:dyDescent="0.25">
      <c r="A98" s="3">
        <v>45002.493809849533</v>
      </c>
      <c r="B98" s="4" t="s">
        <v>404</v>
      </c>
      <c r="C98" s="4" t="s">
        <v>405</v>
      </c>
      <c r="D98" s="5" t="s">
        <v>406</v>
      </c>
      <c r="E98" s="4" t="s">
        <v>149</v>
      </c>
      <c r="F98" s="4" t="s">
        <v>412</v>
      </c>
      <c r="G98" s="4" t="s">
        <v>64</v>
      </c>
      <c r="H98" s="4" t="s">
        <v>408</v>
      </c>
      <c r="I98" s="4" t="s">
        <v>413</v>
      </c>
      <c r="J98" s="4" t="s">
        <v>414</v>
      </c>
      <c r="K98" s="4" t="s">
        <v>404</v>
      </c>
      <c r="L98" s="4" t="s">
        <v>67</v>
      </c>
      <c r="M98" s="4" t="s">
        <v>273</v>
      </c>
      <c r="N98" s="4">
        <v>18</v>
      </c>
      <c r="O98" s="4" t="s">
        <v>69</v>
      </c>
      <c r="P98" s="4">
        <v>4</v>
      </c>
      <c r="Q98" s="4">
        <v>5</v>
      </c>
      <c r="R98" s="4">
        <v>1</v>
      </c>
      <c r="T98" s="4" t="s">
        <v>70</v>
      </c>
      <c r="U98" s="4" t="s">
        <v>71</v>
      </c>
      <c r="V98" s="6" t="s">
        <v>99</v>
      </c>
      <c r="AU98" s="4" t="s">
        <v>71</v>
      </c>
      <c r="AV98" s="4" t="s">
        <v>70</v>
      </c>
      <c r="AW98" s="4" t="s">
        <v>71</v>
      </c>
      <c r="AX98" s="4" t="s">
        <v>71</v>
      </c>
      <c r="AY98" s="4" t="s">
        <v>70</v>
      </c>
      <c r="AZ98" s="4" t="s">
        <v>71</v>
      </c>
      <c r="BA98" s="4" t="s">
        <v>71</v>
      </c>
      <c r="BB98" s="4" t="s">
        <v>71</v>
      </c>
      <c r="BC98" s="4" t="s">
        <v>71</v>
      </c>
      <c r="BD98" s="4" t="s">
        <v>70</v>
      </c>
      <c r="BE98" s="4" t="s">
        <v>71</v>
      </c>
      <c r="BF98" s="4" t="s">
        <v>71</v>
      </c>
      <c r="BG98" s="4" t="s">
        <v>71</v>
      </c>
      <c r="BH98" s="4" t="s">
        <v>71</v>
      </c>
    </row>
    <row r="99" spans="1:94" x14ac:dyDescent="0.25">
      <c r="A99" s="3">
        <v>45001.58790165509</v>
      </c>
      <c r="B99" s="4" t="s">
        <v>396</v>
      </c>
      <c r="C99" s="4" t="s">
        <v>397</v>
      </c>
      <c r="D99" s="7" t="s">
        <v>398</v>
      </c>
      <c r="E99" s="4" t="s">
        <v>62</v>
      </c>
      <c r="F99" s="4" t="s">
        <v>399</v>
      </c>
      <c r="G99" s="4" t="s">
        <v>64</v>
      </c>
      <c r="H99" s="4" t="s">
        <v>400</v>
      </c>
      <c r="I99" s="4" t="s">
        <v>401</v>
      </c>
      <c r="J99" s="4" t="s">
        <v>402</v>
      </c>
      <c r="K99" s="4" t="s">
        <v>396</v>
      </c>
      <c r="L99" s="4" t="s">
        <v>67</v>
      </c>
      <c r="M99" s="4" t="s">
        <v>68</v>
      </c>
      <c r="N99" s="4">
        <v>33</v>
      </c>
      <c r="O99" s="4" t="s">
        <v>69</v>
      </c>
      <c r="P99" s="4">
        <v>5</v>
      </c>
      <c r="Q99" s="4">
        <v>5</v>
      </c>
      <c r="R99" s="4">
        <v>0</v>
      </c>
      <c r="T99" s="4" t="s">
        <v>70</v>
      </c>
      <c r="U99" s="4" t="s">
        <v>71</v>
      </c>
      <c r="V99" s="6" t="s">
        <v>145</v>
      </c>
      <c r="W99" s="4" t="s">
        <v>70</v>
      </c>
      <c r="X99" s="4" t="s">
        <v>71</v>
      </c>
      <c r="Y99" s="4" t="s">
        <v>71</v>
      </c>
      <c r="Z99" s="4" t="s">
        <v>71</v>
      </c>
      <c r="AA99" s="4" t="s">
        <v>70</v>
      </c>
      <c r="AB99" s="4" t="s">
        <v>70</v>
      </c>
      <c r="AC99" s="4" t="s">
        <v>71</v>
      </c>
      <c r="AD99" s="4" t="s">
        <v>71</v>
      </c>
      <c r="AE99" s="4" t="s">
        <v>71</v>
      </c>
      <c r="AF99" s="4" t="s">
        <v>71</v>
      </c>
      <c r="AG99" s="4" t="s">
        <v>71</v>
      </c>
      <c r="AH99" s="4" t="s">
        <v>71</v>
      </c>
      <c r="AI99" s="4" t="s">
        <v>71</v>
      </c>
      <c r="AJ99" s="4" t="s">
        <v>71</v>
      </c>
      <c r="AK99" s="4" t="s">
        <v>71</v>
      </c>
      <c r="AL99" s="4" t="s">
        <v>70</v>
      </c>
      <c r="AM99" s="4" t="s">
        <v>70</v>
      </c>
      <c r="AN99" s="4" t="s">
        <v>71</v>
      </c>
      <c r="AO99" s="4" t="s">
        <v>71</v>
      </c>
      <c r="AP99" s="4" t="s">
        <v>71</v>
      </c>
      <c r="AQ99" s="4" t="s">
        <v>71</v>
      </c>
      <c r="AR99" s="4" t="s">
        <v>71</v>
      </c>
      <c r="AS99" s="4" t="s">
        <v>71</v>
      </c>
    </row>
    <row r="100" spans="1:94" x14ac:dyDescent="0.25">
      <c r="A100" s="3">
        <v>45002.606205682867</v>
      </c>
      <c r="B100" s="4" t="s">
        <v>956</v>
      </c>
      <c r="C100" s="4" t="s">
        <v>957</v>
      </c>
      <c r="D100" s="5" t="s">
        <v>958</v>
      </c>
      <c r="E100" s="4" t="s">
        <v>62</v>
      </c>
      <c r="F100" s="4" t="s">
        <v>959</v>
      </c>
      <c r="G100" s="4" t="s">
        <v>64</v>
      </c>
      <c r="H100" s="4" t="s">
        <v>960</v>
      </c>
      <c r="I100" s="4" t="s">
        <v>961</v>
      </c>
      <c r="J100" s="4" t="s">
        <v>962</v>
      </c>
      <c r="K100" s="4" t="s">
        <v>956</v>
      </c>
      <c r="L100" s="4" t="s">
        <v>656</v>
      </c>
      <c r="M100" s="4" t="s">
        <v>567</v>
      </c>
      <c r="N100" s="4">
        <v>32</v>
      </c>
      <c r="O100" s="4" t="s">
        <v>69</v>
      </c>
      <c r="P100" s="4">
        <v>5</v>
      </c>
      <c r="Q100" s="4">
        <v>4</v>
      </c>
      <c r="R100" s="4">
        <v>0</v>
      </c>
      <c r="T100" s="4" t="s">
        <v>70</v>
      </c>
      <c r="U100" s="4" t="s">
        <v>71</v>
      </c>
      <c r="V100" s="6" t="s">
        <v>99</v>
      </c>
      <c r="AU100" s="4" t="s">
        <v>70</v>
      </c>
      <c r="AV100" s="4" t="s">
        <v>71</v>
      </c>
      <c r="AW100" s="4" t="s">
        <v>71</v>
      </c>
      <c r="AX100" s="4" t="s">
        <v>71</v>
      </c>
      <c r="AY100" s="4" t="s">
        <v>70</v>
      </c>
      <c r="AZ100" s="4" t="s">
        <v>70</v>
      </c>
      <c r="BA100" s="4" t="s">
        <v>71</v>
      </c>
      <c r="BB100" s="4" t="s">
        <v>71</v>
      </c>
      <c r="BC100" s="4" t="s">
        <v>71</v>
      </c>
      <c r="BD100" s="4" t="s">
        <v>71</v>
      </c>
      <c r="BE100" s="4" t="s">
        <v>70</v>
      </c>
      <c r="BF100" s="4" t="s">
        <v>70</v>
      </c>
      <c r="BG100" s="4" t="s">
        <v>71</v>
      </c>
      <c r="BH100" s="4" t="s">
        <v>71</v>
      </c>
      <c r="BI100" s="4" t="s">
        <v>71</v>
      </c>
      <c r="BJ100" s="4" t="s">
        <v>70</v>
      </c>
      <c r="BK100" s="4" t="s">
        <v>70</v>
      </c>
      <c r="BL100" s="4" t="s">
        <v>71</v>
      </c>
      <c r="BM100" s="4" t="s">
        <v>71</v>
      </c>
      <c r="BN100" s="4" t="s">
        <v>71</v>
      </c>
      <c r="BO100" s="4" t="s">
        <v>71</v>
      </c>
      <c r="BP100" s="4" t="s">
        <v>71</v>
      </c>
      <c r="BQ100" s="4" t="s">
        <v>71</v>
      </c>
    </row>
    <row r="101" spans="1:94" x14ac:dyDescent="0.25">
      <c r="A101" s="3">
        <v>45006.451086111112</v>
      </c>
      <c r="B101" s="4" t="s">
        <v>59</v>
      </c>
      <c r="C101" s="4" t="s">
        <v>60</v>
      </c>
      <c r="D101" s="5" t="s">
        <v>61</v>
      </c>
      <c r="E101" s="4" t="s">
        <v>62</v>
      </c>
      <c r="F101" s="4" t="s">
        <v>63</v>
      </c>
      <c r="G101" s="4" t="s">
        <v>64</v>
      </c>
      <c r="H101" s="4" t="s">
        <v>65</v>
      </c>
      <c r="I101" s="4" t="s">
        <v>66</v>
      </c>
      <c r="K101" s="4" t="s">
        <v>59</v>
      </c>
      <c r="L101" s="4" t="s">
        <v>67</v>
      </c>
      <c r="M101" s="4" t="s">
        <v>68</v>
      </c>
      <c r="N101" s="4">
        <v>19</v>
      </c>
      <c r="O101" s="4" t="s">
        <v>69</v>
      </c>
      <c r="P101" s="4">
        <v>5</v>
      </c>
      <c r="Q101" s="4">
        <v>5</v>
      </c>
      <c r="R101" s="4">
        <v>0</v>
      </c>
      <c r="T101" s="4" t="s">
        <v>70</v>
      </c>
      <c r="U101" s="4" t="s">
        <v>71</v>
      </c>
      <c r="V101" s="6" t="s">
        <v>73</v>
      </c>
      <c r="BS101" s="4" t="s">
        <v>70</v>
      </c>
      <c r="BT101" s="4" t="s">
        <v>71</v>
      </c>
      <c r="BU101" s="4" t="s">
        <v>71</v>
      </c>
      <c r="BV101" s="4" t="s">
        <v>71</v>
      </c>
      <c r="BW101" s="4" t="s">
        <v>70</v>
      </c>
      <c r="BX101" s="4" t="s">
        <v>70</v>
      </c>
      <c r="BY101" s="4" t="s">
        <v>71</v>
      </c>
      <c r="BZ101" s="4" t="s">
        <v>71</v>
      </c>
      <c r="CA101" s="4" t="s">
        <v>71</v>
      </c>
      <c r="CB101" s="4" t="s">
        <v>71</v>
      </c>
      <c r="CC101" s="4" t="s">
        <v>70</v>
      </c>
      <c r="CD101" s="4" t="s">
        <v>70</v>
      </c>
      <c r="CE101" s="4" t="s">
        <v>71</v>
      </c>
      <c r="CF101" s="4" t="s">
        <v>71</v>
      </c>
      <c r="CG101" s="4" t="s">
        <v>71</v>
      </c>
      <c r="CH101" s="4" t="s">
        <v>71</v>
      </c>
      <c r="CI101" s="4" t="s">
        <v>71</v>
      </c>
      <c r="CJ101" s="4" t="s">
        <v>71</v>
      </c>
      <c r="CK101" s="4" t="s">
        <v>71</v>
      </c>
      <c r="CL101" s="4" t="s">
        <v>71</v>
      </c>
      <c r="CM101" s="4" t="s">
        <v>71</v>
      </c>
      <c r="CN101" s="4" t="s">
        <v>71</v>
      </c>
      <c r="CO101" s="4" t="s">
        <v>71</v>
      </c>
    </row>
    <row r="102" spans="1:94" x14ac:dyDescent="0.25">
      <c r="A102" s="3">
        <v>45000.728338472225</v>
      </c>
      <c r="B102" s="4" t="s">
        <v>388</v>
      </c>
      <c r="C102" s="4" t="s">
        <v>389</v>
      </c>
      <c r="D102" s="5" t="s">
        <v>390</v>
      </c>
      <c r="E102" s="4" t="s">
        <v>62</v>
      </c>
      <c r="F102" s="4" t="s">
        <v>391</v>
      </c>
      <c r="G102" s="4" t="s">
        <v>64</v>
      </c>
      <c r="H102" s="4" t="s">
        <v>166</v>
      </c>
      <c r="I102" s="4" t="s">
        <v>392</v>
      </c>
      <c r="J102" s="4" t="s">
        <v>393</v>
      </c>
      <c r="K102" s="4" t="s">
        <v>388</v>
      </c>
      <c r="L102" s="4" t="s">
        <v>67</v>
      </c>
      <c r="M102" s="4" t="s">
        <v>272</v>
      </c>
      <c r="N102" s="4">
        <v>32</v>
      </c>
      <c r="O102" s="4" t="s">
        <v>69</v>
      </c>
      <c r="P102" s="4">
        <v>4</v>
      </c>
      <c r="Q102" s="4">
        <v>1</v>
      </c>
      <c r="R102" s="4">
        <v>0</v>
      </c>
      <c r="S102" s="4" t="s">
        <v>395</v>
      </c>
      <c r="T102" s="4" t="s">
        <v>70</v>
      </c>
      <c r="U102" s="4" t="s">
        <v>71</v>
      </c>
      <c r="V102" s="6" t="s">
        <v>99</v>
      </c>
      <c r="AU102" s="4" t="s">
        <v>71</v>
      </c>
      <c r="AV102" s="4" t="s">
        <v>70</v>
      </c>
      <c r="AW102" s="4" t="s">
        <v>71</v>
      </c>
      <c r="AX102" s="4" t="s">
        <v>70</v>
      </c>
      <c r="AY102" s="4" t="s">
        <v>71</v>
      </c>
      <c r="AZ102" s="4" t="s">
        <v>71</v>
      </c>
      <c r="BA102" s="4" t="s">
        <v>71</v>
      </c>
      <c r="BB102" s="4" t="s">
        <v>71</v>
      </c>
      <c r="BC102" s="4" t="s">
        <v>71</v>
      </c>
      <c r="BD102" s="4" t="s">
        <v>70</v>
      </c>
      <c r="BE102" s="4" t="s">
        <v>70</v>
      </c>
      <c r="BF102" s="4" t="s">
        <v>70</v>
      </c>
      <c r="BG102" s="4" t="s">
        <v>71</v>
      </c>
      <c r="BH102" s="4" t="s">
        <v>71</v>
      </c>
      <c r="BI102" s="4" t="s">
        <v>70</v>
      </c>
      <c r="BJ102" s="4" t="s">
        <v>70</v>
      </c>
      <c r="BK102" s="4" t="s">
        <v>70</v>
      </c>
      <c r="BL102" s="4" t="s">
        <v>70</v>
      </c>
      <c r="BM102" s="4" t="s">
        <v>70</v>
      </c>
      <c r="BN102" s="4" t="s">
        <v>71</v>
      </c>
      <c r="BO102" s="4" t="s">
        <v>71</v>
      </c>
      <c r="BP102" s="4" t="s">
        <v>71</v>
      </c>
      <c r="BQ102" s="4" t="s">
        <v>71</v>
      </c>
    </row>
    <row r="103" spans="1:94" x14ac:dyDescent="0.25">
      <c r="A103" s="3">
        <v>45002.930021296299</v>
      </c>
      <c r="B103" s="4" t="s">
        <v>1143</v>
      </c>
      <c r="C103" s="4" t="s">
        <v>1150</v>
      </c>
      <c r="D103" s="5" t="s">
        <v>1145</v>
      </c>
      <c r="E103" s="4" t="s">
        <v>62</v>
      </c>
      <c r="F103" s="4" t="s">
        <v>391</v>
      </c>
      <c r="G103" s="4" t="s">
        <v>64</v>
      </c>
      <c r="H103" s="4" t="s">
        <v>1151</v>
      </c>
      <c r="I103" s="4" t="s">
        <v>1152</v>
      </c>
      <c r="J103" s="4" t="s">
        <v>1149</v>
      </c>
      <c r="K103" s="4" t="s">
        <v>1143</v>
      </c>
      <c r="L103" s="4" t="s">
        <v>656</v>
      </c>
      <c r="M103" s="4" t="s">
        <v>411</v>
      </c>
      <c r="N103" s="4">
        <v>26</v>
      </c>
      <c r="O103" s="4" t="s">
        <v>69</v>
      </c>
      <c r="P103" s="4">
        <v>5</v>
      </c>
      <c r="Q103" s="4">
        <v>5</v>
      </c>
      <c r="R103" s="4">
        <v>0</v>
      </c>
      <c r="T103" s="4" t="s">
        <v>70</v>
      </c>
      <c r="U103" s="4" t="s">
        <v>70</v>
      </c>
      <c r="V103" s="6" t="s">
        <v>73</v>
      </c>
      <c r="BS103" s="4" t="s">
        <v>71</v>
      </c>
      <c r="BT103" s="4" t="s">
        <v>70</v>
      </c>
      <c r="BU103" s="4" t="s">
        <v>71</v>
      </c>
      <c r="BV103" s="4" t="s">
        <v>70</v>
      </c>
      <c r="BW103" s="4" t="s">
        <v>70</v>
      </c>
      <c r="BX103" s="4" t="s">
        <v>71</v>
      </c>
      <c r="BY103" s="4" t="s">
        <v>71</v>
      </c>
      <c r="BZ103" s="4" t="s">
        <v>71</v>
      </c>
      <c r="CA103" s="4" t="s">
        <v>71</v>
      </c>
      <c r="CB103" s="4" t="s">
        <v>71</v>
      </c>
      <c r="CC103" s="4" t="s">
        <v>71</v>
      </c>
      <c r="CD103" s="4" t="s">
        <v>71</v>
      </c>
      <c r="CE103" s="4" t="s">
        <v>71</v>
      </c>
      <c r="CF103" s="4" t="s">
        <v>71</v>
      </c>
      <c r="CG103" s="4" t="s">
        <v>71</v>
      </c>
      <c r="CH103" s="4" t="s">
        <v>71</v>
      </c>
      <c r="CI103" s="4" t="s">
        <v>71</v>
      </c>
      <c r="CJ103" s="4" t="s">
        <v>71</v>
      </c>
      <c r="CK103" s="4" t="s">
        <v>71</v>
      </c>
      <c r="CL103" s="4" t="s">
        <v>70</v>
      </c>
      <c r="CM103" s="4" t="s">
        <v>71</v>
      </c>
      <c r="CN103" s="4" t="s">
        <v>71</v>
      </c>
      <c r="CO103" s="4" t="s">
        <v>71</v>
      </c>
    </row>
    <row r="104" spans="1:94" x14ac:dyDescent="0.25">
      <c r="A104" s="3">
        <v>45006.454249375005</v>
      </c>
      <c r="B104" s="4" t="s">
        <v>59</v>
      </c>
      <c r="C104" s="4" t="s">
        <v>74</v>
      </c>
      <c r="D104" s="5" t="s">
        <v>61</v>
      </c>
      <c r="E104" s="4" t="s">
        <v>62</v>
      </c>
      <c r="F104" s="4" t="s">
        <v>75</v>
      </c>
      <c r="G104" s="4" t="s">
        <v>64</v>
      </c>
      <c r="H104" s="4" t="s">
        <v>66</v>
      </c>
      <c r="I104" s="4" t="s">
        <v>76</v>
      </c>
      <c r="K104" s="4" t="s">
        <v>59</v>
      </c>
      <c r="L104" s="4" t="s">
        <v>67</v>
      </c>
      <c r="M104" s="4" t="s">
        <v>68</v>
      </c>
      <c r="N104" s="4">
        <v>23</v>
      </c>
      <c r="O104" s="4" t="s">
        <v>69</v>
      </c>
      <c r="P104" s="4">
        <v>5</v>
      </c>
      <c r="Q104" s="4">
        <v>5</v>
      </c>
      <c r="R104" s="4">
        <v>0</v>
      </c>
      <c r="T104" s="4" t="s">
        <v>70</v>
      </c>
      <c r="U104" s="4" t="s">
        <v>71</v>
      </c>
      <c r="V104" s="6" t="s">
        <v>73</v>
      </c>
      <c r="BS104" s="4" t="s">
        <v>70</v>
      </c>
      <c r="BT104" s="4" t="s">
        <v>71</v>
      </c>
      <c r="BU104" s="4" t="s">
        <v>71</v>
      </c>
      <c r="BV104" s="4" t="s">
        <v>71</v>
      </c>
      <c r="BW104" s="4" t="s">
        <v>70</v>
      </c>
      <c r="BX104" s="4" t="s">
        <v>70</v>
      </c>
      <c r="BY104" s="4" t="s">
        <v>71</v>
      </c>
      <c r="BZ104" s="4" t="s">
        <v>71</v>
      </c>
      <c r="CA104" s="4" t="s">
        <v>71</v>
      </c>
      <c r="CB104" s="4" t="s">
        <v>71</v>
      </c>
      <c r="CC104" s="4" t="s">
        <v>70</v>
      </c>
      <c r="CD104" s="4" t="s">
        <v>70</v>
      </c>
      <c r="CE104" s="4" t="s">
        <v>71</v>
      </c>
      <c r="CF104" s="4" t="s">
        <v>71</v>
      </c>
      <c r="CG104" s="4" t="s">
        <v>71</v>
      </c>
      <c r="CH104" s="4" t="s">
        <v>71</v>
      </c>
      <c r="CI104" s="4" t="s">
        <v>71</v>
      </c>
      <c r="CJ104" s="4" t="s">
        <v>71</v>
      </c>
      <c r="CK104" s="4" t="s">
        <v>71</v>
      </c>
      <c r="CL104" s="4" t="s">
        <v>71</v>
      </c>
      <c r="CM104" s="4" t="s">
        <v>71</v>
      </c>
      <c r="CN104" s="4" t="s">
        <v>71</v>
      </c>
      <c r="CO104" s="4" t="s">
        <v>71</v>
      </c>
    </row>
    <row r="105" spans="1:94" x14ac:dyDescent="0.25">
      <c r="A105" s="3">
        <v>45000.670496446764</v>
      </c>
      <c r="B105" s="4" t="s">
        <v>291</v>
      </c>
      <c r="C105" s="4" t="s">
        <v>292</v>
      </c>
      <c r="D105" s="5" t="s">
        <v>293</v>
      </c>
      <c r="E105" s="4" t="s">
        <v>62</v>
      </c>
      <c r="F105" s="4" t="s">
        <v>294</v>
      </c>
      <c r="G105" s="4" t="s">
        <v>64</v>
      </c>
      <c r="H105" s="4" t="s">
        <v>295</v>
      </c>
      <c r="I105" s="4" t="s">
        <v>296</v>
      </c>
      <c r="J105" s="4" t="s">
        <v>297</v>
      </c>
      <c r="K105" s="4" t="s">
        <v>291</v>
      </c>
      <c r="L105" s="4" t="s">
        <v>67</v>
      </c>
      <c r="M105" s="4" t="s">
        <v>212</v>
      </c>
      <c r="N105" s="4">
        <v>36</v>
      </c>
      <c r="O105" s="4" t="s">
        <v>69</v>
      </c>
      <c r="P105" s="4">
        <v>4</v>
      </c>
      <c r="Q105" s="4">
        <v>4</v>
      </c>
      <c r="R105" s="4">
        <v>0</v>
      </c>
      <c r="S105" s="4" t="s">
        <v>299</v>
      </c>
      <c r="T105" s="4" t="s">
        <v>70</v>
      </c>
      <c r="U105" s="4" t="s">
        <v>71</v>
      </c>
      <c r="V105" s="6" t="s">
        <v>145</v>
      </c>
      <c r="W105" s="4" t="s">
        <v>70</v>
      </c>
      <c r="X105" s="4" t="s">
        <v>71</v>
      </c>
      <c r="Y105" s="4" t="s">
        <v>71</v>
      </c>
      <c r="Z105" s="4" t="s">
        <v>71</v>
      </c>
      <c r="AA105" s="4" t="s">
        <v>71</v>
      </c>
      <c r="AB105" s="4" t="s">
        <v>70</v>
      </c>
      <c r="AC105" s="4" t="s">
        <v>71</v>
      </c>
      <c r="AD105" s="4" t="s">
        <v>71</v>
      </c>
      <c r="AE105" s="4" t="s">
        <v>71</v>
      </c>
      <c r="AF105" s="4" t="s">
        <v>71</v>
      </c>
      <c r="AG105" s="4" t="s">
        <v>71</v>
      </c>
      <c r="AH105" s="4" t="s">
        <v>71</v>
      </c>
      <c r="AI105" s="4" t="s">
        <v>71</v>
      </c>
      <c r="AJ105" s="4" t="s">
        <v>71</v>
      </c>
      <c r="AK105" s="4" t="s">
        <v>71</v>
      </c>
      <c r="AL105" s="4" t="s">
        <v>71</v>
      </c>
      <c r="AM105" s="4" t="s">
        <v>70</v>
      </c>
      <c r="AN105" s="4" t="s">
        <v>71</v>
      </c>
      <c r="AO105" s="4" t="s">
        <v>71</v>
      </c>
      <c r="AP105" s="4" t="s">
        <v>70</v>
      </c>
      <c r="AQ105" s="4" t="s">
        <v>71</v>
      </c>
      <c r="AR105" s="4" t="s">
        <v>71</v>
      </c>
      <c r="AS105" s="4" t="s">
        <v>71</v>
      </c>
      <c r="AT105" s="4" t="s">
        <v>300</v>
      </c>
    </row>
    <row r="106" spans="1:94" x14ac:dyDescent="0.25">
      <c r="A106" s="3">
        <v>45001.527672581018</v>
      </c>
      <c r="B106" s="4" t="s">
        <v>301</v>
      </c>
      <c r="C106" s="4" t="s">
        <v>292</v>
      </c>
      <c r="D106" s="5" t="s">
        <v>293</v>
      </c>
      <c r="E106" s="4" t="s">
        <v>62</v>
      </c>
      <c r="F106" s="4" t="s">
        <v>294</v>
      </c>
      <c r="G106" s="4" t="s">
        <v>64</v>
      </c>
      <c r="H106" s="4" t="s">
        <v>295</v>
      </c>
      <c r="I106" s="4" t="s">
        <v>296</v>
      </c>
      <c r="J106" s="4" t="s">
        <v>302</v>
      </c>
      <c r="K106" s="4" t="s">
        <v>301</v>
      </c>
      <c r="L106" s="4" t="s">
        <v>67</v>
      </c>
      <c r="M106" s="4" t="s">
        <v>212</v>
      </c>
      <c r="N106" s="4">
        <v>35</v>
      </c>
      <c r="O106" s="4" t="s">
        <v>69</v>
      </c>
      <c r="P106" s="4">
        <v>5</v>
      </c>
      <c r="Q106" s="4">
        <v>5</v>
      </c>
      <c r="R106" s="4">
        <v>0</v>
      </c>
      <c r="S106" s="4" t="s">
        <v>304</v>
      </c>
      <c r="T106" s="4" t="s">
        <v>70</v>
      </c>
      <c r="U106" s="4" t="s">
        <v>71</v>
      </c>
      <c r="V106" s="6" t="s">
        <v>73</v>
      </c>
      <c r="BS106" s="4" t="s">
        <v>70</v>
      </c>
      <c r="BT106" s="4" t="s">
        <v>71</v>
      </c>
      <c r="BU106" s="4" t="s">
        <v>71</v>
      </c>
      <c r="BV106" s="4" t="s">
        <v>71</v>
      </c>
      <c r="BW106" s="4" t="s">
        <v>70</v>
      </c>
      <c r="BX106" s="4" t="s">
        <v>71</v>
      </c>
      <c r="BY106" s="4" t="s">
        <v>71</v>
      </c>
      <c r="BZ106" s="4" t="s">
        <v>71</v>
      </c>
      <c r="CA106" s="4" t="s">
        <v>71</v>
      </c>
      <c r="CB106" s="4" t="s">
        <v>71</v>
      </c>
      <c r="CC106" s="4" t="s">
        <v>71</v>
      </c>
      <c r="CD106" s="4" t="s">
        <v>71</v>
      </c>
      <c r="CE106" s="4" t="s">
        <v>71</v>
      </c>
      <c r="CF106" s="4" t="s">
        <v>71</v>
      </c>
      <c r="CG106" s="4" t="s">
        <v>71</v>
      </c>
      <c r="CH106" s="4" t="s">
        <v>70</v>
      </c>
      <c r="CI106" s="4" t="s">
        <v>71</v>
      </c>
      <c r="CJ106" s="4" t="s">
        <v>71</v>
      </c>
      <c r="CK106" s="4" t="s">
        <v>71</v>
      </c>
      <c r="CL106" s="4" t="s">
        <v>71</v>
      </c>
      <c r="CM106" s="4" t="s">
        <v>70</v>
      </c>
      <c r="CN106" s="4" t="s">
        <v>71</v>
      </c>
      <c r="CO106" s="4" t="s">
        <v>71</v>
      </c>
      <c r="CP106" s="4" t="s">
        <v>305</v>
      </c>
    </row>
    <row r="107" spans="1:94" x14ac:dyDescent="0.25">
      <c r="A107" s="3">
        <v>45006.405131215273</v>
      </c>
      <c r="B107" s="4" t="s">
        <v>649</v>
      </c>
      <c r="C107" s="4" t="s">
        <v>650</v>
      </c>
      <c r="D107" s="5" t="s">
        <v>651</v>
      </c>
      <c r="E107" s="4" t="s">
        <v>62</v>
      </c>
      <c r="F107" s="4" t="s">
        <v>652</v>
      </c>
      <c r="G107" s="4" t="s">
        <v>64</v>
      </c>
      <c r="H107" s="4" t="s">
        <v>653</v>
      </c>
      <c r="I107" s="4" t="s">
        <v>654</v>
      </c>
      <c r="J107" s="4" t="s">
        <v>655</v>
      </c>
      <c r="K107" s="4" t="s">
        <v>649</v>
      </c>
      <c r="L107" s="4" t="s">
        <v>656</v>
      </c>
      <c r="M107" s="4" t="s">
        <v>361</v>
      </c>
      <c r="N107" s="4">
        <v>34</v>
      </c>
      <c r="O107" s="4" t="s">
        <v>69</v>
      </c>
      <c r="P107" s="4">
        <v>3</v>
      </c>
      <c r="Q107" s="4">
        <v>3</v>
      </c>
      <c r="R107" s="4">
        <v>0</v>
      </c>
      <c r="T107" s="4" t="s">
        <v>70</v>
      </c>
      <c r="U107" s="4" t="s">
        <v>70</v>
      </c>
      <c r="V107" s="6" t="s">
        <v>73</v>
      </c>
      <c r="BS107" s="4" t="s">
        <v>70</v>
      </c>
      <c r="BT107" s="4" t="s">
        <v>70</v>
      </c>
      <c r="BU107" s="4" t="s">
        <v>71</v>
      </c>
      <c r="BV107" s="4" t="s">
        <v>71</v>
      </c>
      <c r="BW107" s="4" t="s">
        <v>70</v>
      </c>
      <c r="BX107" s="4" t="s">
        <v>71</v>
      </c>
      <c r="BY107" s="4" t="s">
        <v>70</v>
      </c>
      <c r="BZ107" s="4" t="s">
        <v>71</v>
      </c>
      <c r="CA107" s="4" t="s">
        <v>71</v>
      </c>
      <c r="CE107" s="4" t="s">
        <v>70</v>
      </c>
      <c r="CK107" s="4" t="s">
        <v>70</v>
      </c>
    </row>
    <row r="108" spans="1:94" x14ac:dyDescent="0.25">
      <c r="A108" s="3">
        <v>45002.927558981479</v>
      </c>
      <c r="B108" s="4" t="s">
        <v>1143</v>
      </c>
      <c r="C108" s="4" t="s">
        <v>1144</v>
      </c>
      <c r="D108" s="5" t="s">
        <v>1145</v>
      </c>
      <c r="E108" s="4" t="s">
        <v>62</v>
      </c>
      <c r="F108" s="4" t="s">
        <v>1146</v>
      </c>
      <c r="G108" s="4" t="s">
        <v>64</v>
      </c>
      <c r="H108" s="4" t="s">
        <v>1147</v>
      </c>
      <c r="I108" s="4" t="s">
        <v>1148</v>
      </c>
      <c r="J108" s="4" t="s">
        <v>1149</v>
      </c>
      <c r="K108" s="4" t="s">
        <v>1143</v>
      </c>
      <c r="L108" s="4" t="s">
        <v>656</v>
      </c>
      <c r="M108" s="4" t="s">
        <v>411</v>
      </c>
      <c r="N108" s="4">
        <v>21</v>
      </c>
      <c r="O108" s="4" t="s">
        <v>69</v>
      </c>
      <c r="P108" s="4">
        <v>5</v>
      </c>
      <c r="Q108" s="4">
        <v>5</v>
      </c>
      <c r="R108" s="4">
        <v>0</v>
      </c>
      <c r="T108" s="4" t="s">
        <v>70</v>
      </c>
      <c r="U108" s="4" t="s">
        <v>70</v>
      </c>
      <c r="V108" s="6" t="s">
        <v>73</v>
      </c>
      <c r="BS108" s="4" t="s">
        <v>71</v>
      </c>
      <c r="BT108" s="4" t="s">
        <v>70</v>
      </c>
      <c r="BU108" s="4" t="s">
        <v>71</v>
      </c>
      <c r="BV108" s="4" t="s">
        <v>70</v>
      </c>
      <c r="BW108" s="4" t="s">
        <v>70</v>
      </c>
      <c r="BX108" s="4" t="s">
        <v>71</v>
      </c>
      <c r="BY108" s="4" t="s">
        <v>71</v>
      </c>
      <c r="BZ108" s="4" t="s">
        <v>71</v>
      </c>
      <c r="CA108" s="4" t="s">
        <v>71</v>
      </c>
      <c r="CB108" s="4" t="s">
        <v>71</v>
      </c>
      <c r="CC108" s="4" t="s">
        <v>71</v>
      </c>
      <c r="CD108" s="4" t="s">
        <v>71</v>
      </c>
      <c r="CE108" s="4" t="s">
        <v>71</v>
      </c>
      <c r="CF108" s="4" t="s">
        <v>71</v>
      </c>
      <c r="CG108" s="4" t="s">
        <v>71</v>
      </c>
      <c r="CH108" s="4" t="s">
        <v>71</v>
      </c>
      <c r="CI108" s="4" t="s">
        <v>71</v>
      </c>
      <c r="CJ108" s="4" t="s">
        <v>71</v>
      </c>
      <c r="CK108" s="4" t="s">
        <v>71</v>
      </c>
      <c r="CL108" s="4" t="s">
        <v>70</v>
      </c>
      <c r="CM108" s="4" t="s">
        <v>71</v>
      </c>
      <c r="CN108" s="4" t="s">
        <v>71</v>
      </c>
      <c r="CO108" s="4" t="s">
        <v>71</v>
      </c>
    </row>
    <row r="109" spans="1:94" x14ac:dyDescent="0.25">
      <c r="A109" s="3">
        <v>45005.480772754629</v>
      </c>
      <c r="B109" s="4" t="s">
        <v>986</v>
      </c>
      <c r="C109" s="4" t="s">
        <v>987</v>
      </c>
      <c r="D109" s="5" t="s">
        <v>988</v>
      </c>
      <c r="E109" s="4" t="s">
        <v>149</v>
      </c>
      <c r="F109" s="4" t="s">
        <v>384</v>
      </c>
      <c r="G109" s="4" t="s">
        <v>64</v>
      </c>
      <c r="H109" s="4" t="s">
        <v>989</v>
      </c>
      <c r="I109" s="4" t="s">
        <v>990</v>
      </c>
      <c r="K109" s="4" t="s">
        <v>986</v>
      </c>
      <c r="L109" s="4" t="s">
        <v>656</v>
      </c>
      <c r="M109" s="4" t="s">
        <v>592</v>
      </c>
      <c r="N109" s="4">
        <v>35</v>
      </c>
      <c r="O109" s="4" t="s">
        <v>69</v>
      </c>
      <c r="P109" s="4">
        <v>5</v>
      </c>
      <c r="Q109" s="4">
        <v>1</v>
      </c>
      <c r="R109" s="4">
        <v>0</v>
      </c>
      <c r="S109" s="4" t="s">
        <v>991</v>
      </c>
      <c r="T109" s="4" t="s">
        <v>70</v>
      </c>
      <c r="U109" s="4" t="s">
        <v>70</v>
      </c>
      <c r="V109" s="6" t="s">
        <v>73</v>
      </c>
      <c r="BS109" s="4" t="s">
        <v>71</v>
      </c>
      <c r="BT109" s="4" t="s">
        <v>70</v>
      </c>
      <c r="BU109" s="4" t="s">
        <v>71</v>
      </c>
      <c r="BV109" s="4" t="s">
        <v>71</v>
      </c>
      <c r="BW109" s="4" t="s">
        <v>71</v>
      </c>
      <c r="BX109" s="4" t="s">
        <v>71</v>
      </c>
      <c r="BY109" s="4" t="s">
        <v>70</v>
      </c>
      <c r="BZ109" s="4" t="s">
        <v>71</v>
      </c>
      <c r="CA109" s="4" t="s">
        <v>71</v>
      </c>
      <c r="CB109" s="4" t="s">
        <v>70</v>
      </c>
      <c r="CC109" s="4" t="s">
        <v>71</v>
      </c>
      <c r="CD109" s="4" t="s">
        <v>71</v>
      </c>
      <c r="CE109" s="4" t="s">
        <v>71</v>
      </c>
      <c r="CF109" s="4" t="s">
        <v>71</v>
      </c>
      <c r="CG109" s="4" t="s">
        <v>71</v>
      </c>
      <c r="CH109" s="4" t="s">
        <v>70</v>
      </c>
      <c r="CI109" s="4" t="s">
        <v>71</v>
      </c>
      <c r="CJ109" s="4" t="s">
        <v>71</v>
      </c>
      <c r="CK109" s="4" t="s">
        <v>71</v>
      </c>
      <c r="CL109" s="4" t="s">
        <v>71</v>
      </c>
      <c r="CM109" s="4" t="s">
        <v>71</v>
      </c>
      <c r="CN109" s="4" t="s">
        <v>70</v>
      </c>
      <c r="CO109" s="4" t="s">
        <v>71</v>
      </c>
      <c r="CP109" s="4" t="s">
        <v>992</v>
      </c>
    </row>
    <row r="110" spans="1:94" x14ac:dyDescent="0.25">
      <c r="A110" s="3">
        <v>45005.509885416672</v>
      </c>
      <c r="B110" s="4" t="s">
        <v>728</v>
      </c>
      <c r="C110" s="4" t="s">
        <v>729</v>
      </c>
      <c r="D110" s="7" t="s">
        <v>730</v>
      </c>
      <c r="E110" s="4" t="s">
        <v>149</v>
      </c>
      <c r="F110" s="4" t="s">
        <v>731</v>
      </c>
      <c r="G110" s="4" t="s">
        <v>64</v>
      </c>
      <c r="H110" s="4" t="s">
        <v>732</v>
      </c>
      <c r="I110" s="4" t="s">
        <v>733</v>
      </c>
      <c r="J110" s="4" t="s">
        <v>734</v>
      </c>
      <c r="K110" s="4" t="s">
        <v>728</v>
      </c>
      <c r="L110" s="4" t="s">
        <v>656</v>
      </c>
      <c r="M110" s="4" t="s">
        <v>423</v>
      </c>
      <c r="N110" s="4">
        <v>40</v>
      </c>
      <c r="O110" s="4" t="s">
        <v>69</v>
      </c>
      <c r="P110" s="4">
        <v>3</v>
      </c>
      <c r="Q110" s="4">
        <v>3</v>
      </c>
      <c r="R110" s="4">
        <v>50</v>
      </c>
      <c r="S110" s="4" t="s">
        <v>735</v>
      </c>
      <c r="T110" s="4" t="s">
        <v>70</v>
      </c>
      <c r="U110" s="4" t="s">
        <v>70</v>
      </c>
      <c r="V110" s="6" t="s">
        <v>73</v>
      </c>
      <c r="BS110" s="4" t="s">
        <v>70</v>
      </c>
      <c r="BT110" s="4" t="s">
        <v>71</v>
      </c>
      <c r="BU110" s="4" t="s">
        <v>70</v>
      </c>
      <c r="BV110" s="4" t="s">
        <v>71</v>
      </c>
      <c r="BW110" s="4" t="s">
        <v>70</v>
      </c>
      <c r="BX110" s="4" t="s">
        <v>71</v>
      </c>
      <c r="BY110" s="4" t="s">
        <v>71</v>
      </c>
      <c r="BZ110" s="4" t="s">
        <v>71</v>
      </c>
      <c r="CA110" s="4" t="s">
        <v>71</v>
      </c>
      <c r="CB110" s="4" t="s">
        <v>71</v>
      </c>
      <c r="CC110" s="4" t="s">
        <v>71</v>
      </c>
      <c r="CD110" s="4" t="s">
        <v>70</v>
      </c>
      <c r="CE110" s="4" t="s">
        <v>71</v>
      </c>
      <c r="CF110" s="4" t="s">
        <v>71</v>
      </c>
      <c r="CG110" s="4" t="s">
        <v>71</v>
      </c>
      <c r="CH110" s="4" t="s">
        <v>71</v>
      </c>
      <c r="CI110" s="4" t="s">
        <v>71</v>
      </c>
      <c r="CJ110" s="4" t="s">
        <v>71</v>
      </c>
      <c r="CK110" s="4" t="s">
        <v>70</v>
      </c>
      <c r="CL110" s="4" t="s">
        <v>71</v>
      </c>
      <c r="CM110" s="4" t="s">
        <v>71</v>
      </c>
      <c r="CN110" s="4" t="s">
        <v>71</v>
      </c>
      <c r="CO110" s="4" t="s">
        <v>71</v>
      </c>
    </row>
    <row r="111" spans="1:94" x14ac:dyDescent="0.25">
      <c r="A111" s="3">
        <v>45006.468651608797</v>
      </c>
      <c r="B111" s="4" t="s">
        <v>1153</v>
      </c>
      <c r="C111" s="4" t="s">
        <v>1154</v>
      </c>
      <c r="D111" s="5" t="s">
        <v>1155</v>
      </c>
      <c r="E111" s="4" t="s">
        <v>149</v>
      </c>
      <c r="F111" s="4" t="s">
        <v>205</v>
      </c>
      <c r="G111" s="4" t="s">
        <v>64</v>
      </c>
      <c r="H111" s="4" t="s">
        <v>1156</v>
      </c>
      <c r="I111" s="4" t="s">
        <v>1157</v>
      </c>
      <c r="K111" s="4" t="s">
        <v>1153</v>
      </c>
      <c r="L111" s="4" t="s">
        <v>656</v>
      </c>
      <c r="M111" s="4" t="s">
        <v>710</v>
      </c>
      <c r="N111" s="4">
        <v>25</v>
      </c>
      <c r="O111" s="4" t="s">
        <v>69</v>
      </c>
      <c r="P111" s="4">
        <v>4</v>
      </c>
      <c r="Q111" s="4">
        <v>1</v>
      </c>
      <c r="R111" s="4">
        <v>75</v>
      </c>
      <c r="T111" s="4" t="s">
        <v>70</v>
      </c>
      <c r="U111" s="4" t="s">
        <v>70</v>
      </c>
      <c r="V111" s="6" t="s">
        <v>145</v>
      </c>
      <c r="W111" s="4" t="s">
        <v>70</v>
      </c>
      <c r="X111" s="4" t="s">
        <v>71</v>
      </c>
      <c r="Y111" s="4" t="s">
        <v>71</v>
      </c>
      <c r="Z111" s="4" t="s">
        <v>71</v>
      </c>
      <c r="AA111" s="4" t="s">
        <v>71</v>
      </c>
      <c r="AB111" s="4" t="s">
        <v>71</v>
      </c>
      <c r="AC111" s="4" t="s">
        <v>70</v>
      </c>
      <c r="AD111" s="4" t="s">
        <v>71</v>
      </c>
      <c r="AE111" s="4" t="s">
        <v>71</v>
      </c>
      <c r="AF111" s="4" t="s">
        <v>71</v>
      </c>
      <c r="AG111" s="4" t="s">
        <v>71</v>
      </c>
      <c r="AH111" s="4" t="s">
        <v>70</v>
      </c>
      <c r="AI111" s="4" t="s">
        <v>71</v>
      </c>
      <c r="AJ111" s="4" t="s">
        <v>71</v>
      </c>
      <c r="AK111" s="4" t="s">
        <v>71</v>
      </c>
      <c r="AL111" s="4" t="s">
        <v>70</v>
      </c>
      <c r="AM111" s="4" t="s">
        <v>71</v>
      </c>
      <c r="AN111" s="4" t="s">
        <v>71</v>
      </c>
      <c r="AO111" s="4" t="s">
        <v>71</v>
      </c>
      <c r="AP111" s="4" t="s">
        <v>71</v>
      </c>
      <c r="AQ111" s="4" t="s">
        <v>71</v>
      </c>
      <c r="AR111" s="4" t="s">
        <v>71</v>
      </c>
      <c r="AS111" s="4" t="s">
        <v>71</v>
      </c>
      <c r="AT111" s="4" t="s">
        <v>1158</v>
      </c>
    </row>
    <row r="112" spans="1:94" x14ac:dyDescent="0.25">
      <c r="A112" s="3">
        <v>45006.483010752316</v>
      </c>
      <c r="B112" s="4" t="s">
        <v>1159</v>
      </c>
      <c r="C112" s="4" t="s">
        <v>1160</v>
      </c>
      <c r="D112" s="5" t="s">
        <v>1155</v>
      </c>
      <c r="E112" s="4" t="s">
        <v>149</v>
      </c>
      <c r="F112" s="4" t="s">
        <v>1004</v>
      </c>
      <c r="G112" s="4" t="s">
        <v>64</v>
      </c>
      <c r="H112" s="4" t="s">
        <v>1161</v>
      </c>
      <c r="I112" s="4" t="s">
        <v>1156</v>
      </c>
      <c r="K112" s="4" t="s">
        <v>1159</v>
      </c>
      <c r="L112" s="4" t="s">
        <v>656</v>
      </c>
      <c r="M112" s="4" t="s">
        <v>710</v>
      </c>
      <c r="N112" s="4">
        <v>25</v>
      </c>
      <c r="O112" s="4" t="s">
        <v>69</v>
      </c>
      <c r="P112" s="4">
        <v>4</v>
      </c>
      <c r="Q112" s="4">
        <v>1</v>
      </c>
      <c r="R112" s="4">
        <v>75</v>
      </c>
      <c r="T112" s="4" t="s">
        <v>70</v>
      </c>
      <c r="U112" s="4" t="s">
        <v>70</v>
      </c>
      <c r="V112" s="6" t="s">
        <v>145</v>
      </c>
      <c r="W112" s="4" t="s">
        <v>70</v>
      </c>
      <c r="X112" s="4" t="s">
        <v>71</v>
      </c>
      <c r="Y112" s="4" t="s">
        <v>71</v>
      </c>
      <c r="Z112" s="4" t="s">
        <v>71</v>
      </c>
      <c r="AA112" s="4" t="s">
        <v>71</v>
      </c>
      <c r="AB112" s="4" t="s">
        <v>71</v>
      </c>
      <c r="AC112" s="4" t="s">
        <v>70</v>
      </c>
      <c r="AD112" s="4" t="s">
        <v>71</v>
      </c>
      <c r="AE112" s="4" t="s">
        <v>71</v>
      </c>
      <c r="AF112" s="4" t="s">
        <v>71</v>
      </c>
      <c r="AG112" s="4" t="s">
        <v>71</v>
      </c>
      <c r="AH112" s="4" t="s">
        <v>70</v>
      </c>
      <c r="AI112" s="4" t="s">
        <v>71</v>
      </c>
      <c r="AJ112" s="4" t="s">
        <v>71</v>
      </c>
      <c r="AK112" s="4" t="s">
        <v>71</v>
      </c>
      <c r="AL112" s="4" t="s">
        <v>70</v>
      </c>
      <c r="AM112" s="4" t="s">
        <v>71</v>
      </c>
      <c r="AN112" s="4" t="s">
        <v>71</v>
      </c>
      <c r="AO112" s="4" t="s">
        <v>71</v>
      </c>
      <c r="AP112" s="4" t="s">
        <v>71</v>
      </c>
      <c r="AQ112" s="4" t="s">
        <v>71</v>
      </c>
      <c r="AR112" s="4" t="s">
        <v>70</v>
      </c>
      <c r="AS112" s="4" t="s">
        <v>71</v>
      </c>
      <c r="AT112" s="4" t="s">
        <v>1162</v>
      </c>
    </row>
    <row r="113" spans="1:94" x14ac:dyDescent="0.25">
      <c r="A113" s="3">
        <v>45002.557698680554</v>
      </c>
      <c r="B113" s="4" t="s">
        <v>1014</v>
      </c>
      <c r="C113" s="4" t="s">
        <v>1015</v>
      </c>
      <c r="D113" s="5" t="s">
        <v>1016</v>
      </c>
      <c r="E113" s="4" t="s">
        <v>149</v>
      </c>
      <c r="F113" s="4" t="s">
        <v>1017</v>
      </c>
      <c r="G113" s="4" t="s">
        <v>105</v>
      </c>
      <c r="H113" s="4" t="s">
        <v>1018</v>
      </c>
      <c r="I113" s="4" t="s">
        <v>1019</v>
      </c>
      <c r="K113" s="4" t="s">
        <v>1014</v>
      </c>
      <c r="L113" s="4" t="s">
        <v>656</v>
      </c>
      <c r="M113" s="4" t="s">
        <v>617</v>
      </c>
      <c r="N113" s="4">
        <v>35</v>
      </c>
      <c r="O113" s="4" t="s">
        <v>69</v>
      </c>
      <c r="P113" s="4">
        <v>3</v>
      </c>
      <c r="Q113" s="4">
        <v>1</v>
      </c>
      <c r="R113" s="4">
        <v>75</v>
      </c>
      <c r="T113" s="4" t="s">
        <v>70</v>
      </c>
      <c r="U113" s="4" t="s">
        <v>71</v>
      </c>
      <c r="V113" s="6" t="s">
        <v>73</v>
      </c>
      <c r="BS113" s="4" t="s">
        <v>70</v>
      </c>
      <c r="BT113" s="4" t="s">
        <v>70</v>
      </c>
      <c r="BU113" s="4" t="s">
        <v>71</v>
      </c>
      <c r="BV113" s="4" t="s">
        <v>71</v>
      </c>
      <c r="BW113" s="4" t="s">
        <v>70</v>
      </c>
      <c r="BX113" s="4" t="s">
        <v>71</v>
      </c>
      <c r="BY113" s="4" t="s">
        <v>70</v>
      </c>
      <c r="BZ113" s="4" t="s">
        <v>70</v>
      </c>
      <c r="CA113" s="4" t="s">
        <v>70</v>
      </c>
      <c r="CD113" s="4" t="s">
        <v>70</v>
      </c>
      <c r="CJ113" s="4" t="s">
        <v>70</v>
      </c>
      <c r="CO113" s="4" t="s">
        <v>70</v>
      </c>
    </row>
    <row r="114" spans="1:94" x14ac:dyDescent="0.25">
      <c r="A114" s="3">
        <v>45001.666592256945</v>
      </c>
      <c r="B114" s="4" t="s">
        <v>736</v>
      </c>
      <c r="C114" s="4" t="s">
        <v>737</v>
      </c>
      <c r="D114" s="5" t="s">
        <v>738</v>
      </c>
      <c r="E114" s="4" t="s">
        <v>103</v>
      </c>
      <c r="F114" s="4" t="s">
        <v>739</v>
      </c>
      <c r="G114" s="4" t="s">
        <v>64</v>
      </c>
      <c r="H114" s="4" t="s">
        <v>740</v>
      </c>
      <c r="I114" s="4" t="s">
        <v>741</v>
      </c>
      <c r="J114" s="4" t="s">
        <v>742</v>
      </c>
      <c r="K114" s="4" t="s">
        <v>736</v>
      </c>
      <c r="L114" s="4" t="s">
        <v>656</v>
      </c>
      <c r="M114" s="4" t="s">
        <v>432</v>
      </c>
      <c r="N114" s="4">
        <v>31</v>
      </c>
      <c r="O114" s="4" t="s">
        <v>97</v>
      </c>
      <c r="P114" s="4">
        <v>5</v>
      </c>
      <c r="Q114" s="4">
        <v>5</v>
      </c>
      <c r="R114" s="4">
        <v>0</v>
      </c>
      <c r="T114" s="4" t="s">
        <v>70</v>
      </c>
      <c r="U114" s="4" t="s">
        <v>70</v>
      </c>
      <c r="V114" s="6" t="s">
        <v>145</v>
      </c>
      <c r="W114" s="4" t="s">
        <v>70</v>
      </c>
      <c r="X114" s="4" t="s">
        <v>70</v>
      </c>
      <c r="Y114" s="4" t="s">
        <v>71</v>
      </c>
      <c r="Z114" s="4" t="s">
        <v>71</v>
      </c>
      <c r="AA114" s="4" t="s">
        <v>71</v>
      </c>
      <c r="AB114" s="4" t="s">
        <v>71</v>
      </c>
      <c r="AC114" s="4" t="s">
        <v>70</v>
      </c>
      <c r="AD114" s="4" t="s">
        <v>71</v>
      </c>
      <c r="AE114" s="4" t="s">
        <v>71</v>
      </c>
      <c r="AN114" s="4" t="s">
        <v>70</v>
      </c>
    </row>
    <row r="115" spans="1:94" x14ac:dyDescent="0.25">
      <c r="A115" s="3">
        <v>45000.968363298613</v>
      </c>
      <c r="B115" s="4" t="s">
        <v>443</v>
      </c>
      <c r="C115" s="4" t="s">
        <v>444</v>
      </c>
      <c r="D115" s="7" t="s">
        <v>445</v>
      </c>
      <c r="E115" s="4" t="s">
        <v>103</v>
      </c>
      <c r="F115" s="4" t="s">
        <v>446</v>
      </c>
      <c r="G115" s="4" t="s">
        <v>105</v>
      </c>
      <c r="H115" s="4" t="s">
        <v>447</v>
      </c>
      <c r="I115" s="4" t="s">
        <v>448</v>
      </c>
      <c r="J115" s="4" t="s">
        <v>449</v>
      </c>
      <c r="K115" s="4" t="s">
        <v>443</v>
      </c>
      <c r="L115" s="4" t="s">
        <v>67</v>
      </c>
      <c r="M115" s="4" t="s">
        <v>290</v>
      </c>
      <c r="N115" s="4">
        <v>28</v>
      </c>
      <c r="O115" s="4" t="s">
        <v>97</v>
      </c>
      <c r="P115" s="4">
        <v>5</v>
      </c>
      <c r="Q115" s="4">
        <v>5</v>
      </c>
      <c r="R115" s="4">
        <v>7</v>
      </c>
      <c r="S115" s="4" t="s">
        <v>449</v>
      </c>
      <c r="T115" s="4" t="s">
        <v>70</v>
      </c>
      <c r="U115" s="4" t="s">
        <v>71</v>
      </c>
      <c r="V115" s="6" t="s">
        <v>99</v>
      </c>
      <c r="AU115" s="4" t="s">
        <v>70</v>
      </c>
      <c r="AV115" s="4" t="s">
        <v>71</v>
      </c>
      <c r="AW115" s="4" t="s">
        <v>71</v>
      </c>
      <c r="AX115" s="4" t="s">
        <v>71</v>
      </c>
      <c r="AY115" s="4" t="s">
        <v>71</v>
      </c>
      <c r="AZ115" s="4" t="s">
        <v>70</v>
      </c>
      <c r="BA115" s="4" t="s">
        <v>71</v>
      </c>
      <c r="BB115" s="4" t="s">
        <v>71</v>
      </c>
      <c r="BC115" s="4" t="s">
        <v>71</v>
      </c>
      <c r="BD115" s="4" t="s">
        <v>71</v>
      </c>
      <c r="BE115" s="4" t="s">
        <v>70</v>
      </c>
      <c r="BF115" s="4" t="s">
        <v>71</v>
      </c>
      <c r="BG115" s="4" t="s">
        <v>71</v>
      </c>
      <c r="BH115" s="4" t="s">
        <v>71</v>
      </c>
      <c r="BI115" s="4" t="s">
        <v>71</v>
      </c>
      <c r="BJ115" s="4" t="s">
        <v>71</v>
      </c>
      <c r="BK115" s="4" t="s">
        <v>70</v>
      </c>
      <c r="BL115" s="4" t="s">
        <v>71</v>
      </c>
      <c r="BM115" s="4" t="s">
        <v>71</v>
      </c>
      <c r="BN115" s="4" t="s">
        <v>71</v>
      </c>
      <c r="BO115" s="4" t="s">
        <v>71</v>
      </c>
      <c r="BP115" s="4" t="s">
        <v>71</v>
      </c>
      <c r="BQ115" s="4" t="s">
        <v>71</v>
      </c>
    </row>
    <row r="116" spans="1:94" x14ac:dyDescent="0.25">
      <c r="A116" s="3">
        <v>45001.434614201389</v>
      </c>
      <c r="B116" s="4" t="s">
        <v>535</v>
      </c>
      <c r="C116" s="4" t="s">
        <v>536</v>
      </c>
      <c r="D116" s="7" t="s">
        <v>537</v>
      </c>
      <c r="E116" s="4" t="s">
        <v>103</v>
      </c>
      <c r="F116" s="4" t="s">
        <v>555</v>
      </c>
      <c r="G116" s="4" t="s">
        <v>64</v>
      </c>
      <c r="H116" s="4" t="s">
        <v>539</v>
      </c>
      <c r="I116" s="4" t="s">
        <v>540</v>
      </c>
      <c r="K116" s="4" t="s">
        <v>535</v>
      </c>
      <c r="L116" s="4" t="s">
        <v>67</v>
      </c>
      <c r="M116" s="4" t="s">
        <v>331</v>
      </c>
      <c r="N116" s="4">
        <v>34</v>
      </c>
      <c r="O116" s="4" t="s">
        <v>97</v>
      </c>
      <c r="P116" s="4">
        <v>4</v>
      </c>
      <c r="Q116" s="4">
        <v>3</v>
      </c>
      <c r="R116" s="4">
        <v>10</v>
      </c>
      <c r="S116" s="4" t="s">
        <v>559</v>
      </c>
      <c r="T116" s="4" t="s">
        <v>71</v>
      </c>
      <c r="U116" s="4" t="s">
        <v>70</v>
      </c>
      <c r="V116" s="6" t="s">
        <v>73</v>
      </c>
      <c r="BS116" s="4" t="s">
        <v>71</v>
      </c>
      <c r="BT116" s="4" t="s">
        <v>71</v>
      </c>
      <c r="BU116" s="4" t="s">
        <v>70</v>
      </c>
      <c r="BV116" s="4" t="s">
        <v>71</v>
      </c>
      <c r="BW116" s="4" t="s">
        <v>71</v>
      </c>
      <c r="BX116" s="4" t="s">
        <v>71</v>
      </c>
      <c r="BY116" s="4" t="s">
        <v>71</v>
      </c>
      <c r="BZ116" s="4" t="s">
        <v>70</v>
      </c>
      <c r="CA116" s="4" t="s">
        <v>70</v>
      </c>
      <c r="CB116" s="4" t="s">
        <v>71</v>
      </c>
      <c r="CC116" s="4" t="s">
        <v>71</v>
      </c>
      <c r="CD116" s="4" t="s">
        <v>71</v>
      </c>
      <c r="CE116" s="4" t="s">
        <v>70</v>
      </c>
      <c r="CF116" s="4" t="s">
        <v>70</v>
      </c>
      <c r="CG116" s="4" t="s">
        <v>71</v>
      </c>
      <c r="CH116" s="4" t="s">
        <v>71</v>
      </c>
      <c r="CI116" s="4" t="s">
        <v>71</v>
      </c>
      <c r="CJ116" s="4" t="s">
        <v>70</v>
      </c>
      <c r="CK116" s="4" t="s">
        <v>70</v>
      </c>
      <c r="CL116" s="4" t="s">
        <v>71</v>
      </c>
      <c r="CM116" s="4" t="s">
        <v>71</v>
      </c>
      <c r="CN116" s="4" t="s">
        <v>70</v>
      </c>
      <c r="CO116" s="4" t="s">
        <v>70</v>
      </c>
      <c r="CP116" s="4" t="s">
        <v>560</v>
      </c>
    </row>
    <row r="117" spans="1:94" x14ac:dyDescent="0.25">
      <c r="A117" s="3">
        <v>45003.473190891207</v>
      </c>
      <c r="B117" s="4" t="s">
        <v>332</v>
      </c>
      <c r="C117" s="4" t="s">
        <v>333</v>
      </c>
      <c r="D117" s="7" t="s">
        <v>327</v>
      </c>
      <c r="E117" s="4" t="s">
        <v>103</v>
      </c>
      <c r="F117" s="4" t="s">
        <v>334</v>
      </c>
      <c r="G117" s="4" t="s">
        <v>105</v>
      </c>
      <c r="H117" s="4" t="s">
        <v>335</v>
      </c>
      <c r="I117" s="4" t="s">
        <v>336</v>
      </c>
      <c r="J117" s="4" t="s">
        <v>337</v>
      </c>
      <c r="K117" s="4" t="s">
        <v>332</v>
      </c>
      <c r="L117" s="4" t="s">
        <v>67</v>
      </c>
      <c r="M117" s="4" t="s">
        <v>228</v>
      </c>
      <c r="N117" s="4">
        <v>35</v>
      </c>
      <c r="O117" s="4" t="s">
        <v>97</v>
      </c>
      <c r="P117" s="4">
        <v>4</v>
      </c>
      <c r="Q117" s="4">
        <v>4</v>
      </c>
      <c r="R117" s="4">
        <v>10</v>
      </c>
      <c r="T117" s="4" t="s">
        <v>70</v>
      </c>
      <c r="U117" s="4" t="s">
        <v>71</v>
      </c>
      <c r="V117" s="6" t="s">
        <v>73</v>
      </c>
      <c r="BS117" s="4" t="s">
        <v>70</v>
      </c>
      <c r="BT117" s="4" t="s">
        <v>71</v>
      </c>
      <c r="BU117" s="4" t="s">
        <v>71</v>
      </c>
      <c r="BV117" s="4" t="s">
        <v>71</v>
      </c>
      <c r="BW117" s="4" t="s">
        <v>70</v>
      </c>
      <c r="BX117" s="4" t="s">
        <v>71</v>
      </c>
      <c r="BY117" s="4" t="s">
        <v>70</v>
      </c>
      <c r="BZ117" s="4" t="s">
        <v>71</v>
      </c>
      <c r="CA117" s="4" t="s">
        <v>71</v>
      </c>
      <c r="CB117" s="4" t="s">
        <v>71</v>
      </c>
      <c r="CC117" s="4" t="s">
        <v>70</v>
      </c>
      <c r="CD117" s="4" t="s">
        <v>70</v>
      </c>
      <c r="CE117" s="4" t="s">
        <v>71</v>
      </c>
      <c r="CF117" s="4" t="s">
        <v>71</v>
      </c>
      <c r="CG117" s="4" t="s">
        <v>71</v>
      </c>
      <c r="CH117" s="4" t="s">
        <v>70</v>
      </c>
      <c r="CI117" s="4" t="s">
        <v>70</v>
      </c>
      <c r="CJ117" s="4" t="s">
        <v>71</v>
      </c>
      <c r="CK117" s="4" t="s">
        <v>71</v>
      </c>
      <c r="CL117" s="4" t="s">
        <v>70</v>
      </c>
      <c r="CM117" s="4" t="s">
        <v>70</v>
      </c>
      <c r="CN117" s="4" t="s">
        <v>71</v>
      </c>
      <c r="CO117" s="4" t="s">
        <v>71</v>
      </c>
    </row>
    <row r="118" spans="1:94" x14ac:dyDescent="0.25">
      <c r="A118" s="3">
        <v>45002.442378414351</v>
      </c>
      <c r="B118" s="4" t="s">
        <v>1181</v>
      </c>
      <c r="C118" s="4" t="s">
        <v>1182</v>
      </c>
      <c r="D118" s="7" t="s">
        <v>1183</v>
      </c>
      <c r="E118" s="4" t="s">
        <v>103</v>
      </c>
      <c r="F118" s="4" t="s">
        <v>384</v>
      </c>
      <c r="G118" s="4" t="s">
        <v>105</v>
      </c>
      <c r="H118" s="4" t="s">
        <v>1187</v>
      </c>
      <c r="I118" s="4" t="s">
        <v>1188</v>
      </c>
      <c r="J118" s="4" t="s">
        <v>1186</v>
      </c>
      <c r="K118" s="4" t="s">
        <v>1181</v>
      </c>
      <c r="L118" s="4" t="s">
        <v>656</v>
      </c>
      <c r="M118" s="4" t="s">
        <v>467</v>
      </c>
      <c r="N118" s="4">
        <v>22</v>
      </c>
      <c r="O118" s="4" t="s">
        <v>97</v>
      </c>
      <c r="P118" s="4">
        <v>4</v>
      </c>
      <c r="Q118" s="4">
        <v>3</v>
      </c>
      <c r="R118" s="4">
        <v>15</v>
      </c>
      <c r="T118" s="4" t="s">
        <v>70</v>
      </c>
      <c r="U118" s="4" t="s">
        <v>71</v>
      </c>
      <c r="V118" s="6" t="s">
        <v>73</v>
      </c>
      <c r="BS118" s="4" t="s">
        <v>70</v>
      </c>
      <c r="BT118" s="4" t="s">
        <v>70</v>
      </c>
      <c r="BU118" s="4" t="s">
        <v>71</v>
      </c>
      <c r="BV118" s="4" t="s">
        <v>70</v>
      </c>
      <c r="BW118" s="4" t="s">
        <v>70</v>
      </c>
      <c r="BX118" s="4" t="s">
        <v>71</v>
      </c>
      <c r="BY118" s="4" t="s">
        <v>71</v>
      </c>
      <c r="BZ118" s="4" t="s">
        <v>71</v>
      </c>
      <c r="CA118" s="4" t="s">
        <v>71</v>
      </c>
      <c r="CB118" s="4" t="s">
        <v>70</v>
      </c>
      <c r="CC118" s="4" t="s">
        <v>70</v>
      </c>
      <c r="CD118" s="4" t="s">
        <v>71</v>
      </c>
      <c r="CE118" s="4" t="s">
        <v>71</v>
      </c>
      <c r="CF118" s="4" t="s">
        <v>71</v>
      </c>
      <c r="CG118" s="4" t="s">
        <v>70</v>
      </c>
      <c r="CH118" s="4" t="s">
        <v>70</v>
      </c>
      <c r="CI118" s="4" t="s">
        <v>71</v>
      </c>
      <c r="CJ118" s="4" t="s">
        <v>71</v>
      </c>
      <c r="CK118" s="4" t="s">
        <v>71</v>
      </c>
      <c r="CL118" s="4" t="s">
        <v>70</v>
      </c>
      <c r="CM118" s="4" t="s">
        <v>71</v>
      </c>
      <c r="CN118" s="4" t="s">
        <v>71</v>
      </c>
      <c r="CO118" s="4" t="s">
        <v>71</v>
      </c>
    </row>
    <row r="119" spans="1:94" x14ac:dyDescent="0.25">
      <c r="A119" s="3">
        <v>45000.751942002316</v>
      </c>
      <c r="B119" s="4" t="s">
        <v>1035</v>
      </c>
      <c r="C119" s="4" t="s">
        <v>1036</v>
      </c>
      <c r="D119" s="7" t="s">
        <v>1037</v>
      </c>
      <c r="E119" s="4" t="s">
        <v>103</v>
      </c>
      <c r="F119" s="4" t="s">
        <v>104</v>
      </c>
      <c r="G119" s="4" t="s">
        <v>64</v>
      </c>
      <c r="H119" s="4" t="s">
        <v>1038</v>
      </c>
      <c r="I119" s="4" t="s">
        <v>1041</v>
      </c>
      <c r="J119" s="4" t="s">
        <v>1042</v>
      </c>
      <c r="K119" s="4" t="s">
        <v>1035</v>
      </c>
      <c r="L119" s="4" t="s">
        <v>656</v>
      </c>
      <c r="M119" s="4" t="s">
        <v>639</v>
      </c>
      <c r="N119" s="4">
        <v>35</v>
      </c>
      <c r="O119" s="4" t="s">
        <v>97</v>
      </c>
      <c r="P119" s="4">
        <v>5</v>
      </c>
      <c r="Q119" s="4">
        <v>1</v>
      </c>
      <c r="R119" s="4">
        <v>20</v>
      </c>
      <c r="T119" s="4" t="s">
        <v>70</v>
      </c>
      <c r="U119" s="4" t="s">
        <v>71</v>
      </c>
      <c r="V119" s="6" t="s">
        <v>145</v>
      </c>
      <c r="W119" s="4" t="s">
        <v>70</v>
      </c>
      <c r="X119" s="4" t="s">
        <v>71</v>
      </c>
      <c r="Y119" s="4" t="s">
        <v>71</v>
      </c>
      <c r="Z119" s="4" t="s">
        <v>71</v>
      </c>
      <c r="AA119" s="4" t="s">
        <v>70</v>
      </c>
      <c r="AB119" s="4" t="s">
        <v>70</v>
      </c>
      <c r="AC119" s="4" t="s">
        <v>70</v>
      </c>
      <c r="AD119" s="4" t="s">
        <v>71</v>
      </c>
      <c r="AE119" s="4" t="s">
        <v>71</v>
      </c>
      <c r="AF119" s="4" t="s">
        <v>71</v>
      </c>
      <c r="AG119" s="4" t="s">
        <v>70</v>
      </c>
      <c r="AH119" s="4" t="s">
        <v>70</v>
      </c>
      <c r="AI119" s="4" t="s">
        <v>71</v>
      </c>
      <c r="AJ119" s="4" t="s">
        <v>71</v>
      </c>
      <c r="AK119" s="4" t="s">
        <v>71</v>
      </c>
      <c r="AL119" s="4" t="s">
        <v>70</v>
      </c>
      <c r="AM119" s="4" t="s">
        <v>70</v>
      </c>
      <c r="AN119" s="4" t="s">
        <v>70</v>
      </c>
      <c r="AO119" s="4" t="s">
        <v>71</v>
      </c>
    </row>
    <row r="120" spans="1:94" x14ac:dyDescent="0.25">
      <c r="A120" s="3">
        <v>45005.612843923613</v>
      </c>
      <c r="B120" s="4" t="s">
        <v>451</v>
      </c>
      <c r="C120" s="4" t="s">
        <v>452</v>
      </c>
      <c r="D120" s="5" t="s">
        <v>453</v>
      </c>
      <c r="E120" s="4" t="s">
        <v>103</v>
      </c>
      <c r="F120" s="4" t="s">
        <v>454</v>
      </c>
      <c r="G120" s="4" t="s">
        <v>105</v>
      </c>
      <c r="H120" s="4" t="s">
        <v>455</v>
      </c>
      <c r="I120" s="4" t="s">
        <v>456</v>
      </c>
      <c r="J120" s="4" t="s">
        <v>457</v>
      </c>
      <c r="K120" s="4" t="s">
        <v>451</v>
      </c>
      <c r="L120" s="4" t="s">
        <v>67</v>
      </c>
      <c r="M120" s="4" t="s">
        <v>68</v>
      </c>
      <c r="N120" s="4">
        <v>40</v>
      </c>
      <c r="O120" s="4" t="s">
        <v>97</v>
      </c>
      <c r="P120" s="4">
        <v>4</v>
      </c>
      <c r="Q120" s="4">
        <v>4</v>
      </c>
      <c r="R120" s="4">
        <v>20</v>
      </c>
      <c r="S120" s="4" t="s">
        <v>459</v>
      </c>
      <c r="T120" s="4" t="s">
        <v>70</v>
      </c>
      <c r="U120" s="4" t="s">
        <v>71</v>
      </c>
      <c r="V120" s="6" t="s">
        <v>145</v>
      </c>
      <c r="W120" s="4" t="s">
        <v>70</v>
      </c>
      <c r="X120" s="4" t="s">
        <v>70</v>
      </c>
      <c r="Y120" s="4" t="s">
        <v>71</v>
      </c>
      <c r="Z120" s="4" t="s">
        <v>71</v>
      </c>
      <c r="AA120" s="4" t="s">
        <v>70</v>
      </c>
      <c r="AB120" s="4" t="s">
        <v>70</v>
      </c>
      <c r="AC120" s="4" t="s">
        <v>71</v>
      </c>
      <c r="AD120" s="4" t="s">
        <v>71</v>
      </c>
      <c r="AE120" s="4" t="s">
        <v>71</v>
      </c>
      <c r="AF120" s="4" t="s">
        <v>71</v>
      </c>
      <c r="AG120" s="4" t="s">
        <v>70</v>
      </c>
      <c r="AH120" s="4" t="s">
        <v>70</v>
      </c>
      <c r="AI120" s="4" t="s">
        <v>71</v>
      </c>
      <c r="AJ120" s="4" t="s">
        <v>71</v>
      </c>
      <c r="AK120" s="4" t="s">
        <v>71</v>
      </c>
      <c r="AL120" s="4" t="s">
        <v>70</v>
      </c>
      <c r="AM120" s="4" t="s">
        <v>70</v>
      </c>
      <c r="AN120" s="4" t="s">
        <v>71</v>
      </c>
      <c r="AO120" s="4" t="s">
        <v>71</v>
      </c>
      <c r="AP120" s="4" t="s">
        <v>70</v>
      </c>
      <c r="AQ120" s="4" t="s">
        <v>70</v>
      </c>
      <c r="AR120" s="4" t="s">
        <v>71</v>
      </c>
      <c r="AS120" s="4" t="s">
        <v>71</v>
      </c>
      <c r="AT120" s="4" t="s">
        <v>460</v>
      </c>
    </row>
    <row r="121" spans="1:94" x14ac:dyDescent="0.25">
      <c r="A121" s="3">
        <v>45000.715677233791</v>
      </c>
      <c r="B121" s="4" t="s">
        <v>434</v>
      </c>
      <c r="C121" s="4" t="s">
        <v>435</v>
      </c>
      <c r="D121" s="5" t="s">
        <v>436</v>
      </c>
      <c r="E121" s="4" t="s">
        <v>103</v>
      </c>
      <c r="F121" s="4" t="s">
        <v>437</v>
      </c>
      <c r="G121" s="4" t="s">
        <v>105</v>
      </c>
      <c r="H121" s="4" t="s">
        <v>166</v>
      </c>
      <c r="I121" s="4" t="s">
        <v>438</v>
      </c>
      <c r="J121" s="4" t="s">
        <v>439</v>
      </c>
      <c r="K121" s="4" t="s">
        <v>434</v>
      </c>
      <c r="L121" s="4" t="s">
        <v>67</v>
      </c>
      <c r="M121" s="4" t="s">
        <v>228</v>
      </c>
      <c r="N121" s="4">
        <v>28</v>
      </c>
      <c r="O121" s="4" t="s">
        <v>97</v>
      </c>
      <c r="P121" s="4">
        <v>3</v>
      </c>
      <c r="Q121" s="4">
        <v>2</v>
      </c>
      <c r="R121" s="4">
        <v>30</v>
      </c>
      <c r="S121" s="4" t="s">
        <v>441</v>
      </c>
      <c r="T121" s="4" t="s">
        <v>70</v>
      </c>
      <c r="U121" s="4" t="s">
        <v>71</v>
      </c>
      <c r="V121" s="6" t="s">
        <v>145</v>
      </c>
      <c r="W121" s="4" t="s">
        <v>70</v>
      </c>
      <c r="X121" s="4" t="s">
        <v>71</v>
      </c>
      <c r="Y121" s="4" t="s">
        <v>71</v>
      </c>
      <c r="Z121" s="4" t="s">
        <v>71</v>
      </c>
      <c r="AA121" s="4" t="s">
        <v>71</v>
      </c>
      <c r="AB121" s="4" t="s">
        <v>70</v>
      </c>
      <c r="AC121" s="4" t="s">
        <v>71</v>
      </c>
      <c r="AD121" s="4" t="s">
        <v>71</v>
      </c>
      <c r="AE121" s="4" t="s">
        <v>71</v>
      </c>
      <c r="AF121" s="4" t="s">
        <v>71</v>
      </c>
      <c r="AG121" s="4" t="s">
        <v>70</v>
      </c>
      <c r="AH121" s="4" t="s">
        <v>71</v>
      </c>
      <c r="AI121" s="4" t="s">
        <v>71</v>
      </c>
      <c r="AJ121" s="4" t="s">
        <v>71</v>
      </c>
      <c r="AK121" s="4" t="s">
        <v>71</v>
      </c>
      <c r="AL121" s="4" t="s">
        <v>71</v>
      </c>
      <c r="AM121" s="4" t="s">
        <v>70</v>
      </c>
      <c r="AN121" s="4" t="s">
        <v>71</v>
      </c>
      <c r="AO121" s="4" t="s">
        <v>71</v>
      </c>
      <c r="AP121" s="4" t="s">
        <v>71</v>
      </c>
      <c r="AQ121" s="4" t="s">
        <v>71</v>
      </c>
      <c r="AR121" s="4" t="s">
        <v>71</v>
      </c>
      <c r="AS121" s="4" t="s">
        <v>71</v>
      </c>
      <c r="AT121" s="4" t="s">
        <v>442</v>
      </c>
    </row>
    <row r="122" spans="1:94" x14ac:dyDescent="0.25">
      <c r="A122" s="3">
        <v>45003.65646859954</v>
      </c>
      <c r="B122" s="4" t="s">
        <v>461</v>
      </c>
      <c r="C122" s="4" t="s">
        <v>462</v>
      </c>
      <c r="D122" s="7" t="s">
        <v>463</v>
      </c>
      <c r="E122" s="4" t="s">
        <v>103</v>
      </c>
      <c r="F122" s="4" t="s">
        <v>157</v>
      </c>
      <c r="G122" s="4" t="s">
        <v>64</v>
      </c>
      <c r="H122" s="4" t="s">
        <v>469</v>
      </c>
      <c r="I122" s="4" t="s">
        <v>466</v>
      </c>
      <c r="J122" s="4" t="s">
        <v>465</v>
      </c>
      <c r="K122" s="4" t="s">
        <v>461</v>
      </c>
      <c r="L122" s="4" t="s">
        <v>67</v>
      </c>
      <c r="M122" s="4" t="s">
        <v>298</v>
      </c>
      <c r="N122" s="4">
        <v>35</v>
      </c>
      <c r="O122" s="4" t="s">
        <v>97</v>
      </c>
      <c r="P122" s="4">
        <v>3</v>
      </c>
      <c r="Q122" s="4">
        <v>3</v>
      </c>
      <c r="R122" s="4">
        <v>30</v>
      </c>
      <c r="S122" s="4" t="s">
        <v>471</v>
      </c>
      <c r="T122" s="4" t="s">
        <v>70</v>
      </c>
      <c r="U122" s="4" t="s">
        <v>70</v>
      </c>
      <c r="V122" s="6" t="s">
        <v>145</v>
      </c>
      <c r="W122" s="4" t="s">
        <v>70</v>
      </c>
      <c r="X122" s="4" t="s">
        <v>70</v>
      </c>
      <c r="Y122" s="4" t="s">
        <v>70</v>
      </c>
      <c r="Z122" s="4" t="s">
        <v>70</v>
      </c>
      <c r="AA122" s="4" t="s">
        <v>70</v>
      </c>
      <c r="AB122" s="4" t="s">
        <v>70</v>
      </c>
      <c r="AC122" s="4" t="s">
        <v>70</v>
      </c>
      <c r="AD122" s="4" t="s">
        <v>70</v>
      </c>
      <c r="AE122" s="4" t="s">
        <v>70</v>
      </c>
      <c r="AF122" s="4" t="s">
        <v>70</v>
      </c>
      <c r="AG122" s="4" t="s">
        <v>70</v>
      </c>
      <c r="AH122" s="4" t="s">
        <v>70</v>
      </c>
      <c r="AI122" s="4" t="s">
        <v>70</v>
      </c>
      <c r="AJ122" s="4" t="s">
        <v>70</v>
      </c>
      <c r="AK122" s="4" t="s">
        <v>70</v>
      </c>
      <c r="AL122" s="4" t="s">
        <v>70</v>
      </c>
      <c r="AM122" s="4" t="s">
        <v>70</v>
      </c>
      <c r="AN122" s="4" t="s">
        <v>70</v>
      </c>
      <c r="AO122" s="4" t="s">
        <v>70</v>
      </c>
      <c r="AP122" s="4" t="s">
        <v>70</v>
      </c>
      <c r="AQ122" s="4" t="s">
        <v>70</v>
      </c>
      <c r="AR122" s="4" t="s">
        <v>70</v>
      </c>
      <c r="AS122" s="4" t="s">
        <v>70</v>
      </c>
      <c r="AT122" s="4" t="s">
        <v>472</v>
      </c>
    </row>
    <row r="123" spans="1:94" x14ac:dyDescent="0.25">
      <c r="A123" s="3">
        <v>45000.840254699069</v>
      </c>
      <c r="B123" s="4" t="s">
        <v>483</v>
      </c>
      <c r="C123" s="4" t="s">
        <v>491</v>
      </c>
      <c r="D123" s="7" t="s">
        <v>485</v>
      </c>
      <c r="E123" s="4" t="s">
        <v>103</v>
      </c>
      <c r="F123" s="4" t="s">
        <v>486</v>
      </c>
      <c r="G123" s="4" t="s">
        <v>105</v>
      </c>
      <c r="H123" s="4" t="s">
        <v>487</v>
      </c>
      <c r="I123" s="4" t="s">
        <v>488</v>
      </c>
      <c r="J123" s="4" t="s">
        <v>489</v>
      </c>
      <c r="K123" s="4" t="s">
        <v>483</v>
      </c>
      <c r="L123" s="4" t="s">
        <v>67</v>
      </c>
      <c r="M123" s="4" t="s">
        <v>312</v>
      </c>
      <c r="N123" s="4">
        <v>16</v>
      </c>
      <c r="O123" s="4" t="s">
        <v>97</v>
      </c>
      <c r="P123" s="4">
        <v>3</v>
      </c>
      <c r="Q123" s="4">
        <v>3</v>
      </c>
      <c r="R123" s="4">
        <v>30</v>
      </c>
      <c r="T123" s="4" t="s">
        <v>70</v>
      </c>
      <c r="U123" s="4" t="s">
        <v>71</v>
      </c>
      <c r="V123" s="6" t="s">
        <v>145</v>
      </c>
      <c r="W123" s="4" t="s">
        <v>70</v>
      </c>
      <c r="X123" s="4" t="s">
        <v>71</v>
      </c>
      <c r="Y123" s="4" t="s">
        <v>71</v>
      </c>
      <c r="Z123" s="4" t="s">
        <v>71</v>
      </c>
      <c r="AA123" s="4" t="s">
        <v>70</v>
      </c>
      <c r="AB123" s="4" t="s">
        <v>71</v>
      </c>
      <c r="AC123" s="4" t="s">
        <v>71</v>
      </c>
      <c r="AD123" s="4" t="s">
        <v>71</v>
      </c>
      <c r="AE123" s="4" t="s">
        <v>71</v>
      </c>
      <c r="AF123" s="4" t="s">
        <v>71</v>
      </c>
      <c r="AG123" s="4" t="s">
        <v>71</v>
      </c>
      <c r="AH123" s="4" t="s">
        <v>70</v>
      </c>
      <c r="AI123" s="4" t="s">
        <v>71</v>
      </c>
      <c r="AJ123" s="4" t="s">
        <v>71</v>
      </c>
      <c r="AK123" s="4" t="s">
        <v>71</v>
      </c>
      <c r="AL123" s="4" t="s">
        <v>71</v>
      </c>
      <c r="AM123" s="4" t="s">
        <v>71</v>
      </c>
      <c r="AN123" s="4" t="s">
        <v>70</v>
      </c>
      <c r="AO123" s="4" t="s">
        <v>71</v>
      </c>
      <c r="AP123" s="4" t="s">
        <v>71</v>
      </c>
      <c r="AQ123" s="4" t="s">
        <v>71</v>
      </c>
      <c r="AR123" s="4" t="s">
        <v>70</v>
      </c>
      <c r="AS123" s="4" t="s">
        <v>71</v>
      </c>
    </row>
    <row r="124" spans="1:94" x14ac:dyDescent="0.25">
      <c r="A124" s="3">
        <v>45005.569103969909</v>
      </c>
      <c r="B124" s="4" t="s">
        <v>376</v>
      </c>
      <c r="C124" s="4" t="s">
        <v>377</v>
      </c>
      <c r="D124" s="5" t="s">
        <v>371</v>
      </c>
      <c r="E124" s="4" t="s">
        <v>103</v>
      </c>
      <c r="F124" s="4" t="s">
        <v>378</v>
      </c>
      <c r="G124" s="4" t="s">
        <v>105</v>
      </c>
      <c r="H124" s="4" t="s">
        <v>373</v>
      </c>
      <c r="I124" s="4" t="s">
        <v>374</v>
      </c>
      <c r="J124" s="4" t="s">
        <v>379</v>
      </c>
      <c r="K124" s="4" t="s">
        <v>376</v>
      </c>
      <c r="L124" s="4" t="s">
        <v>67</v>
      </c>
      <c r="M124" s="4" t="s">
        <v>267</v>
      </c>
      <c r="N124" s="4">
        <v>35</v>
      </c>
      <c r="O124" s="4" t="s">
        <v>97</v>
      </c>
      <c r="P124" s="4">
        <v>3</v>
      </c>
      <c r="Q124" s="4">
        <v>3</v>
      </c>
      <c r="R124" s="4">
        <v>40</v>
      </c>
      <c r="T124" s="4" t="s">
        <v>70</v>
      </c>
      <c r="U124" s="4" t="s">
        <v>71</v>
      </c>
      <c r="V124" s="6" t="s">
        <v>99</v>
      </c>
      <c r="AU124" s="4" t="s">
        <v>70</v>
      </c>
      <c r="AV124" s="4" t="s">
        <v>71</v>
      </c>
      <c r="AW124" s="4" t="s">
        <v>71</v>
      </c>
      <c r="AX124" s="4" t="s">
        <v>70</v>
      </c>
      <c r="AY124" s="4" t="s">
        <v>70</v>
      </c>
      <c r="AZ124" s="4" t="s">
        <v>70</v>
      </c>
      <c r="BA124" s="4" t="s">
        <v>71</v>
      </c>
      <c r="BB124" s="4" t="s">
        <v>71</v>
      </c>
      <c r="BC124" s="4" t="s">
        <v>71</v>
      </c>
      <c r="BD124" s="4" t="s">
        <v>70</v>
      </c>
      <c r="BE124" s="4" t="s">
        <v>70</v>
      </c>
      <c r="BF124" s="4" t="s">
        <v>70</v>
      </c>
      <c r="BG124" s="4" t="s">
        <v>71</v>
      </c>
      <c r="BH124" s="4" t="s">
        <v>71</v>
      </c>
      <c r="BI124" s="4" t="s">
        <v>70</v>
      </c>
      <c r="BJ124" s="4" t="s">
        <v>70</v>
      </c>
      <c r="BK124" s="4" t="s">
        <v>70</v>
      </c>
      <c r="BL124" s="4" t="s">
        <v>71</v>
      </c>
      <c r="BM124" s="4" t="s">
        <v>71</v>
      </c>
      <c r="BN124" s="4" t="s">
        <v>70</v>
      </c>
      <c r="BO124" s="4" t="s">
        <v>70</v>
      </c>
      <c r="BP124" s="4" t="s">
        <v>71</v>
      </c>
      <c r="BQ124" s="4" t="s">
        <v>71</v>
      </c>
    </row>
    <row r="125" spans="1:94" x14ac:dyDescent="0.25">
      <c r="A125" s="3">
        <v>45005.566541111111</v>
      </c>
      <c r="B125" s="4" t="s">
        <v>369</v>
      </c>
      <c r="C125" s="4" t="s">
        <v>370</v>
      </c>
      <c r="D125" s="5" t="s">
        <v>371</v>
      </c>
      <c r="E125" s="4" t="s">
        <v>103</v>
      </c>
      <c r="F125" s="4" t="s">
        <v>124</v>
      </c>
      <c r="G125" s="4" t="s">
        <v>105</v>
      </c>
      <c r="H125" s="4" t="s">
        <v>372</v>
      </c>
      <c r="I125" s="4" t="s">
        <v>373</v>
      </c>
      <c r="J125" s="4" t="s">
        <v>374</v>
      </c>
      <c r="K125" s="4" t="s">
        <v>369</v>
      </c>
      <c r="L125" s="4" t="s">
        <v>67</v>
      </c>
      <c r="M125" s="4" t="s">
        <v>259</v>
      </c>
      <c r="N125" s="4">
        <v>35</v>
      </c>
      <c r="O125" s="4" t="s">
        <v>97</v>
      </c>
      <c r="P125" s="4">
        <v>4</v>
      </c>
      <c r="Q125" s="4">
        <v>3</v>
      </c>
      <c r="R125" s="4">
        <v>40</v>
      </c>
      <c r="T125" s="4" t="s">
        <v>70</v>
      </c>
      <c r="U125" s="4" t="s">
        <v>71</v>
      </c>
      <c r="V125" s="6" t="s">
        <v>99</v>
      </c>
      <c r="AU125" s="4" t="s">
        <v>70</v>
      </c>
      <c r="AV125" s="4" t="s">
        <v>71</v>
      </c>
      <c r="AW125" s="4" t="s">
        <v>71</v>
      </c>
      <c r="AX125" s="4" t="s">
        <v>70</v>
      </c>
      <c r="AY125" s="4" t="s">
        <v>70</v>
      </c>
      <c r="AZ125" s="4" t="s">
        <v>70</v>
      </c>
      <c r="BA125" s="4" t="s">
        <v>71</v>
      </c>
      <c r="BB125" s="4" t="s">
        <v>71</v>
      </c>
      <c r="BC125" s="4" t="s">
        <v>71</v>
      </c>
      <c r="BD125" s="4" t="s">
        <v>70</v>
      </c>
      <c r="BE125" s="4" t="s">
        <v>70</v>
      </c>
      <c r="BF125" s="4" t="s">
        <v>70</v>
      </c>
      <c r="BG125" s="4" t="s">
        <v>71</v>
      </c>
      <c r="BH125" s="4" t="s">
        <v>71</v>
      </c>
      <c r="BI125" s="4" t="s">
        <v>70</v>
      </c>
      <c r="BJ125" s="4" t="s">
        <v>70</v>
      </c>
      <c r="BK125" s="4" t="s">
        <v>70</v>
      </c>
      <c r="BL125" s="4" t="s">
        <v>71</v>
      </c>
      <c r="BM125" s="4" t="s">
        <v>71</v>
      </c>
      <c r="BN125" s="4" t="s">
        <v>70</v>
      </c>
      <c r="BO125" s="4" t="s">
        <v>70</v>
      </c>
      <c r="BP125" s="4" t="s">
        <v>71</v>
      </c>
      <c r="BQ125" s="4" t="s">
        <v>71</v>
      </c>
    </row>
    <row r="126" spans="1:94" x14ac:dyDescent="0.25">
      <c r="A126" s="3">
        <v>45000.677367638884</v>
      </c>
      <c r="B126" s="4" t="s">
        <v>100</v>
      </c>
      <c r="C126" s="4" t="s">
        <v>101</v>
      </c>
      <c r="D126" s="7" t="s">
        <v>102</v>
      </c>
      <c r="E126" s="4" t="s">
        <v>103</v>
      </c>
      <c r="F126" s="4" t="s">
        <v>104</v>
      </c>
      <c r="G126" s="4" t="s">
        <v>105</v>
      </c>
      <c r="H126" s="4" t="s">
        <v>106</v>
      </c>
      <c r="I126" s="4" t="s">
        <v>107</v>
      </c>
      <c r="K126" s="4" t="s">
        <v>100</v>
      </c>
      <c r="L126" s="4" t="s">
        <v>67</v>
      </c>
      <c r="M126" s="4" t="s">
        <v>96</v>
      </c>
      <c r="N126" s="4">
        <v>25</v>
      </c>
      <c r="O126" s="4" t="s">
        <v>97</v>
      </c>
      <c r="P126" s="4">
        <v>3</v>
      </c>
      <c r="Q126" s="4">
        <v>3</v>
      </c>
      <c r="R126" s="4">
        <v>80</v>
      </c>
      <c r="T126" s="4" t="s">
        <v>70</v>
      </c>
      <c r="U126" s="4" t="s">
        <v>71</v>
      </c>
      <c r="V126" s="6" t="s">
        <v>99</v>
      </c>
      <c r="AU126" s="4" t="s">
        <v>71</v>
      </c>
      <c r="AV126" s="4" t="s">
        <v>70</v>
      </c>
      <c r="AW126" s="4" t="s">
        <v>71</v>
      </c>
      <c r="AX126" s="4" t="s">
        <v>71</v>
      </c>
      <c r="AY126" s="4" t="s">
        <v>71</v>
      </c>
      <c r="AZ126" s="4" t="s">
        <v>71</v>
      </c>
      <c r="BA126" s="4" t="s">
        <v>70</v>
      </c>
      <c r="BB126" s="4" t="s">
        <v>71</v>
      </c>
      <c r="BC126" s="4" t="s">
        <v>71</v>
      </c>
    </row>
    <row r="127" spans="1:94" x14ac:dyDescent="0.25">
      <c r="A127" s="3">
        <v>45000.679748055554</v>
      </c>
      <c r="B127" s="4" t="s">
        <v>100</v>
      </c>
      <c r="C127" s="4" t="s">
        <v>109</v>
      </c>
      <c r="D127" s="7" t="s">
        <v>102</v>
      </c>
      <c r="E127" s="4" t="s">
        <v>103</v>
      </c>
      <c r="F127" s="4" t="s">
        <v>110</v>
      </c>
      <c r="G127" s="4" t="s">
        <v>105</v>
      </c>
      <c r="H127" s="4" t="s">
        <v>111</v>
      </c>
      <c r="I127" s="4" t="s">
        <v>112</v>
      </c>
      <c r="J127" s="4" t="s">
        <v>113</v>
      </c>
      <c r="K127" s="4" t="s">
        <v>100</v>
      </c>
      <c r="L127" s="4" t="s">
        <v>67</v>
      </c>
      <c r="M127" s="4" t="s">
        <v>96</v>
      </c>
      <c r="N127" s="4">
        <v>25</v>
      </c>
      <c r="O127" s="4" t="s">
        <v>97</v>
      </c>
      <c r="P127" s="4">
        <v>3</v>
      </c>
      <c r="Q127" s="4">
        <v>3</v>
      </c>
      <c r="R127" s="4">
        <v>80</v>
      </c>
      <c r="T127" s="4" t="s">
        <v>71</v>
      </c>
      <c r="U127" s="4" t="s">
        <v>70</v>
      </c>
      <c r="V127" s="6" t="s">
        <v>99</v>
      </c>
      <c r="AU127" s="4" t="s">
        <v>71</v>
      </c>
      <c r="AV127" s="4" t="s">
        <v>71</v>
      </c>
      <c r="AW127" s="4" t="s">
        <v>70</v>
      </c>
      <c r="AX127" s="4" t="s">
        <v>71</v>
      </c>
      <c r="AY127" s="4" t="s">
        <v>71</v>
      </c>
      <c r="AZ127" s="4" t="s">
        <v>71</v>
      </c>
      <c r="BA127" s="4" t="s">
        <v>71</v>
      </c>
      <c r="BB127" s="4" t="s">
        <v>71</v>
      </c>
      <c r="BC127" s="4" t="s">
        <v>70</v>
      </c>
    </row>
    <row r="128" spans="1:94" x14ac:dyDescent="0.25">
      <c r="A128" s="3">
        <v>45005.920085729165</v>
      </c>
      <c r="B128" s="4" t="s">
        <v>1045</v>
      </c>
      <c r="C128" s="4" t="s">
        <v>1046</v>
      </c>
      <c r="D128" s="5" t="s">
        <v>1047</v>
      </c>
      <c r="E128" s="4" t="s">
        <v>103</v>
      </c>
      <c r="F128" s="4" t="s">
        <v>1048</v>
      </c>
      <c r="G128" s="4" t="s">
        <v>105</v>
      </c>
      <c r="H128" s="4" t="s">
        <v>1049</v>
      </c>
      <c r="I128" s="4" t="s">
        <v>1050</v>
      </c>
      <c r="J128" s="4" t="s">
        <v>1051</v>
      </c>
      <c r="K128" s="4" t="s">
        <v>1045</v>
      </c>
      <c r="L128" s="4" t="s">
        <v>656</v>
      </c>
      <c r="M128" s="4" t="s">
        <v>643</v>
      </c>
      <c r="N128" s="4">
        <v>28</v>
      </c>
      <c r="O128" s="4" t="s">
        <v>97</v>
      </c>
      <c r="P128" s="4">
        <v>3</v>
      </c>
      <c r="Q128" s="4">
        <v>3</v>
      </c>
      <c r="R128" s="4">
        <v>80</v>
      </c>
      <c r="T128" s="4" t="s">
        <v>70</v>
      </c>
      <c r="U128" s="4" t="s">
        <v>71</v>
      </c>
      <c r="V128" s="6" t="s">
        <v>73</v>
      </c>
      <c r="BS128" s="4" t="s">
        <v>70</v>
      </c>
      <c r="BT128" s="4" t="s">
        <v>70</v>
      </c>
      <c r="BU128" s="4" t="s">
        <v>70</v>
      </c>
      <c r="BV128" s="4" t="s">
        <v>71</v>
      </c>
      <c r="BW128" s="4" t="s">
        <v>71</v>
      </c>
      <c r="BX128" s="4" t="s">
        <v>70</v>
      </c>
      <c r="BY128" s="4" t="s">
        <v>70</v>
      </c>
      <c r="BZ128" s="4" t="s">
        <v>70</v>
      </c>
      <c r="CA128" s="4" t="s">
        <v>71</v>
      </c>
      <c r="CC128" s="4" t="s">
        <v>70</v>
      </c>
      <c r="CD128" s="4" t="s">
        <v>70</v>
      </c>
      <c r="CE128" s="4" t="s">
        <v>70</v>
      </c>
      <c r="CH128" s="4" t="s">
        <v>70</v>
      </c>
      <c r="CI128" s="4" t="s">
        <v>70</v>
      </c>
      <c r="CJ128" s="4" t="s">
        <v>70</v>
      </c>
      <c r="CL128" s="4" t="s">
        <v>70</v>
      </c>
      <c r="CM128" s="4" t="s">
        <v>70</v>
      </c>
      <c r="CN128" s="4" t="s">
        <v>70</v>
      </c>
    </row>
    <row r="129" spans="1:94" x14ac:dyDescent="0.25">
      <c r="A129" s="3">
        <v>45001.486748229167</v>
      </c>
      <c r="B129" s="4" t="s">
        <v>162</v>
      </c>
      <c r="C129" s="4" t="s">
        <v>163</v>
      </c>
      <c r="D129" s="5" t="s">
        <v>164</v>
      </c>
      <c r="E129" s="4" t="s">
        <v>62</v>
      </c>
      <c r="F129" s="4" t="s">
        <v>165</v>
      </c>
      <c r="G129" s="4" t="s">
        <v>64</v>
      </c>
      <c r="H129" s="4" t="s">
        <v>166</v>
      </c>
      <c r="I129" s="4" t="s">
        <v>167</v>
      </c>
      <c r="J129" s="4" t="s">
        <v>168</v>
      </c>
      <c r="K129" s="4" t="s">
        <v>162</v>
      </c>
      <c r="L129" s="4" t="s">
        <v>67</v>
      </c>
      <c r="M129" s="4" t="s">
        <v>144</v>
      </c>
      <c r="N129" s="4">
        <v>32</v>
      </c>
      <c r="O129" s="4" t="s">
        <v>97</v>
      </c>
      <c r="P129" s="4">
        <v>4</v>
      </c>
      <c r="Q129" s="4">
        <v>4</v>
      </c>
      <c r="R129" s="4">
        <v>0</v>
      </c>
      <c r="T129" s="4" t="s">
        <v>70</v>
      </c>
      <c r="U129" s="4" t="s">
        <v>71</v>
      </c>
      <c r="V129" s="6" t="s">
        <v>73</v>
      </c>
      <c r="BS129" s="4" t="s">
        <v>70</v>
      </c>
      <c r="BT129" s="4" t="s">
        <v>71</v>
      </c>
      <c r="BU129" s="4" t="s">
        <v>71</v>
      </c>
      <c r="BV129" s="4" t="s">
        <v>71</v>
      </c>
      <c r="BW129" s="4" t="s">
        <v>71</v>
      </c>
      <c r="BX129" s="4" t="s">
        <v>71</v>
      </c>
      <c r="BY129" s="4" t="s">
        <v>71</v>
      </c>
      <c r="BZ129" s="4" t="s">
        <v>71</v>
      </c>
      <c r="CA129" s="4" t="s">
        <v>71</v>
      </c>
      <c r="CB129" s="4" t="s">
        <v>71</v>
      </c>
      <c r="CC129" s="4" t="s">
        <v>70</v>
      </c>
      <c r="CD129" s="4" t="s">
        <v>71</v>
      </c>
      <c r="CE129" s="4" t="s">
        <v>71</v>
      </c>
      <c r="CF129" s="4" t="s">
        <v>71</v>
      </c>
      <c r="CG129" s="4" t="s">
        <v>71</v>
      </c>
      <c r="CH129" s="4" t="s">
        <v>71</v>
      </c>
      <c r="CI129" s="4" t="s">
        <v>70</v>
      </c>
      <c r="CJ129" s="4" t="s">
        <v>71</v>
      </c>
      <c r="CK129" s="4" t="s">
        <v>71</v>
      </c>
      <c r="CL129" s="4" t="s">
        <v>71</v>
      </c>
      <c r="CM129" s="4" t="s">
        <v>71</v>
      </c>
      <c r="CN129" s="4" t="s">
        <v>71</v>
      </c>
      <c r="CO129" s="4" t="s">
        <v>71</v>
      </c>
    </row>
    <row r="130" spans="1:94" x14ac:dyDescent="0.25">
      <c r="A130" s="3">
        <v>45001.648040856482</v>
      </c>
      <c r="B130" s="4" t="s">
        <v>162</v>
      </c>
      <c r="C130" s="4" t="s">
        <v>170</v>
      </c>
      <c r="D130" s="5" t="s">
        <v>164</v>
      </c>
      <c r="E130" s="4" t="s">
        <v>62</v>
      </c>
      <c r="F130" s="4" t="s">
        <v>165</v>
      </c>
      <c r="G130" s="4" t="s">
        <v>64</v>
      </c>
      <c r="H130" s="4" t="s">
        <v>172</v>
      </c>
      <c r="I130" s="4" t="s">
        <v>175</v>
      </c>
      <c r="J130" s="4" t="s">
        <v>173</v>
      </c>
      <c r="K130" s="4" t="s">
        <v>162</v>
      </c>
      <c r="L130" s="4" t="s">
        <v>67</v>
      </c>
      <c r="M130" s="4" t="s">
        <v>153</v>
      </c>
      <c r="N130" s="4">
        <v>30</v>
      </c>
      <c r="O130" s="4" t="s">
        <v>97</v>
      </c>
      <c r="P130" s="4">
        <v>4</v>
      </c>
      <c r="Q130" s="4">
        <v>4</v>
      </c>
      <c r="R130" s="4">
        <v>0</v>
      </c>
      <c r="S130" s="4" t="s">
        <v>177</v>
      </c>
      <c r="T130" s="4" t="s">
        <v>70</v>
      </c>
      <c r="U130" s="4" t="s">
        <v>71</v>
      </c>
      <c r="V130" s="6" t="s">
        <v>73</v>
      </c>
      <c r="BS130" s="4" t="s">
        <v>70</v>
      </c>
      <c r="BT130" s="4" t="s">
        <v>71</v>
      </c>
      <c r="BU130" s="4" t="s">
        <v>71</v>
      </c>
      <c r="BV130" s="4" t="s">
        <v>71</v>
      </c>
      <c r="BW130" s="4" t="s">
        <v>71</v>
      </c>
      <c r="BX130" s="4" t="s">
        <v>71</v>
      </c>
      <c r="BY130" s="4" t="s">
        <v>71</v>
      </c>
      <c r="BZ130" s="4" t="s">
        <v>71</v>
      </c>
      <c r="CA130" s="4" t="s">
        <v>71</v>
      </c>
      <c r="CB130" s="4" t="s">
        <v>71</v>
      </c>
      <c r="CC130" s="4" t="s">
        <v>70</v>
      </c>
      <c r="CD130" s="4" t="s">
        <v>71</v>
      </c>
      <c r="CE130" s="4" t="s">
        <v>71</v>
      </c>
      <c r="CF130" s="4" t="s">
        <v>71</v>
      </c>
      <c r="CG130" s="4" t="s">
        <v>71</v>
      </c>
      <c r="CH130" s="4" t="s">
        <v>71</v>
      </c>
      <c r="CI130" s="4" t="s">
        <v>70</v>
      </c>
      <c r="CJ130" s="4" t="s">
        <v>71</v>
      </c>
      <c r="CK130" s="4" t="s">
        <v>71</v>
      </c>
      <c r="CL130" s="4" t="s">
        <v>71</v>
      </c>
      <c r="CM130" s="4" t="s">
        <v>71</v>
      </c>
      <c r="CN130" s="4" t="s">
        <v>71</v>
      </c>
      <c r="CO130" s="4" t="s">
        <v>71</v>
      </c>
      <c r="CP130" s="4" t="s">
        <v>178</v>
      </c>
    </row>
    <row r="131" spans="1:94" x14ac:dyDescent="0.25">
      <c r="A131" s="3">
        <v>45001.488910428241</v>
      </c>
      <c r="B131" s="4" t="s">
        <v>162</v>
      </c>
      <c r="C131" s="4" t="s">
        <v>170</v>
      </c>
      <c r="D131" s="5" t="s">
        <v>164</v>
      </c>
      <c r="E131" s="4" t="s">
        <v>62</v>
      </c>
      <c r="F131" s="4" t="s">
        <v>171</v>
      </c>
      <c r="G131" s="4" t="s">
        <v>64</v>
      </c>
      <c r="H131" s="4" t="s">
        <v>172</v>
      </c>
      <c r="I131" s="4" t="s">
        <v>167</v>
      </c>
      <c r="J131" s="4" t="s">
        <v>173</v>
      </c>
      <c r="K131" s="4" t="s">
        <v>162</v>
      </c>
      <c r="L131" s="4" t="s">
        <v>67</v>
      </c>
      <c r="M131" s="4" t="s">
        <v>153</v>
      </c>
      <c r="N131" s="4">
        <v>32</v>
      </c>
      <c r="O131" s="4" t="s">
        <v>97</v>
      </c>
      <c r="P131" s="4">
        <v>4</v>
      </c>
      <c r="Q131" s="4">
        <v>4</v>
      </c>
      <c r="R131" s="4">
        <v>0</v>
      </c>
      <c r="T131" s="4" t="s">
        <v>70</v>
      </c>
      <c r="U131" s="4" t="s">
        <v>71</v>
      </c>
      <c r="V131" s="6" t="s">
        <v>73</v>
      </c>
      <c r="BS131" s="4" t="s">
        <v>70</v>
      </c>
      <c r="BT131" s="4" t="s">
        <v>71</v>
      </c>
      <c r="BU131" s="4" t="s">
        <v>71</v>
      </c>
      <c r="BV131" s="4" t="s">
        <v>71</v>
      </c>
      <c r="BW131" s="4" t="s">
        <v>71</v>
      </c>
      <c r="BX131" s="4" t="s">
        <v>71</v>
      </c>
      <c r="BY131" s="4" t="s">
        <v>71</v>
      </c>
      <c r="BZ131" s="4" t="s">
        <v>71</v>
      </c>
      <c r="CA131" s="4" t="s">
        <v>71</v>
      </c>
      <c r="CB131" s="4" t="s">
        <v>71</v>
      </c>
      <c r="CC131" s="4" t="s">
        <v>70</v>
      </c>
      <c r="CD131" s="4" t="s">
        <v>71</v>
      </c>
      <c r="CE131" s="4" t="s">
        <v>71</v>
      </c>
      <c r="CF131" s="4" t="s">
        <v>71</v>
      </c>
      <c r="CG131" s="4" t="s">
        <v>71</v>
      </c>
      <c r="CH131" s="4" t="s">
        <v>71</v>
      </c>
      <c r="CI131" s="4" t="s">
        <v>70</v>
      </c>
      <c r="CJ131" s="4" t="s">
        <v>71</v>
      </c>
      <c r="CK131" s="4" t="s">
        <v>71</v>
      </c>
      <c r="CL131" s="4" t="s">
        <v>71</v>
      </c>
      <c r="CM131" s="4" t="s">
        <v>71</v>
      </c>
      <c r="CN131" s="4" t="s">
        <v>71</v>
      </c>
      <c r="CO131" s="4" t="s">
        <v>71</v>
      </c>
    </row>
    <row r="132" spans="1:94" x14ac:dyDescent="0.25">
      <c r="A132" s="3">
        <v>45002.614078391205</v>
      </c>
      <c r="B132" s="4" t="s">
        <v>956</v>
      </c>
      <c r="C132" s="4" t="s">
        <v>957</v>
      </c>
      <c r="D132" s="5" t="s">
        <v>958</v>
      </c>
      <c r="E132" s="4" t="s">
        <v>62</v>
      </c>
      <c r="F132" s="4" t="s">
        <v>959</v>
      </c>
      <c r="G132" s="4" t="s">
        <v>64</v>
      </c>
      <c r="H132" s="4" t="s">
        <v>962</v>
      </c>
      <c r="I132" s="4" t="s">
        <v>963</v>
      </c>
      <c r="J132" s="4" t="s">
        <v>964</v>
      </c>
      <c r="K132" s="4" t="s">
        <v>956</v>
      </c>
      <c r="L132" s="4" t="s">
        <v>656</v>
      </c>
      <c r="M132" s="4" t="s">
        <v>567</v>
      </c>
      <c r="N132" s="4">
        <v>35</v>
      </c>
      <c r="O132" s="4" t="s">
        <v>97</v>
      </c>
      <c r="P132" s="4">
        <v>5</v>
      </c>
      <c r="Q132" s="4">
        <v>4</v>
      </c>
      <c r="R132" s="4">
        <v>0</v>
      </c>
      <c r="T132" s="4" t="s">
        <v>70</v>
      </c>
      <c r="U132" s="4" t="s">
        <v>71</v>
      </c>
      <c r="V132" s="6" t="s">
        <v>99</v>
      </c>
      <c r="AU132" s="4" t="s">
        <v>70</v>
      </c>
      <c r="AV132" s="4" t="s">
        <v>71</v>
      </c>
      <c r="AW132" s="4" t="s">
        <v>71</v>
      </c>
      <c r="AX132" s="4" t="s">
        <v>71</v>
      </c>
      <c r="AY132" s="4" t="s">
        <v>70</v>
      </c>
      <c r="AZ132" s="4" t="s">
        <v>70</v>
      </c>
      <c r="BA132" s="4" t="s">
        <v>71</v>
      </c>
      <c r="BB132" s="4" t="s">
        <v>71</v>
      </c>
      <c r="BC132" s="4" t="s">
        <v>71</v>
      </c>
      <c r="BD132" s="4" t="s">
        <v>71</v>
      </c>
      <c r="BE132" s="4" t="s">
        <v>70</v>
      </c>
      <c r="BF132" s="4" t="s">
        <v>70</v>
      </c>
      <c r="BG132" s="4" t="s">
        <v>71</v>
      </c>
      <c r="BH132" s="4" t="s">
        <v>71</v>
      </c>
      <c r="BI132" s="4" t="s">
        <v>71</v>
      </c>
      <c r="BJ132" s="4" t="s">
        <v>70</v>
      </c>
      <c r="BK132" s="4" t="s">
        <v>70</v>
      </c>
      <c r="BL132" s="4" t="s">
        <v>71</v>
      </c>
      <c r="BM132" s="4" t="s">
        <v>71</v>
      </c>
      <c r="BN132" s="4" t="s">
        <v>71</v>
      </c>
      <c r="BO132" s="4" t="s">
        <v>71</v>
      </c>
      <c r="BP132" s="4" t="s">
        <v>71</v>
      </c>
      <c r="BQ132" s="4" t="s">
        <v>71</v>
      </c>
    </row>
    <row r="133" spans="1:94" x14ac:dyDescent="0.25">
      <c r="A133" s="3">
        <v>45006.502719733791</v>
      </c>
      <c r="B133" s="4" t="s">
        <v>129</v>
      </c>
      <c r="C133" s="4" t="s">
        <v>130</v>
      </c>
      <c r="D133" s="6" t="s">
        <v>131</v>
      </c>
      <c r="E133" s="4" t="s">
        <v>62</v>
      </c>
      <c r="F133" s="4" t="s">
        <v>132</v>
      </c>
      <c r="G133" s="4" t="s">
        <v>64</v>
      </c>
      <c r="H133" s="4" t="s">
        <v>133</v>
      </c>
      <c r="I133" s="4" t="s">
        <v>134</v>
      </c>
      <c r="J133" s="4" t="s">
        <v>135</v>
      </c>
      <c r="K133" s="4" t="s">
        <v>129</v>
      </c>
      <c r="L133" s="4" t="s">
        <v>67</v>
      </c>
      <c r="M133" s="4" t="s">
        <v>114</v>
      </c>
      <c r="N133" s="4">
        <v>35</v>
      </c>
      <c r="O133" s="4" t="s">
        <v>97</v>
      </c>
      <c r="P133" s="4">
        <v>3</v>
      </c>
      <c r="Q133" s="4">
        <v>3</v>
      </c>
      <c r="R133" s="4">
        <v>5</v>
      </c>
      <c r="T133" s="4" t="s">
        <v>70</v>
      </c>
      <c r="U133" s="4" t="s">
        <v>71</v>
      </c>
      <c r="V133" s="6" t="s">
        <v>99</v>
      </c>
      <c r="AU133" s="4" t="s">
        <v>70</v>
      </c>
      <c r="AV133" s="4" t="s">
        <v>70</v>
      </c>
      <c r="AW133" s="4" t="s">
        <v>70</v>
      </c>
      <c r="AX133" s="4" t="s">
        <v>70</v>
      </c>
      <c r="AY133" s="4" t="s">
        <v>70</v>
      </c>
      <c r="AZ133" s="4" t="s">
        <v>70</v>
      </c>
      <c r="BA133" s="4" t="s">
        <v>70</v>
      </c>
      <c r="BB133" s="4" t="s">
        <v>70</v>
      </c>
      <c r="BC133" s="4" t="s">
        <v>70</v>
      </c>
      <c r="BD133" s="4" t="s">
        <v>70</v>
      </c>
      <c r="BE133" s="4" t="s">
        <v>70</v>
      </c>
      <c r="BF133" s="4" t="s">
        <v>70</v>
      </c>
      <c r="BG133" s="4" t="s">
        <v>70</v>
      </c>
      <c r="BH133" s="4" t="s">
        <v>70</v>
      </c>
      <c r="BI133" s="4" t="s">
        <v>71</v>
      </c>
      <c r="BJ133" s="4" t="s">
        <v>71</v>
      </c>
      <c r="BK133" s="4" t="s">
        <v>70</v>
      </c>
      <c r="BL133" s="4" t="s">
        <v>71</v>
      </c>
      <c r="BM133" s="4" t="s">
        <v>71</v>
      </c>
      <c r="BN133" s="4" t="s">
        <v>71</v>
      </c>
      <c r="BO133" s="4" t="s">
        <v>71</v>
      </c>
      <c r="BP133" s="4" t="s">
        <v>71</v>
      </c>
      <c r="BQ133" s="4" t="s">
        <v>71</v>
      </c>
    </row>
    <row r="134" spans="1:94" x14ac:dyDescent="0.25">
      <c r="A134" s="3">
        <v>45001.410837557865</v>
      </c>
      <c r="B134" s="4" t="s">
        <v>210</v>
      </c>
      <c r="C134" s="4" t="s">
        <v>203</v>
      </c>
      <c r="D134" s="5" t="s">
        <v>204</v>
      </c>
      <c r="E134" s="4" t="s">
        <v>62</v>
      </c>
      <c r="F134" s="4" t="s">
        <v>211</v>
      </c>
      <c r="G134" s="4" t="s">
        <v>64</v>
      </c>
      <c r="H134" s="4" t="s">
        <v>208</v>
      </c>
      <c r="I134" s="4" t="s">
        <v>206</v>
      </c>
      <c r="J134" s="4" t="s">
        <v>207</v>
      </c>
      <c r="K134" s="4" t="s">
        <v>210</v>
      </c>
      <c r="L134" s="4" t="s">
        <v>67</v>
      </c>
      <c r="M134" s="4" t="s">
        <v>174</v>
      </c>
      <c r="N134" s="4">
        <v>34</v>
      </c>
      <c r="O134" s="4" t="s">
        <v>97</v>
      </c>
      <c r="P134" s="4">
        <v>4</v>
      </c>
      <c r="Q134" s="4">
        <v>4</v>
      </c>
      <c r="R134" s="4">
        <v>10</v>
      </c>
      <c r="T134" s="4" t="s">
        <v>70</v>
      </c>
      <c r="U134" s="4" t="s">
        <v>71</v>
      </c>
      <c r="V134" s="6" t="s">
        <v>73</v>
      </c>
      <c r="BS134" s="4" t="s">
        <v>70</v>
      </c>
      <c r="BT134" s="4" t="s">
        <v>71</v>
      </c>
      <c r="BU134" s="4" t="s">
        <v>71</v>
      </c>
      <c r="BV134" s="4" t="s">
        <v>71</v>
      </c>
      <c r="BW134" s="4" t="s">
        <v>70</v>
      </c>
      <c r="BX134" s="4" t="s">
        <v>70</v>
      </c>
      <c r="BY134" s="4" t="s">
        <v>71</v>
      </c>
      <c r="BZ134" s="4" t="s">
        <v>71</v>
      </c>
      <c r="CA134" s="4" t="s">
        <v>71</v>
      </c>
      <c r="CB134" s="4" t="s">
        <v>71</v>
      </c>
      <c r="CC134" s="4" t="s">
        <v>70</v>
      </c>
      <c r="CD134" s="4" t="s">
        <v>70</v>
      </c>
      <c r="CE134" s="4" t="s">
        <v>71</v>
      </c>
      <c r="CF134" s="4" t="s">
        <v>71</v>
      </c>
      <c r="CG134" s="4" t="s">
        <v>71</v>
      </c>
      <c r="CH134" s="4" t="s">
        <v>70</v>
      </c>
      <c r="CI134" s="4" t="s">
        <v>70</v>
      </c>
      <c r="CJ134" s="4" t="s">
        <v>71</v>
      </c>
      <c r="CK134" s="4" t="s">
        <v>71</v>
      </c>
      <c r="CL134" s="4" t="s">
        <v>71</v>
      </c>
      <c r="CM134" s="4" t="s">
        <v>71</v>
      </c>
      <c r="CN134" s="4" t="s">
        <v>71</v>
      </c>
      <c r="CO134" s="4" t="s">
        <v>71</v>
      </c>
    </row>
    <row r="135" spans="1:94" x14ac:dyDescent="0.25">
      <c r="A135" s="3">
        <v>45005.513914328709</v>
      </c>
      <c r="B135" s="4" t="s">
        <v>701</v>
      </c>
      <c r="C135" s="4" t="s">
        <v>702</v>
      </c>
      <c r="D135" s="7" t="s">
        <v>703</v>
      </c>
      <c r="E135" s="4" t="s">
        <v>62</v>
      </c>
      <c r="F135" s="4" t="s">
        <v>205</v>
      </c>
      <c r="G135" s="4" t="s">
        <v>64</v>
      </c>
      <c r="H135" s="4" t="s">
        <v>704</v>
      </c>
      <c r="I135" s="4" t="s">
        <v>705</v>
      </c>
      <c r="J135" s="4" t="s">
        <v>706</v>
      </c>
      <c r="K135" s="4" t="s">
        <v>707</v>
      </c>
      <c r="L135" s="4" t="s">
        <v>656</v>
      </c>
      <c r="M135" s="4" t="s">
        <v>403</v>
      </c>
      <c r="N135" s="4">
        <v>35</v>
      </c>
      <c r="O135" s="4" t="s">
        <v>97</v>
      </c>
      <c r="P135" s="4">
        <v>2</v>
      </c>
      <c r="Q135" s="4">
        <v>2</v>
      </c>
      <c r="R135" s="4">
        <v>15</v>
      </c>
      <c r="T135" s="4" t="s">
        <v>70</v>
      </c>
      <c r="U135" s="4" t="s">
        <v>71</v>
      </c>
      <c r="V135" s="6" t="s">
        <v>145</v>
      </c>
      <c r="W135" s="4" t="s">
        <v>70</v>
      </c>
      <c r="X135" s="4" t="s">
        <v>70</v>
      </c>
      <c r="Y135" s="4" t="s">
        <v>71</v>
      </c>
      <c r="Z135" s="4" t="s">
        <v>70</v>
      </c>
      <c r="AA135" s="4" t="s">
        <v>70</v>
      </c>
      <c r="AB135" s="4" t="s">
        <v>70</v>
      </c>
      <c r="AC135" s="4" t="s">
        <v>71</v>
      </c>
      <c r="AD135" s="4" t="s">
        <v>71</v>
      </c>
      <c r="AE135" s="4" t="s">
        <v>71</v>
      </c>
      <c r="AF135" s="4" t="s">
        <v>71</v>
      </c>
      <c r="AG135" s="4" t="s">
        <v>71</v>
      </c>
      <c r="AH135" s="4" t="s">
        <v>71</v>
      </c>
      <c r="AI135" s="4" t="s">
        <v>71</v>
      </c>
      <c r="AJ135" s="4" t="s">
        <v>71</v>
      </c>
      <c r="AK135" s="4" t="s">
        <v>70</v>
      </c>
      <c r="AL135" s="4" t="s">
        <v>70</v>
      </c>
      <c r="AM135" s="4" t="s">
        <v>70</v>
      </c>
      <c r="AN135" s="4" t="s">
        <v>71</v>
      </c>
      <c r="AO135" s="4" t="s">
        <v>71</v>
      </c>
      <c r="AP135" s="4" t="s">
        <v>70</v>
      </c>
      <c r="AQ135" s="4" t="s">
        <v>70</v>
      </c>
      <c r="AR135" s="4" t="s">
        <v>71</v>
      </c>
      <c r="AS135" s="4" t="s">
        <v>71</v>
      </c>
    </row>
    <row r="136" spans="1:94" x14ac:dyDescent="0.25">
      <c r="A136" s="3">
        <v>45000.91059049769</v>
      </c>
      <c r="B136" s="4" t="s">
        <v>306</v>
      </c>
      <c r="C136" s="4" t="s">
        <v>307</v>
      </c>
      <c r="D136" s="5" t="s">
        <v>308</v>
      </c>
      <c r="E136" s="4" t="s">
        <v>62</v>
      </c>
      <c r="F136" s="4" t="s">
        <v>309</v>
      </c>
      <c r="G136" s="4" t="s">
        <v>105</v>
      </c>
      <c r="H136" s="4" t="s">
        <v>310</v>
      </c>
      <c r="I136" s="4" t="s">
        <v>311</v>
      </c>
      <c r="K136" s="4" t="s">
        <v>306</v>
      </c>
      <c r="L136" s="4" t="s">
        <v>67</v>
      </c>
      <c r="M136" s="4" t="s">
        <v>220</v>
      </c>
      <c r="N136" s="4">
        <v>30</v>
      </c>
      <c r="O136" s="4" t="s">
        <v>97</v>
      </c>
      <c r="P136" s="4">
        <v>5</v>
      </c>
      <c r="Q136" s="4">
        <v>3</v>
      </c>
      <c r="R136" s="4">
        <v>40</v>
      </c>
      <c r="S136" s="4" t="s">
        <v>313</v>
      </c>
      <c r="T136" s="4" t="s">
        <v>70</v>
      </c>
      <c r="U136" s="4" t="s">
        <v>71</v>
      </c>
      <c r="V136" s="6" t="s">
        <v>73</v>
      </c>
      <c r="BS136" s="4" t="s">
        <v>70</v>
      </c>
      <c r="BT136" s="4" t="s">
        <v>70</v>
      </c>
      <c r="BU136" s="4" t="s">
        <v>71</v>
      </c>
      <c r="BV136" s="4" t="s">
        <v>71</v>
      </c>
      <c r="BW136" s="4" t="s">
        <v>70</v>
      </c>
      <c r="BX136" s="4" t="s">
        <v>71</v>
      </c>
      <c r="BY136" s="4" t="s">
        <v>71</v>
      </c>
      <c r="BZ136" s="4" t="s">
        <v>71</v>
      </c>
      <c r="CA136" s="4" t="s">
        <v>71</v>
      </c>
      <c r="CB136" s="4" t="s">
        <v>71</v>
      </c>
      <c r="CC136" s="4" t="s">
        <v>71</v>
      </c>
      <c r="CD136" s="4" t="s">
        <v>70</v>
      </c>
      <c r="CE136" s="4" t="s">
        <v>71</v>
      </c>
      <c r="CF136" s="4" t="s">
        <v>71</v>
      </c>
      <c r="CG136" s="4" t="s">
        <v>71</v>
      </c>
      <c r="CH136" s="4" t="s">
        <v>71</v>
      </c>
      <c r="CI136" s="4" t="s">
        <v>70</v>
      </c>
      <c r="CJ136" s="4" t="s">
        <v>71</v>
      </c>
      <c r="CK136" s="4" t="s">
        <v>71</v>
      </c>
      <c r="CL136" s="4" t="s">
        <v>71</v>
      </c>
      <c r="CM136" s="4" t="s">
        <v>71</v>
      </c>
      <c r="CN136" s="4" t="s">
        <v>71</v>
      </c>
      <c r="CO136" s="4" t="s">
        <v>71</v>
      </c>
      <c r="CP136" s="4" t="s">
        <v>314</v>
      </c>
    </row>
    <row r="137" spans="1:94" x14ac:dyDescent="0.25">
      <c r="A137" s="3">
        <v>45006.424964826394</v>
      </c>
      <c r="B137" s="4" t="s">
        <v>343</v>
      </c>
      <c r="C137" s="4" t="s">
        <v>344</v>
      </c>
      <c r="D137" s="6" t="s">
        <v>345</v>
      </c>
      <c r="E137" s="4" t="s">
        <v>62</v>
      </c>
      <c r="F137" s="4" t="s">
        <v>346</v>
      </c>
      <c r="G137" s="4" t="s">
        <v>64</v>
      </c>
      <c r="H137" s="4" t="s">
        <v>347</v>
      </c>
      <c r="I137" s="4" t="s">
        <v>348</v>
      </c>
      <c r="J137" s="4" t="s">
        <v>349</v>
      </c>
      <c r="K137" s="4" t="s">
        <v>343</v>
      </c>
      <c r="L137" s="4" t="s">
        <v>67</v>
      </c>
      <c r="M137" s="4" t="s">
        <v>236</v>
      </c>
      <c r="N137" s="4">
        <v>30</v>
      </c>
      <c r="O137" s="4" t="s">
        <v>97</v>
      </c>
      <c r="P137" s="4">
        <v>5</v>
      </c>
      <c r="Q137" s="4">
        <v>4</v>
      </c>
      <c r="R137" s="4">
        <v>50</v>
      </c>
      <c r="T137" s="4" t="s">
        <v>70</v>
      </c>
      <c r="U137" s="4" t="s">
        <v>71</v>
      </c>
      <c r="V137" s="6" t="s">
        <v>73</v>
      </c>
      <c r="BS137" s="4" t="s">
        <v>70</v>
      </c>
      <c r="BT137" s="4" t="s">
        <v>71</v>
      </c>
      <c r="BU137" s="4" t="s">
        <v>71</v>
      </c>
      <c r="BV137" s="4" t="s">
        <v>71</v>
      </c>
      <c r="BW137" s="4" t="s">
        <v>70</v>
      </c>
      <c r="BX137" s="4" t="s">
        <v>71</v>
      </c>
      <c r="BY137" s="4" t="s">
        <v>71</v>
      </c>
      <c r="BZ137" s="4" t="s">
        <v>71</v>
      </c>
      <c r="CA137" s="4" t="s">
        <v>71</v>
      </c>
      <c r="CB137" s="4" t="s">
        <v>71</v>
      </c>
      <c r="CC137" s="4" t="s">
        <v>71</v>
      </c>
      <c r="CD137" s="4" t="s">
        <v>71</v>
      </c>
      <c r="CE137" s="4" t="s">
        <v>71</v>
      </c>
      <c r="CF137" s="4" t="s">
        <v>71</v>
      </c>
      <c r="CG137" s="4" t="s">
        <v>71</v>
      </c>
      <c r="CH137" s="4" t="s">
        <v>71</v>
      </c>
      <c r="CI137" s="4" t="s">
        <v>71</v>
      </c>
      <c r="CJ137" s="4" t="s">
        <v>71</v>
      </c>
      <c r="CK137" s="4" t="s">
        <v>71</v>
      </c>
      <c r="CL137" s="4" t="s">
        <v>71</v>
      </c>
      <c r="CM137" s="4" t="s">
        <v>70</v>
      </c>
      <c r="CN137" s="4" t="s">
        <v>71</v>
      </c>
      <c r="CO137" s="4" t="s">
        <v>71</v>
      </c>
    </row>
    <row r="138" spans="1:94" x14ac:dyDescent="0.25">
      <c r="A138" s="3">
        <v>45002.471919652773</v>
      </c>
      <c r="B138" s="4" t="s">
        <v>601</v>
      </c>
      <c r="C138" s="4" t="s">
        <v>602</v>
      </c>
      <c r="D138" s="5" t="s">
        <v>603</v>
      </c>
      <c r="E138" s="4" t="s">
        <v>604</v>
      </c>
      <c r="F138" s="4" t="s">
        <v>605</v>
      </c>
      <c r="G138" s="4" t="s">
        <v>105</v>
      </c>
      <c r="H138" s="4" t="s">
        <v>606</v>
      </c>
      <c r="I138" s="4" t="s">
        <v>607</v>
      </c>
      <c r="J138" s="4" t="s">
        <v>608</v>
      </c>
      <c r="K138" s="4" t="s">
        <v>601</v>
      </c>
      <c r="L138" s="4" t="s">
        <v>67</v>
      </c>
      <c r="M138" s="4" t="s">
        <v>136</v>
      </c>
      <c r="N138" s="4">
        <v>30</v>
      </c>
      <c r="O138" s="4" t="s">
        <v>97</v>
      </c>
      <c r="P138" s="4">
        <v>4</v>
      </c>
      <c r="Q138" s="4">
        <v>1</v>
      </c>
      <c r="R138" s="4">
        <v>90</v>
      </c>
      <c r="T138" s="4" t="s">
        <v>70</v>
      </c>
      <c r="U138" s="4" t="s">
        <v>71</v>
      </c>
      <c r="V138" s="6" t="s">
        <v>145</v>
      </c>
      <c r="W138" s="4" t="s">
        <v>70</v>
      </c>
      <c r="X138" s="4" t="s">
        <v>71</v>
      </c>
      <c r="Y138" s="4" t="s">
        <v>71</v>
      </c>
      <c r="Z138" s="4" t="s">
        <v>71</v>
      </c>
      <c r="AA138" s="4" t="s">
        <v>70</v>
      </c>
      <c r="AB138" s="4" t="s">
        <v>71</v>
      </c>
      <c r="AC138" s="4" t="s">
        <v>71</v>
      </c>
      <c r="AD138" s="4" t="s">
        <v>71</v>
      </c>
      <c r="AE138" s="4" t="s">
        <v>71</v>
      </c>
      <c r="AF138" s="4" t="s">
        <v>71</v>
      </c>
      <c r="AG138" s="4" t="s">
        <v>71</v>
      </c>
      <c r="AH138" s="4" t="s">
        <v>71</v>
      </c>
      <c r="AI138" s="4" t="s">
        <v>71</v>
      </c>
      <c r="AJ138" s="4" t="s">
        <v>71</v>
      </c>
      <c r="AK138" s="4" t="s">
        <v>71</v>
      </c>
      <c r="AL138" s="4" t="s">
        <v>71</v>
      </c>
      <c r="AM138" s="4" t="s">
        <v>70</v>
      </c>
      <c r="AN138" s="4" t="s">
        <v>71</v>
      </c>
      <c r="AO138" s="4" t="s">
        <v>71</v>
      </c>
      <c r="AP138" s="4" t="s">
        <v>71</v>
      </c>
      <c r="AQ138" s="4" t="s">
        <v>71</v>
      </c>
      <c r="AR138" s="4" t="s">
        <v>71</v>
      </c>
      <c r="AS138" s="4" t="s">
        <v>71</v>
      </c>
    </row>
    <row r="139" spans="1:94" x14ac:dyDescent="0.25">
      <c r="A139" s="3">
        <v>45002.77232319444</v>
      </c>
      <c r="B139" s="4" t="s">
        <v>354</v>
      </c>
      <c r="C139" s="4" t="s">
        <v>355</v>
      </c>
      <c r="D139" s="5" t="s">
        <v>356</v>
      </c>
      <c r="E139" s="4" t="s">
        <v>140</v>
      </c>
      <c r="F139" s="4" t="s">
        <v>357</v>
      </c>
      <c r="G139" s="4" t="s">
        <v>105</v>
      </c>
      <c r="H139" s="4" t="s">
        <v>358</v>
      </c>
      <c r="I139" s="4" t="s">
        <v>359</v>
      </c>
      <c r="J139" s="4" t="s">
        <v>360</v>
      </c>
      <c r="K139" s="4" t="s">
        <v>354</v>
      </c>
      <c r="L139" s="4" t="s">
        <v>67</v>
      </c>
      <c r="M139" s="4" t="s">
        <v>246</v>
      </c>
      <c r="N139" s="4">
        <v>30</v>
      </c>
      <c r="O139" s="4" t="s">
        <v>97</v>
      </c>
      <c r="P139" s="4">
        <v>4</v>
      </c>
      <c r="Q139" s="4">
        <v>4</v>
      </c>
      <c r="R139" s="4">
        <v>20</v>
      </c>
      <c r="T139" s="4" t="s">
        <v>70</v>
      </c>
      <c r="U139" s="4" t="s">
        <v>71</v>
      </c>
      <c r="V139" s="6" t="s">
        <v>73</v>
      </c>
      <c r="BS139" s="4" t="s">
        <v>71</v>
      </c>
      <c r="BT139" s="4" t="s">
        <v>71</v>
      </c>
      <c r="BU139" s="4" t="s">
        <v>70</v>
      </c>
      <c r="BV139" s="4" t="s">
        <v>71</v>
      </c>
      <c r="BW139" s="4" t="s">
        <v>70</v>
      </c>
      <c r="BX139" s="4" t="s">
        <v>70</v>
      </c>
      <c r="BY139" s="4" t="s">
        <v>71</v>
      </c>
      <c r="BZ139" s="4" t="s">
        <v>71</v>
      </c>
      <c r="CA139" s="4" t="s">
        <v>71</v>
      </c>
      <c r="CD139" s="4" t="s">
        <v>70</v>
      </c>
      <c r="CG139" s="4" t="s">
        <v>70</v>
      </c>
    </row>
    <row r="140" spans="1:94" x14ac:dyDescent="0.25">
      <c r="A140" s="3">
        <v>45005.501624016208</v>
      </c>
      <c r="B140" s="4" t="s">
        <v>354</v>
      </c>
      <c r="C140" s="4" t="s">
        <v>355</v>
      </c>
      <c r="D140" s="5" t="s">
        <v>356</v>
      </c>
      <c r="E140" s="4" t="s">
        <v>140</v>
      </c>
      <c r="F140" s="4" t="s">
        <v>362</v>
      </c>
      <c r="G140" s="4" t="s">
        <v>105</v>
      </c>
      <c r="H140" s="4" t="s">
        <v>358</v>
      </c>
      <c r="I140" s="4" t="s">
        <v>359</v>
      </c>
      <c r="J140" s="4" t="s">
        <v>360</v>
      </c>
      <c r="K140" s="4" t="s">
        <v>354</v>
      </c>
      <c r="L140" s="4" t="s">
        <v>67</v>
      </c>
      <c r="M140" s="4" t="s">
        <v>251</v>
      </c>
      <c r="N140" s="4">
        <v>35</v>
      </c>
      <c r="O140" s="4" t="s">
        <v>97</v>
      </c>
      <c r="P140" s="4">
        <v>4</v>
      </c>
      <c r="Q140" s="4">
        <v>4</v>
      </c>
      <c r="R140" s="4">
        <v>30</v>
      </c>
      <c r="T140" s="4" t="s">
        <v>70</v>
      </c>
      <c r="U140" s="4" t="s">
        <v>71</v>
      </c>
      <c r="V140" s="6" t="s">
        <v>73</v>
      </c>
      <c r="BS140" s="4" t="s">
        <v>71</v>
      </c>
      <c r="BT140" s="4" t="s">
        <v>71</v>
      </c>
      <c r="BU140" s="4" t="s">
        <v>71</v>
      </c>
      <c r="BV140" s="4" t="s">
        <v>71</v>
      </c>
      <c r="BW140" s="4" t="s">
        <v>70</v>
      </c>
      <c r="BX140" s="4" t="s">
        <v>71</v>
      </c>
      <c r="BY140" s="4" t="s">
        <v>71</v>
      </c>
      <c r="BZ140" s="4" t="s">
        <v>71</v>
      </c>
      <c r="CA140" s="4" t="s">
        <v>71</v>
      </c>
      <c r="CD140" s="4" t="s">
        <v>70</v>
      </c>
      <c r="CG140" s="4" t="s">
        <v>70</v>
      </c>
      <c r="CL140" s="4" t="s">
        <v>71</v>
      </c>
      <c r="CM140" s="4" t="s">
        <v>71</v>
      </c>
      <c r="CN140" s="4" t="s">
        <v>71</v>
      </c>
      <c r="CO140" s="4" t="s">
        <v>71</v>
      </c>
      <c r="CP140" s="4" t="s">
        <v>368</v>
      </c>
    </row>
    <row r="141" spans="1:94" x14ac:dyDescent="0.25">
      <c r="A141" s="3">
        <v>45003.652522557866</v>
      </c>
      <c r="B141" s="4" t="s">
        <v>461</v>
      </c>
      <c r="C141" s="4" t="s">
        <v>462</v>
      </c>
      <c r="D141" s="7" t="s">
        <v>463</v>
      </c>
      <c r="E141" s="4" t="s">
        <v>140</v>
      </c>
      <c r="F141" s="4" t="s">
        <v>157</v>
      </c>
      <c r="G141" s="4" t="s">
        <v>64</v>
      </c>
      <c r="H141" s="4" t="s">
        <v>464</v>
      </c>
      <c r="I141" s="4" t="s">
        <v>465</v>
      </c>
      <c r="J141" s="4" t="s">
        <v>466</v>
      </c>
      <c r="K141" s="4" t="s">
        <v>461</v>
      </c>
      <c r="L141" s="4" t="s">
        <v>67</v>
      </c>
      <c r="M141" s="4" t="s">
        <v>298</v>
      </c>
      <c r="N141" s="4">
        <v>35</v>
      </c>
      <c r="O141" s="4" t="s">
        <v>97</v>
      </c>
      <c r="P141" s="4">
        <v>3</v>
      </c>
      <c r="Q141" s="4">
        <v>3</v>
      </c>
      <c r="R141" s="4">
        <v>30</v>
      </c>
      <c r="T141" s="4" t="s">
        <v>70</v>
      </c>
      <c r="U141" s="4" t="s">
        <v>70</v>
      </c>
      <c r="V141" s="6" t="s">
        <v>145</v>
      </c>
      <c r="W141" s="4" t="s">
        <v>70</v>
      </c>
      <c r="X141" s="4" t="s">
        <v>70</v>
      </c>
      <c r="Y141" s="4" t="s">
        <v>70</v>
      </c>
      <c r="Z141" s="4" t="s">
        <v>70</v>
      </c>
      <c r="AA141" s="4" t="s">
        <v>70</v>
      </c>
      <c r="AB141" s="4" t="s">
        <v>70</v>
      </c>
      <c r="AC141" s="4" t="s">
        <v>70</v>
      </c>
      <c r="AD141" s="4" t="s">
        <v>70</v>
      </c>
      <c r="AE141" s="4" t="s">
        <v>70</v>
      </c>
      <c r="AF141" s="4" t="s">
        <v>70</v>
      </c>
      <c r="AG141" s="4" t="s">
        <v>70</v>
      </c>
      <c r="AH141" s="4" t="s">
        <v>70</v>
      </c>
      <c r="AI141" s="4" t="s">
        <v>70</v>
      </c>
      <c r="AJ141" s="4" t="s">
        <v>70</v>
      </c>
      <c r="AK141" s="4" t="s">
        <v>70</v>
      </c>
      <c r="AL141" s="4" t="s">
        <v>70</v>
      </c>
      <c r="AM141" s="4" t="s">
        <v>70</v>
      </c>
      <c r="AN141" s="4" t="s">
        <v>70</v>
      </c>
      <c r="AO141" s="4" t="s">
        <v>70</v>
      </c>
      <c r="AP141" s="4" t="s">
        <v>70</v>
      </c>
      <c r="AQ141" s="4" t="s">
        <v>70</v>
      </c>
      <c r="AR141" s="4" t="s">
        <v>70</v>
      </c>
      <c r="AS141" s="4" t="s">
        <v>70</v>
      </c>
      <c r="AT141" s="4" t="s">
        <v>468</v>
      </c>
    </row>
    <row r="142" spans="1:94" x14ac:dyDescent="0.25">
      <c r="A142" s="3">
        <v>45002.56798975695</v>
      </c>
      <c r="B142" s="4" t="s">
        <v>561</v>
      </c>
      <c r="C142" s="4" t="s">
        <v>562</v>
      </c>
      <c r="D142" s="7" t="s">
        <v>563</v>
      </c>
      <c r="E142" s="4" t="s">
        <v>140</v>
      </c>
      <c r="F142" s="4" t="s">
        <v>564</v>
      </c>
      <c r="G142" s="4" t="s">
        <v>64</v>
      </c>
      <c r="H142" s="4" t="s">
        <v>565</v>
      </c>
      <c r="I142" s="4" t="s">
        <v>566</v>
      </c>
      <c r="K142" s="4" t="s">
        <v>561</v>
      </c>
      <c r="L142" s="4" t="s">
        <v>67</v>
      </c>
      <c r="M142" s="4" t="s">
        <v>338</v>
      </c>
      <c r="N142" s="4">
        <v>35</v>
      </c>
      <c r="O142" s="4" t="s">
        <v>97</v>
      </c>
      <c r="P142" s="4">
        <v>5</v>
      </c>
      <c r="Q142" s="4">
        <v>5</v>
      </c>
      <c r="R142" s="4">
        <v>30</v>
      </c>
      <c r="S142" s="4" t="s">
        <v>568</v>
      </c>
      <c r="T142" s="4" t="s">
        <v>70</v>
      </c>
      <c r="U142" s="4" t="s">
        <v>71</v>
      </c>
      <c r="V142" s="6" t="s">
        <v>99</v>
      </c>
      <c r="AU142" s="4" t="s">
        <v>71</v>
      </c>
      <c r="AV142" s="4" t="s">
        <v>70</v>
      </c>
      <c r="AW142" s="4" t="s">
        <v>71</v>
      </c>
      <c r="AX142" s="4" t="s">
        <v>70</v>
      </c>
      <c r="AY142" s="4" t="s">
        <v>70</v>
      </c>
      <c r="AZ142" s="4" t="s">
        <v>70</v>
      </c>
      <c r="BA142" s="4" t="s">
        <v>71</v>
      </c>
      <c r="BB142" s="4" t="s">
        <v>71</v>
      </c>
      <c r="BC142" s="4" t="s">
        <v>71</v>
      </c>
      <c r="BD142" s="4" t="s">
        <v>70</v>
      </c>
      <c r="BE142" s="4" t="s">
        <v>70</v>
      </c>
      <c r="BF142" s="4" t="s">
        <v>70</v>
      </c>
      <c r="BG142" s="4" t="s">
        <v>71</v>
      </c>
      <c r="BH142" s="4" t="s">
        <v>71</v>
      </c>
      <c r="BI142" s="4" t="s">
        <v>70</v>
      </c>
      <c r="BJ142" s="4" t="s">
        <v>70</v>
      </c>
      <c r="BK142" s="4" t="s">
        <v>70</v>
      </c>
      <c r="BL142" s="4" t="s">
        <v>71</v>
      </c>
      <c r="BM142" s="4" t="s">
        <v>71</v>
      </c>
      <c r="BN142" s="4" t="s">
        <v>71</v>
      </c>
      <c r="BO142" s="4" t="s">
        <v>71</v>
      </c>
      <c r="BP142" s="4" t="s">
        <v>71</v>
      </c>
      <c r="BQ142" s="4" t="s">
        <v>71</v>
      </c>
    </row>
    <row r="143" spans="1:94" x14ac:dyDescent="0.25">
      <c r="A143" s="3">
        <v>45001.576777476846</v>
      </c>
      <c r="B143" s="4" t="s">
        <v>619</v>
      </c>
      <c r="C143" s="4" t="s">
        <v>620</v>
      </c>
      <c r="D143" s="7" t="s">
        <v>621</v>
      </c>
      <c r="E143" s="4" t="s">
        <v>140</v>
      </c>
      <c r="F143" s="4" t="s">
        <v>622</v>
      </c>
      <c r="G143" s="4" t="s">
        <v>105</v>
      </c>
      <c r="H143" s="4" t="s">
        <v>623</v>
      </c>
      <c r="I143" s="4" t="s">
        <v>624</v>
      </c>
      <c r="K143" s="4" t="s">
        <v>619</v>
      </c>
      <c r="L143" s="4" t="s">
        <v>67</v>
      </c>
      <c r="M143" s="4" t="s">
        <v>350</v>
      </c>
      <c r="N143" s="4">
        <v>35</v>
      </c>
      <c r="O143" s="4" t="s">
        <v>97</v>
      </c>
      <c r="P143" s="4">
        <v>5</v>
      </c>
      <c r="Q143" s="4">
        <v>2</v>
      </c>
      <c r="R143" s="4">
        <v>70</v>
      </c>
      <c r="T143" s="4" t="s">
        <v>70</v>
      </c>
      <c r="U143" s="4" t="s">
        <v>71</v>
      </c>
      <c r="V143" s="6" t="s">
        <v>73</v>
      </c>
      <c r="BS143" s="4" t="s">
        <v>70</v>
      </c>
      <c r="BT143" s="4" t="s">
        <v>70</v>
      </c>
      <c r="BU143" s="4" t="s">
        <v>70</v>
      </c>
      <c r="BV143" s="4" t="s">
        <v>70</v>
      </c>
      <c r="BW143" s="4" t="s">
        <v>70</v>
      </c>
      <c r="BX143" s="4" t="s">
        <v>70</v>
      </c>
      <c r="BY143" s="4" t="s">
        <v>71</v>
      </c>
      <c r="BZ143" s="4" t="s">
        <v>71</v>
      </c>
      <c r="CA143" s="4" t="s">
        <v>71</v>
      </c>
      <c r="CB143" s="4" t="s">
        <v>70</v>
      </c>
      <c r="CC143" s="4" t="s">
        <v>70</v>
      </c>
      <c r="CD143" s="4" t="s">
        <v>70</v>
      </c>
      <c r="CE143" s="4" t="s">
        <v>71</v>
      </c>
      <c r="CF143" s="4" t="s">
        <v>71</v>
      </c>
      <c r="CG143" s="4" t="s">
        <v>70</v>
      </c>
      <c r="CH143" s="4" t="s">
        <v>70</v>
      </c>
      <c r="CI143" s="4" t="s">
        <v>70</v>
      </c>
      <c r="CJ143" s="4" t="s">
        <v>71</v>
      </c>
      <c r="CK143" s="4" t="s">
        <v>71</v>
      </c>
      <c r="CL143" s="4" t="s">
        <v>70</v>
      </c>
      <c r="CM143" s="4" t="s">
        <v>70</v>
      </c>
      <c r="CN143" s="4" t="s">
        <v>71</v>
      </c>
      <c r="CO143" s="4" t="s">
        <v>71</v>
      </c>
    </row>
    <row r="144" spans="1:94" x14ac:dyDescent="0.25">
      <c r="A144" s="3">
        <v>45003.486368124999</v>
      </c>
      <c r="B144" s="4" t="s">
        <v>137</v>
      </c>
      <c r="C144" s="4" t="s">
        <v>138</v>
      </c>
      <c r="D144" s="7" t="s">
        <v>139</v>
      </c>
      <c r="E144" s="4" t="s">
        <v>140</v>
      </c>
      <c r="F144" s="4" t="s">
        <v>141</v>
      </c>
      <c r="G144" s="4" t="s">
        <v>105</v>
      </c>
      <c r="H144" s="4" t="s">
        <v>142</v>
      </c>
      <c r="I144" s="4" t="s">
        <v>143</v>
      </c>
      <c r="K144" s="4" t="s">
        <v>137</v>
      </c>
      <c r="L144" s="4" t="s">
        <v>67</v>
      </c>
      <c r="M144" s="4" t="s">
        <v>120</v>
      </c>
      <c r="N144" s="4">
        <v>17</v>
      </c>
      <c r="O144" s="4" t="s">
        <v>97</v>
      </c>
      <c r="P144" s="4">
        <v>3</v>
      </c>
      <c r="Q144" s="4">
        <v>3</v>
      </c>
      <c r="R144" s="4">
        <v>90</v>
      </c>
      <c r="T144" s="4" t="s">
        <v>71</v>
      </c>
      <c r="U144" s="4" t="s">
        <v>70</v>
      </c>
      <c r="V144" s="6" t="s">
        <v>145</v>
      </c>
      <c r="W144" s="4" t="s">
        <v>71</v>
      </c>
      <c r="X144" s="4" t="s">
        <v>71</v>
      </c>
      <c r="Y144" s="4" t="s">
        <v>70</v>
      </c>
      <c r="Z144" s="4" t="s">
        <v>71</v>
      </c>
      <c r="AA144" s="4" t="s">
        <v>71</v>
      </c>
      <c r="AB144" s="4" t="s">
        <v>71</v>
      </c>
      <c r="AC144" s="4" t="s">
        <v>70</v>
      </c>
      <c r="AD144" s="4" t="s">
        <v>71</v>
      </c>
      <c r="AE144" s="4" t="s">
        <v>71</v>
      </c>
      <c r="AF144" s="4" t="s">
        <v>71</v>
      </c>
      <c r="AG144" s="4" t="s">
        <v>71</v>
      </c>
      <c r="AH144" s="4" t="s">
        <v>71</v>
      </c>
      <c r="AI144" s="4" t="s">
        <v>71</v>
      </c>
      <c r="AJ144" s="4" t="s">
        <v>70</v>
      </c>
      <c r="AK144" s="4" t="s">
        <v>71</v>
      </c>
      <c r="AL144" s="4" t="s">
        <v>71</v>
      </c>
      <c r="AM144" s="4" t="s">
        <v>71</v>
      </c>
      <c r="AN144" s="4" t="s">
        <v>70</v>
      </c>
      <c r="AO144" s="4" t="s">
        <v>71</v>
      </c>
      <c r="AP144" s="4" t="s">
        <v>71</v>
      </c>
      <c r="AQ144" s="4" t="s">
        <v>71</v>
      </c>
      <c r="AR144" s="4" t="s">
        <v>71</v>
      </c>
      <c r="AS144" s="4" t="s">
        <v>71</v>
      </c>
    </row>
    <row r="145" spans="1:93" x14ac:dyDescent="0.25">
      <c r="A145" s="3">
        <v>45005.708227210649</v>
      </c>
      <c r="B145" s="4" t="s">
        <v>821</v>
      </c>
      <c r="C145" s="4" t="s">
        <v>822</v>
      </c>
      <c r="D145" s="6" t="s">
        <v>823</v>
      </c>
      <c r="E145" s="4" t="s">
        <v>140</v>
      </c>
      <c r="F145" s="4" t="s">
        <v>824</v>
      </c>
      <c r="G145" s="4" t="s">
        <v>64</v>
      </c>
      <c r="H145" s="4" t="s">
        <v>825</v>
      </c>
      <c r="I145" s="4" t="s">
        <v>826</v>
      </c>
      <c r="K145" s="4" t="s">
        <v>827</v>
      </c>
      <c r="L145" s="4" t="s">
        <v>656</v>
      </c>
      <c r="M145" s="4" t="s">
        <v>504</v>
      </c>
      <c r="N145" s="4">
        <v>35</v>
      </c>
      <c r="O145" s="4" t="s">
        <v>97</v>
      </c>
      <c r="P145" s="4">
        <v>3</v>
      </c>
      <c r="Q145" s="4">
        <v>1</v>
      </c>
      <c r="R145" s="4">
        <v>90</v>
      </c>
      <c r="T145" s="4" t="s">
        <v>70</v>
      </c>
      <c r="U145" s="4" t="s">
        <v>70</v>
      </c>
      <c r="V145" s="6" t="s">
        <v>73</v>
      </c>
      <c r="BS145" s="4" t="s">
        <v>71</v>
      </c>
      <c r="BT145" s="4" t="s">
        <v>71</v>
      </c>
      <c r="BU145" s="4" t="s">
        <v>71</v>
      </c>
      <c r="BV145" s="4" t="s">
        <v>70</v>
      </c>
      <c r="BW145" s="4" t="s">
        <v>70</v>
      </c>
      <c r="BX145" s="4" t="s">
        <v>71</v>
      </c>
      <c r="BY145" s="4" t="s">
        <v>71</v>
      </c>
      <c r="BZ145" s="4" t="s">
        <v>71</v>
      </c>
      <c r="CA145" s="4" t="s">
        <v>71</v>
      </c>
      <c r="CB145" s="4" t="s">
        <v>71</v>
      </c>
      <c r="CC145" s="4" t="s">
        <v>71</v>
      </c>
      <c r="CD145" s="4" t="s">
        <v>70</v>
      </c>
      <c r="CE145" s="4" t="s">
        <v>71</v>
      </c>
      <c r="CF145" s="4" t="s">
        <v>71</v>
      </c>
      <c r="CG145" s="4" t="s">
        <v>71</v>
      </c>
      <c r="CH145" s="4" t="s">
        <v>71</v>
      </c>
      <c r="CI145" s="4" t="s">
        <v>70</v>
      </c>
      <c r="CJ145" s="4" t="s">
        <v>71</v>
      </c>
      <c r="CK145" s="4" t="s">
        <v>71</v>
      </c>
      <c r="CL145" s="4" t="s">
        <v>71</v>
      </c>
      <c r="CM145" s="4" t="s">
        <v>70</v>
      </c>
      <c r="CN145" s="4" t="s">
        <v>71</v>
      </c>
      <c r="CO145" s="4" t="s">
        <v>71</v>
      </c>
    </row>
    <row r="146" spans="1:93" x14ac:dyDescent="0.25">
      <c r="A146" s="3">
        <v>45001.784191354163</v>
      </c>
      <c r="B146" s="4" t="s">
        <v>508</v>
      </c>
      <c r="C146" s="4" t="s">
        <v>509</v>
      </c>
      <c r="D146" s="7" t="s">
        <v>510</v>
      </c>
      <c r="E146" s="4" t="s">
        <v>263</v>
      </c>
      <c r="F146" s="4" t="s">
        <v>511</v>
      </c>
      <c r="G146" s="4" t="s">
        <v>64</v>
      </c>
      <c r="H146" s="4" t="s">
        <v>512</v>
      </c>
      <c r="I146" s="4" t="s">
        <v>513</v>
      </c>
      <c r="J146" s="4" t="s">
        <v>514</v>
      </c>
      <c r="K146" s="4" t="s">
        <v>508</v>
      </c>
      <c r="L146" s="4" t="s">
        <v>67</v>
      </c>
      <c r="M146" s="4" t="s">
        <v>303</v>
      </c>
      <c r="N146" s="4">
        <v>40</v>
      </c>
      <c r="O146" s="4" t="s">
        <v>97</v>
      </c>
      <c r="P146" s="4">
        <v>5</v>
      </c>
      <c r="Q146" s="4">
        <v>4</v>
      </c>
      <c r="R146" s="4">
        <v>5</v>
      </c>
      <c r="T146" s="4" t="s">
        <v>70</v>
      </c>
      <c r="U146" s="4" t="s">
        <v>71</v>
      </c>
      <c r="V146" s="6" t="s">
        <v>145</v>
      </c>
      <c r="W146" s="4" t="s">
        <v>71</v>
      </c>
      <c r="X146" s="4" t="s">
        <v>71</v>
      </c>
      <c r="Y146" s="4" t="s">
        <v>71</v>
      </c>
      <c r="Z146" s="4" t="s">
        <v>70</v>
      </c>
      <c r="AA146" s="4" t="s">
        <v>71</v>
      </c>
      <c r="AB146" s="4" t="s">
        <v>71</v>
      </c>
      <c r="AC146" s="4" t="s">
        <v>71</v>
      </c>
      <c r="AD146" s="4" t="s">
        <v>71</v>
      </c>
      <c r="AE146" s="4" t="s">
        <v>71</v>
      </c>
      <c r="AF146" s="4" t="s">
        <v>71</v>
      </c>
      <c r="AG146" s="4" t="s">
        <v>71</v>
      </c>
      <c r="AH146" s="4" t="s">
        <v>71</v>
      </c>
      <c r="AI146" s="4" t="s">
        <v>71</v>
      </c>
      <c r="AJ146" s="4" t="s">
        <v>71</v>
      </c>
      <c r="AK146" s="4" t="s">
        <v>71</v>
      </c>
      <c r="AL146" s="4" t="s">
        <v>70</v>
      </c>
      <c r="AM146" s="4" t="s">
        <v>71</v>
      </c>
      <c r="AN146" s="4" t="s">
        <v>71</v>
      </c>
      <c r="AO146" s="4" t="s">
        <v>71</v>
      </c>
      <c r="AP146" s="4" t="s">
        <v>71</v>
      </c>
      <c r="AQ146" s="4" t="s">
        <v>71</v>
      </c>
      <c r="AR146" s="4" t="s">
        <v>71</v>
      </c>
      <c r="AS146" s="4" t="s">
        <v>71</v>
      </c>
    </row>
    <row r="147" spans="1:93" x14ac:dyDescent="0.25">
      <c r="A147" s="3">
        <v>45005.516650972218</v>
      </c>
      <c r="B147" s="4" t="s">
        <v>701</v>
      </c>
      <c r="C147" s="4" t="s">
        <v>702</v>
      </c>
      <c r="D147" s="7" t="s">
        <v>703</v>
      </c>
      <c r="E147" s="4" t="s">
        <v>427</v>
      </c>
      <c r="F147" s="4" t="s">
        <v>428</v>
      </c>
      <c r="G147" s="4" t="s">
        <v>64</v>
      </c>
      <c r="H147" s="4" t="s">
        <v>709</v>
      </c>
      <c r="I147" s="4" t="s">
        <v>706</v>
      </c>
      <c r="K147" s="4" t="s">
        <v>701</v>
      </c>
      <c r="L147" s="4" t="s">
        <v>656</v>
      </c>
      <c r="M147" s="4" t="s">
        <v>411</v>
      </c>
      <c r="N147" s="4">
        <v>35</v>
      </c>
      <c r="O147" s="4" t="s">
        <v>97</v>
      </c>
      <c r="P147" s="4">
        <v>2</v>
      </c>
      <c r="Q147" s="4">
        <v>2</v>
      </c>
      <c r="R147" s="4">
        <v>15</v>
      </c>
      <c r="T147" s="4" t="s">
        <v>70</v>
      </c>
      <c r="U147" s="4" t="s">
        <v>71</v>
      </c>
      <c r="V147" s="6" t="s">
        <v>145</v>
      </c>
      <c r="W147" s="4" t="s">
        <v>70</v>
      </c>
      <c r="X147" s="4" t="s">
        <v>70</v>
      </c>
      <c r="Y147" s="4" t="s">
        <v>71</v>
      </c>
      <c r="Z147" s="4" t="s">
        <v>70</v>
      </c>
      <c r="AA147" s="4" t="s">
        <v>70</v>
      </c>
      <c r="AB147" s="4" t="s">
        <v>70</v>
      </c>
      <c r="AC147" s="4" t="s">
        <v>71</v>
      </c>
      <c r="AD147" s="4" t="s">
        <v>71</v>
      </c>
      <c r="AE147" s="4" t="s">
        <v>71</v>
      </c>
      <c r="AF147" s="4" t="s">
        <v>71</v>
      </c>
      <c r="AG147" s="4" t="s">
        <v>71</v>
      </c>
      <c r="AH147" s="4" t="s">
        <v>71</v>
      </c>
      <c r="AI147" s="4" t="s">
        <v>71</v>
      </c>
      <c r="AJ147" s="4" t="s">
        <v>71</v>
      </c>
      <c r="AK147" s="4" t="s">
        <v>70</v>
      </c>
      <c r="AL147" s="4" t="s">
        <v>70</v>
      </c>
      <c r="AM147" s="4" t="s">
        <v>70</v>
      </c>
      <c r="AN147" s="4" t="s">
        <v>71</v>
      </c>
      <c r="AO147" s="4" t="s">
        <v>71</v>
      </c>
      <c r="AP147" s="4" t="s">
        <v>70</v>
      </c>
      <c r="AQ147" s="4" t="s">
        <v>70</v>
      </c>
      <c r="AR147" s="4" t="s">
        <v>71</v>
      </c>
      <c r="AS147" s="4" t="s">
        <v>71</v>
      </c>
      <c r="AT147" s="4" t="s">
        <v>711</v>
      </c>
    </row>
    <row r="148" spans="1:93" x14ac:dyDescent="0.25">
      <c r="A148" s="3">
        <v>45000.66579269676</v>
      </c>
      <c r="B148" s="4" t="s">
        <v>572</v>
      </c>
      <c r="C148" s="4" t="s">
        <v>580</v>
      </c>
      <c r="D148" s="5" t="s">
        <v>574</v>
      </c>
      <c r="E148" s="4" t="s">
        <v>427</v>
      </c>
      <c r="F148" s="4" t="s">
        <v>581</v>
      </c>
      <c r="G148" s="4" t="s">
        <v>64</v>
      </c>
      <c r="H148" s="4" t="s">
        <v>576</v>
      </c>
      <c r="I148" s="4" t="s">
        <v>582</v>
      </c>
      <c r="J148" s="4" t="s">
        <v>578</v>
      </c>
      <c r="K148" s="4" t="s">
        <v>572</v>
      </c>
      <c r="L148" s="4" t="s">
        <v>67</v>
      </c>
      <c r="M148" s="4" t="s">
        <v>338</v>
      </c>
      <c r="N148" s="4">
        <v>35</v>
      </c>
      <c r="O148" s="4" t="s">
        <v>97</v>
      </c>
      <c r="P148" s="4">
        <v>3</v>
      </c>
      <c r="Q148" s="4">
        <v>2</v>
      </c>
      <c r="R148" s="4">
        <v>30</v>
      </c>
      <c r="T148" s="4" t="s">
        <v>70</v>
      </c>
      <c r="U148" s="4" t="s">
        <v>71</v>
      </c>
      <c r="V148" s="6" t="s">
        <v>145</v>
      </c>
      <c r="W148" s="4" t="s">
        <v>70</v>
      </c>
      <c r="X148" s="4" t="s">
        <v>70</v>
      </c>
      <c r="Y148" s="4" t="s">
        <v>71</v>
      </c>
      <c r="Z148" s="4" t="s">
        <v>70</v>
      </c>
      <c r="AA148" s="4" t="s">
        <v>70</v>
      </c>
      <c r="AB148" s="4" t="s">
        <v>70</v>
      </c>
      <c r="AC148" s="4" t="s">
        <v>71</v>
      </c>
      <c r="AD148" s="4" t="s">
        <v>71</v>
      </c>
      <c r="AE148" s="4" t="s">
        <v>71</v>
      </c>
      <c r="AF148" s="4" t="s">
        <v>70</v>
      </c>
      <c r="AG148" s="4" t="s">
        <v>70</v>
      </c>
      <c r="AH148" s="4" t="s">
        <v>70</v>
      </c>
      <c r="AI148" s="4" t="s">
        <v>71</v>
      </c>
      <c r="AJ148" s="4" t="s">
        <v>71</v>
      </c>
      <c r="AK148" s="4" t="s">
        <v>70</v>
      </c>
      <c r="AL148" s="4" t="s">
        <v>70</v>
      </c>
      <c r="AM148" s="4" t="s">
        <v>70</v>
      </c>
      <c r="AN148" s="4" t="s">
        <v>71</v>
      </c>
      <c r="AO148" s="4" t="s">
        <v>71</v>
      </c>
      <c r="AP148" s="4" t="s">
        <v>70</v>
      </c>
      <c r="AQ148" s="4" t="s">
        <v>70</v>
      </c>
      <c r="AR148" s="4" t="s">
        <v>71</v>
      </c>
      <c r="AS148" s="4" t="s">
        <v>71</v>
      </c>
    </row>
    <row r="149" spans="1:93" x14ac:dyDescent="0.25">
      <c r="A149" s="3">
        <v>45005.552069733792</v>
      </c>
      <c r="B149" s="4" t="s">
        <v>88</v>
      </c>
      <c r="C149" s="4" t="s">
        <v>89</v>
      </c>
      <c r="D149" s="5" t="s">
        <v>90</v>
      </c>
      <c r="E149" s="4" t="s">
        <v>91</v>
      </c>
      <c r="F149" s="4" t="s">
        <v>92</v>
      </c>
      <c r="G149" s="4" t="s">
        <v>64</v>
      </c>
      <c r="H149" s="4" t="s">
        <v>93</v>
      </c>
      <c r="I149" s="4" t="s">
        <v>94</v>
      </c>
      <c r="J149" s="4" t="s">
        <v>95</v>
      </c>
      <c r="K149" s="4" t="s">
        <v>88</v>
      </c>
      <c r="L149" s="4" t="s">
        <v>67</v>
      </c>
      <c r="M149" s="4" t="s">
        <v>85</v>
      </c>
      <c r="N149" s="4">
        <v>29</v>
      </c>
      <c r="O149" s="4" t="s">
        <v>97</v>
      </c>
      <c r="P149" s="4">
        <v>5</v>
      </c>
      <c r="Q149" s="4">
        <v>4</v>
      </c>
      <c r="R149" s="4">
        <v>0</v>
      </c>
      <c r="T149" s="4" t="s">
        <v>70</v>
      </c>
      <c r="U149" s="4" t="s">
        <v>71</v>
      </c>
      <c r="V149" s="6" t="s">
        <v>73</v>
      </c>
      <c r="BS149" s="4" t="s">
        <v>71</v>
      </c>
      <c r="BT149" s="4" t="s">
        <v>70</v>
      </c>
      <c r="BU149" s="4" t="s">
        <v>71</v>
      </c>
      <c r="BV149" s="4" t="s">
        <v>71</v>
      </c>
      <c r="BW149" s="4" t="s">
        <v>70</v>
      </c>
      <c r="BX149" s="4" t="s">
        <v>71</v>
      </c>
      <c r="BY149" s="4" t="s">
        <v>71</v>
      </c>
      <c r="BZ149" s="4" t="s">
        <v>71</v>
      </c>
      <c r="CA149" s="4" t="s">
        <v>71</v>
      </c>
      <c r="CB149" s="4" t="s">
        <v>70</v>
      </c>
      <c r="CC149" s="4" t="s">
        <v>71</v>
      </c>
      <c r="CD149" s="4" t="s">
        <v>71</v>
      </c>
      <c r="CE149" s="4" t="s">
        <v>71</v>
      </c>
      <c r="CF149" s="4" t="s">
        <v>71</v>
      </c>
      <c r="CG149" s="4" t="s">
        <v>71</v>
      </c>
      <c r="CH149" s="4" t="s">
        <v>71</v>
      </c>
      <c r="CI149" s="4" t="s">
        <v>71</v>
      </c>
      <c r="CJ149" s="4" t="s">
        <v>71</v>
      </c>
      <c r="CK149" s="4" t="s">
        <v>71</v>
      </c>
      <c r="CL149" s="4" t="s">
        <v>71</v>
      </c>
      <c r="CM149" s="4" t="s">
        <v>71</v>
      </c>
      <c r="CN149" s="4" t="s">
        <v>71</v>
      </c>
      <c r="CO149" s="4" t="s">
        <v>71</v>
      </c>
    </row>
    <row r="150" spans="1:93" x14ac:dyDescent="0.25">
      <c r="A150" s="3">
        <v>45005.366519571762</v>
      </c>
      <c r="B150" s="4" t="s">
        <v>876</v>
      </c>
      <c r="C150" s="4" t="s">
        <v>877</v>
      </c>
      <c r="D150" s="5" t="s">
        <v>878</v>
      </c>
      <c r="E150" s="4" t="s">
        <v>149</v>
      </c>
      <c r="F150" s="4" t="s">
        <v>879</v>
      </c>
      <c r="G150" s="4" t="s">
        <v>64</v>
      </c>
      <c r="H150" s="4" t="s">
        <v>880</v>
      </c>
      <c r="I150" s="4" t="s">
        <v>881</v>
      </c>
      <c r="J150" s="4" t="s">
        <v>882</v>
      </c>
      <c r="K150" s="4" t="s">
        <v>876</v>
      </c>
      <c r="L150" s="4" t="s">
        <v>665</v>
      </c>
      <c r="M150" s="4" t="s">
        <v>534</v>
      </c>
      <c r="N150" s="4">
        <v>18</v>
      </c>
      <c r="O150" s="4" t="s">
        <v>97</v>
      </c>
      <c r="P150" s="4">
        <v>5</v>
      </c>
      <c r="Q150" s="4">
        <v>4</v>
      </c>
      <c r="R150" s="4">
        <v>0</v>
      </c>
      <c r="T150" s="4" t="s">
        <v>70</v>
      </c>
      <c r="U150" s="4" t="s">
        <v>71</v>
      </c>
      <c r="V150" s="6" t="s">
        <v>73</v>
      </c>
      <c r="BS150" s="4" t="s">
        <v>70</v>
      </c>
      <c r="BT150" s="4" t="s">
        <v>71</v>
      </c>
      <c r="BU150" s="4" t="s">
        <v>71</v>
      </c>
      <c r="BV150" s="4" t="s">
        <v>71</v>
      </c>
      <c r="BW150" s="4" t="s">
        <v>70</v>
      </c>
      <c r="BX150" s="4" t="s">
        <v>71</v>
      </c>
      <c r="BY150" s="4" t="s">
        <v>71</v>
      </c>
      <c r="BZ150" s="4" t="s">
        <v>71</v>
      </c>
      <c r="CA150" s="4" t="s">
        <v>71</v>
      </c>
      <c r="CB150" s="4" t="s">
        <v>71</v>
      </c>
      <c r="CC150" s="4" t="s">
        <v>71</v>
      </c>
      <c r="CD150" s="4" t="s">
        <v>71</v>
      </c>
      <c r="CE150" s="4" t="s">
        <v>71</v>
      </c>
      <c r="CF150" s="4" t="s">
        <v>71</v>
      </c>
      <c r="CG150" s="4" t="s">
        <v>71</v>
      </c>
      <c r="CH150" s="4" t="s">
        <v>71</v>
      </c>
      <c r="CI150" s="4" t="s">
        <v>70</v>
      </c>
      <c r="CJ150" s="4" t="s">
        <v>71</v>
      </c>
      <c r="CK150" s="4" t="s">
        <v>71</v>
      </c>
      <c r="CL150" s="4" t="s">
        <v>70</v>
      </c>
      <c r="CM150" s="4" t="s">
        <v>71</v>
      </c>
      <c r="CO150" s="4" t="s">
        <v>71</v>
      </c>
    </row>
    <row r="151" spans="1:93" x14ac:dyDescent="0.25">
      <c r="A151" s="3">
        <v>45000.811150451387</v>
      </c>
      <c r="B151" s="4" t="s">
        <v>668</v>
      </c>
      <c r="C151" s="4" t="s">
        <v>669</v>
      </c>
      <c r="D151" s="5" t="s">
        <v>670</v>
      </c>
      <c r="E151" s="4" t="s">
        <v>149</v>
      </c>
      <c r="F151" s="4" t="s">
        <v>671</v>
      </c>
      <c r="G151" s="4" t="s">
        <v>64</v>
      </c>
      <c r="H151" s="4" t="s">
        <v>672</v>
      </c>
      <c r="I151" s="4" t="s">
        <v>673</v>
      </c>
      <c r="K151" s="4" t="s">
        <v>668</v>
      </c>
      <c r="L151" s="4" t="s">
        <v>656</v>
      </c>
      <c r="M151" s="4" t="s">
        <v>367</v>
      </c>
      <c r="N151" s="4">
        <v>30</v>
      </c>
      <c r="O151" s="4" t="s">
        <v>97</v>
      </c>
      <c r="P151" s="4">
        <v>5</v>
      </c>
      <c r="Q151" s="4">
        <v>2</v>
      </c>
      <c r="R151" s="4">
        <v>15</v>
      </c>
      <c r="T151" s="4" t="s">
        <v>71</v>
      </c>
      <c r="U151" s="4" t="s">
        <v>70</v>
      </c>
      <c r="V151" s="6" t="s">
        <v>73</v>
      </c>
      <c r="BS151" s="4" t="s">
        <v>71</v>
      </c>
      <c r="BT151" s="4" t="s">
        <v>71</v>
      </c>
      <c r="BU151" s="4" t="s">
        <v>71</v>
      </c>
      <c r="BV151" s="4" t="s">
        <v>71</v>
      </c>
      <c r="BW151" s="4" t="s">
        <v>71</v>
      </c>
      <c r="BX151" s="4" t="s">
        <v>71</v>
      </c>
      <c r="BY151" s="4" t="s">
        <v>71</v>
      </c>
      <c r="BZ151" s="4" t="s">
        <v>70</v>
      </c>
      <c r="CA151" s="4" t="s">
        <v>70</v>
      </c>
      <c r="CB151" s="4" t="s">
        <v>71</v>
      </c>
      <c r="CC151" s="4" t="s">
        <v>71</v>
      </c>
      <c r="CD151" s="4" t="s">
        <v>71</v>
      </c>
      <c r="CE151" s="4" t="s">
        <v>70</v>
      </c>
      <c r="CF151" s="4" t="s">
        <v>70</v>
      </c>
      <c r="CG151" s="4" t="s">
        <v>71</v>
      </c>
      <c r="CH151" s="4" t="s">
        <v>71</v>
      </c>
      <c r="CI151" s="4" t="s">
        <v>71</v>
      </c>
      <c r="CJ151" s="4" t="s">
        <v>70</v>
      </c>
      <c r="CK151" s="4" t="s">
        <v>70</v>
      </c>
      <c r="CL151" s="4" t="s">
        <v>71</v>
      </c>
      <c r="CM151" s="4" t="s">
        <v>71</v>
      </c>
      <c r="CN151" s="4" t="s">
        <v>71</v>
      </c>
      <c r="CO151" s="4" t="s">
        <v>70</v>
      </c>
    </row>
    <row r="152" spans="1:93" x14ac:dyDescent="0.25">
      <c r="A152" s="3">
        <v>45001.40658141204</v>
      </c>
      <c r="B152" s="4" t="s">
        <v>202</v>
      </c>
      <c r="C152" s="4" t="s">
        <v>203</v>
      </c>
      <c r="D152" s="5" t="s">
        <v>204</v>
      </c>
      <c r="E152" s="4" t="s">
        <v>149</v>
      </c>
      <c r="F152" s="4" t="s">
        <v>205</v>
      </c>
      <c r="G152" s="4" t="s">
        <v>64</v>
      </c>
      <c r="H152" s="4" t="s">
        <v>206</v>
      </c>
      <c r="I152" s="4" t="s">
        <v>207</v>
      </c>
      <c r="J152" s="4" t="s">
        <v>208</v>
      </c>
      <c r="K152" s="4" t="s">
        <v>202</v>
      </c>
      <c r="L152" s="4" t="s">
        <v>67</v>
      </c>
      <c r="M152" s="4" t="s">
        <v>174</v>
      </c>
      <c r="N152" s="4">
        <v>30</v>
      </c>
      <c r="O152" s="4" t="s">
        <v>97</v>
      </c>
      <c r="P152" s="4">
        <v>4</v>
      </c>
      <c r="Q152" s="4">
        <v>4</v>
      </c>
      <c r="R152" s="4">
        <v>20</v>
      </c>
      <c r="T152" s="4" t="s">
        <v>70</v>
      </c>
      <c r="U152" s="4" t="s">
        <v>71</v>
      </c>
      <c r="V152" s="6" t="s">
        <v>73</v>
      </c>
      <c r="BS152" s="4" t="s">
        <v>70</v>
      </c>
      <c r="BT152" s="4" t="s">
        <v>71</v>
      </c>
      <c r="BU152" s="4" t="s">
        <v>71</v>
      </c>
      <c r="BV152" s="4" t="s">
        <v>71</v>
      </c>
      <c r="BW152" s="4" t="s">
        <v>70</v>
      </c>
      <c r="BX152" s="4" t="s">
        <v>70</v>
      </c>
      <c r="BY152" s="4" t="s">
        <v>71</v>
      </c>
      <c r="BZ152" s="4" t="s">
        <v>71</v>
      </c>
      <c r="CA152" s="4" t="s">
        <v>71</v>
      </c>
      <c r="CB152" s="4" t="s">
        <v>71</v>
      </c>
      <c r="CC152" s="4" t="s">
        <v>70</v>
      </c>
      <c r="CD152" s="4" t="s">
        <v>70</v>
      </c>
      <c r="CE152" s="4" t="s">
        <v>71</v>
      </c>
      <c r="CF152" s="4" t="s">
        <v>71</v>
      </c>
      <c r="CG152" s="4" t="s">
        <v>71</v>
      </c>
      <c r="CH152" s="4" t="s">
        <v>70</v>
      </c>
      <c r="CI152" s="4" t="s">
        <v>70</v>
      </c>
      <c r="CJ152" s="4" t="s">
        <v>71</v>
      </c>
      <c r="CK152" s="4" t="s">
        <v>71</v>
      </c>
      <c r="CL152" s="4" t="s">
        <v>71</v>
      </c>
      <c r="CM152" s="4" t="s">
        <v>71</v>
      </c>
      <c r="CN152" s="4" t="s">
        <v>71</v>
      </c>
      <c r="CO152" s="4" t="s">
        <v>71</v>
      </c>
    </row>
    <row r="153" spans="1:93" x14ac:dyDescent="0.25">
      <c r="A153" s="3">
        <v>45005.88972579861</v>
      </c>
      <c r="B153" s="4" t="s">
        <v>1001</v>
      </c>
      <c r="C153" s="4" t="s">
        <v>1002</v>
      </c>
      <c r="D153" s="5" t="s">
        <v>1003</v>
      </c>
      <c r="E153" s="4" t="s">
        <v>149</v>
      </c>
      <c r="F153" s="4" t="s">
        <v>1004</v>
      </c>
      <c r="G153" s="4" t="s">
        <v>64</v>
      </c>
      <c r="H153" s="4" t="s">
        <v>745</v>
      </c>
      <c r="I153" s="4" t="s">
        <v>836</v>
      </c>
      <c r="K153" s="4" t="s">
        <v>1001</v>
      </c>
      <c r="L153" s="4" t="s">
        <v>656</v>
      </c>
      <c r="M153" s="4" t="s">
        <v>550</v>
      </c>
      <c r="N153" s="4">
        <v>35</v>
      </c>
      <c r="O153" s="4" t="s">
        <v>97</v>
      </c>
      <c r="P153" s="4">
        <v>4</v>
      </c>
      <c r="Q153" s="4">
        <v>4</v>
      </c>
      <c r="R153" s="4">
        <v>20</v>
      </c>
      <c r="T153" s="4" t="s">
        <v>70</v>
      </c>
      <c r="U153" s="4" t="s">
        <v>70</v>
      </c>
      <c r="V153" s="6" t="s">
        <v>99</v>
      </c>
      <c r="AU153" s="4" t="s">
        <v>71</v>
      </c>
      <c r="AV153" s="4" t="s">
        <v>70</v>
      </c>
      <c r="AW153" s="4" t="s">
        <v>70</v>
      </c>
      <c r="AX153" s="4" t="s">
        <v>70</v>
      </c>
      <c r="AY153" s="4" t="s">
        <v>70</v>
      </c>
      <c r="AZ153" s="4" t="s">
        <v>71</v>
      </c>
      <c r="BA153" s="4" t="s">
        <v>71</v>
      </c>
      <c r="BB153" s="4" t="s">
        <v>70</v>
      </c>
      <c r="BC153" s="4" t="s">
        <v>70</v>
      </c>
      <c r="BE153" s="4" t="s">
        <v>70</v>
      </c>
      <c r="BH153" s="4" t="s">
        <v>70</v>
      </c>
      <c r="BJ153" s="4" t="s">
        <v>70</v>
      </c>
      <c r="BL153" s="4" t="s">
        <v>70</v>
      </c>
      <c r="BM153" s="4" t="s">
        <v>70</v>
      </c>
      <c r="BO153" s="4" t="s">
        <v>70</v>
      </c>
      <c r="BQ153" s="4" t="s">
        <v>70</v>
      </c>
      <c r="BR153" s="4" t="s">
        <v>1005</v>
      </c>
    </row>
    <row r="154" spans="1:93" x14ac:dyDescent="0.25">
      <c r="A154" s="3">
        <v>45006.475162615738</v>
      </c>
      <c r="B154" s="4" t="s">
        <v>1001</v>
      </c>
      <c r="C154" s="4" t="s">
        <v>1002</v>
      </c>
      <c r="D154" s="5" t="s">
        <v>1003</v>
      </c>
      <c r="E154" s="4" t="s">
        <v>149</v>
      </c>
      <c r="F154" s="4" t="s">
        <v>132</v>
      </c>
      <c r="G154" s="4" t="s">
        <v>64</v>
      </c>
      <c r="H154" s="4" t="s">
        <v>745</v>
      </c>
      <c r="I154" s="4" t="s">
        <v>1006</v>
      </c>
      <c r="K154" s="4" t="s">
        <v>1001</v>
      </c>
      <c r="L154" s="4" t="s">
        <v>656</v>
      </c>
      <c r="M154" s="4" t="s">
        <v>550</v>
      </c>
      <c r="N154" s="4">
        <v>35</v>
      </c>
      <c r="O154" s="4" t="s">
        <v>97</v>
      </c>
      <c r="P154" s="4">
        <v>4</v>
      </c>
      <c r="Q154" s="4">
        <v>4</v>
      </c>
      <c r="R154" s="4">
        <v>20</v>
      </c>
      <c r="T154" s="4" t="s">
        <v>70</v>
      </c>
      <c r="U154" s="4" t="s">
        <v>70</v>
      </c>
      <c r="V154" s="6" t="s">
        <v>99</v>
      </c>
      <c r="AU154" s="4" t="s">
        <v>70</v>
      </c>
      <c r="AV154" s="4" t="s">
        <v>71</v>
      </c>
      <c r="AW154" s="4" t="s">
        <v>70</v>
      </c>
      <c r="AX154" s="4" t="s">
        <v>70</v>
      </c>
      <c r="AY154" s="4" t="s">
        <v>71</v>
      </c>
      <c r="AZ154" s="4" t="s">
        <v>70</v>
      </c>
      <c r="BA154" s="4" t="s">
        <v>71</v>
      </c>
      <c r="BB154" s="4" t="s">
        <v>70</v>
      </c>
      <c r="BC154" s="4" t="s">
        <v>71</v>
      </c>
      <c r="BF154" s="4" t="s">
        <v>70</v>
      </c>
      <c r="BG154" s="4" t="s">
        <v>70</v>
      </c>
      <c r="BL154" s="4" t="s">
        <v>70</v>
      </c>
      <c r="BM154" s="4" t="s">
        <v>70</v>
      </c>
      <c r="BN154" s="4" t="s">
        <v>70</v>
      </c>
      <c r="BO154" s="4" t="s">
        <v>70</v>
      </c>
    </row>
    <row r="155" spans="1:93" x14ac:dyDescent="0.25">
      <c r="A155" s="3">
        <v>45000.66364269676</v>
      </c>
      <c r="B155" s="4" t="s">
        <v>572</v>
      </c>
      <c r="C155" s="4" t="s">
        <v>573</v>
      </c>
      <c r="D155" s="5" t="s">
        <v>574</v>
      </c>
      <c r="E155" s="4" t="s">
        <v>149</v>
      </c>
      <c r="F155" s="4" t="s">
        <v>575</v>
      </c>
      <c r="G155" s="4" t="s">
        <v>64</v>
      </c>
      <c r="H155" s="4" t="s">
        <v>576</v>
      </c>
      <c r="I155" s="4" t="s">
        <v>577</v>
      </c>
      <c r="J155" s="4" t="s">
        <v>578</v>
      </c>
      <c r="K155" s="4" t="s">
        <v>572</v>
      </c>
      <c r="L155" s="4" t="s">
        <v>67</v>
      </c>
      <c r="M155" s="4" t="s">
        <v>338</v>
      </c>
      <c r="N155" s="4">
        <v>39</v>
      </c>
      <c r="O155" s="4" t="s">
        <v>97</v>
      </c>
      <c r="P155" s="4">
        <v>4</v>
      </c>
      <c r="Q155" s="4">
        <v>3</v>
      </c>
      <c r="R155" s="4">
        <v>30</v>
      </c>
      <c r="T155" s="4" t="s">
        <v>70</v>
      </c>
      <c r="U155" s="4" t="s">
        <v>71</v>
      </c>
      <c r="V155" s="6" t="s">
        <v>145</v>
      </c>
      <c r="W155" s="4" t="s">
        <v>70</v>
      </c>
      <c r="X155" s="4" t="s">
        <v>70</v>
      </c>
      <c r="Y155" s="4" t="s">
        <v>70</v>
      </c>
      <c r="Z155" s="4" t="s">
        <v>70</v>
      </c>
      <c r="AA155" s="4" t="s">
        <v>70</v>
      </c>
      <c r="AB155" s="4" t="s">
        <v>70</v>
      </c>
      <c r="AC155" s="4" t="s">
        <v>70</v>
      </c>
      <c r="AD155" s="4" t="s">
        <v>71</v>
      </c>
      <c r="AE155" s="4" t="s">
        <v>71</v>
      </c>
      <c r="AF155" s="4" t="s">
        <v>70</v>
      </c>
      <c r="AG155" s="4" t="s">
        <v>70</v>
      </c>
      <c r="AH155" s="4" t="s">
        <v>70</v>
      </c>
      <c r="AI155" s="4" t="s">
        <v>71</v>
      </c>
      <c r="AK155" s="4" t="s">
        <v>70</v>
      </c>
      <c r="AL155" s="4" t="s">
        <v>70</v>
      </c>
      <c r="AM155" s="4" t="s">
        <v>70</v>
      </c>
      <c r="AN155" s="4" t="s">
        <v>71</v>
      </c>
      <c r="AO155" s="4" t="s">
        <v>71</v>
      </c>
      <c r="AP155" s="4" t="s">
        <v>70</v>
      </c>
      <c r="AQ155" s="4" t="s">
        <v>70</v>
      </c>
      <c r="AR155" s="4" t="s">
        <v>71</v>
      </c>
      <c r="AS155" s="4" t="s">
        <v>71</v>
      </c>
    </row>
    <row r="156" spans="1:93" x14ac:dyDescent="0.25">
      <c r="A156" s="3">
        <v>45005.71080148148</v>
      </c>
      <c r="B156" s="4" t="s">
        <v>524</v>
      </c>
      <c r="C156" s="4" t="s">
        <v>525</v>
      </c>
      <c r="D156" s="6" t="s">
        <v>526</v>
      </c>
      <c r="E156" s="4" t="s">
        <v>103</v>
      </c>
      <c r="F156" s="4" t="s">
        <v>531</v>
      </c>
      <c r="G156" s="4" t="s">
        <v>64</v>
      </c>
      <c r="H156" s="4" t="s">
        <v>532</v>
      </c>
      <c r="I156" s="4" t="s">
        <v>533</v>
      </c>
      <c r="K156" s="4" t="s">
        <v>524</v>
      </c>
      <c r="L156" s="4" t="s">
        <v>67</v>
      </c>
      <c r="M156" s="4" t="s">
        <v>68</v>
      </c>
      <c r="N156" s="4">
        <v>24</v>
      </c>
      <c r="O156" s="4" t="s">
        <v>200</v>
      </c>
      <c r="P156" s="4">
        <v>5</v>
      </c>
      <c r="Q156" s="4">
        <v>5</v>
      </c>
      <c r="R156" s="4">
        <v>0</v>
      </c>
      <c r="T156" s="4" t="s">
        <v>70</v>
      </c>
      <c r="U156" s="4" t="s">
        <v>71</v>
      </c>
      <c r="V156" s="6" t="s">
        <v>99</v>
      </c>
      <c r="AU156" s="4" t="s">
        <v>70</v>
      </c>
      <c r="AV156" s="4" t="s">
        <v>70</v>
      </c>
      <c r="AW156" s="4" t="s">
        <v>71</v>
      </c>
      <c r="AX156" s="4" t="s">
        <v>70</v>
      </c>
      <c r="AY156" s="4" t="s">
        <v>70</v>
      </c>
      <c r="AZ156" s="4" t="s">
        <v>70</v>
      </c>
      <c r="BA156" s="4" t="s">
        <v>71</v>
      </c>
      <c r="BB156" s="4" t="s">
        <v>71</v>
      </c>
      <c r="BC156" s="4" t="s">
        <v>71</v>
      </c>
      <c r="BD156" s="4" t="s">
        <v>70</v>
      </c>
      <c r="BE156" s="4" t="s">
        <v>70</v>
      </c>
      <c r="BF156" s="4" t="s">
        <v>70</v>
      </c>
      <c r="BG156" s="4" t="s">
        <v>71</v>
      </c>
      <c r="BH156" s="4" t="s">
        <v>71</v>
      </c>
      <c r="BI156" s="4" t="s">
        <v>70</v>
      </c>
      <c r="BJ156" s="4" t="s">
        <v>70</v>
      </c>
      <c r="BK156" s="4" t="s">
        <v>70</v>
      </c>
      <c r="BL156" s="4" t="s">
        <v>71</v>
      </c>
      <c r="BM156" s="4" t="s">
        <v>71</v>
      </c>
      <c r="BN156" s="4" t="s">
        <v>70</v>
      </c>
      <c r="BO156" s="4" t="s">
        <v>70</v>
      </c>
      <c r="BP156" s="4" t="s">
        <v>71</v>
      </c>
      <c r="BQ156" s="4" t="s">
        <v>71</v>
      </c>
    </row>
    <row r="157" spans="1:93" x14ac:dyDescent="0.25">
      <c r="A157" s="3">
        <v>45000.836320347225</v>
      </c>
      <c r="B157" s="4" t="s">
        <v>1127</v>
      </c>
      <c r="C157" s="4" t="s">
        <v>1128</v>
      </c>
      <c r="D157" s="5" t="s">
        <v>1129</v>
      </c>
      <c r="E157" s="4" t="s">
        <v>103</v>
      </c>
      <c r="F157" s="4" t="s">
        <v>1130</v>
      </c>
      <c r="G157" s="4" t="s">
        <v>64</v>
      </c>
      <c r="H157" s="4" t="s">
        <v>1131</v>
      </c>
      <c r="I157" s="4" t="s">
        <v>1132</v>
      </c>
      <c r="J157" s="4" t="s">
        <v>1133</v>
      </c>
      <c r="K157" s="4" t="s">
        <v>1127</v>
      </c>
      <c r="L157" s="4" t="s">
        <v>656</v>
      </c>
      <c r="M157" s="4" t="s">
        <v>693</v>
      </c>
      <c r="N157" s="4">
        <v>35</v>
      </c>
      <c r="O157" s="4" t="s">
        <v>200</v>
      </c>
      <c r="P157" s="4">
        <v>5</v>
      </c>
      <c r="Q157" s="4">
        <v>4</v>
      </c>
      <c r="R157" s="4">
        <v>0</v>
      </c>
      <c r="T157" s="4" t="s">
        <v>70</v>
      </c>
      <c r="U157" s="4" t="s">
        <v>70</v>
      </c>
      <c r="V157" s="6" t="s">
        <v>99</v>
      </c>
      <c r="AU157" s="4" t="s">
        <v>71</v>
      </c>
      <c r="AV157" s="4" t="s">
        <v>70</v>
      </c>
      <c r="AW157" s="4" t="s">
        <v>71</v>
      </c>
      <c r="AX157" s="4" t="s">
        <v>71</v>
      </c>
      <c r="AY157" s="4" t="s">
        <v>71</v>
      </c>
      <c r="AZ157" s="4" t="s">
        <v>70</v>
      </c>
      <c r="BA157" s="4" t="s">
        <v>71</v>
      </c>
      <c r="BB157" s="4" t="s">
        <v>71</v>
      </c>
      <c r="BC157" s="4" t="s">
        <v>71</v>
      </c>
      <c r="BD157" s="4" t="s">
        <v>71</v>
      </c>
      <c r="BE157" s="4" t="s">
        <v>71</v>
      </c>
      <c r="BF157" s="4" t="s">
        <v>70</v>
      </c>
      <c r="BG157" s="4" t="s">
        <v>71</v>
      </c>
      <c r="BH157" s="4" t="s">
        <v>71</v>
      </c>
      <c r="BI157" s="4" t="s">
        <v>71</v>
      </c>
      <c r="BJ157" s="4" t="s">
        <v>71</v>
      </c>
      <c r="BK157" s="4" t="s">
        <v>71</v>
      </c>
      <c r="BL157" s="4" t="s">
        <v>71</v>
      </c>
      <c r="BM157" s="4" t="s">
        <v>71</v>
      </c>
      <c r="BN157" s="4" t="s">
        <v>71</v>
      </c>
      <c r="BO157" s="4" t="s">
        <v>70</v>
      </c>
      <c r="BP157" s="4" t="s">
        <v>71</v>
      </c>
      <c r="BQ157" s="4" t="s">
        <v>71</v>
      </c>
    </row>
    <row r="158" spans="1:93" x14ac:dyDescent="0.25">
      <c r="A158" s="3">
        <v>45000.841201817129</v>
      </c>
      <c r="B158" s="4" t="s">
        <v>1127</v>
      </c>
      <c r="C158" s="4" t="s">
        <v>1128</v>
      </c>
      <c r="D158" s="5" t="s">
        <v>1129</v>
      </c>
      <c r="E158" s="4" t="s">
        <v>103</v>
      </c>
      <c r="F158" s="4" t="s">
        <v>1130</v>
      </c>
      <c r="G158" s="4" t="s">
        <v>64</v>
      </c>
      <c r="H158" s="4" t="s">
        <v>1131</v>
      </c>
      <c r="I158" s="4" t="s">
        <v>1132</v>
      </c>
      <c r="J158" s="4" t="s">
        <v>1134</v>
      </c>
      <c r="K158" s="4" t="s">
        <v>1127</v>
      </c>
      <c r="L158" s="4" t="s">
        <v>656</v>
      </c>
      <c r="M158" s="4" t="s">
        <v>693</v>
      </c>
      <c r="N158" s="4">
        <v>35</v>
      </c>
      <c r="O158" s="4" t="s">
        <v>200</v>
      </c>
      <c r="P158" s="4">
        <v>5</v>
      </c>
      <c r="Q158" s="4">
        <v>4</v>
      </c>
      <c r="R158" s="4">
        <v>0</v>
      </c>
      <c r="T158" s="4" t="s">
        <v>70</v>
      </c>
      <c r="U158" s="4" t="s">
        <v>70</v>
      </c>
      <c r="V158" s="6" t="s">
        <v>99</v>
      </c>
      <c r="AU158" s="4" t="s">
        <v>71</v>
      </c>
      <c r="AV158" s="4" t="s">
        <v>70</v>
      </c>
      <c r="AW158" s="4" t="s">
        <v>71</v>
      </c>
      <c r="AX158" s="4" t="s">
        <v>70</v>
      </c>
      <c r="AY158" s="4" t="s">
        <v>71</v>
      </c>
      <c r="AZ158" s="4" t="s">
        <v>70</v>
      </c>
      <c r="BA158" s="4" t="s">
        <v>71</v>
      </c>
      <c r="BB158" s="4" t="s">
        <v>71</v>
      </c>
      <c r="BC158" s="4" t="s">
        <v>71</v>
      </c>
      <c r="BD158" s="4" t="s">
        <v>71</v>
      </c>
      <c r="BE158" s="4" t="s">
        <v>71</v>
      </c>
      <c r="BF158" s="4" t="s">
        <v>70</v>
      </c>
      <c r="BG158" s="4" t="s">
        <v>71</v>
      </c>
      <c r="BH158" s="4" t="s">
        <v>71</v>
      </c>
      <c r="BJ158" s="4" t="s">
        <v>71</v>
      </c>
      <c r="BK158" s="4" t="s">
        <v>70</v>
      </c>
      <c r="BL158" s="4" t="s">
        <v>71</v>
      </c>
      <c r="BM158" s="4" t="s">
        <v>71</v>
      </c>
      <c r="BN158" s="4" t="s">
        <v>71</v>
      </c>
      <c r="BO158" s="4" t="s">
        <v>70</v>
      </c>
      <c r="BQ158" s="4" t="s">
        <v>71</v>
      </c>
    </row>
    <row r="159" spans="1:93" x14ac:dyDescent="0.25">
      <c r="A159" s="3">
        <v>45000.843717060183</v>
      </c>
      <c r="B159" s="4" t="s">
        <v>1127</v>
      </c>
      <c r="C159" s="4" t="s">
        <v>1128</v>
      </c>
      <c r="D159" s="5" t="s">
        <v>1129</v>
      </c>
      <c r="E159" s="4" t="s">
        <v>103</v>
      </c>
      <c r="F159" s="4" t="s">
        <v>1135</v>
      </c>
      <c r="G159" s="4" t="s">
        <v>64</v>
      </c>
      <c r="H159" s="4" t="s">
        <v>1136</v>
      </c>
      <c r="I159" s="4" t="s">
        <v>1132</v>
      </c>
      <c r="J159" s="4" t="s">
        <v>1134</v>
      </c>
      <c r="K159" s="4" t="s">
        <v>1127</v>
      </c>
      <c r="L159" s="4" t="s">
        <v>656</v>
      </c>
      <c r="M159" s="4" t="s">
        <v>700</v>
      </c>
      <c r="N159" s="4">
        <v>35</v>
      </c>
      <c r="O159" s="4" t="s">
        <v>200</v>
      </c>
      <c r="P159" s="4">
        <v>5</v>
      </c>
      <c r="Q159" s="4">
        <v>4</v>
      </c>
      <c r="R159" s="4">
        <v>0</v>
      </c>
      <c r="T159" s="4" t="s">
        <v>70</v>
      </c>
      <c r="U159" s="4" t="s">
        <v>70</v>
      </c>
      <c r="V159" s="6" t="s">
        <v>99</v>
      </c>
      <c r="AU159" s="4" t="s">
        <v>71</v>
      </c>
      <c r="AV159" s="4" t="s">
        <v>70</v>
      </c>
      <c r="AW159" s="4" t="s">
        <v>71</v>
      </c>
      <c r="AX159" s="4" t="s">
        <v>71</v>
      </c>
      <c r="AY159" s="4" t="s">
        <v>71</v>
      </c>
      <c r="AZ159" s="4" t="s">
        <v>71</v>
      </c>
      <c r="BA159" s="4" t="s">
        <v>70</v>
      </c>
      <c r="BB159" s="4" t="s">
        <v>71</v>
      </c>
      <c r="BC159" s="4" t="s">
        <v>71</v>
      </c>
      <c r="BD159" s="4" t="s">
        <v>71</v>
      </c>
      <c r="BE159" s="4" t="s">
        <v>71</v>
      </c>
      <c r="BF159" s="4" t="s">
        <v>70</v>
      </c>
      <c r="BG159" s="4" t="s">
        <v>71</v>
      </c>
      <c r="BH159" s="4" t="s">
        <v>71</v>
      </c>
      <c r="BI159" s="4" t="s">
        <v>71</v>
      </c>
      <c r="BJ159" s="4" t="s">
        <v>71</v>
      </c>
      <c r="BK159" s="4" t="s">
        <v>70</v>
      </c>
      <c r="BL159" s="4" t="s">
        <v>71</v>
      </c>
      <c r="BM159" s="4" t="s">
        <v>71</v>
      </c>
      <c r="BN159" s="4" t="s">
        <v>71</v>
      </c>
      <c r="BO159" s="4" t="s">
        <v>70</v>
      </c>
      <c r="BP159" s="4" t="s">
        <v>71</v>
      </c>
      <c r="BQ159" s="4" t="s">
        <v>71</v>
      </c>
    </row>
    <row r="160" spans="1:93" x14ac:dyDescent="0.25">
      <c r="A160" s="3">
        <v>45000.700057268521</v>
      </c>
      <c r="B160" s="4" t="s">
        <v>524</v>
      </c>
      <c r="C160" s="4" t="s">
        <v>525</v>
      </c>
      <c r="D160" s="5" t="s">
        <v>526</v>
      </c>
      <c r="E160" s="4" t="s">
        <v>103</v>
      </c>
      <c r="F160" s="4" t="s">
        <v>527</v>
      </c>
      <c r="G160" s="4" t="s">
        <v>64</v>
      </c>
      <c r="H160" s="4" t="s">
        <v>528</v>
      </c>
      <c r="I160" s="4" t="s">
        <v>529</v>
      </c>
      <c r="K160" s="4" t="s">
        <v>524</v>
      </c>
      <c r="L160" s="4" t="s">
        <v>67</v>
      </c>
      <c r="M160" s="4" t="s">
        <v>68</v>
      </c>
      <c r="N160" s="4">
        <v>24</v>
      </c>
      <c r="O160" s="4" t="s">
        <v>200</v>
      </c>
      <c r="P160" s="4">
        <v>4</v>
      </c>
      <c r="Q160" s="4">
        <v>5</v>
      </c>
      <c r="R160" s="4">
        <v>0</v>
      </c>
      <c r="T160" s="4" t="s">
        <v>70</v>
      </c>
      <c r="U160" s="4" t="s">
        <v>71</v>
      </c>
      <c r="V160" s="6" t="s">
        <v>145</v>
      </c>
      <c r="W160" s="4" t="s">
        <v>70</v>
      </c>
      <c r="X160" s="4" t="s">
        <v>70</v>
      </c>
      <c r="Y160" s="4" t="s">
        <v>70</v>
      </c>
      <c r="Z160" s="4" t="s">
        <v>70</v>
      </c>
      <c r="AA160" s="4" t="s">
        <v>70</v>
      </c>
      <c r="AB160" s="4" t="s">
        <v>70</v>
      </c>
      <c r="AC160" s="4" t="s">
        <v>71</v>
      </c>
      <c r="AD160" s="4" t="s">
        <v>71</v>
      </c>
      <c r="AE160" s="4" t="s">
        <v>71</v>
      </c>
      <c r="AF160" s="4" t="s">
        <v>70</v>
      </c>
      <c r="AG160" s="4" t="s">
        <v>70</v>
      </c>
      <c r="AH160" s="4" t="s">
        <v>70</v>
      </c>
      <c r="AI160" s="4" t="s">
        <v>71</v>
      </c>
      <c r="AJ160" s="4" t="s">
        <v>71</v>
      </c>
      <c r="AK160" s="4" t="s">
        <v>70</v>
      </c>
      <c r="AL160" s="4" t="s">
        <v>70</v>
      </c>
      <c r="AM160" s="4" t="s">
        <v>70</v>
      </c>
      <c r="AN160" s="4" t="s">
        <v>71</v>
      </c>
      <c r="AO160" s="4" t="s">
        <v>71</v>
      </c>
      <c r="AP160" s="4" t="s">
        <v>70</v>
      </c>
      <c r="AQ160" s="4" t="s">
        <v>70</v>
      </c>
      <c r="AR160" s="4" t="s">
        <v>71</v>
      </c>
      <c r="AS160" s="4" t="s">
        <v>71</v>
      </c>
    </row>
    <row r="161" spans="1:94" x14ac:dyDescent="0.25">
      <c r="A161" s="3">
        <v>45001.406216307871</v>
      </c>
      <c r="B161" s="4" t="s">
        <v>535</v>
      </c>
      <c r="C161" s="4" t="s">
        <v>536</v>
      </c>
      <c r="D161" s="7" t="s">
        <v>537</v>
      </c>
      <c r="E161" s="4" t="s">
        <v>103</v>
      </c>
      <c r="F161" s="4" t="s">
        <v>555</v>
      </c>
      <c r="G161" s="4" t="s">
        <v>64</v>
      </c>
      <c r="H161" s="4" t="s">
        <v>539</v>
      </c>
      <c r="I161" s="4" t="s">
        <v>540</v>
      </c>
      <c r="K161" s="4" t="s">
        <v>535</v>
      </c>
      <c r="L161" s="4" t="s">
        <v>67</v>
      </c>
      <c r="M161" s="4" t="s">
        <v>331</v>
      </c>
      <c r="N161" s="4">
        <v>36</v>
      </c>
      <c r="O161" s="4" t="s">
        <v>200</v>
      </c>
      <c r="P161" s="4">
        <v>4</v>
      </c>
      <c r="Q161" s="4">
        <v>3</v>
      </c>
      <c r="R161" s="4">
        <v>10</v>
      </c>
      <c r="S161" s="4" t="s">
        <v>548</v>
      </c>
      <c r="T161" s="4" t="s">
        <v>70</v>
      </c>
      <c r="U161" s="4" t="s">
        <v>71</v>
      </c>
      <c r="V161" s="6" t="s">
        <v>73</v>
      </c>
      <c r="BS161" s="4" t="s">
        <v>70</v>
      </c>
      <c r="BT161" s="4" t="s">
        <v>70</v>
      </c>
      <c r="BU161" s="4" t="s">
        <v>71</v>
      </c>
      <c r="BV161" s="4" t="s">
        <v>70</v>
      </c>
      <c r="BW161" s="4" t="s">
        <v>70</v>
      </c>
      <c r="BX161" s="4" t="s">
        <v>70</v>
      </c>
      <c r="BY161" s="4" t="s">
        <v>71</v>
      </c>
      <c r="BZ161" s="4" t="s">
        <v>71</v>
      </c>
      <c r="CA161" s="4" t="s">
        <v>71</v>
      </c>
      <c r="CB161" s="4" t="s">
        <v>70</v>
      </c>
      <c r="CC161" s="4" t="s">
        <v>70</v>
      </c>
      <c r="CD161" s="4" t="s">
        <v>70</v>
      </c>
      <c r="CE161" s="4" t="s">
        <v>71</v>
      </c>
      <c r="CF161" s="4" t="s">
        <v>71</v>
      </c>
      <c r="CG161" s="4" t="s">
        <v>70</v>
      </c>
      <c r="CH161" s="4" t="s">
        <v>70</v>
      </c>
      <c r="CI161" s="4" t="s">
        <v>70</v>
      </c>
      <c r="CJ161" s="4" t="s">
        <v>71</v>
      </c>
      <c r="CK161" s="4" t="s">
        <v>71</v>
      </c>
      <c r="CL161" s="4" t="s">
        <v>70</v>
      </c>
      <c r="CM161" s="4" t="s">
        <v>70</v>
      </c>
      <c r="CN161" s="4" t="s">
        <v>71</v>
      </c>
      <c r="CO161" s="4" t="s">
        <v>71</v>
      </c>
      <c r="CP161" s="4" t="s">
        <v>557</v>
      </c>
    </row>
    <row r="162" spans="1:94" x14ac:dyDescent="0.25">
      <c r="A162" s="3">
        <v>45001.39929001157</v>
      </c>
      <c r="B162" s="4" t="s">
        <v>544</v>
      </c>
      <c r="C162" s="4" t="s">
        <v>545</v>
      </c>
      <c r="D162" s="7" t="s">
        <v>537</v>
      </c>
      <c r="E162" s="4" t="s">
        <v>103</v>
      </c>
      <c r="F162" s="4" t="s">
        <v>546</v>
      </c>
      <c r="G162" s="4" t="s">
        <v>64</v>
      </c>
      <c r="H162" s="4" t="s">
        <v>539</v>
      </c>
      <c r="I162" s="4" t="s">
        <v>540</v>
      </c>
      <c r="K162" s="4" t="s">
        <v>535</v>
      </c>
      <c r="L162" s="4" t="s">
        <v>67</v>
      </c>
      <c r="M162" s="4" t="s">
        <v>331</v>
      </c>
      <c r="N162" s="4">
        <v>37</v>
      </c>
      <c r="O162" s="4" t="s">
        <v>200</v>
      </c>
      <c r="P162" s="4">
        <v>4</v>
      </c>
      <c r="Q162" s="4">
        <v>3</v>
      </c>
      <c r="R162" s="4">
        <v>10</v>
      </c>
      <c r="S162" s="4" t="s">
        <v>548</v>
      </c>
      <c r="T162" s="4" t="s">
        <v>70</v>
      </c>
      <c r="U162" s="4" t="s">
        <v>71</v>
      </c>
      <c r="V162" s="6" t="s">
        <v>99</v>
      </c>
      <c r="AU162" s="4" t="s">
        <v>70</v>
      </c>
      <c r="AV162" s="4" t="s">
        <v>70</v>
      </c>
      <c r="AW162" s="4" t="s">
        <v>71</v>
      </c>
      <c r="AX162" s="4" t="s">
        <v>70</v>
      </c>
      <c r="AY162" s="4" t="s">
        <v>70</v>
      </c>
      <c r="AZ162" s="4" t="s">
        <v>70</v>
      </c>
      <c r="BA162" s="4" t="s">
        <v>71</v>
      </c>
      <c r="BB162" s="4" t="s">
        <v>71</v>
      </c>
      <c r="BC162" s="4" t="s">
        <v>71</v>
      </c>
      <c r="BD162" s="4" t="s">
        <v>70</v>
      </c>
      <c r="BE162" s="4" t="s">
        <v>70</v>
      </c>
      <c r="BF162" s="4" t="s">
        <v>70</v>
      </c>
      <c r="BG162" s="4" t="s">
        <v>71</v>
      </c>
      <c r="BH162" s="4" t="s">
        <v>71</v>
      </c>
      <c r="BI162" s="4" t="s">
        <v>70</v>
      </c>
      <c r="BJ162" s="4" t="s">
        <v>70</v>
      </c>
      <c r="BK162" s="4" t="s">
        <v>70</v>
      </c>
      <c r="BL162" s="4" t="s">
        <v>71</v>
      </c>
      <c r="BM162" s="4" t="s">
        <v>71</v>
      </c>
      <c r="BN162" s="4" t="s">
        <v>70</v>
      </c>
      <c r="BO162" s="4" t="s">
        <v>70</v>
      </c>
      <c r="BP162" s="4" t="s">
        <v>71</v>
      </c>
      <c r="BQ162" s="4" t="s">
        <v>71</v>
      </c>
      <c r="BR162" s="4" t="s">
        <v>549</v>
      </c>
    </row>
    <row r="163" spans="1:94" x14ac:dyDescent="0.25">
      <c r="A163" s="3">
        <v>45001.411839351851</v>
      </c>
      <c r="B163" s="4" t="s">
        <v>535</v>
      </c>
      <c r="C163" s="4" t="s">
        <v>536</v>
      </c>
      <c r="D163" s="7" t="s">
        <v>537</v>
      </c>
      <c r="E163" s="4" t="s">
        <v>103</v>
      </c>
      <c r="F163" s="4" t="s">
        <v>546</v>
      </c>
      <c r="G163" s="4" t="s">
        <v>64</v>
      </c>
      <c r="H163" s="4" t="s">
        <v>539</v>
      </c>
      <c r="I163" s="4" t="s">
        <v>540</v>
      </c>
      <c r="K163" s="4" t="s">
        <v>535</v>
      </c>
      <c r="L163" s="4" t="s">
        <v>67</v>
      </c>
      <c r="M163" s="4" t="s">
        <v>331</v>
      </c>
      <c r="N163" s="4">
        <v>37</v>
      </c>
      <c r="O163" s="4" t="s">
        <v>200</v>
      </c>
      <c r="P163" s="4">
        <v>4</v>
      </c>
      <c r="Q163" s="4">
        <v>3</v>
      </c>
      <c r="R163" s="4">
        <v>10</v>
      </c>
      <c r="S163" s="4" t="s">
        <v>548</v>
      </c>
      <c r="T163" s="4" t="s">
        <v>70</v>
      </c>
      <c r="U163" s="4" t="s">
        <v>70</v>
      </c>
      <c r="V163" s="6" t="s">
        <v>99</v>
      </c>
      <c r="AU163" s="4" t="s">
        <v>70</v>
      </c>
      <c r="AV163" s="4" t="s">
        <v>70</v>
      </c>
      <c r="AW163" s="4" t="s">
        <v>71</v>
      </c>
      <c r="AX163" s="4" t="s">
        <v>70</v>
      </c>
      <c r="AY163" s="4" t="s">
        <v>70</v>
      </c>
      <c r="AZ163" s="4" t="s">
        <v>70</v>
      </c>
      <c r="BA163" s="4" t="s">
        <v>71</v>
      </c>
      <c r="BB163" s="4" t="s">
        <v>71</v>
      </c>
      <c r="BC163" s="4" t="s">
        <v>71</v>
      </c>
      <c r="BD163" s="4" t="s">
        <v>70</v>
      </c>
      <c r="BE163" s="4" t="s">
        <v>70</v>
      </c>
      <c r="BF163" s="4" t="s">
        <v>70</v>
      </c>
      <c r="BG163" s="4" t="s">
        <v>71</v>
      </c>
      <c r="BH163" s="4" t="s">
        <v>71</v>
      </c>
      <c r="BI163" s="4" t="s">
        <v>70</v>
      </c>
      <c r="BJ163" s="4" t="s">
        <v>70</v>
      </c>
      <c r="BK163" s="4" t="s">
        <v>70</v>
      </c>
      <c r="BL163" s="4" t="s">
        <v>71</v>
      </c>
      <c r="BM163" s="4" t="s">
        <v>71</v>
      </c>
      <c r="BN163" s="4" t="s">
        <v>70</v>
      </c>
      <c r="BO163" s="4" t="s">
        <v>70</v>
      </c>
      <c r="BP163" s="4" t="s">
        <v>71</v>
      </c>
      <c r="BQ163" s="4" t="s">
        <v>71</v>
      </c>
      <c r="BR163" s="4" t="s">
        <v>551</v>
      </c>
    </row>
    <row r="164" spans="1:94" x14ac:dyDescent="0.25">
      <c r="A164" s="3">
        <v>45001.422946469909</v>
      </c>
      <c r="B164" s="4" t="s">
        <v>535</v>
      </c>
      <c r="C164" s="4" t="s">
        <v>536</v>
      </c>
      <c r="D164" s="7" t="s">
        <v>537</v>
      </c>
      <c r="E164" s="4" t="s">
        <v>103</v>
      </c>
      <c r="F164" s="4" t="s">
        <v>546</v>
      </c>
      <c r="G164" s="4" t="s">
        <v>64</v>
      </c>
      <c r="H164" s="4" t="s">
        <v>539</v>
      </c>
      <c r="I164" s="4" t="s">
        <v>540</v>
      </c>
      <c r="K164" s="4" t="s">
        <v>535</v>
      </c>
      <c r="L164" s="4" t="s">
        <v>67</v>
      </c>
      <c r="M164" s="4" t="s">
        <v>331</v>
      </c>
      <c r="N164" s="4">
        <v>30</v>
      </c>
      <c r="O164" s="4" t="s">
        <v>200</v>
      </c>
      <c r="P164" s="4">
        <v>4</v>
      </c>
      <c r="Q164" s="4">
        <v>3</v>
      </c>
      <c r="R164" s="4">
        <v>10</v>
      </c>
      <c r="S164" s="4" t="s">
        <v>553</v>
      </c>
      <c r="T164" s="4" t="s">
        <v>71</v>
      </c>
      <c r="U164" s="4" t="s">
        <v>70</v>
      </c>
      <c r="V164" s="6" t="s">
        <v>99</v>
      </c>
      <c r="AU164" s="4" t="s">
        <v>71</v>
      </c>
      <c r="AV164" s="4" t="s">
        <v>71</v>
      </c>
      <c r="AW164" s="4" t="s">
        <v>70</v>
      </c>
      <c r="AX164" s="4" t="s">
        <v>71</v>
      </c>
      <c r="AY164" s="4" t="s">
        <v>71</v>
      </c>
      <c r="AZ164" s="4" t="s">
        <v>71</v>
      </c>
      <c r="BA164" s="4" t="s">
        <v>71</v>
      </c>
      <c r="BB164" s="4" t="s">
        <v>70</v>
      </c>
      <c r="BC164" s="4" t="s">
        <v>70</v>
      </c>
      <c r="BD164" s="4" t="s">
        <v>71</v>
      </c>
      <c r="BE164" s="4" t="s">
        <v>71</v>
      </c>
      <c r="BF164" s="4" t="s">
        <v>71</v>
      </c>
      <c r="BG164" s="4" t="s">
        <v>70</v>
      </c>
      <c r="BH164" s="4" t="s">
        <v>70</v>
      </c>
      <c r="BI164" s="4" t="s">
        <v>71</v>
      </c>
      <c r="BJ164" s="4" t="s">
        <v>71</v>
      </c>
      <c r="BK164" s="4" t="s">
        <v>71</v>
      </c>
      <c r="BL164" s="4" t="s">
        <v>70</v>
      </c>
      <c r="BM164" s="4" t="s">
        <v>70</v>
      </c>
      <c r="BN164" s="4" t="s">
        <v>71</v>
      </c>
      <c r="BO164" s="4" t="s">
        <v>71</v>
      </c>
      <c r="BP164" s="4" t="s">
        <v>70</v>
      </c>
      <c r="BQ164" s="4" t="s">
        <v>70</v>
      </c>
      <c r="BR164" s="4" t="s">
        <v>554</v>
      </c>
    </row>
    <row r="165" spans="1:94" x14ac:dyDescent="0.25">
      <c r="A165" s="3">
        <v>45001.394216238426</v>
      </c>
      <c r="B165" s="4" t="s">
        <v>535</v>
      </c>
      <c r="C165" s="4" t="s">
        <v>536</v>
      </c>
      <c r="D165" s="7" t="s">
        <v>537</v>
      </c>
      <c r="E165" s="4" t="s">
        <v>103</v>
      </c>
      <c r="F165" s="4" t="s">
        <v>538</v>
      </c>
      <c r="G165" s="4" t="s">
        <v>64</v>
      </c>
      <c r="H165" s="4" t="s">
        <v>539</v>
      </c>
      <c r="I165" s="4" t="s">
        <v>540</v>
      </c>
      <c r="K165" s="4" t="s">
        <v>535</v>
      </c>
      <c r="L165" s="4" t="s">
        <v>67</v>
      </c>
      <c r="M165" s="4" t="s">
        <v>331</v>
      </c>
      <c r="N165" s="4">
        <v>38</v>
      </c>
      <c r="O165" s="4" t="s">
        <v>200</v>
      </c>
      <c r="P165" s="4">
        <v>4</v>
      </c>
      <c r="Q165" s="4">
        <v>3</v>
      </c>
      <c r="R165" s="4">
        <v>10</v>
      </c>
      <c r="S165" s="4" t="s">
        <v>542</v>
      </c>
      <c r="T165" s="4" t="s">
        <v>70</v>
      </c>
      <c r="U165" s="4" t="s">
        <v>71</v>
      </c>
      <c r="V165" s="6" t="s">
        <v>145</v>
      </c>
      <c r="W165" s="4" t="s">
        <v>70</v>
      </c>
      <c r="X165" s="4" t="s">
        <v>70</v>
      </c>
      <c r="Y165" s="4" t="s">
        <v>71</v>
      </c>
      <c r="Z165" s="4" t="s">
        <v>70</v>
      </c>
      <c r="AA165" s="4" t="s">
        <v>70</v>
      </c>
      <c r="AB165" s="4" t="s">
        <v>70</v>
      </c>
      <c r="AC165" s="4" t="s">
        <v>71</v>
      </c>
      <c r="AD165" s="4" t="s">
        <v>71</v>
      </c>
      <c r="AE165" s="4" t="s">
        <v>71</v>
      </c>
      <c r="AF165" s="4" t="s">
        <v>70</v>
      </c>
      <c r="AG165" s="4" t="s">
        <v>70</v>
      </c>
      <c r="AH165" s="4" t="s">
        <v>70</v>
      </c>
      <c r="AI165" s="4" t="s">
        <v>71</v>
      </c>
      <c r="AJ165" s="4" t="s">
        <v>71</v>
      </c>
      <c r="AK165" s="4" t="s">
        <v>70</v>
      </c>
      <c r="AL165" s="4" t="s">
        <v>70</v>
      </c>
      <c r="AM165" s="4" t="s">
        <v>70</v>
      </c>
      <c r="AN165" s="4" t="s">
        <v>71</v>
      </c>
      <c r="AO165" s="4" t="s">
        <v>71</v>
      </c>
      <c r="AP165" s="4" t="s">
        <v>70</v>
      </c>
      <c r="AQ165" s="4" t="s">
        <v>70</v>
      </c>
      <c r="AR165" s="4" t="s">
        <v>71</v>
      </c>
      <c r="AS165" s="4" t="s">
        <v>71</v>
      </c>
      <c r="AT165" s="4" t="s">
        <v>543</v>
      </c>
    </row>
    <row r="166" spans="1:94" x14ac:dyDescent="0.25">
      <c r="A166" s="3">
        <v>45000.8241647338</v>
      </c>
      <c r="B166" s="4" t="s">
        <v>493</v>
      </c>
      <c r="C166" s="4" t="s">
        <v>494</v>
      </c>
      <c r="D166" s="5" t="s">
        <v>495</v>
      </c>
      <c r="E166" s="4" t="s">
        <v>103</v>
      </c>
      <c r="F166" s="4" t="s">
        <v>496</v>
      </c>
      <c r="G166" s="4" t="s">
        <v>64</v>
      </c>
      <c r="H166" s="4" t="s">
        <v>497</v>
      </c>
      <c r="I166" s="4" t="s">
        <v>498</v>
      </c>
      <c r="K166" s="4" t="s">
        <v>493</v>
      </c>
      <c r="L166" s="4" t="s">
        <v>67</v>
      </c>
      <c r="M166" s="4" t="s">
        <v>322</v>
      </c>
      <c r="N166" s="4">
        <v>34</v>
      </c>
      <c r="O166" s="4" t="s">
        <v>200</v>
      </c>
      <c r="P166" s="4">
        <v>3</v>
      </c>
      <c r="Q166" s="4">
        <v>1</v>
      </c>
      <c r="R166" s="4">
        <v>15</v>
      </c>
      <c r="T166" s="4" t="s">
        <v>70</v>
      </c>
      <c r="U166" s="4" t="s">
        <v>71</v>
      </c>
      <c r="V166" s="6" t="s">
        <v>145</v>
      </c>
      <c r="W166" s="4" t="s">
        <v>70</v>
      </c>
      <c r="X166" s="4" t="s">
        <v>70</v>
      </c>
      <c r="Y166" s="4" t="s">
        <v>71</v>
      </c>
      <c r="Z166" s="4" t="s">
        <v>71</v>
      </c>
      <c r="AA166" s="4" t="s">
        <v>71</v>
      </c>
      <c r="AB166" s="4" t="s">
        <v>71</v>
      </c>
      <c r="AC166" s="4" t="s">
        <v>71</v>
      </c>
      <c r="AD166" s="4" t="s">
        <v>71</v>
      </c>
      <c r="AE166" s="4" t="s">
        <v>71</v>
      </c>
      <c r="AF166" s="4" t="s">
        <v>71</v>
      </c>
      <c r="AG166" s="4" t="s">
        <v>70</v>
      </c>
      <c r="AH166" s="4" t="s">
        <v>71</v>
      </c>
      <c r="AI166" s="4" t="s">
        <v>71</v>
      </c>
      <c r="AJ166" s="4" t="s">
        <v>71</v>
      </c>
      <c r="AK166" s="4" t="s">
        <v>71</v>
      </c>
      <c r="AL166" s="4" t="s">
        <v>71</v>
      </c>
      <c r="AM166" s="4" t="s">
        <v>71</v>
      </c>
      <c r="AN166" s="4" t="s">
        <v>71</v>
      </c>
      <c r="AO166" s="4" t="s">
        <v>71</v>
      </c>
      <c r="AP166" s="4" t="s">
        <v>71</v>
      </c>
      <c r="AQ166" s="4" t="s">
        <v>71</v>
      </c>
      <c r="AR166" s="4" t="s">
        <v>71</v>
      </c>
      <c r="AS166" s="4" t="s">
        <v>71</v>
      </c>
      <c r="AT166" s="4" t="s">
        <v>500</v>
      </c>
    </row>
    <row r="167" spans="1:94" x14ac:dyDescent="0.25">
      <c r="A167" s="3">
        <v>45000.830641712964</v>
      </c>
      <c r="B167" s="4" t="s">
        <v>493</v>
      </c>
      <c r="C167" s="4" t="s">
        <v>494</v>
      </c>
      <c r="D167" s="5" t="s">
        <v>495</v>
      </c>
      <c r="E167" s="4" t="s">
        <v>103</v>
      </c>
      <c r="F167" s="4" t="s">
        <v>446</v>
      </c>
      <c r="G167" s="4" t="s">
        <v>64</v>
      </c>
      <c r="H167" s="4" t="s">
        <v>497</v>
      </c>
      <c r="I167" s="4" t="s">
        <v>506</v>
      </c>
      <c r="K167" s="4" t="s">
        <v>493</v>
      </c>
      <c r="L167" s="4" t="s">
        <v>67</v>
      </c>
      <c r="M167" s="4" t="s">
        <v>322</v>
      </c>
      <c r="N167" s="4">
        <v>34</v>
      </c>
      <c r="O167" s="4" t="s">
        <v>200</v>
      </c>
      <c r="P167" s="4">
        <v>3</v>
      </c>
      <c r="Q167" s="4">
        <v>1</v>
      </c>
      <c r="R167" s="4">
        <v>15</v>
      </c>
      <c r="T167" s="4" t="s">
        <v>70</v>
      </c>
      <c r="U167" s="4" t="s">
        <v>71</v>
      </c>
      <c r="V167" s="6" t="s">
        <v>145</v>
      </c>
      <c r="W167" s="4" t="s">
        <v>70</v>
      </c>
      <c r="X167" s="4" t="s">
        <v>70</v>
      </c>
      <c r="Y167" s="4" t="s">
        <v>71</v>
      </c>
      <c r="Z167" s="4" t="s">
        <v>71</v>
      </c>
      <c r="AA167" s="4" t="s">
        <v>71</v>
      </c>
      <c r="AB167" s="4" t="s">
        <v>71</v>
      </c>
      <c r="AC167" s="4" t="s">
        <v>71</v>
      </c>
      <c r="AD167" s="4" t="s">
        <v>71</v>
      </c>
      <c r="AE167" s="4" t="s">
        <v>71</v>
      </c>
      <c r="AF167" s="4" t="s">
        <v>71</v>
      </c>
      <c r="AG167" s="4" t="s">
        <v>70</v>
      </c>
      <c r="AH167" s="4" t="s">
        <v>71</v>
      </c>
      <c r="AI167" s="4" t="s">
        <v>71</v>
      </c>
      <c r="AJ167" s="4" t="s">
        <v>71</v>
      </c>
      <c r="AK167" s="4" t="s">
        <v>71</v>
      </c>
      <c r="AL167" s="4" t="s">
        <v>71</v>
      </c>
      <c r="AM167" s="4" t="s">
        <v>71</v>
      </c>
      <c r="AN167" s="4" t="s">
        <v>71</v>
      </c>
      <c r="AO167" s="4" t="s">
        <v>71</v>
      </c>
      <c r="AP167" s="4" t="s">
        <v>71</v>
      </c>
      <c r="AQ167" s="4" t="s">
        <v>71</v>
      </c>
      <c r="AR167" s="4" t="s">
        <v>71</v>
      </c>
      <c r="AS167" s="4" t="s">
        <v>71</v>
      </c>
    </row>
    <row r="168" spans="1:94" x14ac:dyDescent="0.25">
      <c r="A168" s="3">
        <v>45002.425666840281</v>
      </c>
      <c r="B168" s="4" t="s">
        <v>883</v>
      </c>
      <c r="C168" s="4" t="s">
        <v>884</v>
      </c>
      <c r="D168" s="5" t="s">
        <v>885</v>
      </c>
      <c r="E168" s="4" t="s">
        <v>103</v>
      </c>
      <c r="F168" s="4" t="s">
        <v>886</v>
      </c>
      <c r="G168" s="4" t="s">
        <v>64</v>
      </c>
      <c r="H168" s="4" t="s">
        <v>887</v>
      </c>
      <c r="I168" s="4" t="s">
        <v>888</v>
      </c>
      <c r="J168" s="4" t="s">
        <v>889</v>
      </c>
      <c r="K168" s="4" t="s">
        <v>890</v>
      </c>
      <c r="L168" s="4" t="s">
        <v>665</v>
      </c>
      <c r="M168" s="4" t="s">
        <v>541</v>
      </c>
      <c r="N168" s="4">
        <v>20</v>
      </c>
      <c r="O168" s="4" t="s">
        <v>200</v>
      </c>
      <c r="P168" s="4">
        <v>3</v>
      </c>
      <c r="Q168" s="4">
        <v>3</v>
      </c>
      <c r="R168" s="4">
        <v>40</v>
      </c>
      <c r="T168" s="4" t="s">
        <v>70</v>
      </c>
      <c r="U168" s="4" t="s">
        <v>70</v>
      </c>
      <c r="V168" s="6" t="s">
        <v>99</v>
      </c>
      <c r="AU168" s="4" t="s">
        <v>70</v>
      </c>
      <c r="AV168" s="4" t="s">
        <v>70</v>
      </c>
      <c r="AW168" s="4" t="s">
        <v>70</v>
      </c>
      <c r="AX168" s="4" t="s">
        <v>70</v>
      </c>
      <c r="AY168" s="4" t="s">
        <v>70</v>
      </c>
      <c r="AZ168" s="4" t="s">
        <v>70</v>
      </c>
      <c r="BA168" s="4" t="s">
        <v>70</v>
      </c>
      <c r="BB168" s="4" t="s">
        <v>70</v>
      </c>
      <c r="BC168" s="4" t="s">
        <v>70</v>
      </c>
      <c r="BD168" s="4" t="s">
        <v>70</v>
      </c>
      <c r="BE168" s="4" t="s">
        <v>70</v>
      </c>
      <c r="BF168" s="4" t="s">
        <v>70</v>
      </c>
      <c r="BG168" s="4" t="s">
        <v>70</v>
      </c>
      <c r="BH168" s="4" t="s">
        <v>70</v>
      </c>
      <c r="BI168" s="4" t="s">
        <v>70</v>
      </c>
      <c r="BJ168" s="4" t="s">
        <v>70</v>
      </c>
      <c r="BK168" s="4" t="s">
        <v>70</v>
      </c>
      <c r="BL168" s="4" t="s">
        <v>70</v>
      </c>
      <c r="BM168" s="4" t="s">
        <v>70</v>
      </c>
      <c r="BN168" s="4" t="s">
        <v>70</v>
      </c>
      <c r="BO168" s="4" t="s">
        <v>70</v>
      </c>
      <c r="BP168" s="4" t="s">
        <v>70</v>
      </c>
      <c r="BQ168" s="4" t="s">
        <v>70</v>
      </c>
    </row>
    <row r="169" spans="1:94" x14ac:dyDescent="0.25">
      <c r="A169" s="3">
        <v>45005.626857986106</v>
      </c>
      <c r="B169" s="4" t="s">
        <v>1106</v>
      </c>
      <c r="C169" s="4" t="s">
        <v>1107</v>
      </c>
      <c r="D169" s="5" t="s">
        <v>1108</v>
      </c>
      <c r="E169" s="4" t="s">
        <v>62</v>
      </c>
      <c r="F169" s="4" t="s">
        <v>1109</v>
      </c>
      <c r="G169" s="4" t="s">
        <v>105</v>
      </c>
      <c r="H169" s="4" t="s">
        <v>1110</v>
      </c>
      <c r="I169" s="4" t="s">
        <v>1111</v>
      </c>
      <c r="J169" s="4" t="s">
        <v>1112</v>
      </c>
      <c r="K169" s="4" t="s">
        <v>1106</v>
      </c>
      <c r="L169" s="4" t="s">
        <v>656</v>
      </c>
      <c r="M169" s="4" t="s">
        <v>680</v>
      </c>
      <c r="N169" s="4">
        <v>30</v>
      </c>
      <c r="O169" s="4" t="s">
        <v>200</v>
      </c>
      <c r="P169" s="4">
        <v>4</v>
      </c>
      <c r="Q169" s="4">
        <v>1</v>
      </c>
      <c r="R169" s="4">
        <v>80</v>
      </c>
      <c r="T169" s="4" t="s">
        <v>70</v>
      </c>
      <c r="U169" s="4" t="s">
        <v>70</v>
      </c>
      <c r="V169" s="6" t="s">
        <v>145</v>
      </c>
      <c r="W169" s="4" t="s">
        <v>70</v>
      </c>
      <c r="X169" s="4" t="s">
        <v>71</v>
      </c>
      <c r="Y169" s="4" t="s">
        <v>70</v>
      </c>
      <c r="Z169" s="4" t="s">
        <v>71</v>
      </c>
      <c r="AA169" s="4" t="s">
        <v>71</v>
      </c>
      <c r="AB169" s="4" t="s">
        <v>71</v>
      </c>
      <c r="AC169" s="4" t="s">
        <v>70</v>
      </c>
      <c r="AD169" s="4" t="s">
        <v>71</v>
      </c>
      <c r="AE169" s="4" t="s">
        <v>71</v>
      </c>
      <c r="AF169" s="4" t="s">
        <v>71</v>
      </c>
      <c r="AG169" s="4" t="s">
        <v>71</v>
      </c>
      <c r="AH169" s="4" t="s">
        <v>70</v>
      </c>
      <c r="AI169" s="4" t="s">
        <v>70</v>
      </c>
      <c r="AJ169" s="4" t="s">
        <v>71</v>
      </c>
      <c r="AK169" s="4" t="s">
        <v>71</v>
      </c>
      <c r="AL169" s="4" t="s">
        <v>70</v>
      </c>
      <c r="AM169" s="4" t="s">
        <v>71</v>
      </c>
      <c r="AN169" s="4" t="s">
        <v>71</v>
      </c>
      <c r="AO169" s="4" t="s">
        <v>71</v>
      </c>
      <c r="AP169" s="4" t="s">
        <v>71</v>
      </c>
      <c r="AQ169" s="4" t="s">
        <v>70</v>
      </c>
      <c r="AR169" s="4" t="s">
        <v>71</v>
      </c>
      <c r="AS169" s="4" t="s">
        <v>71</v>
      </c>
    </row>
    <row r="170" spans="1:94" x14ac:dyDescent="0.25">
      <c r="A170" s="3">
        <v>45001.670601956022</v>
      </c>
      <c r="B170" s="4" t="s">
        <v>936</v>
      </c>
      <c r="C170" s="4" t="s">
        <v>937</v>
      </c>
      <c r="D170" s="5" t="s">
        <v>938</v>
      </c>
      <c r="E170" s="4" t="s">
        <v>62</v>
      </c>
      <c r="F170" s="4" t="s">
        <v>211</v>
      </c>
      <c r="G170" s="4" t="s">
        <v>105</v>
      </c>
      <c r="H170" s="4" t="s">
        <v>939</v>
      </c>
      <c r="I170" s="4" t="s">
        <v>940</v>
      </c>
      <c r="J170" s="4" t="s">
        <v>941</v>
      </c>
      <c r="K170" s="4" t="s">
        <v>942</v>
      </c>
      <c r="L170" s="4" t="s">
        <v>656</v>
      </c>
      <c r="M170" s="4" t="s">
        <v>558</v>
      </c>
      <c r="N170" s="4">
        <v>35</v>
      </c>
      <c r="O170" s="4" t="s">
        <v>200</v>
      </c>
      <c r="P170" s="4">
        <v>3</v>
      </c>
      <c r="Q170" s="4">
        <v>1</v>
      </c>
      <c r="R170" s="4">
        <v>90</v>
      </c>
      <c r="T170" s="4" t="s">
        <v>70</v>
      </c>
      <c r="U170" s="4" t="s">
        <v>71</v>
      </c>
      <c r="V170" s="6" t="s">
        <v>73</v>
      </c>
      <c r="BS170" s="4" t="s">
        <v>70</v>
      </c>
      <c r="BT170" s="4" t="s">
        <v>70</v>
      </c>
      <c r="BU170" s="4" t="s">
        <v>71</v>
      </c>
      <c r="BV170" s="4" t="s">
        <v>70</v>
      </c>
      <c r="BW170" s="4" t="s">
        <v>70</v>
      </c>
      <c r="BX170" s="4" t="s">
        <v>71</v>
      </c>
      <c r="BY170" s="4" t="s">
        <v>71</v>
      </c>
      <c r="BZ170" s="4" t="s">
        <v>71</v>
      </c>
      <c r="CA170" s="4" t="s">
        <v>71</v>
      </c>
      <c r="CB170" s="4" t="s">
        <v>70</v>
      </c>
      <c r="CC170" s="4" t="s">
        <v>70</v>
      </c>
      <c r="CD170" s="4" t="s">
        <v>70</v>
      </c>
      <c r="CE170" s="4" t="s">
        <v>71</v>
      </c>
      <c r="CF170" s="4" t="s">
        <v>71</v>
      </c>
      <c r="CG170" s="4" t="s">
        <v>70</v>
      </c>
      <c r="CH170" s="4" t="s">
        <v>70</v>
      </c>
      <c r="CI170" s="4" t="s">
        <v>70</v>
      </c>
      <c r="CJ170" s="4" t="s">
        <v>71</v>
      </c>
      <c r="CK170" s="4" t="s">
        <v>71</v>
      </c>
      <c r="CL170" s="4" t="s">
        <v>70</v>
      </c>
      <c r="CM170" s="4" t="s">
        <v>70</v>
      </c>
      <c r="CN170" s="4" t="s">
        <v>71</v>
      </c>
      <c r="CO170" s="4" t="s">
        <v>71</v>
      </c>
    </row>
    <row r="171" spans="1:94" x14ac:dyDescent="0.25">
      <c r="A171" s="3">
        <v>45005.497309247687</v>
      </c>
      <c r="B171" s="4" t="s">
        <v>354</v>
      </c>
      <c r="C171" s="4" t="s">
        <v>355</v>
      </c>
      <c r="D171" s="5" t="s">
        <v>356</v>
      </c>
      <c r="E171" s="4" t="s">
        <v>140</v>
      </c>
      <c r="F171" s="4" t="s">
        <v>362</v>
      </c>
      <c r="G171" s="4" t="s">
        <v>105</v>
      </c>
      <c r="H171" s="4" t="s">
        <v>363</v>
      </c>
      <c r="I171" s="4" t="s">
        <v>359</v>
      </c>
      <c r="J171" s="4" t="s">
        <v>360</v>
      </c>
      <c r="K171" s="4" t="s">
        <v>354</v>
      </c>
      <c r="L171" s="4" t="s">
        <v>67</v>
      </c>
      <c r="M171" s="4" t="s">
        <v>251</v>
      </c>
      <c r="N171" s="4">
        <v>35</v>
      </c>
      <c r="O171" s="4" t="s">
        <v>200</v>
      </c>
      <c r="P171" s="4">
        <v>4</v>
      </c>
      <c r="Q171" s="4">
        <v>4</v>
      </c>
      <c r="R171" s="4">
        <v>30</v>
      </c>
      <c r="S171" s="4" t="s">
        <v>365</v>
      </c>
      <c r="T171" s="4" t="s">
        <v>70</v>
      </c>
      <c r="U171" s="4" t="s">
        <v>71</v>
      </c>
      <c r="V171" s="6" t="s">
        <v>73</v>
      </c>
      <c r="BS171" s="4" t="s">
        <v>71</v>
      </c>
      <c r="BT171" s="4" t="s">
        <v>71</v>
      </c>
      <c r="BU171" s="4" t="s">
        <v>71</v>
      </c>
      <c r="BV171" s="4" t="s">
        <v>71</v>
      </c>
      <c r="BW171" s="4" t="s">
        <v>70</v>
      </c>
      <c r="BX171" s="4" t="s">
        <v>71</v>
      </c>
      <c r="BY171" s="4" t="s">
        <v>71</v>
      </c>
      <c r="BZ171" s="4" t="s">
        <v>71</v>
      </c>
      <c r="CA171" s="4" t="s">
        <v>71</v>
      </c>
      <c r="CD171" s="4" t="s">
        <v>70</v>
      </c>
      <c r="CG171" s="4" t="s">
        <v>70</v>
      </c>
      <c r="CL171" s="4" t="s">
        <v>71</v>
      </c>
      <c r="CM171" s="4" t="s">
        <v>71</v>
      </c>
      <c r="CN171" s="4" t="s">
        <v>71</v>
      </c>
      <c r="CO171" s="4" t="s">
        <v>71</v>
      </c>
      <c r="CP171" s="4" t="s">
        <v>366</v>
      </c>
    </row>
    <row r="172" spans="1:94" x14ac:dyDescent="0.25">
      <c r="A172" s="3">
        <v>45005.654650277778</v>
      </c>
      <c r="B172" s="4" t="s">
        <v>815</v>
      </c>
      <c r="C172" s="4" t="s">
        <v>816</v>
      </c>
      <c r="D172" s="6" t="s">
        <v>817</v>
      </c>
      <c r="E172" s="4" t="s">
        <v>140</v>
      </c>
      <c r="F172" s="4" t="s">
        <v>818</v>
      </c>
      <c r="G172" s="4" t="s">
        <v>64</v>
      </c>
      <c r="H172" s="4" t="s">
        <v>819</v>
      </c>
      <c r="I172" s="4" t="s">
        <v>819</v>
      </c>
      <c r="K172" s="4" t="s">
        <v>815</v>
      </c>
      <c r="L172" s="4" t="s">
        <v>656</v>
      </c>
      <c r="M172" s="4" t="s">
        <v>499</v>
      </c>
      <c r="N172" s="4">
        <v>35</v>
      </c>
      <c r="O172" s="4" t="s">
        <v>200</v>
      </c>
      <c r="P172" s="4">
        <v>4</v>
      </c>
      <c r="Q172" s="4">
        <v>1</v>
      </c>
      <c r="R172" s="4">
        <v>50</v>
      </c>
      <c r="S172" s="4" t="s">
        <v>820</v>
      </c>
      <c r="T172" s="4" t="s">
        <v>70</v>
      </c>
      <c r="U172" s="4" t="s">
        <v>71</v>
      </c>
      <c r="V172" s="6" t="s">
        <v>73</v>
      </c>
      <c r="BS172" s="4" t="s">
        <v>70</v>
      </c>
      <c r="BT172" s="4" t="s">
        <v>71</v>
      </c>
      <c r="BU172" s="4" t="s">
        <v>71</v>
      </c>
      <c r="BV172" s="4" t="s">
        <v>70</v>
      </c>
      <c r="BW172" s="4" t="s">
        <v>70</v>
      </c>
      <c r="BX172" s="4" t="s">
        <v>70</v>
      </c>
      <c r="BY172" s="4" t="s">
        <v>71</v>
      </c>
      <c r="BZ172" s="4" t="s">
        <v>71</v>
      </c>
      <c r="CA172" s="4" t="s">
        <v>71</v>
      </c>
      <c r="CB172" s="4" t="s">
        <v>70</v>
      </c>
      <c r="CC172" s="4" t="s">
        <v>70</v>
      </c>
      <c r="CD172" s="4" t="s">
        <v>70</v>
      </c>
      <c r="CE172" s="4" t="s">
        <v>71</v>
      </c>
      <c r="CF172" s="4" t="s">
        <v>71</v>
      </c>
      <c r="CG172" s="4" t="s">
        <v>70</v>
      </c>
      <c r="CH172" s="4" t="s">
        <v>70</v>
      </c>
      <c r="CI172" s="4" t="s">
        <v>70</v>
      </c>
      <c r="CJ172" s="4" t="s">
        <v>71</v>
      </c>
      <c r="CK172" s="4" t="s">
        <v>71</v>
      </c>
      <c r="CL172" s="4" t="s">
        <v>71</v>
      </c>
      <c r="CM172" s="4" t="s">
        <v>71</v>
      </c>
      <c r="CN172" s="4" t="s">
        <v>71</v>
      </c>
      <c r="CO172" s="4" t="s">
        <v>71</v>
      </c>
    </row>
    <row r="173" spans="1:94" x14ac:dyDescent="0.25">
      <c r="A173" s="3">
        <v>45000.818411458335</v>
      </c>
      <c r="B173" s="4" t="s">
        <v>516</v>
      </c>
      <c r="C173" s="4" t="s">
        <v>517</v>
      </c>
      <c r="D173" s="7" t="s">
        <v>518</v>
      </c>
      <c r="E173" s="4" t="s">
        <v>149</v>
      </c>
      <c r="F173" s="4" t="s">
        <v>519</v>
      </c>
      <c r="G173" s="4" t="s">
        <v>105</v>
      </c>
      <c r="H173" s="4" t="s">
        <v>520</v>
      </c>
      <c r="I173" s="4" t="s">
        <v>521</v>
      </c>
      <c r="J173" s="4" t="s">
        <v>522</v>
      </c>
      <c r="K173" s="4" t="s">
        <v>516</v>
      </c>
      <c r="L173" s="4" t="s">
        <v>67</v>
      </c>
      <c r="M173" s="4" t="s">
        <v>324</v>
      </c>
      <c r="N173" s="4">
        <v>35</v>
      </c>
      <c r="O173" s="4" t="s">
        <v>200</v>
      </c>
      <c r="P173" s="4">
        <v>3</v>
      </c>
      <c r="Q173" s="4">
        <v>3</v>
      </c>
      <c r="R173" s="4">
        <v>30</v>
      </c>
      <c r="T173" s="4" t="s">
        <v>70</v>
      </c>
      <c r="U173" s="4" t="s">
        <v>71</v>
      </c>
      <c r="V173" s="6" t="s">
        <v>99</v>
      </c>
      <c r="AU173" s="4" t="s">
        <v>70</v>
      </c>
      <c r="AV173" s="4" t="s">
        <v>70</v>
      </c>
      <c r="AW173" s="4" t="s">
        <v>71</v>
      </c>
      <c r="AX173" s="4" t="s">
        <v>70</v>
      </c>
      <c r="AY173" s="4" t="s">
        <v>70</v>
      </c>
      <c r="AZ173" s="4" t="s">
        <v>70</v>
      </c>
      <c r="BA173" s="4" t="s">
        <v>71</v>
      </c>
      <c r="BB173" s="4" t="s">
        <v>71</v>
      </c>
      <c r="BC173" s="4" t="s">
        <v>71</v>
      </c>
      <c r="BD173" s="4" t="s">
        <v>70</v>
      </c>
      <c r="BE173" s="4" t="s">
        <v>70</v>
      </c>
      <c r="BF173" s="4" t="s">
        <v>70</v>
      </c>
      <c r="BG173" s="4" t="s">
        <v>71</v>
      </c>
      <c r="BH173" s="4" t="s">
        <v>71</v>
      </c>
      <c r="BI173" s="4" t="s">
        <v>70</v>
      </c>
      <c r="BJ173" s="4" t="s">
        <v>70</v>
      </c>
      <c r="BK173" s="4" t="s">
        <v>70</v>
      </c>
      <c r="BL173" s="4" t="s">
        <v>71</v>
      </c>
      <c r="BM173" s="4" t="s">
        <v>71</v>
      </c>
      <c r="BN173" s="4" t="s">
        <v>70</v>
      </c>
      <c r="BO173" s="4" t="s">
        <v>70</v>
      </c>
      <c r="BP173" s="4" t="s">
        <v>71</v>
      </c>
      <c r="BQ173" s="4" t="s">
        <v>71</v>
      </c>
    </row>
    <row r="174" spans="1:94" x14ac:dyDescent="0.25">
      <c r="A174" s="3">
        <v>45001.805744733792</v>
      </c>
      <c r="B174" s="4" t="s">
        <v>192</v>
      </c>
      <c r="C174" s="4" t="s">
        <v>193</v>
      </c>
      <c r="D174" s="5" t="s">
        <v>194</v>
      </c>
      <c r="E174" s="4" t="s">
        <v>149</v>
      </c>
      <c r="F174" s="4" t="s">
        <v>195</v>
      </c>
      <c r="G174" s="4" t="s">
        <v>64</v>
      </c>
      <c r="H174" s="4" t="s">
        <v>196</v>
      </c>
      <c r="I174" s="4" t="s">
        <v>197</v>
      </c>
      <c r="J174" s="4" t="s">
        <v>198</v>
      </c>
      <c r="K174" s="4" t="s">
        <v>192</v>
      </c>
      <c r="L174" s="4" t="s">
        <v>67</v>
      </c>
      <c r="M174" s="4" t="s">
        <v>169</v>
      </c>
      <c r="N174" s="4">
        <v>29</v>
      </c>
      <c r="O174" s="4" t="s">
        <v>200</v>
      </c>
      <c r="P174" s="4">
        <v>3</v>
      </c>
      <c r="Q174" s="4">
        <v>3</v>
      </c>
      <c r="R174" s="4">
        <v>50</v>
      </c>
      <c r="S174" s="4" t="s">
        <v>201</v>
      </c>
      <c r="T174" s="4" t="s">
        <v>70</v>
      </c>
      <c r="U174" s="4" t="s">
        <v>71</v>
      </c>
      <c r="V174" s="6" t="s">
        <v>73</v>
      </c>
      <c r="BS174" s="4" t="s">
        <v>71</v>
      </c>
      <c r="BT174" s="4" t="s">
        <v>70</v>
      </c>
      <c r="BU174" s="4" t="s">
        <v>70</v>
      </c>
      <c r="BV174" s="4" t="s">
        <v>70</v>
      </c>
      <c r="BW174" s="4" t="s">
        <v>70</v>
      </c>
      <c r="BX174" s="4" t="s">
        <v>70</v>
      </c>
      <c r="BY174" s="4" t="s">
        <v>71</v>
      </c>
      <c r="BZ174" s="4" t="s">
        <v>71</v>
      </c>
      <c r="CA174" s="4" t="s">
        <v>71</v>
      </c>
      <c r="CB174" s="4" t="s">
        <v>70</v>
      </c>
      <c r="CC174" s="4" t="s">
        <v>70</v>
      </c>
      <c r="CD174" s="4" t="s">
        <v>70</v>
      </c>
      <c r="CE174" s="4" t="s">
        <v>71</v>
      </c>
      <c r="CF174" s="4" t="s">
        <v>71</v>
      </c>
      <c r="CG174" s="4" t="s">
        <v>70</v>
      </c>
      <c r="CH174" s="4" t="s">
        <v>70</v>
      </c>
      <c r="CI174" s="4" t="s">
        <v>70</v>
      </c>
      <c r="CJ174" s="4" t="s">
        <v>71</v>
      </c>
      <c r="CK174" s="4" t="s">
        <v>71</v>
      </c>
      <c r="CL174" s="4" t="s">
        <v>71</v>
      </c>
      <c r="CM174" s="4" t="s">
        <v>71</v>
      </c>
      <c r="CN174" s="4" t="s">
        <v>71</v>
      </c>
      <c r="CO174" s="4" t="s">
        <v>71</v>
      </c>
    </row>
    <row r="175" spans="1:94" x14ac:dyDescent="0.25">
      <c r="A175" s="3">
        <v>45005.58600412037</v>
      </c>
      <c r="B175" s="4" t="s">
        <v>748</v>
      </c>
      <c r="C175" s="4" t="s">
        <v>749</v>
      </c>
      <c r="D175" s="5" t="s">
        <v>750</v>
      </c>
      <c r="E175" s="4" t="s">
        <v>149</v>
      </c>
      <c r="F175" s="4" t="s">
        <v>205</v>
      </c>
      <c r="G175" s="4" t="s">
        <v>105</v>
      </c>
      <c r="H175" s="4" t="s">
        <v>751</v>
      </c>
      <c r="I175" s="4" t="s">
        <v>752</v>
      </c>
      <c r="K175" s="4" t="s">
        <v>748</v>
      </c>
      <c r="L175" s="4" t="s">
        <v>656</v>
      </c>
      <c r="M175" s="4" t="s">
        <v>361</v>
      </c>
      <c r="N175" s="4">
        <v>34</v>
      </c>
      <c r="O175" s="4" t="s">
        <v>200</v>
      </c>
      <c r="P175" s="4">
        <v>4</v>
      </c>
      <c r="Q175" s="4">
        <v>4</v>
      </c>
      <c r="R175" s="4">
        <v>60</v>
      </c>
      <c r="S175" s="4" t="s">
        <v>753</v>
      </c>
      <c r="T175" s="4" t="s">
        <v>70</v>
      </c>
      <c r="U175" s="4" t="s">
        <v>71</v>
      </c>
      <c r="V175" s="6" t="s">
        <v>145</v>
      </c>
      <c r="W175" s="4" t="s">
        <v>70</v>
      </c>
      <c r="X175" s="4" t="s">
        <v>71</v>
      </c>
      <c r="Y175" s="4" t="s">
        <v>71</v>
      </c>
      <c r="Z175" s="4" t="s">
        <v>71</v>
      </c>
      <c r="AA175" s="4" t="s">
        <v>70</v>
      </c>
      <c r="AB175" s="4" t="s">
        <v>71</v>
      </c>
      <c r="AC175" s="4" t="s">
        <v>71</v>
      </c>
      <c r="AD175" s="4" t="s">
        <v>71</v>
      </c>
      <c r="AE175" s="4" t="s">
        <v>71</v>
      </c>
      <c r="AF175" s="4" t="s">
        <v>71</v>
      </c>
      <c r="AG175" s="4" t="s">
        <v>71</v>
      </c>
      <c r="AH175" s="4" t="s">
        <v>70</v>
      </c>
      <c r="AI175" s="4" t="s">
        <v>71</v>
      </c>
      <c r="AJ175" s="4" t="s">
        <v>71</v>
      </c>
      <c r="AK175" s="4" t="s">
        <v>71</v>
      </c>
      <c r="AL175" s="4" t="s">
        <v>71</v>
      </c>
      <c r="AM175" s="4" t="s">
        <v>71</v>
      </c>
      <c r="AN175" s="4" t="s">
        <v>71</v>
      </c>
      <c r="AO175" s="4" t="s">
        <v>71</v>
      </c>
      <c r="AP175" s="4" t="s">
        <v>71</v>
      </c>
      <c r="AQ175" s="4" t="s">
        <v>71</v>
      </c>
      <c r="AR175" s="4" t="s">
        <v>71</v>
      </c>
      <c r="AS175" s="4" t="s">
        <v>71</v>
      </c>
    </row>
    <row r="176" spans="1:94" x14ac:dyDescent="0.25">
      <c r="A176" s="3">
        <v>45005.590766817128</v>
      </c>
      <c r="B176" s="4" t="s">
        <v>754</v>
      </c>
      <c r="C176" s="4" t="s">
        <v>749</v>
      </c>
      <c r="D176" s="5" t="s">
        <v>750</v>
      </c>
      <c r="E176" s="4" t="s">
        <v>149</v>
      </c>
      <c r="F176" s="4" t="s">
        <v>205</v>
      </c>
      <c r="G176" s="4" t="s">
        <v>105</v>
      </c>
      <c r="H176" s="4" t="s">
        <v>755</v>
      </c>
      <c r="I176" s="4" t="s">
        <v>756</v>
      </c>
      <c r="K176" s="4" t="s">
        <v>748</v>
      </c>
      <c r="L176" s="4" t="s">
        <v>656</v>
      </c>
      <c r="M176" s="4" t="s">
        <v>361</v>
      </c>
      <c r="N176" s="4">
        <v>24</v>
      </c>
      <c r="O176" s="4" t="s">
        <v>200</v>
      </c>
      <c r="P176" s="4">
        <v>4</v>
      </c>
      <c r="Q176" s="4">
        <v>4</v>
      </c>
      <c r="R176" s="4">
        <v>60</v>
      </c>
      <c r="S176" s="4" t="s">
        <v>757</v>
      </c>
      <c r="T176" s="4" t="s">
        <v>70</v>
      </c>
      <c r="U176" s="4" t="s">
        <v>71</v>
      </c>
      <c r="V176" s="6" t="s">
        <v>145</v>
      </c>
      <c r="W176" s="4" t="s">
        <v>70</v>
      </c>
      <c r="X176" s="4" t="s">
        <v>71</v>
      </c>
      <c r="Y176" s="4" t="s">
        <v>71</v>
      </c>
      <c r="Z176" s="4" t="s">
        <v>71</v>
      </c>
      <c r="AA176" s="4" t="s">
        <v>70</v>
      </c>
      <c r="AB176" s="4" t="s">
        <v>71</v>
      </c>
      <c r="AC176" s="4" t="s">
        <v>71</v>
      </c>
      <c r="AD176" s="4" t="s">
        <v>71</v>
      </c>
      <c r="AE176" s="4" t="s">
        <v>71</v>
      </c>
      <c r="AF176" s="4" t="s">
        <v>71</v>
      </c>
      <c r="AG176" s="4" t="s">
        <v>71</v>
      </c>
      <c r="AH176" s="4" t="s">
        <v>70</v>
      </c>
      <c r="AI176" s="4" t="s">
        <v>71</v>
      </c>
      <c r="AJ176" s="4" t="s">
        <v>71</v>
      </c>
      <c r="AK176" s="4" t="s">
        <v>71</v>
      </c>
      <c r="AL176" s="4" t="s">
        <v>71</v>
      </c>
      <c r="AM176" s="4" t="s">
        <v>71</v>
      </c>
      <c r="AN176" s="4" t="s">
        <v>71</v>
      </c>
      <c r="AO176" s="4" t="s">
        <v>71</v>
      </c>
      <c r="AP176" s="4" t="s">
        <v>71</v>
      </c>
      <c r="AQ176" s="4" t="s">
        <v>71</v>
      </c>
      <c r="AR176" s="4" t="s">
        <v>71</v>
      </c>
      <c r="AS176" s="4" t="s">
        <v>71</v>
      </c>
      <c r="AT176" s="4" t="s">
        <v>758</v>
      </c>
    </row>
    <row r="177" spans="1:94" x14ac:dyDescent="0.25">
      <c r="A177" s="3">
        <v>45002.592762280095</v>
      </c>
      <c r="B177" s="4" t="s">
        <v>891</v>
      </c>
      <c r="C177" s="4" t="s">
        <v>884</v>
      </c>
      <c r="D177" s="5" t="s">
        <v>885</v>
      </c>
      <c r="E177" s="4" t="s">
        <v>149</v>
      </c>
      <c r="F177" s="4" t="s">
        <v>892</v>
      </c>
      <c r="G177" s="4" t="s">
        <v>64</v>
      </c>
      <c r="H177" s="4" t="s">
        <v>893</v>
      </c>
      <c r="I177" s="4" t="s">
        <v>894</v>
      </c>
      <c r="J177" s="4" t="s">
        <v>895</v>
      </c>
      <c r="K177" s="4" t="s">
        <v>891</v>
      </c>
      <c r="L177" s="4" t="s">
        <v>656</v>
      </c>
      <c r="M177" s="4" t="s">
        <v>547</v>
      </c>
      <c r="N177" s="4">
        <v>17</v>
      </c>
      <c r="O177" s="4" t="s">
        <v>200</v>
      </c>
      <c r="P177" s="4">
        <v>2</v>
      </c>
      <c r="Q177" s="4">
        <v>1</v>
      </c>
      <c r="R177" s="4">
        <v>70</v>
      </c>
      <c r="S177" s="4" t="s">
        <v>896</v>
      </c>
      <c r="T177" s="4" t="s">
        <v>70</v>
      </c>
      <c r="U177" s="4" t="s">
        <v>70</v>
      </c>
      <c r="V177" s="6" t="s">
        <v>99</v>
      </c>
      <c r="AU177" s="4" t="s">
        <v>70</v>
      </c>
      <c r="AV177" s="4" t="s">
        <v>70</v>
      </c>
      <c r="AW177" s="4" t="s">
        <v>70</v>
      </c>
      <c r="AX177" s="4" t="s">
        <v>71</v>
      </c>
      <c r="AY177" s="4" t="s">
        <v>70</v>
      </c>
      <c r="AZ177" s="4" t="s">
        <v>71</v>
      </c>
      <c r="BA177" s="4" t="s">
        <v>70</v>
      </c>
      <c r="BB177" s="4" t="s">
        <v>71</v>
      </c>
      <c r="BC177" s="4" t="s">
        <v>70</v>
      </c>
      <c r="BD177" s="4" t="s">
        <v>70</v>
      </c>
      <c r="BE177" s="4" t="s">
        <v>70</v>
      </c>
      <c r="BF177" s="4" t="s">
        <v>70</v>
      </c>
      <c r="BG177" s="4" t="s">
        <v>70</v>
      </c>
      <c r="BH177" s="4" t="s">
        <v>70</v>
      </c>
      <c r="BI177" s="4" t="s">
        <v>71</v>
      </c>
      <c r="BJ177" s="4" t="s">
        <v>70</v>
      </c>
      <c r="BK177" s="4" t="s">
        <v>71</v>
      </c>
      <c r="BL177" s="4" t="s">
        <v>70</v>
      </c>
      <c r="BM177" s="4" t="s">
        <v>71</v>
      </c>
      <c r="BN177" s="4" t="s">
        <v>71</v>
      </c>
      <c r="BO177" s="4" t="s">
        <v>70</v>
      </c>
      <c r="BP177" s="4" t="s">
        <v>70</v>
      </c>
      <c r="BQ177" s="4" t="s">
        <v>71</v>
      </c>
      <c r="BR177" s="4" t="s">
        <v>896</v>
      </c>
    </row>
    <row r="178" spans="1:94" x14ac:dyDescent="0.25">
      <c r="A178" s="3">
        <v>45002.629163229169</v>
      </c>
      <c r="B178" s="4" t="s">
        <v>891</v>
      </c>
      <c r="C178" s="4" t="s">
        <v>884</v>
      </c>
      <c r="D178" s="5" t="s">
        <v>885</v>
      </c>
      <c r="E178" s="4" t="s">
        <v>149</v>
      </c>
      <c r="F178" s="4" t="s">
        <v>892</v>
      </c>
      <c r="G178" s="4" t="s">
        <v>64</v>
      </c>
      <c r="H178" s="4" t="s">
        <v>894</v>
      </c>
      <c r="I178" s="4" t="s">
        <v>897</v>
      </c>
      <c r="J178" s="4" t="s">
        <v>898</v>
      </c>
      <c r="K178" s="4" t="s">
        <v>891</v>
      </c>
      <c r="L178" s="4" t="s">
        <v>656</v>
      </c>
      <c r="M178" s="4" t="s">
        <v>547</v>
      </c>
      <c r="N178" s="4">
        <v>17</v>
      </c>
      <c r="O178" s="4" t="s">
        <v>200</v>
      </c>
      <c r="P178" s="4">
        <v>2</v>
      </c>
      <c r="Q178" s="4">
        <v>1</v>
      </c>
      <c r="R178" s="4">
        <v>70</v>
      </c>
      <c r="S178" s="4" t="s">
        <v>896</v>
      </c>
      <c r="T178" s="4" t="s">
        <v>70</v>
      </c>
      <c r="U178" s="4" t="s">
        <v>70</v>
      </c>
      <c r="V178" s="6" t="s">
        <v>99</v>
      </c>
      <c r="AU178" s="4" t="s">
        <v>70</v>
      </c>
      <c r="AV178" s="4" t="s">
        <v>70</v>
      </c>
      <c r="AW178" s="4" t="s">
        <v>70</v>
      </c>
      <c r="AX178" s="4" t="s">
        <v>70</v>
      </c>
      <c r="AY178" s="4" t="s">
        <v>70</v>
      </c>
      <c r="AZ178" s="4" t="s">
        <v>70</v>
      </c>
      <c r="BA178" s="4" t="s">
        <v>70</v>
      </c>
      <c r="BB178" s="4" t="s">
        <v>71</v>
      </c>
      <c r="BC178" s="4" t="s">
        <v>70</v>
      </c>
      <c r="BD178" s="4" t="s">
        <v>70</v>
      </c>
      <c r="BE178" s="4" t="s">
        <v>70</v>
      </c>
      <c r="BF178" s="4" t="s">
        <v>70</v>
      </c>
      <c r="BG178" s="4" t="s">
        <v>70</v>
      </c>
      <c r="BH178" s="4" t="s">
        <v>70</v>
      </c>
      <c r="BI178" s="4" t="s">
        <v>70</v>
      </c>
      <c r="BJ178" s="4" t="s">
        <v>70</v>
      </c>
      <c r="BK178" s="4" t="s">
        <v>70</v>
      </c>
      <c r="BL178" s="4" t="s">
        <v>70</v>
      </c>
      <c r="BM178" s="4" t="s">
        <v>70</v>
      </c>
      <c r="BN178" s="4" t="s">
        <v>70</v>
      </c>
      <c r="BO178" s="4" t="s">
        <v>70</v>
      </c>
      <c r="BP178" s="4" t="s">
        <v>70</v>
      </c>
      <c r="BQ178" s="4" t="s">
        <v>71</v>
      </c>
      <c r="BR178" s="4" t="s">
        <v>896</v>
      </c>
    </row>
    <row r="179" spans="1:94" x14ac:dyDescent="0.25">
      <c r="A179" s="3">
        <v>45001.552058356479</v>
      </c>
      <c r="B179" s="4" t="s">
        <v>776</v>
      </c>
      <c r="C179" s="4" t="s">
        <v>788</v>
      </c>
      <c r="D179" s="7" t="s">
        <v>778</v>
      </c>
      <c r="E179" s="4" t="s">
        <v>103</v>
      </c>
      <c r="F179" s="4" t="s">
        <v>779</v>
      </c>
      <c r="G179" s="4" t="s">
        <v>64</v>
      </c>
      <c r="H179" s="4" t="s">
        <v>785</v>
      </c>
      <c r="I179" s="4" t="s">
        <v>789</v>
      </c>
      <c r="J179" s="4" t="s">
        <v>782</v>
      </c>
      <c r="K179" s="4" t="s">
        <v>776</v>
      </c>
      <c r="L179" s="4" t="s">
        <v>656</v>
      </c>
      <c r="M179" s="4" t="s">
        <v>470</v>
      </c>
      <c r="N179" s="4">
        <v>30</v>
      </c>
      <c r="O179" s="4" t="s">
        <v>433</v>
      </c>
      <c r="P179" s="4">
        <v>4</v>
      </c>
      <c r="Q179" s="4">
        <v>4</v>
      </c>
      <c r="R179" s="4">
        <v>0</v>
      </c>
      <c r="T179" s="4" t="s">
        <v>70</v>
      </c>
      <c r="U179" s="4" t="s">
        <v>71</v>
      </c>
      <c r="V179" s="6" t="s">
        <v>145</v>
      </c>
      <c r="W179" s="4" t="s">
        <v>70</v>
      </c>
      <c r="X179" s="4" t="s">
        <v>70</v>
      </c>
      <c r="Y179" s="4" t="s">
        <v>71</v>
      </c>
      <c r="Z179" s="4" t="s">
        <v>71</v>
      </c>
      <c r="AA179" s="4" t="s">
        <v>70</v>
      </c>
      <c r="AB179" s="4" t="s">
        <v>71</v>
      </c>
      <c r="AC179" s="4" t="s">
        <v>71</v>
      </c>
      <c r="AD179" s="4" t="s">
        <v>71</v>
      </c>
      <c r="AE179" s="4" t="s">
        <v>71</v>
      </c>
    </row>
    <row r="180" spans="1:94" x14ac:dyDescent="0.25">
      <c r="A180" s="3">
        <v>45001.535564270831</v>
      </c>
      <c r="B180" s="4" t="s">
        <v>776</v>
      </c>
      <c r="C180" s="4" t="s">
        <v>777</v>
      </c>
      <c r="D180" s="7" t="s">
        <v>778</v>
      </c>
      <c r="E180" s="4" t="s">
        <v>103</v>
      </c>
      <c r="F180" s="4" t="s">
        <v>779</v>
      </c>
      <c r="G180" s="4" t="s">
        <v>64</v>
      </c>
      <c r="H180" s="4" t="s">
        <v>785</v>
      </c>
      <c r="I180" s="4" t="s">
        <v>786</v>
      </c>
      <c r="J180" s="4" t="s">
        <v>782</v>
      </c>
      <c r="K180" s="4" t="s">
        <v>776</v>
      </c>
      <c r="L180" s="4" t="s">
        <v>656</v>
      </c>
      <c r="M180" s="4" t="s">
        <v>467</v>
      </c>
      <c r="N180" s="4">
        <v>26</v>
      </c>
      <c r="O180" s="4" t="s">
        <v>433</v>
      </c>
      <c r="P180" s="4">
        <v>4</v>
      </c>
      <c r="Q180" s="4">
        <v>4</v>
      </c>
      <c r="R180" s="4">
        <v>1</v>
      </c>
      <c r="T180" s="4" t="s">
        <v>70</v>
      </c>
      <c r="U180" s="4" t="s">
        <v>71</v>
      </c>
      <c r="V180" s="6" t="s">
        <v>145</v>
      </c>
      <c r="W180" s="4" t="s">
        <v>70</v>
      </c>
      <c r="X180" s="4" t="s">
        <v>70</v>
      </c>
      <c r="Y180" s="4" t="s">
        <v>71</v>
      </c>
      <c r="Z180" s="4" t="s">
        <v>71</v>
      </c>
      <c r="AA180" s="4" t="s">
        <v>70</v>
      </c>
      <c r="AB180" s="4" t="s">
        <v>71</v>
      </c>
      <c r="AC180" s="4" t="s">
        <v>71</v>
      </c>
      <c r="AD180" s="4" t="s">
        <v>71</v>
      </c>
      <c r="AE180" s="4" t="s">
        <v>71</v>
      </c>
      <c r="AG180" s="4" t="s">
        <v>70</v>
      </c>
      <c r="AL180" s="4" t="s">
        <v>70</v>
      </c>
    </row>
    <row r="181" spans="1:94" x14ac:dyDescent="0.25">
      <c r="A181" s="3">
        <v>45005.953918101848</v>
      </c>
      <c r="B181" s="4" t="s">
        <v>1163</v>
      </c>
      <c r="C181" s="4" t="s">
        <v>1164</v>
      </c>
      <c r="D181" s="5" t="s">
        <v>1165</v>
      </c>
      <c r="E181" s="4" t="s">
        <v>103</v>
      </c>
      <c r="F181" s="4" t="s">
        <v>1166</v>
      </c>
      <c r="G181" s="4" t="s">
        <v>105</v>
      </c>
      <c r="H181" s="4" t="s">
        <v>1167</v>
      </c>
      <c r="I181" s="4" t="s">
        <v>1168</v>
      </c>
      <c r="J181" s="4" t="s">
        <v>1169</v>
      </c>
      <c r="K181" s="4" t="s">
        <v>1163</v>
      </c>
      <c r="L181" s="4" t="s">
        <v>665</v>
      </c>
      <c r="M181" s="4" t="s">
        <v>719</v>
      </c>
      <c r="N181" s="4">
        <v>35</v>
      </c>
      <c r="O181" s="4" t="s">
        <v>433</v>
      </c>
      <c r="P181" s="4">
        <v>5</v>
      </c>
      <c r="Q181" s="4">
        <v>5</v>
      </c>
      <c r="R181" s="4">
        <v>10</v>
      </c>
      <c r="S181" s="4" t="s">
        <v>1170</v>
      </c>
      <c r="T181" s="4" t="s">
        <v>70</v>
      </c>
      <c r="U181" s="4" t="s">
        <v>71</v>
      </c>
      <c r="V181" s="6" t="s">
        <v>145</v>
      </c>
      <c r="W181" s="4" t="s">
        <v>70</v>
      </c>
      <c r="X181" s="4" t="s">
        <v>70</v>
      </c>
      <c r="Y181" s="4" t="s">
        <v>70</v>
      </c>
      <c r="Z181" s="4" t="s">
        <v>70</v>
      </c>
      <c r="AA181" s="4" t="s">
        <v>70</v>
      </c>
      <c r="AB181" s="4" t="s">
        <v>70</v>
      </c>
      <c r="AC181" s="4" t="s">
        <v>71</v>
      </c>
      <c r="AD181" s="4" t="s">
        <v>71</v>
      </c>
      <c r="AE181" s="4" t="s">
        <v>71</v>
      </c>
      <c r="AF181" s="4" t="s">
        <v>70</v>
      </c>
      <c r="AG181" s="4" t="s">
        <v>70</v>
      </c>
      <c r="AH181" s="4" t="s">
        <v>70</v>
      </c>
      <c r="AI181" s="4" t="s">
        <v>71</v>
      </c>
      <c r="AJ181" s="4" t="s">
        <v>71</v>
      </c>
      <c r="AK181" s="4" t="s">
        <v>70</v>
      </c>
      <c r="AL181" s="4" t="s">
        <v>70</v>
      </c>
      <c r="AM181" s="4" t="s">
        <v>70</v>
      </c>
      <c r="AN181" s="4" t="s">
        <v>71</v>
      </c>
      <c r="AO181" s="4" t="s">
        <v>71</v>
      </c>
      <c r="AP181" s="4" t="s">
        <v>70</v>
      </c>
      <c r="AT181" s="4" t="s">
        <v>1171</v>
      </c>
    </row>
    <row r="182" spans="1:94" x14ac:dyDescent="0.25">
      <c r="A182" s="3">
        <v>45005.956144710653</v>
      </c>
      <c r="B182" s="4" t="s">
        <v>1163</v>
      </c>
      <c r="C182" s="4" t="s">
        <v>1164</v>
      </c>
      <c r="D182" s="5" t="s">
        <v>1165</v>
      </c>
      <c r="E182" s="4" t="s">
        <v>103</v>
      </c>
      <c r="F182" s="4" t="s">
        <v>1172</v>
      </c>
      <c r="G182" s="4" t="s">
        <v>105</v>
      </c>
      <c r="H182" s="4" t="s">
        <v>1167</v>
      </c>
      <c r="I182" s="4" t="s">
        <v>1168</v>
      </c>
      <c r="J182" s="4" t="s">
        <v>1169</v>
      </c>
      <c r="K182" s="4" t="s">
        <v>1163</v>
      </c>
      <c r="L182" s="4" t="s">
        <v>665</v>
      </c>
      <c r="M182" s="4" t="s">
        <v>719</v>
      </c>
      <c r="N182" s="4">
        <v>35</v>
      </c>
      <c r="O182" s="4" t="s">
        <v>433</v>
      </c>
      <c r="P182" s="4">
        <v>5</v>
      </c>
      <c r="Q182" s="4">
        <v>5</v>
      </c>
      <c r="R182" s="4">
        <v>10</v>
      </c>
      <c r="S182" s="4" t="s">
        <v>1173</v>
      </c>
      <c r="T182" s="4" t="s">
        <v>70</v>
      </c>
      <c r="U182" s="4" t="s">
        <v>71</v>
      </c>
      <c r="V182" s="6" t="s">
        <v>145</v>
      </c>
      <c r="W182" s="4" t="s">
        <v>70</v>
      </c>
      <c r="X182" s="4" t="s">
        <v>70</v>
      </c>
      <c r="Y182" s="4" t="s">
        <v>71</v>
      </c>
      <c r="Z182" s="4" t="s">
        <v>70</v>
      </c>
      <c r="AA182" s="4" t="s">
        <v>70</v>
      </c>
      <c r="AB182" s="4" t="s">
        <v>70</v>
      </c>
      <c r="AC182" s="4" t="s">
        <v>71</v>
      </c>
      <c r="AD182" s="4" t="s">
        <v>71</v>
      </c>
      <c r="AE182" s="4" t="s">
        <v>71</v>
      </c>
      <c r="AF182" s="4" t="s">
        <v>70</v>
      </c>
      <c r="AG182" s="4" t="s">
        <v>70</v>
      </c>
      <c r="AH182" s="4" t="s">
        <v>70</v>
      </c>
      <c r="AI182" s="4" t="s">
        <v>71</v>
      </c>
      <c r="AJ182" s="4" t="s">
        <v>71</v>
      </c>
      <c r="AK182" s="4" t="s">
        <v>70</v>
      </c>
      <c r="AL182" s="4" t="s">
        <v>70</v>
      </c>
      <c r="AM182" s="4" t="s">
        <v>70</v>
      </c>
      <c r="AN182" s="4" t="s">
        <v>71</v>
      </c>
      <c r="AO182" s="4" t="s">
        <v>71</v>
      </c>
      <c r="AP182" s="4" t="s">
        <v>70</v>
      </c>
      <c r="AQ182" s="4" t="s">
        <v>71</v>
      </c>
      <c r="AR182" s="4" t="s">
        <v>71</v>
      </c>
      <c r="AS182" s="4" t="s">
        <v>71</v>
      </c>
      <c r="AT182" s="4" t="s">
        <v>1174</v>
      </c>
    </row>
    <row r="183" spans="1:94" x14ac:dyDescent="0.25">
      <c r="A183" s="3">
        <v>45005.958572719908</v>
      </c>
      <c r="B183" s="4" t="s">
        <v>1163</v>
      </c>
      <c r="C183" s="4" t="s">
        <v>1164</v>
      </c>
      <c r="D183" s="5" t="s">
        <v>1165</v>
      </c>
      <c r="E183" s="4" t="s">
        <v>103</v>
      </c>
      <c r="F183" s="4" t="s">
        <v>1166</v>
      </c>
      <c r="G183" s="4" t="s">
        <v>105</v>
      </c>
      <c r="H183" s="4" t="s">
        <v>1167</v>
      </c>
      <c r="I183" s="4" t="s">
        <v>1168</v>
      </c>
      <c r="J183" s="4" t="s">
        <v>1175</v>
      </c>
      <c r="K183" s="4" t="s">
        <v>1163</v>
      </c>
      <c r="L183" s="4" t="s">
        <v>665</v>
      </c>
      <c r="M183" s="4" t="s">
        <v>719</v>
      </c>
      <c r="N183" s="4">
        <v>35</v>
      </c>
      <c r="O183" s="4" t="s">
        <v>433</v>
      </c>
      <c r="P183" s="4">
        <v>5</v>
      </c>
      <c r="Q183" s="4">
        <v>5</v>
      </c>
      <c r="R183" s="4">
        <v>10</v>
      </c>
      <c r="S183" s="4" t="s">
        <v>1176</v>
      </c>
      <c r="T183" s="4" t="s">
        <v>71</v>
      </c>
      <c r="U183" s="4" t="s">
        <v>70</v>
      </c>
      <c r="V183" s="6" t="s">
        <v>99</v>
      </c>
      <c r="AU183" s="4" t="s">
        <v>70</v>
      </c>
      <c r="AV183" s="4" t="s">
        <v>70</v>
      </c>
      <c r="AW183" s="4" t="s">
        <v>71</v>
      </c>
      <c r="AX183" s="4" t="s">
        <v>71</v>
      </c>
      <c r="AY183" s="4" t="s">
        <v>71</v>
      </c>
      <c r="AZ183" s="4" t="s">
        <v>71</v>
      </c>
      <c r="BA183" s="4" t="s">
        <v>70</v>
      </c>
      <c r="BB183" s="4" t="s">
        <v>70</v>
      </c>
      <c r="BC183" s="4" t="s">
        <v>70</v>
      </c>
      <c r="BD183" s="4" t="s">
        <v>71</v>
      </c>
      <c r="BE183" s="4" t="s">
        <v>71</v>
      </c>
      <c r="BF183" s="4" t="s">
        <v>71</v>
      </c>
      <c r="BG183" s="4" t="s">
        <v>70</v>
      </c>
      <c r="BH183" s="4" t="s">
        <v>70</v>
      </c>
      <c r="BI183" s="4" t="s">
        <v>71</v>
      </c>
      <c r="BJ183" s="4" t="s">
        <v>71</v>
      </c>
      <c r="BK183" s="4" t="s">
        <v>71</v>
      </c>
      <c r="BL183" s="4" t="s">
        <v>70</v>
      </c>
      <c r="BM183" s="4" t="s">
        <v>70</v>
      </c>
      <c r="BN183" s="4" t="s">
        <v>71</v>
      </c>
      <c r="BO183" s="4" t="s">
        <v>71</v>
      </c>
      <c r="BP183" s="4" t="s">
        <v>70</v>
      </c>
      <c r="BR183" s="4" t="s">
        <v>1177</v>
      </c>
    </row>
    <row r="184" spans="1:94" x14ac:dyDescent="0.25">
      <c r="A184" s="3">
        <v>45005.960503078706</v>
      </c>
      <c r="B184" s="4" t="s">
        <v>1163</v>
      </c>
      <c r="C184" s="4" t="s">
        <v>1164</v>
      </c>
      <c r="D184" s="5" t="s">
        <v>1165</v>
      </c>
      <c r="E184" s="4" t="s">
        <v>103</v>
      </c>
      <c r="F184" s="4" t="s">
        <v>1166</v>
      </c>
      <c r="G184" s="4" t="s">
        <v>105</v>
      </c>
      <c r="H184" s="4" t="s">
        <v>1167</v>
      </c>
      <c r="I184" s="4" t="s">
        <v>1175</v>
      </c>
      <c r="J184" s="4" t="s">
        <v>1178</v>
      </c>
      <c r="K184" s="4" t="s">
        <v>1163</v>
      </c>
      <c r="L184" s="4" t="s">
        <v>665</v>
      </c>
      <c r="M184" s="4" t="s">
        <v>719</v>
      </c>
      <c r="N184" s="4">
        <v>35</v>
      </c>
      <c r="O184" s="4" t="s">
        <v>433</v>
      </c>
      <c r="P184" s="4">
        <v>5</v>
      </c>
      <c r="Q184" s="4">
        <v>5</v>
      </c>
      <c r="R184" s="4">
        <v>10</v>
      </c>
      <c r="S184" s="4" t="s">
        <v>1179</v>
      </c>
      <c r="T184" s="4" t="s">
        <v>71</v>
      </c>
      <c r="U184" s="4" t="s">
        <v>70</v>
      </c>
      <c r="V184" s="6" t="s">
        <v>99</v>
      </c>
      <c r="AU184" s="4" t="s">
        <v>71</v>
      </c>
      <c r="AV184" s="4" t="s">
        <v>71</v>
      </c>
      <c r="AW184" s="4" t="s">
        <v>70</v>
      </c>
      <c r="AX184" s="4" t="s">
        <v>71</v>
      </c>
      <c r="AY184" s="4" t="s">
        <v>71</v>
      </c>
      <c r="AZ184" s="4" t="s">
        <v>71</v>
      </c>
      <c r="BA184" s="4" t="s">
        <v>70</v>
      </c>
      <c r="BB184" s="4" t="s">
        <v>70</v>
      </c>
      <c r="BC184" s="4" t="s">
        <v>70</v>
      </c>
      <c r="BD184" s="4" t="s">
        <v>71</v>
      </c>
      <c r="BE184" s="4" t="s">
        <v>71</v>
      </c>
      <c r="BF184" s="4" t="s">
        <v>71</v>
      </c>
      <c r="BG184" s="4" t="s">
        <v>70</v>
      </c>
      <c r="BH184" s="4" t="s">
        <v>70</v>
      </c>
      <c r="BI184" s="4" t="s">
        <v>71</v>
      </c>
      <c r="BJ184" s="4" t="s">
        <v>71</v>
      </c>
      <c r="BK184" s="4" t="s">
        <v>71</v>
      </c>
      <c r="BL184" s="4" t="s">
        <v>70</v>
      </c>
      <c r="BM184" s="4" t="s">
        <v>70</v>
      </c>
      <c r="BN184" s="4" t="s">
        <v>71</v>
      </c>
      <c r="BO184" s="4" t="s">
        <v>71</v>
      </c>
      <c r="BP184" s="4" t="s">
        <v>70</v>
      </c>
      <c r="BR184" s="4" t="s">
        <v>1180</v>
      </c>
    </row>
    <row r="185" spans="1:94" x14ac:dyDescent="0.25">
      <c r="A185" s="3">
        <v>45005.646885740745</v>
      </c>
      <c r="B185" s="4" t="s">
        <v>943</v>
      </c>
      <c r="C185" s="4" t="s">
        <v>944</v>
      </c>
      <c r="D185" s="6" t="s">
        <v>945</v>
      </c>
      <c r="E185" s="4" t="s">
        <v>103</v>
      </c>
      <c r="F185" s="4" t="s">
        <v>723</v>
      </c>
      <c r="G185" s="4" t="s">
        <v>105</v>
      </c>
      <c r="H185" s="4" t="s">
        <v>946</v>
      </c>
      <c r="I185" s="4" t="s">
        <v>947</v>
      </c>
      <c r="J185" s="4" t="s">
        <v>948</v>
      </c>
      <c r="K185" s="4" t="s">
        <v>943</v>
      </c>
      <c r="L185" s="4" t="s">
        <v>656</v>
      </c>
      <c r="M185" s="4" t="s">
        <v>558</v>
      </c>
      <c r="N185" s="4">
        <v>35</v>
      </c>
      <c r="O185" s="4" t="s">
        <v>433</v>
      </c>
      <c r="P185" s="4">
        <v>2</v>
      </c>
      <c r="Q185" s="4">
        <v>3</v>
      </c>
      <c r="R185" s="4">
        <v>85</v>
      </c>
      <c r="S185" s="4" t="s">
        <v>949</v>
      </c>
      <c r="T185" s="4" t="s">
        <v>70</v>
      </c>
      <c r="U185" s="4" t="s">
        <v>71</v>
      </c>
      <c r="V185" s="6" t="s">
        <v>145</v>
      </c>
      <c r="W185" s="4" t="s">
        <v>70</v>
      </c>
      <c r="X185" s="4" t="s">
        <v>71</v>
      </c>
      <c r="Y185" s="4" t="s">
        <v>70</v>
      </c>
      <c r="Z185" s="4" t="s">
        <v>71</v>
      </c>
      <c r="AA185" s="4" t="s">
        <v>70</v>
      </c>
      <c r="AB185" s="4" t="s">
        <v>70</v>
      </c>
      <c r="AC185" s="4" t="s">
        <v>70</v>
      </c>
      <c r="AD185" s="4" t="s">
        <v>71</v>
      </c>
      <c r="AE185" s="4" t="s">
        <v>70</v>
      </c>
      <c r="AF185" s="4" t="s">
        <v>70</v>
      </c>
      <c r="AG185" s="4" t="s">
        <v>70</v>
      </c>
      <c r="AH185" s="4" t="s">
        <v>70</v>
      </c>
      <c r="AI185" s="4" t="s">
        <v>70</v>
      </c>
      <c r="AJ185" s="4" t="s">
        <v>70</v>
      </c>
      <c r="AK185" s="4" t="s">
        <v>70</v>
      </c>
      <c r="AL185" s="4" t="s">
        <v>70</v>
      </c>
      <c r="AM185" s="4" t="s">
        <v>70</v>
      </c>
      <c r="AN185" s="4" t="s">
        <v>70</v>
      </c>
      <c r="AO185" s="4" t="s">
        <v>70</v>
      </c>
      <c r="AP185" s="4" t="s">
        <v>70</v>
      </c>
      <c r="AQ185" s="4" t="s">
        <v>70</v>
      </c>
      <c r="AR185" s="4" t="s">
        <v>70</v>
      </c>
      <c r="AS185" s="4" t="s">
        <v>70</v>
      </c>
      <c r="AT185" s="4" t="s">
        <v>950</v>
      </c>
    </row>
    <row r="186" spans="1:94" x14ac:dyDescent="0.25">
      <c r="A186" s="3">
        <v>45002.465073136569</v>
      </c>
      <c r="B186" s="4" t="s">
        <v>682</v>
      </c>
      <c r="C186" s="4" t="s">
        <v>683</v>
      </c>
      <c r="D186" s="5" t="s">
        <v>684</v>
      </c>
      <c r="E186" s="4" t="s">
        <v>62</v>
      </c>
      <c r="F186" s="4" t="s">
        <v>685</v>
      </c>
      <c r="G186" s="4" t="s">
        <v>64</v>
      </c>
      <c r="H186" s="4" t="s">
        <v>686</v>
      </c>
      <c r="I186" s="4" t="s">
        <v>687</v>
      </c>
      <c r="J186" s="4" t="s">
        <v>688</v>
      </c>
      <c r="K186" s="4" t="s">
        <v>682</v>
      </c>
      <c r="L186" s="4" t="s">
        <v>656</v>
      </c>
      <c r="M186" s="4" t="s">
        <v>387</v>
      </c>
      <c r="N186" s="4">
        <v>35</v>
      </c>
      <c r="O186" s="4" t="s">
        <v>433</v>
      </c>
      <c r="P186" s="4">
        <v>1</v>
      </c>
      <c r="Q186" s="4">
        <v>1</v>
      </c>
      <c r="R186" s="4">
        <v>49</v>
      </c>
      <c r="T186" s="4" t="s">
        <v>70</v>
      </c>
      <c r="U186" s="4" t="s">
        <v>70</v>
      </c>
      <c r="V186" s="6" t="s">
        <v>145</v>
      </c>
      <c r="W186" s="4" t="s">
        <v>70</v>
      </c>
      <c r="X186" s="4" t="s">
        <v>70</v>
      </c>
      <c r="Y186" s="4" t="s">
        <v>71</v>
      </c>
      <c r="Z186" s="4" t="s">
        <v>70</v>
      </c>
      <c r="AA186" s="4" t="s">
        <v>70</v>
      </c>
      <c r="AB186" s="4" t="s">
        <v>70</v>
      </c>
      <c r="AC186" s="4" t="s">
        <v>70</v>
      </c>
      <c r="AD186" s="4" t="s">
        <v>71</v>
      </c>
      <c r="AE186" s="4" t="s">
        <v>71</v>
      </c>
      <c r="AF186" s="4" t="s">
        <v>70</v>
      </c>
      <c r="AG186" s="4" t="s">
        <v>70</v>
      </c>
      <c r="AH186" s="4" t="s">
        <v>70</v>
      </c>
      <c r="AI186" s="4" t="s">
        <v>71</v>
      </c>
      <c r="AJ186" s="4" t="s">
        <v>71</v>
      </c>
      <c r="AK186" s="4" t="s">
        <v>71</v>
      </c>
      <c r="AL186" s="4" t="s">
        <v>71</v>
      </c>
      <c r="AM186" s="4" t="s">
        <v>71</v>
      </c>
      <c r="AN186" s="4" t="s">
        <v>71</v>
      </c>
      <c r="AO186" s="4" t="s">
        <v>71</v>
      </c>
      <c r="AP186" s="4" t="s">
        <v>71</v>
      </c>
      <c r="AQ186" s="4" t="s">
        <v>71</v>
      </c>
      <c r="AR186" s="4" t="s">
        <v>71</v>
      </c>
      <c r="AS186" s="4" t="s">
        <v>71</v>
      </c>
    </row>
    <row r="187" spans="1:94" x14ac:dyDescent="0.25">
      <c r="A187" s="3">
        <v>45002.451774247689</v>
      </c>
      <c r="B187" s="4" t="s">
        <v>690</v>
      </c>
      <c r="C187" s="4" t="s">
        <v>683</v>
      </c>
      <c r="D187" s="5" t="s">
        <v>684</v>
      </c>
      <c r="E187" s="4" t="s">
        <v>62</v>
      </c>
      <c r="F187" s="4" t="s">
        <v>691</v>
      </c>
      <c r="G187" s="4" t="s">
        <v>64</v>
      </c>
      <c r="H187" s="4" t="s">
        <v>687</v>
      </c>
      <c r="I187" s="4" t="s">
        <v>692</v>
      </c>
      <c r="J187" s="4" t="s">
        <v>688</v>
      </c>
      <c r="K187" s="4" t="s">
        <v>690</v>
      </c>
      <c r="L187" s="4" t="s">
        <v>656</v>
      </c>
      <c r="M187" s="4" t="s">
        <v>387</v>
      </c>
      <c r="N187" s="4">
        <v>35</v>
      </c>
      <c r="O187" s="4" t="s">
        <v>433</v>
      </c>
      <c r="P187" s="4">
        <v>1</v>
      </c>
      <c r="Q187" s="4">
        <v>1</v>
      </c>
      <c r="R187" s="4">
        <v>50</v>
      </c>
      <c r="T187" s="4" t="s">
        <v>70</v>
      </c>
      <c r="U187" s="4" t="s">
        <v>70</v>
      </c>
      <c r="V187" s="6" t="s">
        <v>73</v>
      </c>
      <c r="BS187" s="4" t="s">
        <v>70</v>
      </c>
      <c r="BT187" s="4" t="s">
        <v>70</v>
      </c>
      <c r="BU187" s="4" t="s">
        <v>71</v>
      </c>
      <c r="BV187" s="4" t="s">
        <v>70</v>
      </c>
      <c r="BW187" s="4" t="s">
        <v>70</v>
      </c>
      <c r="BX187" s="4" t="s">
        <v>70</v>
      </c>
      <c r="BY187" s="4" t="s">
        <v>70</v>
      </c>
      <c r="BZ187" s="4" t="s">
        <v>71</v>
      </c>
      <c r="CA187" s="4" t="s">
        <v>71</v>
      </c>
      <c r="CB187" s="4" t="s">
        <v>70</v>
      </c>
      <c r="CC187" s="4" t="s">
        <v>71</v>
      </c>
      <c r="CD187" s="4" t="s">
        <v>70</v>
      </c>
      <c r="CE187" s="4" t="s">
        <v>71</v>
      </c>
      <c r="CF187" s="4" t="s">
        <v>71</v>
      </c>
      <c r="CG187" s="4" t="s">
        <v>71</v>
      </c>
      <c r="CH187" s="4" t="s">
        <v>71</v>
      </c>
      <c r="CI187" s="4" t="s">
        <v>71</v>
      </c>
      <c r="CJ187" s="4" t="s">
        <v>71</v>
      </c>
      <c r="CK187" s="4" t="s">
        <v>71</v>
      </c>
      <c r="CL187" s="4" t="s">
        <v>71</v>
      </c>
      <c r="CM187" s="4" t="s">
        <v>71</v>
      </c>
      <c r="CN187" s="4" t="s">
        <v>71</v>
      </c>
      <c r="CO187" s="4" t="s">
        <v>71</v>
      </c>
    </row>
    <row r="188" spans="1:94" x14ac:dyDescent="0.25">
      <c r="A188" s="3">
        <v>45001.560459155095</v>
      </c>
      <c r="B188" s="4" t="s">
        <v>776</v>
      </c>
      <c r="C188" s="4" t="s">
        <v>777</v>
      </c>
      <c r="D188" s="7" t="s">
        <v>778</v>
      </c>
      <c r="E188" s="4" t="s">
        <v>140</v>
      </c>
      <c r="F188" s="4" t="s">
        <v>779</v>
      </c>
      <c r="G188" s="4" t="s">
        <v>64</v>
      </c>
      <c r="H188" s="4" t="s">
        <v>785</v>
      </c>
      <c r="I188" s="4" t="s">
        <v>789</v>
      </c>
      <c r="J188" s="4" t="s">
        <v>782</v>
      </c>
      <c r="K188" s="4" t="s">
        <v>776</v>
      </c>
      <c r="L188" s="4" t="s">
        <v>656</v>
      </c>
      <c r="M188" s="4" t="s">
        <v>470</v>
      </c>
      <c r="N188" s="4">
        <v>30</v>
      </c>
      <c r="O188" s="4" t="s">
        <v>433</v>
      </c>
      <c r="P188" s="4">
        <v>4</v>
      </c>
      <c r="Q188" s="4">
        <v>4</v>
      </c>
      <c r="R188" s="4">
        <v>0</v>
      </c>
      <c r="T188" s="4" t="s">
        <v>70</v>
      </c>
      <c r="U188" s="4" t="s">
        <v>71</v>
      </c>
      <c r="V188" s="6" t="s">
        <v>145</v>
      </c>
      <c r="W188" s="4" t="s">
        <v>70</v>
      </c>
      <c r="X188" s="4" t="s">
        <v>70</v>
      </c>
      <c r="Y188" s="4" t="s">
        <v>71</v>
      </c>
      <c r="Z188" s="4" t="s">
        <v>71</v>
      </c>
      <c r="AA188" s="4" t="s">
        <v>70</v>
      </c>
      <c r="AB188" s="4" t="s">
        <v>71</v>
      </c>
      <c r="AC188" s="4" t="s">
        <v>71</v>
      </c>
      <c r="AD188" s="4" t="s">
        <v>71</v>
      </c>
      <c r="AE188" s="4" t="s">
        <v>71</v>
      </c>
    </row>
    <row r="189" spans="1:94" x14ac:dyDescent="0.25">
      <c r="A189" s="3">
        <v>45002.946039270828</v>
      </c>
      <c r="B189" s="4" t="s">
        <v>712</v>
      </c>
      <c r="C189" s="4" t="s">
        <v>713</v>
      </c>
      <c r="D189" s="7" t="s">
        <v>714</v>
      </c>
      <c r="E189" s="4" t="s">
        <v>140</v>
      </c>
      <c r="F189" s="4" t="s">
        <v>715</v>
      </c>
      <c r="G189" s="4" t="s">
        <v>105</v>
      </c>
      <c r="H189" s="4" t="s">
        <v>716</v>
      </c>
      <c r="I189" s="4" t="s">
        <v>717</v>
      </c>
      <c r="J189" s="4" t="s">
        <v>718</v>
      </c>
      <c r="K189" s="4" t="s">
        <v>712</v>
      </c>
      <c r="L189" s="4" t="s">
        <v>656</v>
      </c>
      <c r="M189" s="4" t="s">
        <v>415</v>
      </c>
      <c r="N189" s="4">
        <v>35</v>
      </c>
      <c r="O189" s="4" t="s">
        <v>433</v>
      </c>
      <c r="P189" s="4">
        <v>3</v>
      </c>
      <c r="Q189" s="4">
        <v>3</v>
      </c>
      <c r="R189" s="4">
        <v>70</v>
      </c>
      <c r="T189" s="4" t="s">
        <v>71</v>
      </c>
      <c r="U189" s="4" t="s">
        <v>70</v>
      </c>
      <c r="V189" s="6" t="s">
        <v>73</v>
      </c>
      <c r="BS189" s="4" t="s">
        <v>71</v>
      </c>
      <c r="BT189" s="4" t="s">
        <v>71</v>
      </c>
      <c r="BU189" s="4" t="s">
        <v>70</v>
      </c>
      <c r="BV189" s="4" t="s">
        <v>71</v>
      </c>
      <c r="BW189" s="4" t="s">
        <v>71</v>
      </c>
      <c r="BX189" s="4" t="s">
        <v>71</v>
      </c>
      <c r="BY189" s="4" t="s">
        <v>70</v>
      </c>
      <c r="BZ189" s="4" t="s">
        <v>71</v>
      </c>
      <c r="CA189" s="4" t="s">
        <v>71</v>
      </c>
      <c r="CB189" s="4" t="s">
        <v>71</v>
      </c>
      <c r="CC189" s="4" t="s">
        <v>71</v>
      </c>
      <c r="CD189" s="4" t="s">
        <v>71</v>
      </c>
      <c r="CE189" s="4" t="s">
        <v>71</v>
      </c>
      <c r="CF189" s="4" t="s">
        <v>70</v>
      </c>
    </row>
    <row r="190" spans="1:94" x14ac:dyDescent="0.25">
      <c r="A190" s="9">
        <v>45001.582880046291</v>
      </c>
      <c r="B190" s="10" t="s">
        <v>806</v>
      </c>
      <c r="C190" s="10" t="s">
        <v>807</v>
      </c>
      <c r="D190" s="11" t="s">
        <v>808</v>
      </c>
      <c r="E190" s="10" t="s">
        <v>263</v>
      </c>
      <c r="F190" s="10" t="s">
        <v>809</v>
      </c>
      <c r="G190" s="10" t="s">
        <v>105</v>
      </c>
      <c r="H190" s="10" t="s">
        <v>810</v>
      </c>
      <c r="I190" s="10" t="s">
        <v>811</v>
      </c>
      <c r="J190" s="10" t="s">
        <v>812</v>
      </c>
      <c r="K190" s="10" t="s">
        <v>806</v>
      </c>
      <c r="L190" s="10" t="s">
        <v>665</v>
      </c>
      <c r="M190" s="10" t="s">
        <v>492</v>
      </c>
      <c r="N190" s="10">
        <v>35</v>
      </c>
      <c r="O190" s="10" t="s">
        <v>433</v>
      </c>
      <c r="P190" s="10">
        <v>2</v>
      </c>
      <c r="Q190" s="10">
        <v>1</v>
      </c>
      <c r="R190" s="10">
        <v>90</v>
      </c>
      <c r="S190" s="10" t="s">
        <v>813</v>
      </c>
      <c r="T190" s="10" t="s">
        <v>70</v>
      </c>
      <c r="U190" s="10" t="s">
        <v>70</v>
      </c>
      <c r="V190" s="12" t="s">
        <v>145</v>
      </c>
      <c r="W190" s="10" t="s">
        <v>70</v>
      </c>
      <c r="X190" s="10" t="s">
        <v>71</v>
      </c>
      <c r="Y190" s="10" t="s">
        <v>71</v>
      </c>
      <c r="Z190" s="10" t="s">
        <v>71</v>
      </c>
      <c r="AA190" s="10" t="s">
        <v>71</v>
      </c>
      <c r="AB190" s="10" t="s">
        <v>70</v>
      </c>
      <c r="AC190" s="10" t="s">
        <v>70</v>
      </c>
      <c r="AD190" s="10" t="s">
        <v>70</v>
      </c>
      <c r="AE190" s="10" t="s">
        <v>70</v>
      </c>
      <c r="AF190" s="10" t="s">
        <v>71</v>
      </c>
      <c r="AG190" s="10" t="s">
        <v>71</v>
      </c>
      <c r="AH190" s="10" t="s">
        <v>70</v>
      </c>
      <c r="AI190" s="10" t="s">
        <v>71</v>
      </c>
      <c r="AJ190" s="10" t="s">
        <v>71</v>
      </c>
      <c r="AK190" s="13"/>
      <c r="AL190" s="10" t="s">
        <v>70</v>
      </c>
      <c r="AM190" s="10" t="s">
        <v>71</v>
      </c>
      <c r="AN190" s="10" t="s">
        <v>70</v>
      </c>
      <c r="AO190" s="10" t="s">
        <v>70</v>
      </c>
      <c r="AP190" s="13"/>
      <c r="AQ190" s="13"/>
      <c r="AR190" s="10" t="s">
        <v>70</v>
      </c>
      <c r="AS190" s="13"/>
      <c r="AT190" s="10" t="s">
        <v>814</v>
      </c>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row>
    <row r="191" spans="1:94" x14ac:dyDescent="0.25">
      <c r="A191" s="3">
        <v>45002.001980173613</v>
      </c>
      <c r="B191" s="4" t="s">
        <v>424</v>
      </c>
      <c r="C191" s="4" t="s">
        <v>425</v>
      </c>
      <c r="D191" s="7" t="s">
        <v>426</v>
      </c>
      <c r="E191" s="4" t="s">
        <v>427</v>
      </c>
      <c r="F191" s="4" t="s">
        <v>428</v>
      </c>
      <c r="G191" s="4" t="s">
        <v>105</v>
      </c>
      <c r="H191" s="4" t="s">
        <v>429</v>
      </c>
      <c r="I191" s="4" t="s">
        <v>430</v>
      </c>
      <c r="J191" s="4" t="s">
        <v>431</v>
      </c>
      <c r="K191" s="4" t="s">
        <v>424</v>
      </c>
      <c r="L191" s="4" t="s">
        <v>67</v>
      </c>
      <c r="M191" s="4" t="s">
        <v>282</v>
      </c>
      <c r="N191" s="4">
        <v>35</v>
      </c>
      <c r="O191" s="4" t="s">
        <v>433</v>
      </c>
      <c r="P191" s="4">
        <v>4</v>
      </c>
      <c r="Q191" s="4">
        <v>2</v>
      </c>
      <c r="R191" s="4">
        <v>95</v>
      </c>
      <c r="T191" s="4" t="s">
        <v>70</v>
      </c>
      <c r="U191" s="4" t="s">
        <v>71</v>
      </c>
      <c r="V191" s="6" t="s">
        <v>145</v>
      </c>
      <c r="W191" s="4" t="s">
        <v>70</v>
      </c>
      <c r="X191" s="4" t="s">
        <v>71</v>
      </c>
      <c r="Y191" s="4" t="s">
        <v>71</v>
      </c>
      <c r="Z191" s="4" t="s">
        <v>71</v>
      </c>
      <c r="AA191" s="4" t="s">
        <v>70</v>
      </c>
      <c r="AB191" s="4" t="s">
        <v>71</v>
      </c>
      <c r="AC191" s="4" t="s">
        <v>71</v>
      </c>
      <c r="AD191" s="4" t="s">
        <v>71</v>
      </c>
      <c r="AE191" s="4" t="s">
        <v>71</v>
      </c>
      <c r="AF191" s="4" t="s">
        <v>71</v>
      </c>
      <c r="AG191" s="4" t="s">
        <v>71</v>
      </c>
      <c r="AH191" s="4" t="s">
        <v>71</v>
      </c>
      <c r="AI191" s="4" t="s">
        <v>71</v>
      </c>
      <c r="AJ191" s="4" t="s">
        <v>71</v>
      </c>
      <c r="AK191" s="4" t="s">
        <v>71</v>
      </c>
      <c r="AL191" s="4" t="s">
        <v>71</v>
      </c>
      <c r="AM191" s="4" t="s">
        <v>70</v>
      </c>
      <c r="AN191" s="4" t="s">
        <v>71</v>
      </c>
      <c r="AO191" s="4" t="s">
        <v>71</v>
      </c>
      <c r="AP191" s="4" t="s">
        <v>71</v>
      </c>
      <c r="AQ191" s="4" t="s">
        <v>71</v>
      </c>
      <c r="AR191" s="4" t="s">
        <v>71</v>
      </c>
      <c r="AS191" s="4" t="s">
        <v>71</v>
      </c>
    </row>
    <row r="192" spans="1:94" x14ac:dyDescent="0.25">
      <c r="A192" s="3">
        <v>45001.532389988424</v>
      </c>
      <c r="B192" s="4" t="s">
        <v>776</v>
      </c>
      <c r="C192" s="4" t="s">
        <v>777</v>
      </c>
      <c r="D192" s="7" t="s">
        <v>778</v>
      </c>
      <c r="E192" s="4" t="s">
        <v>103</v>
      </c>
      <c r="F192" s="4" t="s">
        <v>779</v>
      </c>
      <c r="G192" s="4" t="s">
        <v>64</v>
      </c>
      <c r="H192" s="4" t="s">
        <v>780</v>
      </c>
      <c r="I192" s="4" t="s">
        <v>781</v>
      </c>
      <c r="J192" s="4" t="s">
        <v>782</v>
      </c>
      <c r="K192" s="4" t="s">
        <v>776</v>
      </c>
      <c r="L192" s="4" t="s">
        <v>656</v>
      </c>
      <c r="M192" s="4" t="s">
        <v>467</v>
      </c>
      <c r="N192" s="4">
        <v>31</v>
      </c>
      <c r="O192" s="4" t="s">
        <v>783</v>
      </c>
      <c r="P192" s="4">
        <v>4</v>
      </c>
      <c r="Q192" s="4">
        <v>4</v>
      </c>
      <c r="R192" s="4">
        <v>1</v>
      </c>
      <c r="S192" s="4" t="s">
        <v>784</v>
      </c>
      <c r="T192" s="4" t="s">
        <v>70</v>
      </c>
      <c r="U192" s="4" t="s">
        <v>71</v>
      </c>
      <c r="V192" s="6" t="s">
        <v>99</v>
      </c>
      <c r="AU192" s="4" t="s">
        <v>70</v>
      </c>
      <c r="AV192" s="4" t="s">
        <v>70</v>
      </c>
      <c r="AW192" s="4" t="s">
        <v>71</v>
      </c>
      <c r="AX192" s="4" t="s">
        <v>71</v>
      </c>
      <c r="AY192" s="4" t="s">
        <v>70</v>
      </c>
      <c r="AZ192" s="4" t="s">
        <v>71</v>
      </c>
      <c r="BA192" s="4" t="s">
        <v>71</v>
      </c>
      <c r="BB192" s="4" t="s">
        <v>71</v>
      </c>
      <c r="BC192" s="4" t="s">
        <v>71</v>
      </c>
      <c r="BE192" s="4" t="s">
        <v>70</v>
      </c>
      <c r="BJ192" s="4" t="s">
        <v>70</v>
      </c>
    </row>
    <row r="193" spans="1:70" x14ac:dyDescent="0.25">
      <c r="A193" s="3">
        <v>45001.548670243057</v>
      </c>
      <c r="B193" s="4" t="s">
        <v>776</v>
      </c>
      <c r="C193" s="4" t="s">
        <v>777</v>
      </c>
      <c r="D193" s="7" t="s">
        <v>778</v>
      </c>
      <c r="E193" s="4" t="s">
        <v>103</v>
      </c>
      <c r="F193" s="4" t="s">
        <v>779</v>
      </c>
      <c r="G193" s="4" t="s">
        <v>64</v>
      </c>
      <c r="H193" s="4" t="s">
        <v>780</v>
      </c>
      <c r="I193" s="4" t="s">
        <v>781</v>
      </c>
      <c r="J193" s="4" t="s">
        <v>782</v>
      </c>
      <c r="K193" s="4" t="s">
        <v>776</v>
      </c>
      <c r="L193" s="4" t="s">
        <v>656</v>
      </c>
      <c r="M193" s="4" t="s">
        <v>470</v>
      </c>
      <c r="N193" s="4">
        <v>30</v>
      </c>
      <c r="O193" s="4" t="s">
        <v>783</v>
      </c>
      <c r="P193" s="4">
        <v>4</v>
      </c>
      <c r="Q193" s="4">
        <v>4</v>
      </c>
      <c r="R193" s="4">
        <v>1</v>
      </c>
      <c r="T193" s="4" t="s">
        <v>70</v>
      </c>
      <c r="U193" s="4" t="s">
        <v>71</v>
      </c>
      <c r="V193" s="6" t="s">
        <v>99</v>
      </c>
      <c r="AU193" s="4" t="s">
        <v>70</v>
      </c>
      <c r="AV193" s="4" t="s">
        <v>70</v>
      </c>
      <c r="AW193" s="4" t="s">
        <v>71</v>
      </c>
      <c r="AX193" s="4" t="s">
        <v>71</v>
      </c>
      <c r="AY193" s="4" t="s">
        <v>70</v>
      </c>
      <c r="AZ193" s="4" t="s">
        <v>71</v>
      </c>
      <c r="BA193" s="4" t="s">
        <v>71</v>
      </c>
      <c r="BB193" s="4" t="s">
        <v>71</v>
      </c>
      <c r="BC193" s="4" t="s">
        <v>71</v>
      </c>
    </row>
    <row r="194" spans="1:70" x14ac:dyDescent="0.25">
      <c r="A194" s="3">
        <v>45001.550165972221</v>
      </c>
      <c r="B194" s="4" t="s">
        <v>776</v>
      </c>
      <c r="C194" s="4" t="s">
        <v>787</v>
      </c>
      <c r="D194" s="7" t="s">
        <v>778</v>
      </c>
      <c r="E194" s="4" t="s">
        <v>103</v>
      </c>
      <c r="F194" s="4" t="s">
        <v>779</v>
      </c>
      <c r="G194" s="4" t="s">
        <v>64</v>
      </c>
      <c r="H194" s="4" t="s">
        <v>785</v>
      </c>
      <c r="I194" s="4" t="s">
        <v>781</v>
      </c>
      <c r="J194" s="4" t="s">
        <v>782</v>
      </c>
      <c r="K194" s="4" t="s">
        <v>776</v>
      </c>
      <c r="L194" s="4" t="s">
        <v>656</v>
      </c>
      <c r="M194" s="4" t="s">
        <v>470</v>
      </c>
      <c r="N194" s="4">
        <v>30</v>
      </c>
      <c r="O194" s="4" t="s">
        <v>783</v>
      </c>
      <c r="P194" s="4">
        <v>4</v>
      </c>
      <c r="Q194" s="4">
        <v>4</v>
      </c>
      <c r="R194" s="4">
        <v>1</v>
      </c>
      <c r="T194" s="4" t="s">
        <v>70</v>
      </c>
      <c r="U194" s="4" t="s">
        <v>71</v>
      </c>
      <c r="V194" s="6" t="s">
        <v>99</v>
      </c>
      <c r="AU194" s="4" t="s">
        <v>70</v>
      </c>
      <c r="AV194" s="4" t="s">
        <v>70</v>
      </c>
      <c r="AW194" s="4" t="s">
        <v>71</v>
      </c>
      <c r="AX194" s="4" t="s">
        <v>71</v>
      </c>
      <c r="AY194" s="4" t="s">
        <v>70</v>
      </c>
      <c r="AZ194" s="4" t="s">
        <v>71</v>
      </c>
      <c r="BA194" s="4" t="s">
        <v>71</v>
      </c>
      <c r="BB194" s="4" t="s">
        <v>71</v>
      </c>
      <c r="BC194" s="4" t="s">
        <v>71</v>
      </c>
    </row>
    <row r="195" spans="1:70" x14ac:dyDescent="0.25">
      <c r="A195" s="3">
        <v>45005.327248923611</v>
      </c>
      <c r="B195" s="4" t="s">
        <v>843</v>
      </c>
      <c r="C195" s="4" t="s">
        <v>844</v>
      </c>
      <c r="D195" s="7" t="s">
        <v>845</v>
      </c>
      <c r="E195" s="4" t="s">
        <v>91</v>
      </c>
      <c r="F195" s="4" t="s">
        <v>846</v>
      </c>
      <c r="G195" s="4" t="s">
        <v>105</v>
      </c>
      <c r="H195" s="4" t="s">
        <v>847</v>
      </c>
      <c r="I195" s="4" t="s">
        <v>848</v>
      </c>
      <c r="J195" s="4" t="s">
        <v>849</v>
      </c>
      <c r="K195" s="4" t="s">
        <v>843</v>
      </c>
      <c r="L195" s="4" t="s">
        <v>656</v>
      </c>
      <c r="M195" s="4" t="s">
        <v>515</v>
      </c>
      <c r="N195" s="4">
        <v>30</v>
      </c>
      <c r="O195" s="4" t="s">
        <v>850</v>
      </c>
      <c r="P195" s="4">
        <v>1</v>
      </c>
      <c r="Q195" s="4">
        <v>2</v>
      </c>
      <c r="R195" s="4">
        <v>50</v>
      </c>
      <c r="T195" s="4" t="s">
        <v>70</v>
      </c>
      <c r="U195" s="4" t="s">
        <v>70</v>
      </c>
      <c r="V195" s="6" t="s">
        <v>99</v>
      </c>
      <c r="AU195" s="4" t="s">
        <v>70</v>
      </c>
      <c r="AV195" s="4" t="s">
        <v>70</v>
      </c>
      <c r="AW195" s="4" t="s">
        <v>70</v>
      </c>
      <c r="AX195" s="4" t="s">
        <v>70</v>
      </c>
      <c r="AY195" s="4" t="s">
        <v>70</v>
      </c>
      <c r="AZ195" s="4" t="s">
        <v>70</v>
      </c>
      <c r="BA195" s="4" t="s">
        <v>70</v>
      </c>
      <c r="BB195" s="4" t="s">
        <v>70</v>
      </c>
      <c r="BC195" s="4" t="s">
        <v>70</v>
      </c>
      <c r="BG195" s="4" t="s">
        <v>70</v>
      </c>
      <c r="BM195" s="4" t="s">
        <v>70</v>
      </c>
      <c r="BN195" s="4" t="s">
        <v>70</v>
      </c>
      <c r="BR195" s="4" t="s">
        <v>851</v>
      </c>
    </row>
    <row r="197" spans="1:70" x14ac:dyDescent="0.25">
      <c r="M197" s="4" t="s">
        <v>1213</v>
      </c>
    </row>
    <row r="198" spans="1:70" x14ac:dyDescent="0.25">
      <c r="M198" s="4" t="s">
        <v>103</v>
      </c>
      <c r="N198" s="14">
        <f>SUM(N2:N79)</f>
        <v>2367</v>
      </c>
      <c r="Q198" s="4" t="s">
        <v>1214</v>
      </c>
      <c r="R198" s="14">
        <f>SUM(R2:R31)</f>
        <v>694</v>
      </c>
    </row>
    <row r="199" spans="1:70" x14ac:dyDescent="0.25">
      <c r="M199" s="4" t="s">
        <v>140</v>
      </c>
      <c r="N199" s="14">
        <f>SUM(N129:N143)</f>
        <v>493</v>
      </c>
      <c r="Q199" s="4" t="s">
        <v>1215</v>
      </c>
      <c r="R199" s="14">
        <f>SUM(N2:N113)</f>
        <v>3418</v>
      </c>
    </row>
    <row r="200" spans="1:70" x14ac:dyDescent="0.25">
      <c r="M200" s="4" t="s">
        <v>263</v>
      </c>
      <c r="N200" s="14">
        <f>SUM(N144:N149)</f>
        <v>191</v>
      </c>
      <c r="Q200" s="4" t="s">
        <v>1216</v>
      </c>
      <c r="R200" s="14">
        <f>SUM(N2:N39)</f>
        <v>1170</v>
      </c>
    </row>
    <row r="201" spans="1:70" x14ac:dyDescent="0.25">
      <c r="M201" s="4" t="s">
        <v>427</v>
      </c>
      <c r="N201" s="14">
        <f>SUM(N150:N154)</f>
        <v>148</v>
      </c>
      <c r="Q201" s="4" t="s">
        <v>1217</v>
      </c>
      <c r="R201" s="14">
        <f>SUM(N2:N53)</f>
        <v>1569</v>
      </c>
    </row>
    <row r="202" spans="1:70" x14ac:dyDescent="0.25">
      <c r="M202" s="4" t="s">
        <v>91</v>
      </c>
      <c r="N202" s="14">
        <f>SUM(N155:N158)</f>
        <v>133</v>
      </c>
    </row>
    <row r="203" spans="1:70" x14ac:dyDescent="0.25">
      <c r="M203" s="4" t="s">
        <v>149</v>
      </c>
      <c r="N203" s="14">
        <f>SUM(N159:N195)</f>
        <v>1173</v>
      </c>
    </row>
    <row r="204" spans="1:70" x14ac:dyDescent="0.25">
      <c r="M204" s="4" t="s">
        <v>62</v>
      </c>
      <c r="N204" s="14">
        <f>SUM(N80:N124)</f>
        <v>1390</v>
      </c>
    </row>
    <row r="205" spans="1:70" x14ac:dyDescent="0.25">
      <c r="M205" s="4" t="s">
        <v>1116</v>
      </c>
      <c r="N205" s="4">
        <v>20</v>
      </c>
    </row>
    <row r="206" spans="1:70" x14ac:dyDescent="0.25">
      <c r="M206" s="4" t="s">
        <v>604</v>
      </c>
      <c r="N206" s="14">
        <f>SUM(N126:N128)</f>
        <v>78</v>
      </c>
    </row>
    <row r="207" spans="1:70" x14ac:dyDescent="0.25">
      <c r="Q207" s="14">
        <f>SUM(N43:N71)</f>
        <v>871</v>
      </c>
    </row>
    <row r="210" spans="14:14" x14ac:dyDescent="0.25">
      <c r="N210" s="14">
        <f>SUM(N3:N26)</f>
        <v>729</v>
      </c>
    </row>
  </sheetData>
  <autoFilter ref="A1:CV195"/>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V77"/>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1" max="1" width="12.6640625" hidden="1"/>
    <col min="3" max="3" width="29.33203125" customWidth="1"/>
    <col min="9" max="12" width="12.6640625" hidden="1"/>
  </cols>
  <sheetData>
    <row r="1" spans="1:100" x14ac:dyDescent="0.25">
      <c r="A1" s="17" t="s">
        <v>0</v>
      </c>
      <c r="B1" s="17" t="s">
        <v>1</v>
      </c>
      <c r="C1" s="17" t="s">
        <v>2</v>
      </c>
      <c r="D1" s="17" t="s">
        <v>1198</v>
      </c>
      <c r="E1" s="17" t="s">
        <v>1199</v>
      </c>
      <c r="F1" s="17" t="s">
        <v>5</v>
      </c>
      <c r="G1" s="17" t="s">
        <v>6</v>
      </c>
      <c r="H1" s="17" t="s">
        <v>7</v>
      </c>
      <c r="I1" s="17" t="s">
        <v>8</v>
      </c>
      <c r="J1" s="17" t="s">
        <v>9</v>
      </c>
      <c r="K1" s="17" t="s">
        <v>10</v>
      </c>
      <c r="L1" s="17" t="s">
        <v>1200</v>
      </c>
      <c r="M1" s="17" t="s">
        <v>12</v>
      </c>
      <c r="N1" s="17" t="s">
        <v>1201</v>
      </c>
      <c r="O1" s="17" t="s">
        <v>1202</v>
      </c>
      <c r="P1" s="17" t="s">
        <v>15</v>
      </c>
      <c r="Q1" s="17" t="s">
        <v>16</v>
      </c>
      <c r="R1" s="17" t="s">
        <v>1203</v>
      </c>
      <c r="S1" s="17" t="s">
        <v>18</v>
      </c>
      <c r="T1" s="17" t="s">
        <v>19</v>
      </c>
      <c r="U1" s="17" t="s">
        <v>20</v>
      </c>
      <c r="V1" s="17" t="s">
        <v>1204</v>
      </c>
      <c r="W1" s="17" t="s">
        <v>23</v>
      </c>
      <c r="X1" s="17" t="s">
        <v>24</v>
      </c>
      <c r="Y1" s="17" t="s">
        <v>25</v>
      </c>
      <c r="Z1" s="17" t="s">
        <v>26</v>
      </c>
      <c r="AA1" s="17" t="s">
        <v>27</v>
      </c>
      <c r="AB1" s="17" t="s">
        <v>28</v>
      </c>
      <c r="AC1" s="17" t="s">
        <v>29</v>
      </c>
      <c r="AD1" s="17" t="s">
        <v>30</v>
      </c>
      <c r="AE1" s="17" t="s">
        <v>31</v>
      </c>
      <c r="AF1" s="17" t="s">
        <v>32</v>
      </c>
      <c r="AG1" s="17" t="s">
        <v>33</v>
      </c>
      <c r="AH1" s="17" t="s">
        <v>34</v>
      </c>
      <c r="AI1" s="17" t="s">
        <v>35</v>
      </c>
      <c r="AJ1" s="17" t="s">
        <v>36</v>
      </c>
      <c r="AK1" s="17" t="s">
        <v>37</v>
      </c>
      <c r="AL1" s="17" t="s">
        <v>38</v>
      </c>
      <c r="AM1" s="17" t="s">
        <v>39</v>
      </c>
      <c r="AN1" s="17" t="s">
        <v>40</v>
      </c>
      <c r="AO1" s="17" t="s">
        <v>41</v>
      </c>
      <c r="AP1" s="17" t="s">
        <v>42</v>
      </c>
      <c r="AQ1" s="17" t="s">
        <v>43</v>
      </c>
      <c r="AR1" s="17" t="s">
        <v>44</v>
      </c>
      <c r="AS1" s="17" t="s">
        <v>45</v>
      </c>
      <c r="AT1" s="17" t="s">
        <v>46</v>
      </c>
      <c r="AU1" s="17" t="s">
        <v>47</v>
      </c>
      <c r="AV1" s="17" t="s">
        <v>48</v>
      </c>
      <c r="AW1" s="17" t="s">
        <v>49</v>
      </c>
      <c r="AX1" s="17" t="s">
        <v>26</v>
      </c>
      <c r="AY1" s="17" t="s">
        <v>27</v>
      </c>
      <c r="AZ1" s="17" t="s">
        <v>28</v>
      </c>
      <c r="BA1" s="17" t="s">
        <v>29</v>
      </c>
      <c r="BB1" s="17" t="s">
        <v>30</v>
      </c>
      <c r="BC1" s="17" t="s">
        <v>31</v>
      </c>
      <c r="BD1" s="17" t="s">
        <v>50</v>
      </c>
      <c r="BE1" s="17" t="s">
        <v>33</v>
      </c>
      <c r="BF1" s="17" t="s">
        <v>34</v>
      </c>
      <c r="BG1" s="17" t="s">
        <v>35</v>
      </c>
      <c r="BH1" s="17" t="s">
        <v>36</v>
      </c>
      <c r="BI1" s="17" t="s">
        <v>37</v>
      </c>
      <c r="BJ1" s="17" t="s">
        <v>38</v>
      </c>
      <c r="BK1" s="17" t="s">
        <v>39</v>
      </c>
      <c r="BL1" s="17" t="s">
        <v>40</v>
      </c>
      <c r="BM1" s="17" t="s">
        <v>41</v>
      </c>
      <c r="BN1" s="17" t="s">
        <v>51</v>
      </c>
      <c r="BO1" s="17" t="s">
        <v>52</v>
      </c>
      <c r="BP1" s="17" t="s">
        <v>53</v>
      </c>
      <c r="BQ1" s="17" t="s">
        <v>54</v>
      </c>
      <c r="BR1" s="17" t="s">
        <v>46</v>
      </c>
      <c r="BS1" s="17" t="s">
        <v>55</v>
      </c>
      <c r="BT1" s="17" t="s">
        <v>56</v>
      </c>
      <c r="BU1" s="17" t="s">
        <v>57</v>
      </c>
      <c r="BV1" s="17" t="s">
        <v>26</v>
      </c>
      <c r="BW1" s="17" t="s">
        <v>27</v>
      </c>
      <c r="BX1" s="17" t="s">
        <v>28</v>
      </c>
      <c r="BY1" s="17" t="s">
        <v>29</v>
      </c>
      <c r="BZ1" s="17" t="s">
        <v>30</v>
      </c>
      <c r="CA1" s="17" t="s">
        <v>31</v>
      </c>
      <c r="CB1" s="17" t="s">
        <v>32</v>
      </c>
      <c r="CC1" s="17" t="s">
        <v>58</v>
      </c>
      <c r="CD1" s="17" t="s">
        <v>34</v>
      </c>
      <c r="CE1" s="17" t="s">
        <v>35</v>
      </c>
      <c r="CF1" s="17" t="s">
        <v>36</v>
      </c>
      <c r="CG1" s="17" t="s">
        <v>37</v>
      </c>
      <c r="CH1" s="17" t="s">
        <v>38</v>
      </c>
      <c r="CI1" s="17" t="s">
        <v>39</v>
      </c>
      <c r="CJ1" s="17" t="s">
        <v>40</v>
      </c>
      <c r="CK1" s="17" t="s">
        <v>41</v>
      </c>
      <c r="CL1" s="17" t="s">
        <v>51</v>
      </c>
      <c r="CM1" s="17" t="s">
        <v>52</v>
      </c>
      <c r="CN1" s="17" t="s">
        <v>53</v>
      </c>
      <c r="CO1" s="17" t="s">
        <v>54</v>
      </c>
      <c r="CP1" s="17" t="s">
        <v>46</v>
      </c>
      <c r="CQ1" s="18"/>
      <c r="CR1" s="18"/>
      <c r="CS1" s="18"/>
      <c r="CT1" s="18"/>
      <c r="CU1" s="18"/>
      <c r="CV1" s="18"/>
    </row>
    <row r="2" spans="1:100" x14ac:dyDescent="0.25">
      <c r="A2" s="3">
        <v>45003.486368124999</v>
      </c>
      <c r="B2" s="4" t="s">
        <v>137</v>
      </c>
      <c r="C2" s="4" t="s">
        <v>138</v>
      </c>
      <c r="D2" s="7" t="s">
        <v>139</v>
      </c>
      <c r="E2" s="4" t="s">
        <v>140</v>
      </c>
      <c r="F2" s="4" t="s">
        <v>141</v>
      </c>
      <c r="G2" s="4" t="s">
        <v>105</v>
      </c>
      <c r="H2" s="4" t="s">
        <v>142</v>
      </c>
      <c r="I2" s="4" t="s">
        <v>143</v>
      </c>
      <c r="K2" s="4" t="s">
        <v>137</v>
      </c>
      <c r="L2" s="4" t="s">
        <v>67</v>
      </c>
      <c r="M2" s="4" t="s">
        <v>120</v>
      </c>
      <c r="N2" s="4">
        <v>17</v>
      </c>
      <c r="O2" s="4" t="s">
        <v>97</v>
      </c>
      <c r="P2" s="4">
        <v>3</v>
      </c>
      <c r="Q2" s="4">
        <v>3</v>
      </c>
      <c r="R2" s="4">
        <v>90</v>
      </c>
      <c r="T2" s="4" t="s">
        <v>71</v>
      </c>
      <c r="U2" s="4" t="s">
        <v>70</v>
      </c>
      <c r="V2" s="6" t="s">
        <v>145</v>
      </c>
      <c r="W2" s="4" t="s">
        <v>71</v>
      </c>
      <c r="X2" s="4" t="s">
        <v>71</v>
      </c>
      <c r="Y2" s="4" t="s">
        <v>70</v>
      </c>
      <c r="Z2" s="4" t="s">
        <v>71</v>
      </c>
      <c r="AA2" s="4" t="s">
        <v>71</v>
      </c>
      <c r="AB2" s="4" t="s">
        <v>71</v>
      </c>
      <c r="AC2" s="4" t="s">
        <v>70</v>
      </c>
      <c r="AD2" s="4" t="s">
        <v>71</v>
      </c>
      <c r="AE2" s="4" t="s">
        <v>71</v>
      </c>
      <c r="AF2" s="4" t="s">
        <v>71</v>
      </c>
      <c r="AG2" s="4" t="s">
        <v>71</v>
      </c>
      <c r="AH2" s="4" t="s">
        <v>71</v>
      </c>
      <c r="AI2" s="4" t="s">
        <v>71</v>
      </c>
      <c r="AJ2" s="4" t="s">
        <v>70</v>
      </c>
      <c r="AK2" s="4" t="s">
        <v>71</v>
      </c>
      <c r="AL2" s="4" t="s">
        <v>71</v>
      </c>
      <c r="AM2" s="4" t="s">
        <v>71</v>
      </c>
      <c r="AN2" s="4" t="s">
        <v>70</v>
      </c>
      <c r="AO2" s="4" t="s">
        <v>71</v>
      </c>
      <c r="AP2" s="4" t="s">
        <v>71</v>
      </c>
      <c r="AQ2" s="4" t="s">
        <v>71</v>
      </c>
      <c r="AR2" s="4" t="s">
        <v>71</v>
      </c>
      <c r="AS2" s="4" t="s">
        <v>71</v>
      </c>
    </row>
    <row r="3" spans="1:100" x14ac:dyDescent="0.25">
      <c r="A3" s="3">
        <v>45002.995239270836</v>
      </c>
      <c r="B3" s="4" t="s">
        <v>146</v>
      </c>
      <c r="C3" s="4" t="s">
        <v>147</v>
      </c>
      <c r="D3" s="5" t="s">
        <v>148</v>
      </c>
      <c r="E3" s="4" t="s">
        <v>149</v>
      </c>
      <c r="F3" s="4" t="s">
        <v>150</v>
      </c>
      <c r="G3" s="4" t="s">
        <v>64</v>
      </c>
      <c r="H3" s="4" t="s">
        <v>151</v>
      </c>
      <c r="I3" s="4" t="s">
        <v>152</v>
      </c>
      <c r="K3" s="4" t="s">
        <v>146</v>
      </c>
      <c r="L3" s="4" t="s">
        <v>67</v>
      </c>
      <c r="M3" s="4" t="s">
        <v>127</v>
      </c>
      <c r="N3" s="4">
        <v>25</v>
      </c>
      <c r="O3" s="4" t="s">
        <v>69</v>
      </c>
      <c r="P3" s="4">
        <v>4</v>
      </c>
      <c r="Q3" s="4">
        <v>3</v>
      </c>
      <c r="R3" s="4">
        <v>8</v>
      </c>
      <c r="T3" s="4" t="s">
        <v>70</v>
      </c>
      <c r="U3" s="4" t="s">
        <v>71</v>
      </c>
      <c r="V3" s="6" t="s">
        <v>145</v>
      </c>
      <c r="W3" s="4" t="s">
        <v>70</v>
      </c>
      <c r="X3" s="4" t="s">
        <v>71</v>
      </c>
      <c r="Y3" s="4" t="s">
        <v>71</v>
      </c>
      <c r="Z3" s="4" t="s">
        <v>71</v>
      </c>
      <c r="AA3" s="4" t="s">
        <v>71</v>
      </c>
      <c r="AB3" s="4" t="s">
        <v>71</v>
      </c>
      <c r="AC3" s="4" t="s">
        <v>70</v>
      </c>
      <c r="AD3" s="4" t="s">
        <v>71</v>
      </c>
      <c r="AE3" s="4" t="s">
        <v>71</v>
      </c>
      <c r="AF3" s="4" t="s">
        <v>71</v>
      </c>
      <c r="AG3" s="4" t="s">
        <v>70</v>
      </c>
      <c r="AH3" s="4" t="s">
        <v>71</v>
      </c>
      <c r="AI3" s="4" t="s">
        <v>71</v>
      </c>
      <c r="AJ3" s="4" t="s">
        <v>71</v>
      </c>
      <c r="AK3" s="4" t="s">
        <v>71</v>
      </c>
      <c r="AL3" s="4" t="s">
        <v>71</v>
      </c>
      <c r="AM3" s="4" t="s">
        <v>70</v>
      </c>
      <c r="AN3" s="4" t="s">
        <v>71</v>
      </c>
      <c r="AO3" s="4" t="s">
        <v>71</v>
      </c>
      <c r="AP3" s="4" t="s">
        <v>71</v>
      </c>
      <c r="AQ3" s="4" t="s">
        <v>71</v>
      </c>
      <c r="AR3" s="4" t="s">
        <v>71</v>
      </c>
      <c r="AS3" s="4" t="s">
        <v>71</v>
      </c>
    </row>
    <row r="4" spans="1:100" x14ac:dyDescent="0.25">
      <c r="A4" s="3">
        <v>45004.57079096065</v>
      </c>
      <c r="B4" s="4" t="s">
        <v>179</v>
      </c>
      <c r="C4" s="4" t="s">
        <v>180</v>
      </c>
      <c r="D4" s="5" t="s">
        <v>181</v>
      </c>
      <c r="E4" s="4" t="s">
        <v>62</v>
      </c>
      <c r="F4" s="4" t="s">
        <v>182</v>
      </c>
      <c r="G4" s="4" t="s">
        <v>64</v>
      </c>
      <c r="H4" s="4" t="s">
        <v>183</v>
      </c>
      <c r="I4" s="4" t="s">
        <v>184</v>
      </c>
      <c r="J4" s="4" t="s">
        <v>185</v>
      </c>
      <c r="K4" s="4" t="s">
        <v>179</v>
      </c>
      <c r="L4" s="4" t="s">
        <v>67</v>
      </c>
      <c r="M4" s="4" t="s">
        <v>161</v>
      </c>
      <c r="N4" s="4">
        <v>34</v>
      </c>
      <c r="O4" s="4" t="s">
        <v>69</v>
      </c>
      <c r="P4" s="4">
        <v>4</v>
      </c>
      <c r="Q4" s="4">
        <v>4</v>
      </c>
      <c r="R4" s="4">
        <v>15</v>
      </c>
      <c r="T4" s="4" t="s">
        <v>70</v>
      </c>
      <c r="U4" s="4" t="s">
        <v>71</v>
      </c>
      <c r="V4" s="6" t="s">
        <v>145</v>
      </c>
      <c r="W4" s="4" t="s">
        <v>70</v>
      </c>
      <c r="X4" s="4" t="s">
        <v>70</v>
      </c>
      <c r="Y4" s="4" t="s">
        <v>71</v>
      </c>
      <c r="Z4" s="4" t="s">
        <v>71</v>
      </c>
      <c r="AA4" s="4" t="s">
        <v>70</v>
      </c>
      <c r="AB4" s="4" t="s">
        <v>71</v>
      </c>
      <c r="AC4" s="4" t="s">
        <v>71</v>
      </c>
      <c r="AD4" s="4" t="s">
        <v>71</v>
      </c>
      <c r="AE4" s="4" t="s">
        <v>71</v>
      </c>
      <c r="AF4" s="4" t="s">
        <v>71</v>
      </c>
      <c r="AG4" s="4" t="s">
        <v>71</v>
      </c>
      <c r="AH4" s="4" t="s">
        <v>71</v>
      </c>
      <c r="AI4" s="4" t="s">
        <v>71</v>
      </c>
      <c r="AJ4" s="4" t="s">
        <v>71</v>
      </c>
      <c r="AK4" s="4" t="s">
        <v>71</v>
      </c>
      <c r="AL4" s="4" t="s">
        <v>71</v>
      </c>
      <c r="AM4" s="4" t="s">
        <v>71</v>
      </c>
      <c r="AN4" s="4" t="s">
        <v>71</v>
      </c>
      <c r="AO4" s="4" t="s">
        <v>71</v>
      </c>
      <c r="AP4" s="4" t="s">
        <v>71</v>
      </c>
      <c r="AQ4" s="4" t="s">
        <v>71</v>
      </c>
      <c r="AR4" s="4" t="s">
        <v>71</v>
      </c>
      <c r="AS4" s="4" t="s">
        <v>71</v>
      </c>
    </row>
    <row r="5" spans="1:100" x14ac:dyDescent="0.25">
      <c r="A5" s="3">
        <v>45004.572966157408</v>
      </c>
      <c r="B5" s="4" t="s">
        <v>179</v>
      </c>
      <c r="C5" s="4" t="s">
        <v>187</v>
      </c>
      <c r="D5" s="5" t="s">
        <v>181</v>
      </c>
      <c r="E5" s="4" t="s">
        <v>62</v>
      </c>
      <c r="F5" s="4" t="s">
        <v>188</v>
      </c>
      <c r="G5" s="4" t="s">
        <v>64</v>
      </c>
      <c r="H5" s="4" t="s">
        <v>185</v>
      </c>
      <c r="I5" s="4" t="s">
        <v>184</v>
      </c>
      <c r="J5" s="4" t="s">
        <v>183</v>
      </c>
      <c r="K5" s="4" t="s">
        <v>179</v>
      </c>
      <c r="L5" s="4" t="s">
        <v>67</v>
      </c>
      <c r="M5" s="4" t="s">
        <v>161</v>
      </c>
      <c r="N5" s="4">
        <v>35</v>
      </c>
      <c r="O5" s="4" t="s">
        <v>69</v>
      </c>
      <c r="P5" s="4">
        <v>4</v>
      </c>
      <c r="Q5" s="4">
        <v>4</v>
      </c>
      <c r="R5" s="4">
        <v>15</v>
      </c>
      <c r="T5" s="4" t="s">
        <v>70</v>
      </c>
      <c r="U5" s="4" t="s">
        <v>71</v>
      </c>
      <c r="V5" s="6" t="s">
        <v>145</v>
      </c>
      <c r="W5" s="4" t="s">
        <v>70</v>
      </c>
      <c r="X5" s="4" t="s">
        <v>70</v>
      </c>
      <c r="Y5" s="4" t="s">
        <v>71</v>
      </c>
      <c r="Z5" s="4" t="s">
        <v>71</v>
      </c>
      <c r="AA5" s="4" t="s">
        <v>70</v>
      </c>
      <c r="AB5" s="4" t="s">
        <v>71</v>
      </c>
      <c r="AC5" s="4" t="s">
        <v>71</v>
      </c>
      <c r="AD5" s="4" t="s">
        <v>71</v>
      </c>
      <c r="AE5" s="4" t="s">
        <v>71</v>
      </c>
      <c r="AF5" s="4" t="s">
        <v>71</v>
      </c>
      <c r="AG5" s="4" t="s">
        <v>70</v>
      </c>
      <c r="AH5" s="4" t="s">
        <v>71</v>
      </c>
      <c r="AI5" s="4" t="s">
        <v>71</v>
      </c>
      <c r="AJ5" s="4" t="s">
        <v>71</v>
      </c>
      <c r="AK5" s="4" t="s">
        <v>71</v>
      </c>
      <c r="AL5" s="4" t="s">
        <v>71</v>
      </c>
      <c r="AM5" s="4" t="s">
        <v>71</v>
      </c>
      <c r="AN5" s="4" t="s">
        <v>71</v>
      </c>
      <c r="AO5" s="4" t="s">
        <v>71</v>
      </c>
      <c r="AP5" s="4" t="s">
        <v>71</v>
      </c>
      <c r="AQ5" s="4" t="s">
        <v>71</v>
      </c>
      <c r="AR5" s="4" t="s">
        <v>71</v>
      </c>
      <c r="AS5" s="4" t="s">
        <v>71</v>
      </c>
    </row>
    <row r="6" spans="1:100" x14ac:dyDescent="0.25">
      <c r="A6" s="3">
        <v>45004.574748125</v>
      </c>
      <c r="B6" s="4" t="s">
        <v>179</v>
      </c>
      <c r="C6" s="4" t="s">
        <v>187</v>
      </c>
      <c r="D6" s="5" t="s">
        <v>181</v>
      </c>
      <c r="E6" s="4" t="s">
        <v>62</v>
      </c>
      <c r="F6" s="4" t="s">
        <v>190</v>
      </c>
      <c r="G6" s="4" t="s">
        <v>64</v>
      </c>
      <c r="H6" s="4" t="s">
        <v>185</v>
      </c>
      <c r="I6" s="4" t="s">
        <v>184</v>
      </c>
      <c r="J6" s="4" t="s">
        <v>183</v>
      </c>
      <c r="K6" s="4" t="s">
        <v>179</v>
      </c>
      <c r="L6" s="4" t="s">
        <v>67</v>
      </c>
      <c r="M6" s="4" t="s">
        <v>161</v>
      </c>
      <c r="N6" s="4">
        <v>33</v>
      </c>
      <c r="O6" s="4" t="s">
        <v>69</v>
      </c>
      <c r="P6" s="4">
        <v>4</v>
      </c>
      <c r="Q6" s="4">
        <v>4</v>
      </c>
      <c r="R6" s="4">
        <v>15</v>
      </c>
      <c r="T6" s="4" t="s">
        <v>70</v>
      </c>
      <c r="U6" s="4" t="s">
        <v>71</v>
      </c>
      <c r="V6" s="6" t="s">
        <v>145</v>
      </c>
      <c r="W6" s="4" t="s">
        <v>70</v>
      </c>
      <c r="X6" s="4" t="s">
        <v>70</v>
      </c>
      <c r="Y6" s="4" t="s">
        <v>71</v>
      </c>
      <c r="Z6" s="4" t="s">
        <v>71</v>
      </c>
      <c r="AA6" s="4" t="s">
        <v>70</v>
      </c>
      <c r="AB6" s="4" t="s">
        <v>71</v>
      </c>
      <c r="AC6" s="4" t="s">
        <v>71</v>
      </c>
      <c r="AD6" s="4" t="s">
        <v>71</v>
      </c>
      <c r="AE6" s="4" t="s">
        <v>71</v>
      </c>
      <c r="AF6" s="4" t="s">
        <v>71</v>
      </c>
      <c r="AG6" s="4" t="s">
        <v>70</v>
      </c>
      <c r="AH6" s="4" t="s">
        <v>71</v>
      </c>
      <c r="AI6" s="4" t="s">
        <v>71</v>
      </c>
      <c r="AJ6" s="4" t="s">
        <v>71</v>
      </c>
      <c r="AK6" s="4" t="s">
        <v>71</v>
      </c>
      <c r="AL6" s="4" t="s">
        <v>70</v>
      </c>
      <c r="AM6" s="4" t="s">
        <v>71</v>
      </c>
      <c r="AN6" s="4" t="s">
        <v>71</v>
      </c>
      <c r="AO6" s="4" t="s">
        <v>71</v>
      </c>
      <c r="AP6" s="4" t="s">
        <v>71</v>
      </c>
      <c r="AQ6" s="4" t="s">
        <v>70</v>
      </c>
      <c r="AR6" s="4" t="s">
        <v>71</v>
      </c>
      <c r="AS6" s="4" t="s">
        <v>71</v>
      </c>
    </row>
    <row r="7" spans="1:100" x14ac:dyDescent="0.25">
      <c r="A7" s="3">
        <v>45002.545335844909</v>
      </c>
      <c r="B7" s="4" t="s">
        <v>239</v>
      </c>
      <c r="C7" s="4" t="s">
        <v>240</v>
      </c>
      <c r="D7" s="7" t="s">
        <v>241</v>
      </c>
      <c r="E7" s="4" t="s">
        <v>62</v>
      </c>
      <c r="F7" s="4" t="s">
        <v>242</v>
      </c>
      <c r="G7" s="4" t="s">
        <v>64</v>
      </c>
      <c r="H7" s="4" t="s">
        <v>243</v>
      </c>
      <c r="I7" s="4" t="s">
        <v>244</v>
      </c>
      <c r="J7" s="4" t="s">
        <v>245</v>
      </c>
      <c r="K7" s="4" t="s">
        <v>239</v>
      </c>
      <c r="L7" s="4" t="s">
        <v>67</v>
      </c>
      <c r="M7" s="4" t="s">
        <v>77</v>
      </c>
      <c r="N7" s="4">
        <v>24</v>
      </c>
      <c r="O7" s="4" t="s">
        <v>69</v>
      </c>
      <c r="P7" s="4">
        <v>4</v>
      </c>
      <c r="Q7" s="4">
        <v>4</v>
      </c>
      <c r="R7" s="4">
        <v>30</v>
      </c>
      <c r="S7" s="4" t="s">
        <v>247</v>
      </c>
      <c r="T7" s="4" t="s">
        <v>70</v>
      </c>
      <c r="U7" s="4" t="s">
        <v>71</v>
      </c>
      <c r="V7" s="6" t="s">
        <v>145</v>
      </c>
      <c r="W7" s="4" t="s">
        <v>70</v>
      </c>
      <c r="X7" s="4" t="s">
        <v>71</v>
      </c>
      <c r="Y7" s="4" t="s">
        <v>70</v>
      </c>
      <c r="Z7" s="4" t="s">
        <v>71</v>
      </c>
      <c r="AA7" s="4" t="s">
        <v>70</v>
      </c>
      <c r="AB7" s="4" t="s">
        <v>70</v>
      </c>
      <c r="AC7" s="4" t="s">
        <v>71</v>
      </c>
      <c r="AD7" s="4" t="s">
        <v>71</v>
      </c>
      <c r="AE7" s="4" t="s">
        <v>71</v>
      </c>
      <c r="AF7" s="4" t="s">
        <v>71</v>
      </c>
      <c r="AG7" s="4" t="s">
        <v>70</v>
      </c>
      <c r="AH7" s="4" t="s">
        <v>70</v>
      </c>
      <c r="AI7" s="4" t="s">
        <v>71</v>
      </c>
      <c r="AJ7" s="4" t="s">
        <v>71</v>
      </c>
      <c r="AK7" s="4" t="s">
        <v>71</v>
      </c>
      <c r="AL7" s="4" t="s">
        <v>70</v>
      </c>
      <c r="AM7" s="4" t="s">
        <v>70</v>
      </c>
      <c r="AN7" s="4" t="s">
        <v>71</v>
      </c>
      <c r="AO7" s="4" t="s">
        <v>71</v>
      </c>
      <c r="AP7" s="4" t="s">
        <v>70</v>
      </c>
      <c r="AQ7" s="4" t="s">
        <v>70</v>
      </c>
      <c r="AR7" s="4" t="s">
        <v>71</v>
      </c>
      <c r="AS7" s="4" t="s">
        <v>71</v>
      </c>
    </row>
    <row r="8" spans="1:100" x14ac:dyDescent="0.25">
      <c r="A8" s="3">
        <v>45003.740165891199</v>
      </c>
      <c r="B8" s="4" t="s">
        <v>239</v>
      </c>
      <c r="C8" s="4" t="s">
        <v>248</v>
      </c>
      <c r="D8" s="5" t="s">
        <v>241</v>
      </c>
      <c r="E8" s="4" t="s">
        <v>62</v>
      </c>
      <c r="F8" s="4" t="s">
        <v>249</v>
      </c>
      <c r="G8" s="4" t="s">
        <v>64</v>
      </c>
      <c r="H8" s="4" t="s">
        <v>243</v>
      </c>
      <c r="I8" s="4" t="s">
        <v>243</v>
      </c>
      <c r="J8" s="4" t="s">
        <v>250</v>
      </c>
      <c r="K8" s="4" t="s">
        <v>239</v>
      </c>
      <c r="L8" s="4" t="s">
        <v>67</v>
      </c>
      <c r="M8" s="4" t="s">
        <v>77</v>
      </c>
      <c r="N8" s="4">
        <v>25</v>
      </c>
      <c r="O8" s="4" t="s">
        <v>69</v>
      </c>
      <c r="P8" s="4">
        <v>4</v>
      </c>
      <c r="Q8" s="4">
        <v>4</v>
      </c>
      <c r="R8" s="4">
        <v>30</v>
      </c>
      <c r="S8" s="4" t="s">
        <v>247</v>
      </c>
      <c r="T8" s="4" t="s">
        <v>70</v>
      </c>
      <c r="U8" s="4" t="s">
        <v>71</v>
      </c>
      <c r="V8" s="6" t="s">
        <v>145</v>
      </c>
      <c r="W8" s="4" t="s">
        <v>70</v>
      </c>
      <c r="X8" s="4" t="s">
        <v>71</v>
      </c>
      <c r="Y8" s="4" t="s">
        <v>71</v>
      </c>
      <c r="Z8" s="4" t="s">
        <v>71</v>
      </c>
      <c r="AA8" s="4" t="s">
        <v>70</v>
      </c>
      <c r="AB8" s="4" t="s">
        <v>70</v>
      </c>
      <c r="AC8" s="4" t="s">
        <v>71</v>
      </c>
      <c r="AD8" s="4" t="s">
        <v>71</v>
      </c>
      <c r="AE8" s="4" t="s">
        <v>71</v>
      </c>
      <c r="AF8" s="4" t="s">
        <v>71</v>
      </c>
      <c r="AG8" s="4" t="s">
        <v>70</v>
      </c>
      <c r="AH8" s="4" t="s">
        <v>70</v>
      </c>
      <c r="AI8" s="4" t="s">
        <v>71</v>
      </c>
      <c r="AJ8" s="4" t="s">
        <v>71</v>
      </c>
      <c r="AK8" s="4" t="s">
        <v>71</v>
      </c>
      <c r="AL8" s="4" t="s">
        <v>70</v>
      </c>
      <c r="AM8" s="4" t="s">
        <v>70</v>
      </c>
      <c r="AN8" s="4" t="s">
        <v>71</v>
      </c>
      <c r="AO8" s="4" t="s">
        <v>71</v>
      </c>
      <c r="AP8" s="4" t="s">
        <v>70</v>
      </c>
      <c r="AQ8" s="4" t="s">
        <v>70</v>
      </c>
      <c r="AR8" s="4" t="s">
        <v>71</v>
      </c>
      <c r="AS8" s="4" t="s">
        <v>71</v>
      </c>
      <c r="CQ8" s="13"/>
      <c r="CR8" s="13"/>
      <c r="CS8" s="13"/>
      <c r="CT8" s="13"/>
      <c r="CU8" s="13"/>
      <c r="CV8" s="13"/>
    </row>
    <row r="9" spans="1:100" x14ac:dyDescent="0.25">
      <c r="A9" s="3">
        <v>45002.339845150462</v>
      </c>
      <c r="B9" s="4" t="s">
        <v>260</v>
      </c>
      <c r="C9" s="4" t="s">
        <v>268</v>
      </c>
      <c r="D9" s="5" t="s">
        <v>262</v>
      </c>
      <c r="E9" s="4" t="s">
        <v>62</v>
      </c>
      <c r="F9" s="4" t="s">
        <v>211</v>
      </c>
      <c r="G9" s="4" t="s">
        <v>64</v>
      </c>
      <c r="H9" s="4" t="s">
        <v>265</v>
      </c>
      <c r="I9" s="4" t="s">
        <v>266</v>
      </c>
      <c r="K9" s="4" t="s">
        <v>260</v>
      </c>
      <c r="L9" s="4" t="s">
        <v>67</v>
      </c>
      <c r="M9" s="4" t="s">
        <v>191</v>
      </c>
      <c r="N9" s="4">
        <v>35</v>
      </c>
      <c r="O9" s="4" t="s">
        <v>69</v>
      </c>
      <c r="P9" s="4">
        <v>3</v>
      </c>
      <c r="Q9" s="4">
        <v>2</v>
      </c>
      <c r="R9" s="4">
        <v>20</v>
      </c>
      <c r="S9" s="4" t="s">
        <v>274</v>
      </c>
      <c r="T9" s="4" t="s">
        <v>70</v>
      </c>
      <c r="U9" s="4" t="s">
        <v>71</v>
      </c>
      <c r="V9" s="6" t="s">
        <v>145</v>
      </c>
      <c r="W9" s="4" t="s">
        <v>70</v>
      </c>
      <c r="X9" s="4" t="s">
        <v>70</v>
      </c>
      <c r="Y9" s="4" t="s">
        <v>71</v>
      </c>
      <c r="Z9" s="4" t="s">
        <v>70</v>
      </c>
      <c r="AA9" s="4" t="s">
        <v>70</v>
      </c>
      <c r="AB9" s="4" t="s">
        <v>70</v>
      </c>
      <c r="AC9" s="4" t="s">
        <v>71</v>
      </c>
      <c r="AD9" s="4" t="s">
        <v>71</v>
      </c>
      <c r="AE9" s="4" t="s">
        <v>71</v>
      </c>
      <c r="AF9" s="4" t="s">
        <v>70</v>
      </c>
      <c r="AG9" s="4" t="s">
        <v>70</v>
      </c>
      <c r="AH9" s="4" t="s">
        <v>70</v>
      </c>
      <c r="AI9" s="4" t="s">
        <v>71</v>
      </c>
      <c r="AJ9" s="4" t="s">
        <v>71</v>
      </c>
      <c r="AK9" s="4" t="s">
        <v>70</v>
      </c>
      <c r="AL9" s="4" t="s">
        <v>70</v>
      </c>
      <c r="AM9" s="4" t="s">
        <v>70</v>
      </c>
      <c r="AN9" s="4" t="s">
        <v>71</v>
      </c>
      <c r="AO9" s="4" t="s">
        <v>71</v>
      </c>
      <c r="AP9" s="4" t="s">
        <v>70</v>
      </c>
      <c r="AQ9" s="4" t="s">
        <v>70</v>
      </c>
      <c r="AR9" s="4" t="s">
        <v>71</v>
      </c>
      <c r="AS9" s="4" t="s">
        <v>71</v>
      </c>
    </row>
    <row r="10" spans="1:100" x14ac:dyDescent="0.25">
      <c r="A10" s="3">
        <v>45001.496991921296</v>
      </c>
      <c r="B10" s="4" t="s">
        <v>260</v>
      </c>
      <c r="C10" s="4" t="s">
        <v>261</v>
      </c>
      <c r="D10" s="5" t="s">
        <v>262</v>
      </c>
      <c r="E10" s="4" t="s">
        <v>263</v>
      </c>
      <c r="F10" s="4" t="s">
        <v>264</v>
      </c>
      <c r="G10" s="4" t="s">
        <v>64</v>
      </c>
      <c r="H10" s="4" t="s">
        <v>265</v>
      </c>
      <c r="I10" s="4" t="s">
        <v>266</v>
      </c>
      <c r="K10" s="4" t="s">
        <v>260</v>
      </c>
      <c r="L10" s="4" t="s">
        <v>67</v>
      </c>
      <c r="M10" s="4" t="s">
        <v>191</v>
      </c>
      <c r="N10" s="4">
        <v>35</v>
      </c>
      <c r="O10" s="4" t="s">
        <v>69</v>
      </c>
      <c r="P10" s="4">
        <v>3</v>
      </c>
      <c r="Q10" s="4">
        <v>2</v>
      </c>
      <c r="R10" s="4">
        <v>20</v>
      </c>
      <c r="T10" s="4" t="s">
        <v>70</v>
      </c>
      <c r="U10" s="4" t="s">
        <v>71</v>
      </c>
      <c r="V10" s="6" t="s">
        <v>145</v>
      </c>
      <c r="W10" s="4" t="s">
        <v>70</v>
      </c>
      <c r="X10" s="4" t="s">
        <v>70</v>
      </c>
      <c r="Y10" s="4" t="s">
        <v>71</v>
      </c>
      <c r="Z10" s="4" t="s">
        <v>70</v>
      </c>
      <c r="AA10" s="4" t="s">
        <v>70</v>
      </c>
      <c r="AB10" s="4" t="s">
        <v>70</v>
      </c>
      <c r="AC10" s="4" t="s">
        <v>71</v>
      </c>
      <c r="AD10" s="4" t="s">
        <v>71</v>
      </c>
      <c r="AE10" s="4" t="s">
        <v>71</v>
      </c>
      <c r="AF10" s="4" t="s">
        <v>70</v>
      </c>
      <c r="AG10" s="4" t="s">
        <v>70</v>
      </c>
      <c r="AH10" s="4" t="s">
        <v>70</v>
      </c>
      <c r="AI10" s="4" t="s">
        <v>71</v>
      </c>
      <c r="AJ10" s="4" t="s">
        <v>71</v>
      </c>
      <c r="AK10" s="4" t="s">
        <v>70</v>
      </c>
      <c r="AL10" s="4" t="s">
        <v>70</v>
      </c>
      <c r="AM10" s="4" t="s">
        <v>70</v>
      </c>
      <c r="AN10" s="4" t="s">
        <v>71</v>
      </c>
      <c r="AO10" s="4" t="s">
        <v>71</v>
      </c>
      <c r="AP10" s="4" t="s">
        <v>70</v>
      </c>
      <c r="AQ10" s="4" t="s">
        <v>70</v>
      </c>
      <c r="AR10" s="4" t="s">
        <v>71</v>
      </c>
      <c r="AS10" s="4" t="s">
        <v>71</v>
      </c>
    </row>
    <row r="11" spans="1:100" x14ac:dyDescent="0.25">
      <c r="A11" s="3">
        <v>45002.736449976852</v>
      </c>
      <c r="B11" s="4" t="s">
        <v>275</v>
      </c>
      <c r="C11" s="4" t="s">
        <v>276</v>
      </c>
      <c r="D11" s="5" t="s">
        <v>277</v>
      </c>
      <c r="E11" s="4" t="s">
        <v>62</v>
      </c>
      <c r="F11" s="4" t="s">
        <v>211</v>
      </c>
      <c r="G11" s="4" t="s">
        <v>64</v>
      </c>
      <c r="H11" s="4" t="s">
        <v>206</v>
      </c>
      <c r="I11" s="4" t="s">
        <v>278</v>
      </c>
      <c r="J11" s="4" t="s">
        <v>279</v>
      </c>
      <c r="K11" s="4" t="s">
        <v>275</v>
      </c>
      <c r="L11" s="4" t="s">
        <v>67</v>
      </c>
      <c r="M11" s="4" t="s">
        <v>174</v>
      </c>
      <c r="N11" s="4">
        <v>31</v>
      </c>
      <c r="O11" s="4" t="s">
        <v>69</v>
      </c>
      <c r="P11" s="4">
        <v>4</v>
      </c>
      <c r="Q11" s="4">
        <v>4</v>
      </c>
      <c r="R11" s="4">
        <v>25</v>
      </c>
      <c r="T11" s="4" t="s">
        <v>70</v>
      </c>
      <c r="U11" s="4" t="s">
        <v>71</v>
      </c>
      <c r="V11" s="6" t="s">
        <v>145</v>
      </c>
      <c r="W11" s="4" t="s">
        <v>70</v>
      </c>
      <c r="X11" s="4" t="s">
        <v>71</v>
      </c>
      <c r="Y11" s="4" t="s">
        <v>71</v>
      </c>
      <c r="Z11" s="4" t="s">
        <v>71</v>
      </c>
      <c r="AA11" s="4" t="s">
        <v>70</v>
      </c>
      <c r="AB11" s="4" t="s">
        <v>70</v>
      </c>
      <c r="AC11" s="4" t="s">
        <v>71</v>
      </c>
      <c r="AD11" s="4" t="s">
        <v>71</v>
      </c>
      <c r="AE11" s="4" t="s">
        <v>71</v>
      </c>
      <c r="AF11" s="4" t="s">
        <v>71</v>
      </c>
      <c r="AG11" s="4" t="s">
        <v>70</v>
      </c>
      <c r="AH11" s="4" t="s">
        <v>70</v>
      </c>
      <c r="AI11" s="4" t="s">
        <v>71</v>
      </c>
      <c r="AJ11" s="4" t="s">
        <v>71</v>
      </c>
      <c r="AK11" s="4" t="s">
        <v>71</v>
      </c>
      <c r="AL11" s="4" t="s">
        <v>70</v>
      </c>
      <c r="AM11" s="4" t="s">
        <v>70</v>
      </c>
      <c r="AN11" s="4" t="s">
        <v>71</v>
      </c>
      <c r="AO11" s="4" t="s">
        <v>71</v>
      </c>
      <c r="AP11" s="4" t="s">
        <v>71</v>
      </c>
      <c r="AQ11" s="4" t="s">
        <v>71</v>
      </c>
      <c r="AR11" s="4" t="s">
        <v>71</v>
      </c>
      <c r="AS11" s="4" t="s">
        <v>71</v>
      </c>
    </row>
    <row r="12" spans="1:100" x14ac:dyDescent="0.25">
      <c r="A12" s="3">
        <v>45002.738249467591</v>
      </c>
      <c r="B12" s="4" t="s">
        <v>281</v>
      </c>
      <c r="C12" s="4" t="s">
        <v>276</v>
      </c>
      <c r="D12" s="5" t="s">
        <v>277</v>
      </c>
      <c r="E12" s="4" t="s">
        <v>62</v>
      </c>
      <c r="F12" s="4" t="s">
        <v>211</v>
      </c>
      <c r="G12" s="4" t="s">
        <v>64</v>
      </c>
      <c r="H12" s="4" t="s">
        <v>206</v>
      </c>
      <c r="I12" s="4" t="s">
        <v>278</v>
      </c>
      <c r="J12" s="4" t="s">
        <v>279</v>
      </c>
      <c r="K12" s="4" t="s">
        <v>281</v>
      </c>
      <c r="L12" s="4" t="s">
        <v>67</v>
      </c>
      <c r="M12" s="4" t="s">
        <v>174</v>
      </c>
      <c r="N12" s="4">
        <v>34</v>
      </c>
      <c r="O12" s="4" t="s">
        <v>69</v>
      </c>
      <c r="P12" s="4">
        <v>4</v>
      </c>
      <c r="Q12" s="4">
        <v>4</v>
      </c>
      <c r="R12" s="4">
        <v>25</v>
      </c>
      <c r="T12" s="4" t="s">
        <v>70</v>
      </c>
      <c r="U12" s="4" t="s">
        <v>71</v>
      </c>
      <c r="V12" s="6" t="s">
        <v>145</v>
      </c>
      <c r="W12" s="4" t="s">
        <v>70</v>
      </c>
      <c r="X12" s="4" t="s">
        <v>71</v>
      </c>
      <c r="Y12" s="4" t="s">
        <v>71</v>
      </c>
      <c r="Z12" s="4" t="s">
        <v>71</v>
      </c>
      <c r="AA12" s="4" t="s">
        <v>70</v>
      </c>
      <c r="AB12" s="4" t="s">
        <v>70</v>
      </c>
      <c r="AC12" s="4" t="s">
        <v>71</v>
      </c>
      <c r="AD12" s="4" t="s">
        <v>71</v>
      </c>
      <c r="AE12" s="4" t="s">
        <v>71</v>
      </c>
      <c r="AF12" s="4" t="s">
        <v>71</v>
      </c>
      <c r="AG12" s="4" t="s">
        <v>70</v>
      </c>
      <c r="AH12" s="4" t="s">
        <v>70</v>
      </c>
      <c r="AI12" s="4" t="s">
        <v>71</v>
      </c>
      <c r="AJ12" s="4" t="s">
        <v>71</v>
      </c>
      <c r="AK12" s="4" t="s">
        <v>71</v>
      </c>
      <c r="AL12" s="4" t="s">
        <v>70</v>
      </c>
      <c r="AM12" s="4" t="s">
        <v>70</v>
      </c>
      <c r="AN12" s="4" t="s">
        <v>71</v>
      </c>
      <c r="AO12" s="4" t="s">
        <v>71</v>
      </c>
      <c r="AP12" s="4" t="s">
        <v>71</v>
      </c>
      <c r="AQ12" s="4" t="s">
        <v>71</v>
      </c>
      <c r="AR12" s="4" t="s">
        <v>71</v>
      </c>
      <c r="AS12" s="4" t="s">
        <v>71</v>
      </c>
    </row>
    <row r="13" spans="1:100" x14ac:dyDescent="0.25">
      <c r="A13" s="3">
        <v>45001.757350115746</v>
      </c>
      <c r="B13" s="4" t="s">
        <v>283</v>
      </c>
      <c r="C13" s="4" t="s">
        <v>284</v>
      </c>
      <c r="D13" s="5" t="s">
        <v>285</v>
      </c>
      <c r="E13" s="4" t="s">
        <v>62</v>
      </c>
      <c r="F13" s="4" t="s">
        <v>286</v>
      </c>
      <c r="G13" s="4" t="s">
        <v>64</v>
      </c>
      <c r="H13" s="4" t="s">
        <v>287</v>
      </c>
      <c r="I13" s="4" t="s">
        <v>288</v>
      </c>
      <c r="J13" s="4" t="s">
        <v>289</v>
      </c>
      <c r="K13" s="4" t="s">
        <v>283</v>
      </c>
      <c r="L13" s="4" t="s">
        <v>67</v>
      </c>
      <c r="M13" s="4" t="s">
        <v>209</v>
      </c>
      <c r="N13" s="4">
        <v>40</v>
      </c>
      <c r="O13" s="4" t="s">
        <v>69</v>
      </c>
      <c r="P13" s="4">
        <v>3</v>
      </c>
      <c r="Q13" s="4">
        <v>3</v>
      </c>
      <c r="R13" s="4">
        <v>5</v>
      </c>
      <c r="T13" s="4" t="s">
        <v>70</v>
      </c>
      <c r="U13" s="4" t="s">
        <v>71</v>
      </c>
      <c r="V13" s="6" t="s">
        <v>145</v>
      </c>
      <c r="W13" s="4" t="s">
        <v>70</v>
      </c>
      <c r="X13" s="4" t="s">
        <v>70</v>
      </c>
      <c r="Y13" s="4" t="s">
        <v>71</v>
      </c>
      <c r="Z13" s="4" t="s">
        <v>70</v>
      </c>
      <c r="AA13" s="4" t="s">
        <v>70</v>
      </c>
      <c r="AB13" s="4" t="s">
        <v>70</v>
      </c>
      <c r="AC13" s="4" t="s">
        <v>71</v>
      </c>
      <c r="AD13" s="4" t="s">
        <v>71</v>
      </c>
      <c r="AE13" s="4" t="s">
        <v>71</v>
      </c>
      <c r="AF13" s="4" t="s">
        <v>70</v>
      </c>
      <c r="AG13" s="4" t="s">
        <v>70</v>
      </c>
      <c r="AH13" s="4" t="s">
        <v>70</v>
      </c>
      <c r="AI13" s="4" t="s">
        <v>71</v>
      </c>
      <c r="AJ13" s="4" t="s">
        <v>71</v>
      </c>
      <c r="AK13" s="4" t="s">
        <v>70</v>
      </c>
      <c r="AL13" s="4" t="s">
        <v>70</v>
      </c>
      <c r="AM13" s="4" t="s">
        <v>70</v>
      </c>
      <c r="AN13" s="4" t="s">
        <v>71</v>
      </c>
      <c r="AO13" s="4" t="s">
        <v>71</v>
      </c>
      <c r="AP13" s="4" t="s">
        <v>70</v>
      </c>
      <c r="AQ13" s="4" t="s">
        <v>70</v>
      </c>
      <c r="AR13" s="4" t="s">
        <v>71</v>
      </c>
      <c r="AS13" s="4" t="s">
        <v>71</v>
      </c>
    </row>
    <row r="14" spans="1:100" x14ac:dyDescent="0.25">
      <c r="A14" s="3">
        <v>45000.670496446764</v>
      </c>
      <c r="B14" s="4" t="s">
        <v>291</v>
      </c>
      <c r="C14" s="4" t="s">
        <v>292</v>
      </c>
      <c r="D14" s="5" t="s">
        <v>293</v>
      </c>
      <c r="E14" s="4" t="s">
        <v>62</v>
      </c>
      <c r="F14" s="4" t="s">
        <v>294</v>
      </c>
      <c r="G14" s="4" t="s">
        <v>64</v>
      </c>
      <c r="H14" s="4" t="s">
        <v>295</v>
      </c>
      <c r="I14" s="4" t="s">
        <v>296</v>
      </c>
      <c r="J14" s="4" t="s">
        <v>297</v>
      </c>
      <c r="K14" s="4" t="s">
        <v>291</v>
      </c>
      <c r="L14" s="4" t="s">
        <v>67</v>
      </c>
      <c r="M14" s="4" t="s">
        <v>212</v>
      </c>
      <c r="N14" s="4">
        <v>36</v>
      </c>
      <c r="O14" s="4" t="s">
        <v>69</v>
      </c>
      <c r="P14" s="4">
        <v>4</v>
      </c>
      <c r="Q14" s="4">
        <v>4</v>
      </c>
      <c r="R14" s="4">
        <v>0</v>
      </c>
      <c r="S14" s="4" t="s">
        <v>299</v>
      </c>
      <c r="T14" s="4" t="s">
        <v>70</v>
      </c>
      <c r="U14" s="4" t="s">
        <v>71</v>
      </c>
      <c r="V14" s="6" t="s">
        <v>145</v>
      </c>
      <c r="W14" s="4" t="s">
        <v>70</v>
      </c>
      <c r="X14" s="4" t="s">
        <v>71</v>
      </c>
      <c r="Y14" s="4" t="s">
        <v>71</v>
      </c>
      <c r="Z14" s="4" t="s">
        <v>71</v>
      </c>
      <c r="AA14" s="4" t="s">
        <v>71</v>
      </c>
      <c r="AB14" s="4" t="s">
        <v>70</v>
      </c>
      <c r="AC14" s="4" t="s">
        <v>71</v>
      </c>
      <c r="AD14" s="4" t="s">
        <v>71</v>
      </c>
      <c r="AE14" s="4" t="s">
        <v>71</v>
      </c>
      <c r="AF14" s="4" t="s">
        <v>71</v>
      </c>
      <c r="AG14" s="4" t="s">
        <v>71</v>
      </c>
      <c r="AH14" s="4" t="s">
        <v>71</v>
      </c>
      <c r="AI14" s="4" t="s">
        <v>71</v>
      </c>
      <c r="AJ14" s="4" t="s">
        <v>71</v>
      </c>
      <c r="AK14" s="4" t="s">
        <v>71</v>
      </c>
      <c r="AL14" s="4" t="s">
        <v>71</v>
      </c>
      <c r="AM14" s="4" t="s">
        <v>70</v>
      </c>
      <c r="AN14" s="4" t="s">
        <v>71</v>
      </c>
      <c r="AO14" s="4" t="s">
        <v>71</v>
      </c>
      <c r="AP14" s="4" t="s">
        <v>70</v>
      </c>
      <c r="AQ14" s="4" t="s">
        <v>71</v>
      </c>
      <c r="AR14" s="4" t="s">
        <v>71</v>
      </c>
      <c r="AS14" s="4" t="s">
        <v>71</v>
      </c>
      <c r="AT14" s="4" t="s">
        <v>300</v>
      </c>
    </row>
    <row r="15" spans="1:100" x14ac:dyDescent="0.25">
      <c r="A15" s="3">
        <v>45002.412812291666</v>
      </c>
      <c r="B15" s="4" t="s">
        <v>332</v>
      </c>
      <c r="C15" s="4" t="s">
        <v>333</v>
      </c>
      <c r="D15" s="7" t="s">
        <v>327</v>
      </c>
      <c r="E15" s="4" t="s">
        <v>103</v>
      </c>
      <c r="F15" s="4" t="s">
        <v>334</v>
      </c>
      <c r="G15" s="4" t="s">
        <v>105</v>
      </c>
      <c r="H15" s="4" t="s">
        <v>335</v>
      </c>
      <c r="I15" s="4" t="s">
        <v>339</v>
      </c>
      <c r="J15" s="4" t="s">
        <v>340</v>
      </c>
      <c r="K15" s="4" t="s">
        <v>341</v>
      </c>
      <c r="L15" s="4" t="s">
        <v>67</v>
      </c>
      <c r="M15" s="4" t="s">
        <v>228</v>
      </c>
      <c r="N15" s="4">
        <v>35</v>
      </c>
      <c r="O15" s="4" t="s">
        <v>69</v>
      </c>
      <c r="P15" s="4">
        <v>4</v>
      </c>
      <c r="Q15" s="4">
        <v>4</v>
      </c>
      <c r="R15" s="4">
        <v>10</v>
      </c>
      <c r="T15" s="4" t="s">
        <v>70</v>
      </c>
      <c r="U15" s="4" t="s">
        <v>70</v>
      </c>
      <c r="V15" s="6" t="s">
        <v>145</v>
      </c>
      <c r="W15" s="4" t="s">
        <v>70</v>
      </c>
      <c r="X15" s="4" t="s">
        <v>71</v>
      </c>
      <c r="Y15" s="4" t="s">
        <v>71</v>
      </c>
      <c r="Z15" s="4" t="s">
        <v>71</v>
      </c>
      <c r="AA15" s="4" t="s">
        <v>71</v>
      </c>
      <c r="AB15" s="4" t="s">
        <v>70</v>
      </c>
      <c r="AC15" s="4" t="s">
        <v>70</v>
      </c>
      <c r="AD15" s="4" t="s">
        <v>71</v>
      </c>
      <c r="AE15" s="4" t="s">
        <v>71</v>
      </c>
      <c r="AF15" s="4" t="s">
        <v>71</v>
      </c>
      <c r="AG15" s="4" t="s">
        <v>70</v>
      </c>
      <c r="AH15" s="4" t="s">
        <v>70</v>
      </c>
      <c r="AI15" s="4" t="s">
        <v>71</v>
      </c>
      <c r="AJ15" s="4" t="s">
        <v>71</v>
      </c>
      <c r="AK15" s="4" t="s">
        <v>71</v>
      </c>
      <c r="AL15" s="4" t="s">
        <v>70</v>
      </c>
      <c r="AM15" s="4" t="s">
        <v>70</v>
      </c>
      <c r="AN15" s="4" t="s">
        <v>71</v>
      </c>
      <c r="AO15" s="4" t="s">
        <v>71</v>
      </c>
      <c r="AP15" s="4" t="s">
        <v>70</v>
      </c>
      <c r="AQ15" s="4" t="s">
        <v>70</v>
      </c>
      <c r="AR15" s="4" t="s">
        <v>71</v>
      </c>
      <c r="AS15" s="4" t="s">
        <v>71</v>
      </c>
    </row>
    <row r="16" spans="1:100" x14ac:dyDescent="0.25">
      <c r="A16" s="3">
        <v>45001.58790165509</v>
      </c>
      <c r="B16" s="4" t="s">
        <v>396</v>
      </c>
      <c r="C16" s="4" t="s">
        <v>397</v>
      </c>
      <c r="D16" s="7" t="s">
        <v>398</v>
      </c>
      <c r="E16" s="4" t="s">
        <v>62</v>
      </c>
      <c r="F16" s="4" t="s">
        <v>399</v>
      </c>
      <c r="G16" s="4" t="s">
        <v>64</v>
      </c>
      <c r="H16" s="4" t="s">
        <v>400</v>
      </c>
      <c r="I16" s="4" t="s">
        <v>401</v>
      </c>
      <c r="J16" s="4" t="s">
        <v>402</v>
      </c>
      <c r="K16" s="4" t="s">
        <v>396</v>
      </c>
      <c r="L16" s="4" t="s">
        <v>67</v>
      </c>
      <c r="M16" s="4" t="s">
        <v>68</v>
      </c>
      <c r="N16" s="4">
        <v>33</v>
      </c>
      <c r="O16" s="4" t="s">
        <v>69</v>
      </c>
      <c r="P16" s="4">
        <v>5</v>
      </c>
      <c r="Q16" s="4">
        <v>5</v>
      </c>
      <c r="R16" s="4">
        <v>0</v>
      </c>
      <c r="T16" s="4" t="s">
        <v>70</v>
      </c>
      <c r="U16" s="4" t="s">
        <v>71</v>
      </c>
      <c r="V16" s="6" t="s">
        <v>145</v>
      </c>
      <c r="W16" s="4" t="s">
        <v>70</v>
      </c>
      <c r="X16" s="4" t="s">
        <v>71</v>
      </c>
      <c r="Y16" s="4" t="s">
        <v>71</v>
      </c>
      <c r="Z16" s="4" t="s">
        <v>71</v>
      </c>
      <c r="AA16" s="4" t="s">
        <v>70</v>
      </c>
      <c r="AB16" s="4" t="s">
        <v>70</v>
      </c>
      <c r="AC16" s="4" t="s">
        <v>71</v>
      </c>
      <c r="AD16" s="4" t="s">
        <v>71</v>
      </c>
      <c r="AE16" s="4" t="s">
        <v>71</v>
      </c>
      <c r="AF16" s="4" t="s">
        <v>71</v>
      </c>
      <c r="AG16" s="4" t="s">
        <v>71</v>
      </c>
      <c r="AH16" s="4" t="s">
        <v>71</v>
      </c>
      <c r="AI16" s="4" t="s">
        <v>71</v>
      </c>
      <c r="AJ16" s="4" t="s">
        <v>71</v>
      </c>
      <c r="AK16" s="4" t="s">
        <v>71</v>
      </c>
      <c r="AL16" s="4" t="s">
        <v>70</v>
      </c>
      <c r="AM16" s="4" t="s">
        <v>70</v>
      </c>
      <c r="AN16" s="4" t="s">
        <v>71</v>
      </c>
      <c r="AO16" s="4" t="s">
        <v>71</v>
      </c>
      <c r="AP16" s="4" t="s">
        <v>71</v>
      </c>
      <c r="AQ16" s="4" t="s">
        <v>71</v>
      </c>
      <c r="AR16" s="4" t="s">
        <v>71</v>
      </c>
      <c r="AS16" s="4" t="s">
        <v>71</v>
      </c>
    </row>
    <row r="17" spans="1:46" x14ac:dyDescent="0.25">
      <c r="A17" s="3">
        <v>45002.35234153935</v>
      </c>
      <c r="B17" s="4" t="s">
        <v>404</v>
      </c>
      <c r="C17" s="4" t="s">
        <v>405</v>
      </c>
      <c r="D17" s="7" t="s">
        <v>406</v>
      </c>
      <c r="E17" s="4" t="s">
        <v>263</v>
      </c>
      <c r="F17" s="4" t="s">
        <v>407</v>
      </c>
      <c r="G17" s="4" t="s">
        <v>64</v>
      </c>
      <c r="H17" s="4" t="s">
        <v>408</v>
      </c>
      <c r="I17" s="4" t="s">
        <v>409</v>
      </c>
      <c r="J17" s="4" t="s">
        <v>410</v>
      </c>
      <c r="K17" s="4" t="s">
        <v>404</v>
      </c>
      <c r="L17" s="4" t="s">
        <v>67</v>
      </c>
      <c r="M17" s="4" t="s">
        <v>273</v>
      </c>
      <c r="N17" s="4">
        <v>26</v>
      </c>
      <c r="O17" s="4" t="s">
        <v>69</v>
      </c>
      <c r="P17" s="4">
        <v>4</v>
      </c>
      <c r="Q17" s="4">
        <v>5</v>
      </c>
      <c r="R17" s="4">
        <v>1</v>
      </c>
      <c r="T17" s="4" t="s">
        <v>70</v>
      </c>
      <c r="U17" s="4" t="s">
        <v>71</v>
      </c>
      <c r="V17" s="6" t="s">
        <v>145</v>
      </c>
      <c r="W17" s="4" t="s">
        <v>70</v>
      </c>
      <c r="X17" s="4" t="s">
        <v>71</v>
      </c>
      <c r="Y17" s="4" t="s">
        <v>71</v>
      </c>
      <c r="Z17" s="4" t="s">
        <v>71</v>
      </c>
      <c r="AA17" s="4" t="s">
        <v>70</v>
      </c>
      <c r="AB17" s="4" t="s">
        <v>71</v>
      </c>
      <c r="AC17" s="4" t="s">
        <v>71</v>
      </c>
      <c r="AD17" s="4" t="s">
        <v>71</v>
      </c>
      <c r="AE17" s="4" t="s">
        <v>71</v>
      </c>
      <c r="AF17" s="4" t="s">
        <v>71</v>
      </c>
      <c r="AG17" s="4" t="s">
        <v>71</v>
      </c>
      <c r="AH17" s="4" t="s">
        <v>70</v>
      </c>
      <c r="AI17" s="4" t="s">
        <v>71</v>
      </c>
      <c r="AJ17" s="4" t="s">
        <v>71</v>
      </c>
      <c r="AK17" s="4" t="s">
        <v>71</v>
      </c>
      <c r="AL17" s="4" t="s">
        <v>71</v>
      </c>
      <c r="AM17" s="4" t="s">
        <v>70</v>
      </c>
      <c r="AN17" s="4" t="s">
        <v>71</v>
      </c>
      <c r="AO17" s="4" t="s">
        <v>71</v>
      </c>
    </row>
    <row r="18" spans="1:46" x14ac:dyDescent="0.25">
      <c r="A18" s="3">
        <v>45002.001980173613</v>
      </c>
      <c r="B18" s="4" t="s">
        <v>424</v>
      </c>
      <c r="C18" s="4" t="s">
        <v>425</v>
      </c>
      <c r="D18" s="7" t="s">
        <v>426</v>
      </c>
      <c r="E18" s="4" t="s">
        <v>427</v>
      </c>
      <c r="F18" s="4" t="s">
        <v>428</v>
      </c>
      <c r="G18" s="4" t="s">
        <v>105</v>
      </c>
      <c r="H18" s="4" t="s">
        <v>429</v>
      </c>
      <c r="I18" s="4" t="s">
        <v>430</v>
      </c>
      <c r="J18" s="4" t="s">
        <v>431</v>
      </c>
      <c r="K18" s="4" t="s">
        <v>424</v>
      </c>
      <c r="L18" s="4" t="s">
        <v>67</v>
      </c>
      <c r="M18" s="4" t="s">
        <v>282</v>
      </c>
      <c r="N18" s="4">
        <v>35</v>
      </c>
      <c r="O18" s="4" t="s">
        <v>433</v>
      </c>
      <c r="P18" s="4">
        <v>4</v>
      </c>
      <c r="Q18" s="4">
        <v>2</v>
      </c>
      <c r="R18" s="4">
        <v>95</v>
      </c>
      <c r="T18" s="4" t="s">
        <v>70</v>
      </c>
      <c r="U18" s="4" t="s">
        <v>71</v>
      </c>
      <c r="V18" s="6" t="s">
        <v>145</v>
      </c>
      <c r="W18" s="4" t="s">
        <v>70</v>
      </c>
      <c r="X18" s="4" t="s">
        <v>71</v>
      </c>
      <c r="Y18" s="4" t="s">
        <v>71</v>
      </c>
      <c r="Z18" s="4" t="s">
        <v>71</v>
      </c>
      <c r="AA18" s="4" t="s">
        <v>70</v>
      </c>
      <c r="AB18" s="4" t="s">
        <v>71</v>
      </c>
      <c r="AC18" s="4" t="s">
        <v>71</v>
      </c>
      <c r="AD18" s="4" t="s">
        <v>71</v>
      </c>
      <c r="AE18" s="4" t="s">
        <v>71</v>
      </c>
      <c r="AF18" s="4" t="s">
        <v>71</v>
      </c>
      <c r="AG18" s="4" t="s">
        <v>71</v>
      </c>
      <c r="AH18" s="4" t="s">
        <v>71</v>
      </c>
      <c r="AI18" s="4" t="s">
        <v>71</v>
      </c>
      <c r="AJ18" s="4" t="s">
        <v>71</v>
      </c>
      <c r="AK18" s="4" t="s">
        <v>71</v>
      </c>
      <c r="AL18" s="4" t="s">
        <v>71</v>
      </c>
      <c r="AM18" s="4" t="s">
        <v>70</v>
      </c>
      <c r="AN18" s="4" t="s">
        <v>71</v>
      </c>
      <c r="AO18" s="4" t="s">
        <v>71</v>
      </c>
      <c r="AP18" s="4" t="s">
        <v>71</v>
      </c>
      <c r="AQ18" s="4" t="s">
        <v>71</v>
      </c>
      <c r="AR18" s="4" t="s">
        <v>71</v>
      </c>
      <c r="AS18" s="4" t="s">
        <v>71</v>
      </c>
    </row>
    <row r="19" spans="1:46" x14ac:dyDescent="0.25">
      <c r="A19" s="3">
        <v>45000.715677233791</v>
      </c>
      <c r="B19" s="4" t="s">
        <v>434</v>
      </c>
      <c r="C19" s="4" t="s">
        <v>435</v>
      </c>
      <c r="D19" s="5" t="s">
        <v>436</v>
      </c>
      <c r="E19" s="4" t="s">
        <v>103</v>
      </c>
      <c r="F19" s="4" t="s">
        <v>437</v>
      </c>
      <c r="G19" s="4" t="s">
        <v>105</v>
      </c>
      <c r="H19" s="4" t="s">
        <v>166</v>
      </c>
      <c r="I19" s="4" t="s">
        <v>438</v>
      </c>
      <c r="J19" s="4" t="s">
        <v>439</v>
      </c>
      <c r="K19" s="4" t="s">
        <v>434</v>
      </c>
      <c r="L19" s="4" t="s">
        <v>67</v>
      </c>
      <c r="M19" s="4" t="s">
        <v>228</v>
      </c>
      <c r="N19" s="4">
        <v>28</v>
      </c>
      <c r="O19" s="4" t="s">
        <v>97</v>
      </c>
      <c r="P19" s="4">
        <v>3</v>
      </c>
      <c r="Q19" s="4">
        <v>2</v>
      </c>
      <c r="R19" s="4">
        <v>30</v>
      </c>
      <c r="S19" s="4" t="s">
        <v>441</v>
      </c>
      <c r="T19" s="4" t="s">
        <v>70</v>
      </c>
      <c r="U19" s="4" t="s">
        <v>71</v>
      </c>
      <c r="V19" s="6" t="s">
        <v>145</v>
      </c>
      <c r="W19" s="4" t="s">
        <v>70</v>
      </c>
      <c r="X19" s="4" t="s">
        <v>71</v>
      </c>
      <c r="Y19" s="4" t="s">
        <v>71</v>
      </c>
      <c r="Z19" s="4" t="s">
        <v>71</v>
      </c>
      <c r="AA19" s="4" t="s">
        <v>71</v>
      </c>
      <c r="AB19" s="4" t="s">
        <v>70</v>
      </c>
      <c r="AC19" s="4" t="s">
        <v>71</v>
      </c>
      <c r="AD19" s="4" t="s">
        <v>71</v>
      </c>
      <c r="AE19" s="4" t="s">
        <v>71</v>
      </c>
      <c r="AF19" s="4" t="s">
        <v>71</v>
      </c>
      <c r="AG19" s="4" t="s">
        <v>70</v>
      </c>
      <c r="AH19" s="4" t="s">
        <v>71</v>
      </c>
      <c r="AI19" s="4" t="s">
        <v>71</v>
      </c>
      <c r="AJ19" s="4" t="s">
        <v>71</v>
      </c>
      <c r="AK19" s="4" t="s">
        <v>71</v>
      </c>
      <c r="AL19" s="4" t="s">
        <v>71</v>
      </c>
      <c r="AM19" s="4" t="s">
        <v>70</v>
      </c>
      <c r="AN19" s="4" t="s">
        <v>71</v>
      </c>
      <c r="AO19" s="4" t="s">
        <v>71</v>
      </c>
      <c r="AP19" s="4" t="s">
        <v>71</v>
      </c>
      <c r="AQ19" s="4" t="s">
        <v>71</v>
      </c>
      <c r="AR19" s="4" t="s">
        <v>71</v>
      </c>
      <c r="AS19" s="4" t="s">
        <v>71</v>
      </c>
      <c r="AT19" s="4" t="s">
        <v>442</v>
      </c>
    </row>
    <row r="20" spans="1:46" x14ac:dyDescent="0.25">
      <c r="A20" s="3">
        <v>45005.612843923613</v>
      </c>
      <c r="B20" s="4" t="s">
        <v>451</v>
      </c>
      <c r="C20" s="4" t="s">
        <v>452</v>
      </c>
      <c r="D20" s="5" t="s">
        <v>453</v>
      </c>
      <c r="E20" s="4" t="s">
        <v>103</v>
      </c>
      <c r="F20" s="4" t="s">
        <v>454</v>
      </c>
      <c r="G20" s="4" t="s">
        <v>105</v>
      </c>
      <c r="H20" s="4" t="s">
        <v>455</v>
      </c>
      <c r="I20" s="4" t="s">
        <v>456</v>
      </c>
      <c r="J20" s="4" t="s">
        <v>457</v>
      </c>
      <c r="K20" s="4" t="s">
        <v>451</v>
      </c>
      <c r="L20" s="4" t="s">
        <v>67</v>
      </c>
      <c r="M20" s="4" t="s">
        <v>68</v>
      </c>
      <c r="N20" s="4">
        <v>40</v>
      </c>
      <c r="O20" s="4" t="s">
        <v>97</v>
      </c>
      <c r="P20" s="4">
        <v>4</v>
      </c>
      <c r="Q20" s="4">
        <v>4</v>
      </c>
      <c r="R20" s="4">
        <v>20</v>
      </c>
      <c r="S20" s="4" t="s">
        <v>459</v>
      </c>
      <c r="T20" s="4" t="s">
        <v>70</v>
      </c>
      <c r="U20" s="4" t="s">
        <v>71</v>
      </c>
      <c r="V20" s="6" t="s">
        <v>145</v>
      </c>
      <c r="W20" s="4" t="s">
        <v>70</v>
      </c>
      <c r="X20" s="4" t="s">
        <v>70</v>
      </c>
      <c r="Y20" s="4" t="s">
        <v>71</v>
      </c>
      <c r="Z20" s="4" t="s">
        <v>71</v>
      </c>
      <c r="AA20" s="4" t="s">
        <v>70</v>
      </c>
      <c r="AB20" s="4" t="s">
        <v>70</v>
      </c>
      <c r="AC20" s="4" t="s">
        <v>71</v>
      </c>
      <c r="AD20" s="4" t="s">
        <v>71</v>
      </c>
      <c r="AE20" s="4" t="s">
        <v>71</v>
      </c>
      <c r="AF20" s="4" t="s">
        <v>71</v>
      </c>
      <c r="AG20" s="4" t="s">
        <v>70</v>
      </c>
      <c r="AH20" s="4" t="s">
        <v>70</v>
      </c>
      <c r="AI20" s="4" t="s">
        <v>71</v>
      </c>
      <c r="AJ20" s="4" t="s">
        <v>71</v>
      </c>
      <c r="AK20" s="4" t="s">
        <v>71</v>
      </c>
      <c r="AL20" s="4" t="s">
        <v>70</v>
      </c>
      <c r="AM20" s="4" t="s">
        <v>70</v>
      </c>
      <c r="AN20" s="4" t="s">
        <v>71</v>
      </c>
      <c r="AO20" s="4" t="s">
        <v>71</v>
      </c>
      <c r="AP20" s="4" t="s">
        <v>70</v>
      </c>
      <c r="AQ20" s="4" t="s">
        <v>70</v>
      </c>
      <c r="AR20" s="4" t="s">
        <v>71</v>
      </c>
      <c r="AS20" s="4" t="s">
        <v>71</v>
      </c>
      <c r="AT20" s="4" t="s">
        <v>460</v>
      </c>
    </row>
    <row r="21" spans="1:46" x14ac:dyDescent="0.25">
      <c r="A21" s="3">
        <v>45003.65646859954</v>
      </c>
      <c r="B21" s="4" t="s">
        <v>461</v>
      </c>
      <c r="C21" s="4" t="s">
        <v>462</v>
      </c>
      <c r="D21" s="7" t="s">
        <v>463</v>
      </c>
      <c r="E21" s="4" t="s">
        <v>103</v>
      </c>
      <c r="F21" s="4" t="s">
        <v>157</v>
      </c>
      <c r="G21" s="4" t="s">
        <v>64</v>
      </c>
      <c r="H21" s="4" t="s">
        <v>469</v>
      </c>
      <c r="I21" s="4" t="s">
        <v>466</v>
      </c>
      <c r="J21" s="4" t="s">
        <v>465</v>
      </c>
      <c r="K21" s="4" t="s">
        <v>461</v>
      </c>
      <c r="L21" s="4" t="s">
        <v>67</v>
      </c>
      <c r="M21" s="4" t="s">
        <v>298</v>
      </c>
      <c r="N21" s="4">
        <v>35</v>
      </c>
      <c r="O21" s="4" t="s">
        <v>97</v>
      </c>
      <c r="P21" s="4">
        <v>3</v>
      </c>
      <c r="Q21" s="4">
        <v>3</v>
      </c>
      <c r="R21" s="4">
        <v>30</v>
      </c>
      <c r="S21" s="4" t="s">
        <v>471</v>
      </c>
      <c r="T21" s="4" t="s">
        <v>70</v>
      </c>
      <c r="U21" s="4" t="s">
        <v>70</v>
      </c>
      <c r="V21" s="6" t="s">
        <v>145</v>
      </c>
      <c r="W21" s="4" t="s">
        <v>70</v>
      </c>
      <c r="X21" s="4" t="s">
        <v>70</v>
      </c>
      <c r="Y21" s="4" t="s">
        <v>70</v>
      </c>
      <c r="Z21" s="4" t="s">
        <v>70</v>
      </c>
      <c r="AA21" s="4" t="s">
        <v>70</v>
      </c>
      <c r="AB21" s="4" t="s">
        <v>70</v>
      </c>
      <c r="AC21" s="4" t="s">
        <v>70</v>
      </c>
      <c r="AD21" s="4" t="s">
        <v>70</v>
      </c>
      <c r="AE21" s="4" t="s">
        <v>70</v>
      </c>
      <c r="AF21" s="4" t="s">
        <v>70</v>
      </c>
      <c r="AG21" s="4" t="s">
        <v>70</v>
      </c>
      <c r="AH21" s="4" t="s">
        <v>70</v>
      </c>
      <c r="AI21" s="4" t="s">
        <v>70</v>
      </c>
      <c r="AJ21" s="4" t="s">
        <v>70</v>
      </c>
      <c r="AK21" s="4" t="s">
        <v>70</v>
      </c>
      <c r="AL21" s="4" t="s">
        <v>70</v>
      </c>
      <c r="AM21" s="4" t="s">
        <v>70</v>
      </c>
      <c r="AN21" s="4" t="s">
        <v>70</v>
      </c>
      <c r="AO21" s="4" t="s">
        <v>70</v>
      </c>
      <c r="AP21" s="4" t="s">
        <v>70</v>
      </c>
      <c r="AQ21" s="4" t="s">
        <v>70</v>
      </c>
      <c r="AR21" s="4" t="s">
        <v>70</v>
      </c>
      <c r="AS21" s="4" t="s">
        <v>70</v>
      </c>
      <c r="AT21" s="4" t="s">
        <v>472</v>
      </c>
    </row>
    <row r="22" spans="1:46" x14ac:dyDescent="0.25">
      <c r="A22" s="3">
        <v>45003.652522557866</v>
      </c>
      <c r="B22" s="4" t="s">
        <v>461</v>
      </c>
      <c r="C22" s="4" t="s">
        <v>462</v>
      </c>
      <c r="D22" s="7" t="s">
        <v>463</v>
      </c>
      <c r="E22" s="4" t="s">
        <v>140</v>
      </c>
      <c r="F22" s="4" t="s">
        <v>157</v>
      </c>
      <c r="G22" s="4" t="s">
        <v>64</v>
      </c>
      <c r="H22" s="4" t="s">
        <v>464</v>
      </c>
      <c r="I22" s="4" t="s">
        <v>465</v>
      </c>
      <c r="J22" s="4" t="s">
        <v>466</v>
      </c>
      <c r="K22" s="4" t="s">
        <v>461</v>
      </c>
      <c r="L22" s="4" t="s">
        <v>67</v>
      </c>
      <c r="M22" s="4" t="s">
        <v>298</v>
      </c>
      <c r="N22" s="4">
        <v>35</v>
      </c>
      <c r="O22" s="4" t="s">
        <v>97</v>
      </c>
      <c r="P22" s="4">
        <v>3</v>
      </c>
      <c r="Q22" s="4">
        <v>3</v>
      </c>
      <c r="R22" s="4">
        <v>30</v>
      </c>
      <c r="T22" s="4" t="s">
        <v>70</v>
      </c>
      <c r="U22" s="4" t="s">
        <v>70</v>
      </c>
      <c r="V22" s="6" t="s">
        <v>145</v>
      </c>
      <c r="W22" s="4" t="s">
        <v>70</v>
      </c>
      <c r="X22" s="4" t="s">
        <v>70</v>
      </c>
      <c r="Y22" s="4" t="s">
        <v>70</v>
      </c>
      <c r="Z22" s="4" t="s">
        <v>70</v>
      </c>
      <c r="AA22" s="4" t="s">
        <v>70</v>
      </c>
      <c r="AB22" s="4" t="s">
        <v>70</v>
      </c>
      <c r="AC22" s="4" t="s">
        <v>70</v>
      </c>
      <c r="AD22" s="4" t="s">
        <v>70</v>
      </c>
      <c r="AE22" s="4" t="s">
        <v>70</v>
      </c>
      <c r="AF22" s="4" t="s">
        <v>70</v>
      </c>
      <c r="AG22" s="4" t="s">
        <v>70</v>
      </c>
      <c r="AH22" s="4" t="s">
        <v>70</v>
      </c>
      <c r="AI22" s="4" t="s">
        <v>70</v>
      </c>
      <c r="AJ22" s="4" t="s">
        <v>70</v>
      </c>
      <c r="AK22" s="4" t="s">
        <v>70</v>
      </c>
      <c r="AL22" s="4" t="s">
        <v>70</v>
      </c>
      <c r="AM22" s="4" t="s">
        <v>70</v>
      </c>
      <c r="AN22" s="4" t="s">
        <v>70</v>
      </c>
      <c r="AO22" s="4" t="s">
        <v>70</v>
      </c>
      <c r="AP22" s="4" t="s">
        <v>70</v>
      </c>
      <c r="AQ22" s="4" t="s">
        <v>70</v>
      </c>
      <c r="AR22" s="4" t="s">
        <v>70</v>
      </c>
      <c r="AS22" s="4" t="s">
        <v>70</v>
      </c>
      <c r="AT22" s="4" t="s">
        <v>468</v>
      </c>
    </row>
    <row r="23" spans="1:46" x14ac:dyDescent="0.25">
      <c r="A23" s="3">
        <v>45000.737666921297</v>
      </c>
      <c r="B23" s="4" t="s">
        <v>473</v>
      </c>
      <c r="C23" s="4" t="s">
        <v>474</v>
      </c>
      <c r="D23" s="7" t="s">
        <v>475</v>
      </c>
      <c r="E23" s="4" t="s">
        <v>103</v>
      </c>
      <c r="F23" s="4" t="s">
        <v>476</v>
      </c>
      <c r="G23" s="4" t="s">
        <v>105</v>
      </c>
      <c r="H23" s="4" t="s">
        <v>477</v>
      </c>
      <c r="I23" s="4" t="s">
        <v>478</v>
      </c>
      <c r="J23" s="4" t="s">
        <v>479</v>
      </c>
      <c r="K23" s="4" t="s">
        <v>473</v>
      </c>
      <c r="L23" s="4" t="s">
        <v>67</v>
      </c>
      <c r="M23" s="4" t="s">
        <v>303</v>
      </c>
      <c r="N23" s="4">
        <v>23</v>
      </c>
      <c r="O23" s="4" t="s">
        <v>69</v>
      </c>
      <c r="P23" s="4">
        <v>4</v>
      </c>
      <c r="Q23" s="4">
        <v>4</v>
      </c>
      <c r="R23" s="4">
        <v>50</v>
      </c>
      <c r="S23" s="4" t="s">
        <v>481</v>
      </c>
      <c r="T23" s="4" t="s">
        <v>70</v>
      </c>
      <c r="U23" s="4" t="s">
        <v>71</v>
      </c>
      <c r="V23" s="6" t="s">
        <v>145</v>
      </c>
      <c r="W23" s="4" t="s">
        <v>70</v>
      </c>
      <c r="X23" s="4" t="s">
        <v>71</v>
      </c>
      <c r="Y23" s="4" t="s">
        <v>71</v>
      </c>
      <c r="Z23" s="4" t="s">
        <v>71</v>
      </c>
      <c r="AA23" s="4" t="s">
        <v>70</v>
      </c>
      <c r="AB23" s="4" t="s">
        <v>71</v>
      </c>
      <c r="AC23" s="4" t="s">
        <v>71</v>
      </c>
      <c r="AD23" s="4" t="s">
        <v>71</v>
      </c>
      <c r="AE23" s="4" t="s">
        <v>71</v>
      </c>
      <c r="AF23" s="4" t="s">
        <v>71</v>
      </c>
      <c r="AG23" s="4" t="s">
        <v>71</v>
      </c>
      <c r="AH23" s="4" t="s">
        <v>70</v>
      </c>
      <c r="AI23" s="4" t="s">
        <v>71</v>
      </c>
      <c r="AJ23" s="4" t="s">
        <v>71</v>
      </c>
      <c r="AK23" s="4" t="s">
        <v>71</v>
      </c>
      <c r="AL23" s="4" t="s">
        <v>71</v>
      </c>
      <c r="AM23" s="4" t="s">
        <v>71</v>
      </c>
      <c r="AN23" s="4" t="s">
        <v>71</v>
      </c>
      <c r="AO23" s="4" t="s">
        <v>71</v>
      </c>
      <c r="AP23" s="4" t="s">
        <v>71</v>
      </c>
      <c r="AQ23" s="4" t="s">
        <v>71</v>
      </c>
      <c r="AR23" s="4" t="s">
        <v>71</v>
      </c>
      <c r="AS23" s="4" t="s">
        <v>71</v>
      </c>
      <c r="AT23" s="4" t="s">
        <v>482</v>
      </c>
    </row>
    <row r="24" spans="1:46" x14ac:dyDescent="0.25">
      <c r="A24" s="3">
        <v>45000.83467074074</v>
      </c>
      <c r="B24" s="4" t="s">
        <v>483</v>
      </c>
      <c r="C24" s="4" t="s">
        <v>484</v>
      </c>
      <c r="D24" s="7" t="s">
        <v>485</v>
      </c>
      <c r="E24" s="4" t="s">
        <v>103</v>
      </c>
      <c r="F24" s="4" t="s">
        <v>486</v>
      </c>
      <c r="G24" s="4" t="s">
        <v>105</v>
      </c>
      <c r="H24" s="4" t="s">
        <v>487</v>
      </c>
      <c r="I24" s="4" t="s">
        <v>488</v>
      </c>
      <c r="J24" s="4" t="s">
        <v>489</v>
      </c>
      <c r="K24" s="4" t="s">
        <v>483</v>
      </c>
      <c r="L24" s="4" t="s">
        <v>67</v>
      </c>
      <c r="M24" s="4" t="s">
        <v>312</v>
      </c>
      <c r="N24" s="4">
        <v>15</v>
      </c>
      <c r="O24" s="4" t="s">
        <v>69</v>
      </c>
      <c r="P24" s="4">
        <v>3</v>
      </c>
      <c r="Q24" s="4">
        <v>3</v>
      </c>
      <c r="R24" s="4">
        <v>30</v>
      </c>
      <c r="T24" s="4" t="s">
        <v>70</v>
      </c>
      <c r="U24" s="4" t="s">
        <v>71</v>
      </c>
      <c r="V24" s="6" t="s">
        <v>145</v>
      </c>
      <c r="W24" s="4" t="s">
        <v>70</v>
      </c>
      <c r="X24" s="4" t="s">
        <v>71</v>
      </c>
      <c r="Y24" s="4" t="s">
        <v>71</v>
      </c>
      <c r="Z24" s="4" t="s">
        <v>71</v>
      </c>
      <c r="AA24" s="4" t="s">
        <v>71</v>
      </c>
      <c r="AB24" s="4" t="s">
        <v>70</v>
      </c>
      <c r="AC24" s="4" t="s">
        <v>70</v>
      </c>
      <c r="AD24" s="4" t="s">
        <v>71</v>
      </c>
      <c r="AE24" s="4" t="s">
        <v>71</v>
      </c>
      <c r="AH24" s="4" t="s">
        <v>70</v>
      </c>
      <c r="AL24" s="4" t="s">
        <v>70</v>
      </c>
      <c r="AR24" s="4" t="s">
        <v>70</v>
      </c>
    </row>
    <row r="25" spans="1:46" x14ac:dyDescent="0.25">
      <c r="A25" s="3">
        <v>45000.840254699069</v>
      </c>
      <c r="B25" s="4" t="s">
        <v>483</v>
      </c>
      <c r="C25" s="4" t="s">
        <v>491</v>
      </c>
      <c r="D25" s="7" t="s">
        <v>485</v>
      </c>
      <c r="E25" s="4" t="s">
        <v>103</v>
      </c>
      <c r="F25" s="4" t="s">
        <v>486</v>
      </c>
      <c r="G25" s="4" t="s">
        <v>105</v>
      </c>
      <c r="H25" s="4" t="s">
        <v>487</v>
      </c>
      <c r="I25" s="4" t="s">
        <v>488</v>
      </c>
      <c r="J25" s="4" t="s">
        <v>489</v>
      </c>
      <c r="K25" s="4" t="s">
        <v>483</v>
      </c>
      <c r="L25" s="4" t="s">
        <v>67</v>
      </c>
      <c r="M25" s="4" t="s">
        <v>312</v>
      </c>
      <c r="N25" s="4">
        <v>16</v>
      </c>
      <c r="O25" s="4" t="s">
        <v>97</v>
      </c>
      <c r="P25" s="4">
        <v>3</v>
      </c>
      <c r="Q25" s="4">
        <v>3</v>
      </c>
      <c r="R25" s="4">
        <v>30</v>
      </c>
      <c r="T25" s="4" t="s">
        <v>70</v>
      </c>
      <c r="U25" s="4" t="s">
        <v>71</v>
      </c>
      <c r="V25" s="6" t="s">
        <v>145</v>
      </c>
      <c r="W25" s="4" t="s">
        <v>70</v>
      </c>
      <c r="X25" s="4" t="s">
        <v>71</v>
      </c>
      <c r="Y25" s="4" t="s">
        <v>71</v>
      </c>
      <c r="Z25" s="4" t="s">
        <v>71</v>
      </c>
      <c r="AA25" s="4" t="s">
        <v>70</v>
      </c>
      <c r="AB25" s="4" t="s">
        <v>71</v>
      </c>
      <c r="AC25" s="4" t="s">
        <v>71</v>
      </c>
      <c r="AD25" s="4" t="s">
        <v>71</v>
      </c>
      <c r="AE25" s="4" t="s">
        <v>71</v>
      </c>
      <c r="AF25" s="4" t="s">
        <v>71</v>
      </c>
      <c r="AG25" s="4" t="s">
        <v>71</v>
      </c>
      <c r="AH25" s="4" t="s">
        <v>70</v>
      </c>
      <c r="AI25" s="4" t="s">
        <v>71</v>
      </c>
      <c r="AJ25" s="4" t="s">
        <v>71</v>
      </c>
      <c r="AK25" s="4" t="s">
        <v>71</v>
      </c>
      <c r="AL25" s="4" t="s">
        <v>71</v>
      </c>
      <c r="AM25" s="4" t="s">
        <v>71</v>
      </c>
      <c r="AN25" s="4" t="s">
        <v>70</v>
      </c>
      <c r="AO25" s="4" t="s">
        <v>71</v>
      </c>
      <c r="AP25" s="4" t="s">
        <v>71</v>
      </c>
      <c r="AQ25" s="4" t="s">
        <v>71</v>
      </c>
      <c r="AR25" s="4" t="s">
        <v>70</v>
      </c>
      <c r="AS25" s="4" t="s">
        <v>71</v>
      </c>
    </row>
    <row r="26" spans="1:46" x14ac:dyDescent="0.25">
      <c r="A26" s="3">
        <v>45000.8241647338</v>
      </c>
      <c r="B26" s="4" t="s">
        <v>493</v>
      </c>
      <c r="C26" s="4" t="s">
        <v>494</v>
      </c>
      <c r="D26" s="5" t="s">
        <v>495</v>
      </c>
      <c r="E26" s="4" t="s">
        <v>103</v>
      </c>
      <c r="F26" s="4" t="s">
        <v>496</v>
      </c>
      <c r="G26" s="4" t="s">
        <v>64</v>
      </c>
      <c r="H26" s="4" t="s">
        <v>497</v>
      </c>
      <c r="I26" s="4" t="s">
        <v>498</v>
      </c>
      <c r="K26" s="4" t="s">
        <v>493</v>
      </c>
      <c r="L26" s="4" t="s">
        <v>67</v>
      </c>
      <c r="M26" s="4" t="s">
        <v>322</v>
      </c>
      <c r="N26" s="4">
        <v>34</v>
      </c>
      <c r="O26" s="4" t="s">
        <v>200</v>
      </c>
      <c r="P26" s="4">
        <v>3</v>
      </c>
      <c r="Q26" s="4">
        <v>1</v>
      </c>
      <c r="R26" s="4">
        <v>15</v>
      </c>
      <c r="T26" s="4" t="s">
        <v>70</v>
      </c>
      <c r="U26" s="4" t="s">
        <v>71</v>
      </c>
      <c r="V26" s="6" t="s">
        <v>145</v>
      </c>
      <c r="W26" s="4" t="s">
        <v>70</v>
      </c>
      <c r="X26" s="4" t="s">
        <v>70</v>
      </c>
      <c r="Y26" s="4" t="s">
        <v>71</v>
      </c>
      <c r="Z26" s="4" t="s">
        <v>71</v>
      </c>
      <c r="AA26" s="4" t="s">
        <v>71</v>
      </c>
      <c r="AB26" s="4" t="s">
        <v>71</v>
      </c>
      <c r="AC26" s="4" t="s">
        <v>71</v>
      </c>
      <c r="AD26" s="4" t="s">
        <v>71</v>
      </c>
      <c r="AE26" s="4" t="s">
        <v>71</v>
      </c>
      <c r="AF26" s="4" t="s">
        <v>71</v>
      </c>
      <c r="AG26" s="4" t="s">
        <v>70</v>
      </c>
      <c r="AH26" s="4" t="s">
        <v>71</v>
      </c>
      <c r="AI26" s="4" t="s">
        <v>71</v>
      </c>
      <c r="AJ26" s="4" t="s">
        <v>71</v>
      </c>
      <c r="AK26" s="4" t="s">
        <v>71</v>
      </c>
      <c r="AL26" s="4" t="s">
        <v>71</v>
      </c>
      <c r="AM26" s="4" t="s">
        <v>71</v>
      </c>
      <c r="AN26" s="4" t="s">
        <v>71</v>
      </c>
      <c r="AO26" s="4" t="s">
        <v>71</v>
      </c>
      <c r="AP26" s="4" t="s">
        <v>71</v>
      </c>
      <c r="AQ26" s="4" t="s">
        <v>71</v>
      </c>
      <c r="AR26" s="4" t="s">
        <v>71</v>
      </c>
      <c r="AS26" s="4" t="s">
        <v>71</v>
      </c>
      <c r="AT26" s="4" t="s">
        <v>500</v>
      </c>
    </row>
    <row r="27" spans="1:46" x14ac:dyDescent="0.25">
      <c r="A27" s="3">
        <v>45000.830641712964</v>
      </c>
      <c r="B27" s="4" t="s">
        <v>493</v>
      </c>
      <c r="C27" s="4" t="s">
        <v>494</v>
      </c>
      <c r="D27" s="5" t="s">
        <v>495</v>
      </c>
      <c r="E27" s="4" t="s">
        <v>103</v>
      </c>
      <c r="F27" s="4" t="s">
        <v>446</v>
      </c>
      <c r="G27" s="4" t="s">
        <v>64</v>
      </c>
      <c r="H27" s="4" t="s">
        <v>497</v>
      </c>
      <c r="I27" s="4" t="s">
        <v>506</v>
      </c>
      <c r="K27" s="4" t="s">
        <v>493</v>
      </c>
      <c r="L27" s="4" t="s">
        <v>67</v>
      </c>
      <c r="M27" s="4" t="s">
        <v>322</v>
      </c>
      <c r="N27" s="4">
        <v>34</v>
      </c>
      <c r="O27" s="4" t="s">
        <v>200</v>
      </c>
      <c r="P27" s="4">
        <v>3</v>
      </c>
      <c r="Q27" s="4">
        <v>1</v>
      </c>
      <c r="R27" s="4">
        <v>15</v>
      </c>
      <c r="T27" s="4" t="s">
        <v>70</v>
      </c>
      <c r="U27" s="4" t="s">
        <v>71</v>
      </c>
      <c r="V27" s="6" t="s">
        <v>145</v>
      </c>
      <c r="W27" s="4" t="s">
        <v>70</v>
      </c>
      <c r="X27" s="4" t="s">
        <v>70</v>
      </c>
      <c r="Y27" s="4" t="s">
        <v>71</v>
      </c>
      <c r="Z27" s="4" t="s">
        <v>71</v>
      </c>
      <c r="AA27" s="4" t="s">
        <v>71</v>
      </c>
      <c r="AB27" s="4" t="s">
        <v>71</v>
      </c>
      <c r="AC27" s="4" t="s">
        <v>71</v>
      </c>
      <c r="AD27" s="4" t="s">
        <v>71</v>
      </c>
      <c r="AE27" s="4" t="s">
        <v>71</v>
      </c>
      <c r="AF27" s="4" t="s">
        <v>71</v>
      </c>
      <c r="AG27" s="4" t="s">
        <v>70</v>
      </c>
      <c r="AH27" s="4" t="s">
        <v>71</v>
      </c>
      <c r="AI27" s="4" t="s">
        <v>71</v>
      </c>
      <c r="AJ27" s="4" t="s">
        <v>71</v>
      </c>
      <c r="AK27" s="4" t="s">
        <v>71</v>
      </c>
      <c r="AL27" s="4" t="s">
        <v>71</v>
      </c>
      <c r="AM27" s="4" t="s">
        <v>71</v>
      </c>
      <c r="AN27" s="4" t="s">
        <v>71</v>
      </c>
      <c r="AO27" s="4" t="s">
        <v>71</v>
      </c>
      <c r="AP27" s="4" t="s">
        <v>71</v>
      </c>
      <c r="AQ27" s="4" t="s">
        <v>71</v>
      </c>
      <c r="AR27" s="4" t="s">
        <v>71</v>
      </c>
      <c r="AS27" s="4" t="s">
        <v>71</v>
      </c>
    </row>
    <row r="28" spans="1:46" x14ac:dyDescent="0.25">
      <c r="A28" s="3">
        <v>45001.784191354163</v>
      </c>
      <c r="B28" s="4" t="s">
        <v>508</v>
      </c>
      <c r="C28" s="4" t="s">
        <v>509</v>
      </c>
      <c r="D28" s="7" t="s">
        <v>510</v>
      </c>
      <c r="E28" s="4" t="s">
        <v>263</v>
      </c>
      <c r="F28" s="4" t="s">
        <v>511</v>
      </c>
      <c r="G28" s="4" t="s">
        <v>64</v>
      </c>
      <c r="H28" s="4" t="s">
        <v>512</v>
      </c>
      <c r="I28" s="4" t="s">
        <v>513</v>
      </c>
      <c r="J28" s="4" t="s">
        <v>514</v>
      </c>
      <c r="K28" s="4" t="s">
        <v>508</v>
      </c>
      <c r="L28" s="4" t="s">
        <v>67</v>
      </c>
      <c r="M28" s="4" t="s">
        <v>303</v>
      </c>
      <c r="N28" s="4">
        <v>40</v>
      </c>
      <c r="O28" s="4" t="s">
        <v>97</v>
      </c>
      <c r="P28" s="4">
        <v>5</v>
      </c>
      <c r="Q28" s="4">
        <v>4</v>
      </c>
      <c r="R28" s="4">
        <v>5</v>
      </c>
      <c r="T28" s="4" t="s">
        <v>70</v>
      </c>
      <c r="U28" s="4" t="s">
        <v>71</v>
      </c>
      <c r="V28" s="6" t="s">
        <v>145</v>
      </c>
      <c r="W28" s="4" t="s">
        <v>71</v>
      </c>
      <c r="X28" s="4" t="s">
        <v>71</v>
      </c>
      <c r="Y28" s="4" t="s">
        <v>71</v>
      </c>
      <c r="Z28" s="4" t="s">
        <v>70</v>
      </c>
      <c r="AA28" s="4" t="s">
        <v>71</v>
      </c>
      <c r="AB28" s="4" t="s">
        <v>71</v>
      </c>
      <c r="AC28" s="4" t="s">
        <v>71</v>
      </c>
      <c r="AD28" s="4" t="s">
        <v>71</v>
      </c>
      <c r="AE28" s="4" t="s">
        <v>71</v>
      </c>
      <c r="AF28" s="4" t="s">
        <v>71</v>
      </c>
      <c r="AG28" s="4" t="s">
        <v>71</v>
      </c>
      <c r="AH28" s="4" t="s">
        <v>71</v>
      </c>
      <c r="AI28" s="4" t="s">
        <v>71</v>
      </c>
      <c r="AJ28" s="4" t="s">
        <v>71</v>
      </c>
      <c r="AK28" s="4" t="s">
        <v>71</v>
      </c>
      <c r="AL28" s="4" t="s">
        <v>70</v>
      </c>
      <c r="AM28" s="4" t="s">
        <v>71</v>
      </c>
      <c r="AN28" s="4" t="s">
        <v>71</v>
      </c>
      <c r="AO28" s="4" t="s">
        <v>71</v>
      </c>
      <c r="AP28" s="4" t="s">
        <v>71</v>
      </c>
      <c r="AQ28" s="4" t="s">
        <v>71</v>
      </c>
      <c r="AR28" s="4" t="s">
        <v>71</v>
      </c>
      <c r="AS28" s="4" t="s">
        <v>71</v>
      </c>
    </row>
    <row r="29" spans="1:46" x14ac:dyDescent="0.25">
      <c r="A29" s="3">
        <v>45000.700057268521</v>
      </c>
      <c r="B29" s="4" t="s">
        <v>524</v>
      </c>
      <c r="C29" s="4" t="s">
        <v>525</v>
      </c>
      <c r="D29" s="5" t="s">
        <v>526</v>
      </c>
      <c r="E29" s="4" t="s">
        <v>103</v>
      </c>
      <c r="F29" s="4" t="s">
        <v>527</v>
      </c>
      <c r="G29" s="4" t="s">
        <v>64</v>
      </c>
      <c r="H29" s="4" t="s">
        <v>528</v>
      </c>
      <c r="I29" s="4" t="s">
        <v>529</v>
      </c>
      <c r="K29" s="4" t="s">
        <v>524</v>
      </c>
      <c r="L29" s="4" t="s">
        <v>67</v>
      </c>
      <c r="M29" s="4" t="s">
        <v>68</v>
      </c>
      <c r="N29" s="4">
        <v>24</v>
      </c>
      <c r="O29" s="4" t="s">
        <v>200</v>
      </c>
      <c r="P29" s="4">
        <v>4</v>
      </c>
      <c r="Q29" s="4">
        <v>5</v>
      </c>
      <c r="R29" s="4">
        <v>0</v>
      </c>
      <c r="T29" s="4" t="s">
        <v>70</v>
      </c>
      <c r="U29" s="4" t="s">
        <v>71</v>
      </c>
      <c r="V29" s="6" t="s">
        <v>145</v>
      </c>
      <c r="W29" s="4" t="s">
        <v>70</v>
      </c>
      <c r="X29" s="4" t="s">
        <v>70</v>
      </c>
      <c r="Y29" s="4" t="s">
        <v>70</v>
      </c>
      <c r="Z29" s="4" t="s">
        <v>70</v>
      </c>
      <c r="AA29" s="4" t="s">
        <v>70</v>
      </c>
      <c r="AB29" s="4" t="s">
        <v>70</v>
      </c>
      <c r="AC29" s="4" t="s">
        <v>71</v>
      </c>
      <c r="AD29" s="4" t="s">
        <v>71</v>
      </c>
      <c r="AE29" s="4" t="s">
        <v>71</v>
      </c>
      <c r="AF29" s="4" t="s">
        <v>70</v>
      </c>
      <c r="AG29" s="4" t="s">
        <v>70</v>
      </c>
      <c r="AH29" s="4" t="s">
        <v>70</v>
      </c>
      <c r="AI29" s="4" t="s">
        <v>71</v>
      </c>
      <c r="AJ29" s="4" t="s">
        <v>71</v>
      </c>
      <c r="AK29" s="4" t="s">
        <v>70</v>
      </c>
      <c r="AL29" s="4" t="s">
        <v>70</v>
      </c>
      <c r="AM29" s="4" t="s">
        <v>70</v>
      </c>
      <c r="AN29" s="4" t="s">
        <v>71</v>
      </c>
      <c r="AO29" s="4" t="s">
        <v>71</v>
      </c>
      <c r="AP29" s="4" t="s">
        <v>70</v>
      </c>
      <c r="AQ29" s="4" t="s">
        <v>70</v>
      </c>
      <c r="AR29" s="4" t="s">
        <v>71</v>
      </c>
      <c r="AS29" s="4" t="s">
        <v>71</v>
      </c>
    </row>
    <row r="30" spans="1:46" x14ac:dyDescent="0.25">
      <c r="A30" s="3">
        <v>45001.394216238426</v>
      </c>
      <c r="B30" s="4" t="s">
        <v>535</v>
      </c>
      <c r="C30" s="4" t="s">
        <v>536</v>
      </c>
      <c r="D30" s="7" t="s">
        <v>537</v>
      </c>
      <c r="E30" s="4" t="s">
        <v>103</v>
      </c>
      <c r="F30" s="4" t="s">
        <v>538</v>
      </c>
      <c r="G30" s="4" t="s">
        <v>64</v>
      </c>
      <c r="H30" s="4" t="s">
        <v>539</v>
      </c>
      <c r="I30" s="4" t="s">
        <v>540</v>
      </c>
      <c r="K30" s="4" t="s">
        <v>535</v>
      </c>
      <c r="L30" s="4" t="s">
        <v>67</v>
      </c>
      <c r="M30" s="4" t="s">
        <v>331</v>
      </c>
      <c r="N30" s="4">
        <v>38</v>
      </c>
      <c r="O30" s="4" t="s">
        <v>200</v>
      </c>
      <c r="P30" s="4">
        <v>4</v>
      </c>
      <c r="Q30" s="4">
        <v>3</v>
      </c>
      <c r="R30" s="4">
        <v>10</v>
      </c>
      <c r="S30" s="4" t="s">
        <v>542</v>
      </c>
      <c r="T30" s="4" t="s">
        <v>70</v>
      </c>
      <c r="U30" s="4" t="s">
        <v>71</v>
      </c>
      <c r="V30" s="6" t="s">
        <v>145</v>
      </c>
      <c r="W30" s="4" t="s">
        <v>70</v>
      </c>
      <c r="X30" s="4" t="s">
        <v>70</v>
      </c>
      <c r="Y30" s="4" t="s">
        <v>71</v>
      </c>
      <c r="Z30" s="4" t="s">
        <v>70</v>
      </c>
      <c r="AA30" s="4" t="s">
        <v>70</v>
      </c>
      <c r="AB30" s="4" t="s">
        <v>70</v>
      </c>
      <c r="AC30" s="4" t="s">
        <v>71</v>
      </c>
      <c r="AD30" s="4" t="s">
        <v>71</v>
      </c>
      <c r="AE30" s="4" t="s">
        <v>71</v>
      </c>
      <c r="AF30" s="4" t="s">
        <v>70</v>
      </c>
      <c r="AG30" s="4" t="s">
        <v>70</v>
      </c>
      <c r="AH30" s="4" t="s">
        <v>70</v>
      </c>
      <c r="AI30" s="4" t="s">
        <v>71</v>
      </c>
      <c r="AJ30" s="4" t="s">
        <v>71</v>
      </c>
      <c r="AK30" s="4" t="s">
        <v>70</v>
      </c>
      <c r="AL30" s="4" t="s">
        <v>70</v>
      </c>
      <c r="AM30" s="4" t="s">
        <v>70</v>
      </c>
      <c r="AN30" s="4" t="s">
        <v>71</v>
      </c>
      <c r="AO30" s="4" t="s">
        <v>71</v>
      </c>
      <c r="AP30" s="4" t="s">
        <v>70</v>
      </c>
      <c r="AQ30" s="4" t="s">
        <v>70</v>
      </c>
      <c r="AR30" s="4" t="s">
        <v>71</v>
      </c>
      <c r="AS30" s="4" t="s">
        <v>71</v>
      </c>
      <c r="AT30" s="4" t="s">
        <v>543</v>
      </c>
    </row>
    <row r="31" spans="1:46" x14ac:dyDescent="0.25">
      <c r="A31" s="3">
        <v>45000.66579269676</v>
      </c>
      <c r="B31" s="4" t="s">
        <v>572</v>
      </c>
      <c r="C31" s="4" t="s">
        <v>580</v>
      </c>
      <c r="D31" s="5" t="s">
        <v>574</v>
      </c>
      <c r="E31" s="4" t="s">
        <v>427</v>
      </c>
      <c r="F31" s="4" t="s">
        <v>581</v>
      </c>
      <c r="G31" s="4" t="s">
        <v>64</v>
      </c>
      <c r="H31" s="4" t="s">
        <v>576</v>
      </c>
      <c r="I31" s="4" t="s">
        <v>582</v>
      </c>
      <c r="J31" s="4" t="s">
        <v>578</v>
      </c>
      <c r="K31" s="4" t="s">
        <v>572</v>
      </c>
      <c r="L31" s="4" t="s">
        <v>67</v>
      </c>
      <c r="M31" s="4" t="s">
        <v>338</v>
      </c>
      <c r="N31" s="4">
        <v>35</v>
      </c>
      <c r="O31" s="4" t="s">
        <v>97</v>
      </c>
      <c r="P31" s="4">
        <v>3</v>
      </c>
      <c r="Q31" s="4">
        <v>2</v>
      </c>
      <c r="R31" s="4">
        <v>30</v>
      </c>
      <c r="T31" s="4" t="s">
        <v>70</v>
      </c>
      <c r="U31" s="4" t="s">
        <v>71</v>
      </c>
      <c r="V31" s="6" t="s">
        <v>145</v>
      </c>
      <c r="W31" s="4" t="s">
        <v>70</v>
      </c>
      <c r="X31" s="4" t="s">
        <v>70</v>
      </c>
      <c r="Y31" s="4" t="s">
        <v>71</v>
      </c>
      <c r="Z31" s="4" t="s">
        <v>70</v>
      </c>
      <c r="AA31" s="4" t="s">
        <v>70</v>
      </c>
      <c r="AB31" s="4" t="s">
        <v>70</v>
      </c>
      <c r="AC31" s="4" t="s">
        <v>71</v>
      </c>
      <c r="AD31" s="4" t="s">
        <v>71</v>
      </c>
      <c r="AE31" s="4" t="s">
        <v>71</v>
      </c>
      <c r="AF31" s="4" t="s">
        <v>70</v>
      </c>
      <c r="AG31" s="4" t="s">
        <v>70</v>
      </c>
      <c r="AH31" s="4" t="s">
        <v>70</v>
      </c>
      <c r="AI31" s="4" t="s">
        <v>71</v>
      </c>
      <c r="AJ31" s="4" t="s">
        <v>71</v>
      </c>
      <c r="AK31" s="4" t="s">
        <v>70</v>
      </c>
      <c r="AL31" s="4" t="s">
        <v>70</v>
      </c>
      <c r="AM31" s="4" t="s">
        <v>70</v>
      </c>
      <c r="AN31" s="4" t="s">
        <v>71</v>
      </c>
      <c r="AO31" s="4" t="s">
        <v>71</v>
      </c>
      <c r="AP31" s="4" t="s">
        <v>70</v>
      </c>
      <c r="AQ31" s="4" t="s">
        <v>70</v>
      </c>
      <c r="AR31" s="4" t="s">
        <v>71</v>
      </c>
      <c r="AS31" s="4" t="s">
        <v>71</v>
      </c>
    </row>
    <row r="32" spans="1:46" x14ac:dyDescent="0.25">
      <c r="A32" s="3">
        <v>45000.66364269676</v>
      </c>
      <c r="B32" s="4" t="s">
        <v>572</v>
      </c>
      <c r="C32" s="4" t="s">
        <v>573</v>
      </c>
      <c r="D32" s="5" t="s">
        <v>574</v>
      </c>
      <c r="E32" s="4" t="s">
        <v>149</v>
      </c>
      <c r="F32" s="4" t="s">
        <v>575</v>
      </c>
      <c r="G32" s="4" t="s">
        <v>64</v>
      </c>
      <c r="H32" s="4" t="s">
        <v>576</v>
      </c>
      <c r="I32" s="4" t="s">
        <v>577</v>
      </c>
      <c r="J32" s="4" t="s">
        <v>578</v>
      </c>
      <c r="K32" s="4" t="s">
        <v>572</v>
      </c>
      <c r="L32" s="4" t="s">
        <v>67</v>
      </c>
      <c r="M32" s="4" t="s">
        <v>338</v>
      </c>
      <c r="N32" s="4">
        <v>39</v>
      </c>
      <c r="O32" s="4" t="s">
        <v>97</v>
      </c>
      <c r="P32" s="4">
        <v>4</v>
      </c>
      <c r="Q32" s="4">
        <v>3</v>
      </c>
      <c r="R32" s="4">
        <v>30</v>
      </c>
      <c r="T32" s="4" t="s">
        <v>70</v>
      </c>
      <c r="U32" s="4" t="s">
        <v>71</v>
      </c>
      <c r="V32" s="6" t="s">
        <v>145</v>
      </c>
      <c r="W32" s="4" t="s">
        <v>70</v>
      </c>
      <c r="X32" s="4" t="s">
        <v>70</v>
      </c>
      <c r="Y32" s="4" t="s">
        <v>70</v>
      </c>
      <c r="Z32" s="4" t="s">
        <v>70</v>
      </c>
      <c r="AA32" s="4" t="s">
        <v>70</v>
      </c>
      <c r="AB32" s="4" t="s">
        <v>70</v>
      </c>
      <c r="AC32" s="4" t="s">
        <v>70</v>
      </c>
      <c r="AD32" s="4" t="s">
        <v>71</v>
      </c>
      <c r="AE32" s="4" t="s">
        <v>71</v>
      </c>
      <c r="AF32" s="4" t="s">
        <v>70</v>
      </c>
      <c r="AG32" s="4" t="s">
        <v>70</v>
      </c>
      <c r="AH32" s="4" t="s">
        <v>70</v>
      </c>
      <c r="AI32" s="4" t="s">
        <v>71</v>
      </c>
      <c r="AK32" s="4" t="s">
        <v>70</v>
      </c>
      <c r="AL32" s="4" t="s">
        <v>70</v>
      </c>
      <c r="AM32" s="4" t="s">
        <v>70</v>
      </c>
      <c r="AN32" s="4" t="s">
        <v>71</v>
      </c>
      <c r="AO32" s="4" t="s">
        <v>71</v>
      </c>
      <c r="AP32" s="4" t="s">
        <v>70</v>
      </c>
      <c r="AQ32" s="4" t="s">
        <v>70</v>
      </c>
      <c r="AR32" s="4" t="s">
        <v>71</v>
      </c>
      <c r="AS32" s="4" t="s">
        <v>71</v>
      </c>
    </row>
    <row r="33" spans="1:46" x14ac:dyDescent="0.25">
      <c r="A33" s="3">
        <v>45002.471919652773</v>
      </c>
      <c r="B33" s="4" t="s">
        <v>601</v>
      </c>
      <c r="C33" s="4" t="s">
        <v>602</v>
      </c>
      <c r="D33" s="5" t="s">
        <v>603</v>
      </c>
      <c r="E33" s="4" t="s">
        <v>604</v>
      </c>
      <c r="F33" s="4" t="s">
        <v>605</v>
      </c>
      <c r="G33" s="4" t="s">
        <v>105</v>
      </c>
      <c r="H33" s="4" t="s">
        <v>606</v>
      </c>
      <c r="I33" s="4" t="s">
        <v>607</v>
      </c>
      <c r="J33" s="4" t="s">
        <v>608</v>
      </c>
      <c r="K33" s="4" t="s">
        <v>601</v>
      </c>
      <c r="L33" s="4" t="s">
        <v>67</v>
      </c>
      <c r="M33" s="4" t="s">
        <v>136</v>
      </c>
      <c r="N33" s="4">
        <v>30</v>
      </c>
      <c r="O33" s="4" t="s">
        <v>97</v>
      </c>
      <c r="P33" s="4">
        <v>4</v>
      </c>
      <c r="Q33" s="4">
        <v>1</v>
      </c>
      <c r="R33" s="4">
        <v>90</v>
      </c>
      <c r="T33" s="4" t="s">
        <v>70</v>
      </c>
      <c r="U33" s="4" t="s">
        <v>71</v>
      </c>
      <c r="V33" s="6" t="s">
        <v>145</v>
      </c>
      <c r="W33" s="4" t="s">
        <v>70</v>
      </c>
      <c r="X33" s="4" t="s">
        <v>71</v>
      </c>
      <c r="Y33" s="4" t="s">
        <v>71</v>
      </c>
      <c r="Z33" s="4" t="s">
        <v>71</v>
      </c>
      <c r="AA33" s="4" t="s">
        <v>70</v>
      </c>
      <c r="AB33" s="4" t="s">
        <v>71</v>
      </c>
      <c r="AC33" s="4" t="s">
        <v>71</v>
      </c>
      <c r="AD33" s="4" t="s">
        <v>71</v>
      </c>
      <c r="AE33" s="4" t="s">
        <v>71</v>
      </c>
      <c r="AF33" s="4" t="s">
        <v>71</v>
      </c>
      <c r="AG33" s="4" t="s">
        <v>71</v>
      </c>
      <c r="AH33" s="4" t="s">
        <v>71</v>
      </c>
      <c r="AI33" s="4" t="s">
        <v>71</v>
      </c>
      <c r="AJ33" s="4" t="s">
        <v>71</v>
      </c>
      <c r="AK33" s="4" t="s">
        <v>71</v>
      </c>
      <c r="AL33" s="4" t="s">
        <v>71</v>
      </c>
      <c r="AM33" s="4" t="s">
        <v>70</v>
      </c>
      <c r="AN33" s="4" t="s">
        <v>71</v>
      </c>
      <c r="AO33" s="4" t="s">
        <v>71</v>
      </c>
      <c r="AP33" s="4" t="s">
        <v>71</v>
      </c>
      <c r="AQ33" s="4" t="s">
        <v>71</v>
      </c>
      <c r="AR33" s="4" t="s">
        <v>71</v>
      </c>
      <c r="AS33" s="4" t="s">
        <v>71</v>
      </c>
    </row>
    <row r="34" spans="1:46" x14ac:dyDescent="0.25">
      <c r="A34" s="3">
        <v>45004.529857268513</v>
      </c>
      <c r="B34" s="4" t="s">
        <v>632</v>
      </c>
      <c r="C34" s="4" t="s">
        <v>633</v>
      </c>
      <c r="D34" s="7" t="s">
        <v>634</v>
      </c>
      <c r="E34" s="4" t="s">
        <v>103</v>
      </c>
      <c r="F34" s="4" t="s">
        <v>635</v>
      </c>
      <c r="G34" s="4" t="s">
        <v>105</v>
      </c>
      <c r="H34" s="4" t="s">
        <v>640</v>
      </c>
      <c r="I34" s="4" t="s">
        <v>641</v>
      </c>
      <c r="J34" s="4" t="s">
        <v>642</v>
      </c>
      <c r="K34" s="4" t="s">
        <v>632</v>
      </c>
      <c r="L34" s="4" t="s">
        <v>67</v>
      </c>
      <c r="M34" s="4" t="s">
        <v>353</v>
      </c>
      <c r="N34" s="4">
        <v>40</v>
      </c>
      <c r="O34" s="4" t="s">
        <v>69</v>
      </c>
      <c r="P34" s="4">
        <v>5</v>
      </c>
      <c r="Q34" s="4">
        <v>5</v>
      </c>
      <c r="R34" s="4">
        <v>20</v>
      </c>
      <c r="T34" s="4" t="s">
        <v>70</v>
      </c>
      <c r="U34" s="4" t="s">
        <v>71</v>
      </c>
      <c r="V34" s="6" t="s">
        <v>145</v>
      </c>
      <c r="W34" s="4" t="s">
        <v>70</v>
      </c>
      <c r="X34" s="4" t="s">
        <v>70</v>
      </c>
      <c r="Y34" s="4" t="s">
        <v>71</v>
      </c>
      <c r="Z34" s="4" t="s">
        <v>70</v>
      </c>
      <c r="AA34" s="4" t="s">
        <v>70</v>
      </c>
      <c r="AB34" s="4" t="s">
        <v>70</v>
      </c>
      <c r="AC34" s="4" t="s">
        <v>71</v>
      </c>
      <c r="AD34" s="4" t="s">
        <v>71</v>
      </c>
      <c r="AE34" s="4" t="s">
        <v>71</v>
      </c>
      <c r="AF34" s="4" t="s">
        <v>70</v>
      </c>
      <c r="AG34" s="4" t="s">
        <v>70</v>
      </c>
      <c r="AH34" s="4" t="s">
        <v>70</v>
      </c>
      <c r="AI34" s="4" t="s">
        <v>71</v>
      </c>
      <c r="AJ34" s="4" t="s">
        <v>71</v>
      </c>
      <c r="AK34" s="4" t="s">
        <v>70</v>
      </c>
      <c r="AL34" s="4" t="s">
        <v>70</v>
      </c>
      <c r="AM34" s="4" t="s">
        <v>70</v>
      </c>
      <c r="AN34" s="4" t="s">
        <v>71</v>
      </c>
      <c r="AO34" s="4" t="s">
        <v>71</v>
      </c>
      <c r="AP34" s="4" t="s">
        <v>70</v>
      </c>
      <c r="AQ34" s="4" t="s">
        <v>70</v>
      </c>
      <c r="AR34" s="4" t="s">
        <v>71</v>
      </c>
      <c r="AS34" s="4" t="s">
        <v>71</v>
      </c>
      <c r="AT34" s="4" t="s">
        <v>644</v>
      </c>
    </row>
    <row r="35" spans="1:46" x14ac:dyDescent="0.25">
      <c r="A35" s="3">
        <v>45002.465073136569</v>
      </c>
      <c r="B35" s="4" t="s">
        <v>682</v>
      </c>
      <c r="C35" s="4" t="s">
        <v>683</v>
      </c>
      <c r="D35" s="5" t="s">
        <v>684</v>
      </c>
      <c r="E35" s="4" t="s">
        <v>62</v>
      </c>
      <c r="F35" s="4" t="s">
        <v>685</v>
      </c>
      <c r="G35" s="4" t="s">
        <v>64</v>
      </c>
      <c r="H35" s="4" t="s">
        <v>686</v>
      </c>
      <c r="I35" s="4" t="s">
        <v>687</v>
      </c>
      <c r="J35" s="4" t="s">
        <v>688</v>
      </c>
      <c r="K35" s="4" t="s">
        <v>682</v>
      </c>
      <c r="L35" s="4" t="s">
        <v>656</v>
      </c>
      <c r="M35" s="4" t="s">
        <v>387</v>
      </c>
      <c r="N35" s="4">
        <v>35</v>
      </c>
      <c r="O35" s="4" t="s">
        <v>433</v>
      </c>
      <c r="P35" s="4">
        <v>1</v>
      </c>
      <c r="Q35" s="4">
        <v>1</v>
      </c>
      <c r="R35" s="4">
        <v>49</v>
      </c>
      <c r="T35" s="4" t="s">
        <v>70</v>
      </c>
      <c r="U35" s="4" t="s">
        <v>70</v>
      </c>
      <c r="V35" s="6" t="s">
        <v>145</v>
      </c>
      <c r="W35" s="4" t="s">
        <v>70</v>
      </c>
      <c r="X35" s="4" t="s">
        <v>70</v>
      </c>
      <c r="Y35" s="4" t="s">
        <v>71</v>
      </c>
      <c r="Z35" s="4" t="s">
        <v>70</v>
      </c>
      <c r="AA35" s="4" t="s">
        <v>70</v>
      </c>
      <c r="AB35" s="4" t="s">
        <v>70</v>
      </c>
      <c r="AC35" s="4" t="s">
        <v>70</v>
      </c>
      <c r="AD35" s="4" t="s">
        <v>71</v>
      </c>
      <c r="AE35" s="4" t="s">
        <v>71</v>
      </c>
      <c r="AF35" s="4" t="s">
        <v>70</v>
      </c>
      <c r="AG35" s="4" t="s">
        <v>70</v>
      </c>
      <c r="AH35" s="4" t="s">
        <v>70</v>
      </c>
      <c r="AI35" s="4" t="s">
        <v>71</v>
      </c>
      <c r="AJ35" s="4" t="s">
        <v>71</v>
      </c>
      <c r="AK35" s="4" t="s">
        <v>71</v>
      </c>
      <c r="AL35" s="4" t="s">
        <v>71</v>
      </c>
      <c r="AM35" s="4" t="s">
        <v>71</v>
      </c>
      <c r="AN35" s="4" t="s">
        <v>71</v>
      </c>
      <c r="AO35" s="4" t="s">
        <v>71</v>
      </c>
      <c r="AP35" s="4" t="s">
        <v>71</v>
      </c>
      <c r="AQ35" s="4" t="s">
        <v>71</v>
      </c>
      <c r="AR35" s="4" t="s">
        <v>71</v>
      </c>
      <c r="AS35" s="4" t="s">
        <v>71</v>
      </c>
    </row>
    <row r="36" spans="1:46" x14ac:dyDescent="0.25">
      <c r="A36" s="3">
        <v>45001.665316087965</v>
      </c>
      <c r="B36" s="4" t="s">
        <v>694</v>
      </c>
      <c r="C36" s="4" t="s">
        <v>695</v>
      </c>
      <c r="D36" s="5" t="s">
        <v>696</v>
      </c>
      <c r="E36" s="4" t="s">
        <v>62</v>
      </c>
      <c r="F36" s="4" t="s">
        <v>697</v>
      </c>
      <c r="G36" s="4" t="s">
        <v>64</v>
      </c>
      <c r="H36" s="4" t="s">
        <v>698</v>
      </c>
      <c r="I36" s="4" t="s">
        <v>699</v>
      </c>
      <c r="K36" s="4" t="s">
        <v>694</v>
      </c>
      <c r="L36" s="4" t="s">
        <v>656</v>
      </c>
      <c r="M36" s="4" t="s">
        <v>394</v>
      </c>
      <c r="N36" s="4">
        <v>35</v>
      </c>
      <c r="O36" s="4" t="s">
        <v>69</v>
      </c>
      <c r="P36" s="4">
        <v>3</v>
      </c>
      <c r="Q36" s="4">
        <v>3</v>
      </c>
      <c r="R36" s="4">
        <v>5</v>
      </c>
      <c r="T36" s="4" t="s">
        <v>71</v>
      </c>
      <c r="U36" s="4" t="s">
        <v>70</v>
      </c>
      <c r="V36" s="6" t="s">
        <v>145</v>
      </c>
      <c r="W36" s="4" t="s">
        <v>71</v>
      </c>
      <c r="X36" s="4" t="s">
        <v>71</v>
      </c>
      <c r="Y36" s="4" t="s">
        <v>70</v>
      </c>
      <c r="Z36" s="4" t="s">
        <v>71</v>
      </c>
      <c r="AA36" s="4" t="s">
        <v>71</v>
      </c>
      <c r="AB36" s="4" t="s">
        <v>71</v>
      </c>
      <c r="AC36" s="4" t="s">
        <v>70</v>
      </c>
      <c r="AD36" s="4" t="s">
        <v>70</v>
      </c>
      <c r="AE36" s="4" t="s">
        <v>70</v>
      </c>
      <c r="AF36" s="4" t="s">
        <v>71</v>
      </c>
      <c r="AG36" s="4" t="s">
        <v>71</v>
      </c>
      <c r="AI36" s="4" t="s">
        <v>70</v>
      </c>
      <c r="AJ36" s="4" t="s">
        <v>70</v>
      </c>
      <c r="AK36" s="4" t="s">
        <v>71</v>
      </c>
      <c r="AL36" s="4" t="s">
        <v>71</v>
      </c>
      <c r="AM36" s="4" t="s">
        <v>71</v>
      </c>
      <c r="AN36" s="4" t="s">
        <v>70</v>
      </c>
      <c r="AO36" s="4" t="s">
        <v>70</v>
      </c>
      <c r="AP36" s="4" t="s">
        <v>71</v>
      </c>
      <c r="AQ36" s="4" t="s">
        <v>71</v>
      </c>
      <c r="AR36" s="4" t="s">
        <v>70</v>
      </c>
      <c r="AS36" s="4" t="s">
        <v>70</v>
      </c>
    </row>
    <row r="37" spans="1:46" x14ac:dyDescent="0.25">
      <c r="A37" s="3">
        <v>45005.513914328709</v>
      </c>
      <c r="B37" s="4" t="s">
        <v>701</v>
      </c>
      <c r="C37" s="4" t="s">
        <v>702</v>
      </c>
      <c r="D37" s="7" t="s">
        <v>703</v>
      </c>
      <c r="E37" s="4" t="s">
        <v>62</v>
      </c>
      <c r="F37" s="4" t="s">
        <v>205</v>
      </c>
      <c r="G37" s="4" t="s">
        <v>64</v>
      </c>
      <c r="H37" s="4" t="s">
        <v>704</v>
      </c>
      <c r="I37" s="4" t="s">
        <v>705</v>
      </c>
      <c r="J37" s="4" t="s">
        <v>706</v>
      </c>
      <c r="K37" s="4" t="s">
        <v>707</v>
      </c>
      <c r="L37" s="4" t="s">
        <v>656</v>
      </c>
      <c r="M37" s="4" t="s">
        <v>403</v>
      </c>
      <c r="N37" s="4">
        <v>35</v>
      </c>
      <c r="O37" s="4" t="s">
        <v>97</v>
      </c>
      <c r="P37" s="4">
        <v>2</v>
      </c>
      <c r="Q37" s="4">
        <v>2</v>
      </c>
      <c r="R37" s="4">
        <v>15</v>
      </c>
      <c r="T37" s="4" t="s">
        <v>70</v>
      </c>
      <c r="U37" s="4" t="s">
        <v>71</v>
      </c>
      <c r="V37" s="6" t="s">
        <v>145</v>
      </c>
      <c r="W37" s="4" t="s">
        <v>70</v>
      </c>
      <c r="X37" s="4" t="s">
        <v>70</v>
      </c>
      <c r="Y37" s="4" t="s">
        <v>71</v>
      </c>
      <c r="Z37" s="4" t="s">
        <v>70</v>
      </c>
      <c r="AA37" s="4" t="s">
        <v>70</v>
      </c>
      <c r="AB37" s="4" t="s">
        <v>70</v>
      </c>
      <c r="AC37" s="4" t="s">
        <v>71</v>
      </c>
      <c r="AD37" s="4" t="s">
        <v>71</v>
      </c>
      <c r="AE37" s="4" t="s">
        <v>71</v>
      </c>
      <c r="AF37" s="4" t="s">
        <v>71</v>
      </c>
      <c r="AG37" s="4" t="s">
        <v>71</v>
      </c>
      <c r="AH37" s="4" t="s">
        <v>71</v>
      </c>
      <c r="AI37" s="4" t="s">
        <v>71</v>
      </c>
      <c r="AJ37" s="4" t="s">
        <v>71</v>
      </c>
      <c r="AK37" s="4" t="s">
        <v>70</v>
      </c>
      <c r="AL37" s="4" t="s">
        <v>70</v>
      </c>
      <c r="AM37" s="4" t="s">
        <v>70</v>
      </c>
      <c r="AN37" s="4" t="s">
        <v>71</v>
      </c>
      <c r="AO37" s="4" t="s">
        <v>71</v>
      </c>
      <c r="AP37" s="4" t="s">
        <v>70</v>
      </c>
      <c r="AQ37" s="4" t="s">
        <v>70</v>
      </c>
      <c r="AR37" s="4" t="s">
        <v>71</v>
      </c>
      <c r="AS37" s="4" t="s">
        <v>71</v>
      </c>
    </row>
    <row r="38" spans="1:46" x14ac:dyDescent="0.25">
      <c r="A38" s="3">
        <v>45005.516650972218</v>
      </c>
      <c r="B38" s="4" t="s">
        <v>701</v>
      </c>
      <c r="C38" s="4" t="s">
        <v>702</v>
      </c>
      <c r="D38" s="7" t="s">
        <v>703</v>
      </c>
      <c r="E38" s="4" t="s">
        <v>427</v>
      </c>
      <c r="F38" s="4" t="s">
        <v>428</v>
      </c>
      <c r="G38" s="4" t="s">
        <v>64</v>
      </c>
      <c r="H38" s="4" t="s">
        <v>709</v>
      </c>
      <c r="I38" s="4" t="s">
        <v>706</v>
      </c>
      <c r="K38" s="4" t="s">
        <v>701</v>
      </c>
      <c r="L38" s="4" t="s">
        <v>656</v>
      </c>
      <c r="M38" s="4" t="s">
        <v>411</v>
      </c>
      <c r="N38" s="4">
        <v>35</v>
      </c>
      <c r="O38" s="4" t="s">
        <v>97</v>
      </c>
      <c r="P38" s="4">
        <v>2</v>
      </c>
      <c r="Q38" s="4">
        <v>2</v>
      </c>
      <c r="R38" s="4">
        <v>15</v>
      </c>
      <c r="T38" s="4" t="s">
        <v>70</v>
      </c>
      <c r="U38" s="4" t="s">
        <v>71</v>
      </c>
      <c r="V38" s="6" t="s">
        <v>145</v>
      </c>
      <c r="W38" s="4" t="s">
        <v>70</v>
      </c>
      <c r="X38" s="4" t="s">
        <v>70</v>
      </c>
      <c r="Y38" s="4" t="s">
        <v>71</v>
      </c>
      <c r="Z38" s="4" t="s">
        <v>70</v>
      </c>
      <c r="AA38" s="4" t="s">
        <v>70</v>
      </c>
      <c r="AB38" s="4" t="s">
        <v>70</v>
      </c>
      <c r="AC38" s="4" t="s">
        <v>71</v>
      </c>
      <c r="AD38" s="4" t="s">
        <v>71</v>
      </c>
      <c r="AE38" s="4" t="s">
        <v>71</v>
      </c>
      <c r="AF38" s="4" t="s">
        <v>71</v>
      </c>
      <c r="AG38" s="4" t="s">
        <v>71</v>
      </c>
      <c r="AH38" s="4" t="s">
        <v>71</v>
      </c>
      <c r="AI38" s="4" t="s">
        <v>71</v>
      </c>
      <c r="AJ38" s="4" t="s">
        <v>71</v>
      </c>
      <c r="AK38" s="4" t="s">
        <v>70</v>
      </c>
      <c r="AL38" s="4" t="s">
        <v>70</v>
      </c>
      <c r="AM38" s="4" t="s">
        <v>70</v>
      </c>
      <c r="AN38" s="4" t="s">
        <v>71</v>
      </c>
      <c r="AO38" s="4" t="s">
        <v>71</v>
      </c>
      <c r="AP38" s="4" t="s">
        <v>70</v>
      </c>
      <c r="AQ38" s="4" t="s">
        <v>70</v>
      </c>
      <c r="AR38" s="4" t="s">
        <v>71</v>
      </c>
      <c r="AS38" s="4" t="s">
        <v>71</v>
      </c>
      <c r="AT38" s="4" t="s">
        <v>711</v>
      </c>
    </row>
    <row r="39" spans="1:46" x14ac:dyDescent="0.25">
      <c r="A39" s="3">
        <v>45001.666592256945</v>
      </c>
      <c r="B39" s="4" t="s">
        <v>736</v>
      </c>
      <c r="C39" s="4" t="s">
        <v>737</v>
      </c>
      <c r="D39" s="5" t="s">
        <v>738</v>
      </c>
      <c r="E39" s="4" t="s">
        <v>103</v>
      </c>
      <c r="F39" s="4" t="s">
        <v>739</v>
      </c>
      <c r="G39" s="4" t="s">
        <v>64</v>
      </c>
      <c r="H39" s="4" t="s">
        <v>740</v>
      </c>
      <c r="I39" s="4" t="s">
        <v>741</v>
      </c>
      <c r="J39" s="4" t="s">
        <v>742</v>
      </c>
      <c r="K39" s="4" t="s">
        <v>736</v>
      </c>
      <c r="L39" s="4" t="s">
        <v>656</v>
      </c>
      <c r="M39" s="4" t="s">
        <v>432</v>
      </c>
      <c r="N39" s="4">
        <v>31</v>
      </c>
      <c r="O39" s="4" t="s">
        <v>97</v>
      </c>
      <c r="P39" s="4">
        <v>5</v>
      </c>
      <c r="Q39" s="4">
        <v>5</v>
      </c>
      <c r="R39" s="4">
        <v>0</v>
      </c>
      <c r="T39" s="4" t="s">
        <v>70</v>
      </c>
      <c r="U39" s="4" t="s">
        <v>70</v>
      </c>
      <c r="V39" s="6" t="s">
        <v>145</v>
      </c>
      <c r="W39" s="4" t="s">
        <v>70</v>
      </c>
      <c r="X39" s="4" t="s">
        <v>70</v>
      </c>
      <c r="Y39" s="4" t="s">
        <v>71</v>
      </c>
      <c r="Z39" s="4" t="s">
        <v>71</v>
      </c>
      <c r="AA39" s="4" t="s">
        <v>71</v>
      </c>
      <c r="AB39" s="4" t="s">
        <v>71</v>
      </c>
      <c r="AC39" s="4" t="s">
        <v>70</v>
      </c>
      <c r="AD39" s="4" t="s">
        <v>71</v>
      </c>
      <c r="AE39" s="4" t="s">
        <v>71</v>
      </c>
      <c r="AN39" s="4" t="s">
        <v>70</v>
      </c>
    </row>
    <row r="40" spans="1:46" x14ac:dyDescent="0.25">
      <c r="A40" s="3">
        <v>45005.507034837967</v>
      </c>
      <c r="B40" s="4" t="s">
        <v>728</v>
      </c>
      <c r="C40" s="4" t="s">
        <v>743</v>
      </c>
      <c r="D40" s="7" t="s">
        <v>744</v>
      </c>
      <c r="E40" s="4" t="s">
        <v>149</v>
      </c>
      <c r="F40" s="4" t="s">
        <v>671</v>
      </c>
      <c r="G40" s="4" t="s">
        <v>64</v>
      </c>
      <c r="H40" s="4" t="s">
        <v>732</v>
      </c>
      <c r="I40" s="4" t="s">
        <v>745</v>
      </c>
      <c r="J40" s="4" t="s">
        <v>746</v>
      </c>
      <c r="K40" s="4" t="s">
        <v>728</v>
      </c>
      <c r="L40" s="4" t="s">
        <v>656</v>
      </c>
      <c r="M40" s="4" t="s">
        <v>423</v>
      </c>
      <c r="N40" s="4">
        <v>40</v>
      </c>
      <c r="O40" s="4" t="s">
        <v>69</v>
      </c>
      <c r="P40" s="4">
        <v>5</v>
      </c>
      <c r="Q40" s="4">
        <v>4</v>
      </c>
      <c r="R40" s="4">
        <v>10</v>
      </c>
      <c r="S40" s="4" t="s">
        <v>747</v>
      </c>
      <c r="T40" s="4" t="s">
        <v>70</v>
      </c>
      <c r="U40" s="4" t="s">
        <v>70</v>
      </c>
      <c r="V40" s="6" t="s">
        <v>145</v>
      </c>
      <c r="W40" s="4" t="s">
        <v>70</v>
      </c>
      <c r="X40" s="4" t="s">
        <v>71</v>
      </c>
      <c r="Y40" s="4" t="s">
        <v>70</v>
      </c>
      <c r="Z40" s="4" t="s">
        <v>71</v>
      </c>
      <c r="AA40" s="4" t="s">
        <v>70</v>
      </c>
      <c r="AB40" s="4" t="s">
        <v>71</v>
      </c>
      <c r="AC40" s="4" t="s">
        <v>71</v>
      </c>
      <c r="AD40" s="4" t="s">
        <v>71</v>
      </c>
      <c r="AE40" s="4" t="s">
        <v>71</v>
      </c>
      <c r="AJ40" s="4" t="s">
        <v>70</v>
      </c>
      <c r="AK40" s="4" t="s">
        <v>71</v>
      </c>
      <c r="AL40" s="4" t="s">
        <v>71</v>
      </c>
      <c r="AM40" s="4" t="s">
        <v>71</v>
      </c>
      <c r="AN40" s="4" t="s">
        <v>71</v>
      </c>
      <c r="AO40" s="4" t="s">
        <v>71</v>
      </c>
    </row>
    <row r="41" spans="1:46" x14ac:dyDescent="0.25">
      <c r="A41" s="3">
        <v>45005.58600412037</v>
      </c>
      <c r="B41" s="4" t="s">
        <v>748</v>
      </c>
      <c r="C41" s="4" t="s">
        <v>749</v>
      </c>
      <c r="D41" s="5" t="s">
        <v>750</v>
      </c>
      <c r="E41" s="4" t="s">
        <v>149</v>
      </c>
      <c r="F41" s="4" t="s">
        <v>205</v>
      </c>
      <c r="G41" s="4" t="s">
        <v>105</v>
      </c>
      <c r="H41" s="4" t="s">
        <v>751</v>
      </c>
      <c r="I41" s="4" t="s">
        <v>752</v>
      </c>
      <c r="K41" s="4" t="s">
        <v>748</v>
      </c>
      <c r="L41" s="4" t="s">
        <v>656</v>
      </c>
      <c r="M41" s="4" t="s">
        <v>361</v>
      </c>
      <c r="N41" s="4">
        <v>34</v>
      </c>
      <c r="O41" s="4" t="s">
        <v>200</v>
      </c>
      <c r="P41" s="4">
        <v>4</v>
      </c>
      <c r="Q41" s="4">
        <v>4</v>
      </c>
      <c r="R41" s="4">
        <v>60</v>
      </c>
      <c r="S41" s="4" t="s">
        <v>753</v>
      </c>
      <c r="T41" s="4" t="s">
        <v>70</v>
      </c>
      <c r="U41" s="4" t="s">
        <v>71</v>
      </c>
      <c r="V41" s="6" t="s">
        <v>145</v>
      </c>
      <c r="W41" s="4" t="s">
        <v>70</v>
      </c>
      <c r="X41" s="4" t="s">
        <v>71</v>
      </c>
      <c r="Y41" s="4" t="s">
        <v>71</v>
      </c>
      <c r="Z41" s="4" t="s">
        <v>71</v>
      </c>
      <c r="AA41" s="4" t="s">
        <v>70</v>
      </c>
      <c r="AB41" s="4" t="s">
        <v>71</v>
      </c>
      <c r="AC41" s="4" t="s">
        <v>71</v>
      </c>
      <c r="AD41" s="4" t="s">
        <v>71</v>
      </c>
      <c r="AE41" s="4" t="s">
        <v>71</v>
      </c>
      <c r="AF41" s="4" t="s">
        <v>71</v>
      </c>
      <c r="AG41" s="4" t="s">
        <v>71</v>
      </c>
      <c r="AH41" s="4" t="s">
        <v>70</v>
      </c>
      <c r="AI41" s="4" t="s">
        <v>71</v>
      </c>
      <c r="AJ41" s="4" t="s">
        <v>71</v>
      </c>
      <c r="AK41" s="4" t="s">
        <v>71</v>
      </c>
      <c r="AL41" s="4" t="s">
        <v>71</v>
      </c>
      <c r="AM41" s="4" t="s">
        <v>71</v>
      </c>
      <c r="AN41" s="4" t="s">
        <v>71</v>
      </c>
      <c r="AO41" s="4" t="s">
        <v>71</v>
      </c>
      <c r="AP41" s="4" t="s">
        <v>71</v>
      </c>
      <c r="AQ41" s="4" t="s">
        <v>71</v>
      </c>
      <c r="AR41" s="4" t="s">
        <v>71</v>
      </c>
      <c r="AS41" s="4" t="s">
        <v>71</v>
      </c>
    </row>
    <row r="42" spans="1:46" x14ac:dyDescent="0.25">
      <c r="A42" s="3">
        <v>45005.590766817128</v>
      </c>
      <c r="B42" s="4" t="s">
        <v>754</v>
      </c>
      <c r="C42" s="4" t="s">
        <v>749</v>
      </c>
      <c r="D42" s="5" t="s">
        <v>750</v>
      </c>
      <c r="E42" s="4" t="s">
        <v>149</v>
      </c>
      <c r="F42" s="4" t="s">
        <v>205</v>
      </c>
      <c r="G42" s="4" t="s">
        <v>105</v>
      </c>
      <c r="H42" s="4" t="s">
        <v>755</v>
      </c>
      <c r="I42" s="4" t="s">
        <v>756</v>
      </c>
      <c r="K42" s="4" t="s">
        <v>748</v>
      </c>
      <c r="L42" s="4" t="s">
        <v>656</v>
      </c>
      <c r="M42" s="4" t="s">
        <v>361</v>
      </c>
      <c r="N42" s="4">
        <v>24</v>
      </c>
      <c r="O42" s="4" t="s">
        <v>200</v>
      </c>
      <c r="P42" s="4">
        <v>4</v>
      </c>
      <c r="Q42" s="4">
        <v>4</v>
      </c>
      <c r="R42" s="4">
        <v>60</v>
      </c>
      <c r="S42" s="4" t="s">
        <v>757</v>
      </c>
      <c r="T42" s="4" t="s">
        <v>70</v>
      </c>
      <c r="U42" s="4" t="s">
        <v>71</v>
      </c>
      <c r="V42" s="6" t="s">
        <v>145</v>
      </c>
      <c r="W42" s="4" t="s">
        <v>70</v>
      </c>
      <c r="X42" s="4" t="s">
        <v>71</v>
      </c>
      <c r="Y42" s="4" t="s">
        <v>71</v>
      </c>
      <c r="Z42" s="4" t="s">
        <v>71</v>
      </c>
      <c r="AA42" s="4" t="s">
        <v>70</v>
      </c>
      <c r="AB42" s="4" t="s">
        <v>71</v>
      </c>
      <c r="AC42" s="4" t="s">
        <v>71</v>
      </c>
      <c r="AD42" s="4" t="s">
        <v>71</v>
      </c>
      <c r="AE42" s="4" t="s">
        <v>71</v>
      </c>
      <c r="AF42" s="4" t="s">
        <v>71</v>
      </c>
      <c r="AG42" s="4" t="s">
        <v>71</v>
      </c>
      <c r="AH42" s="4" t="s">
        <v>70</v>
      </c>
      <c r="AI42" s="4" t="s">
        <v>71</v>
      </c>
      <c r="AJ42" s="4" t="s">
        <v>71</v>
      </c>
      <c r="AK42" s="4" t="s">
        <v>71</v>
      </c>
      <c r="AL42" s="4" t="s">
        <v>71</v>
      </c>
      <c r="AM42" s="4" t="s">
        <v>71</v>
      </c>
      <c r="AN42" s="4" t="s">
        <v>71</v>
      </c>
      <c r="AO42" s="4" t="s">
        <v>71</v>
      </c>
      <c r="AP42" s="4" t="s">
        <v>71</v>
      </c>
      <c r="AQ42" s="4" t="s">
        <v>71</v>
      </c>
      <c r="AR42" s="4" t="s">
        <v>71</v>
      </c>
      <c r="AS42" s="4" t="s">
        <v>71</v>
      </c>
      <c r="AT42" s="4" t="s">
        <v>758</v>
      </c>
    </row>
    <row r="43" spans="1:46" x14ac:dyDescent="0.25">
      <c r="A43" s="3">
        <v>45000.745915578707</v>
      </c>
      <c r="B43" s="4" t="s">
        <v>759</v>
      </c>
      <c r="C43" s="4" t="s">
        <v>760</v>
      </c>
      <c r="D43" s="5" t="s">
        <v>761</v>
      </c>
      <c r="E43" s="4" t="s">
        <v>62</v>
      </c>
      <c r="F43" s="4" t="s">
        <v>766</v>
      </c>
      <c r="G43" s="4" t="s">
        <v>64</v>
      </c>
      <c r="H43" s="4" t="s">
        <v>764</v>
      </c>
      <c r="I43" s="4" t="s">
        <v>767</v>
      </c>
      <c r="J43" s="4" t="s">
        <v>765</v>
      </c>
      <c r="K43" s="4" t="s">
        <v>759</v>
      </c>
      <c r="L43" s="4" t="s">
        <v>656</v>
      </c>
      <c r="M43" s="4" t="s">
        <v>450</v>
      </c>
      <c r="N43" s="4">
        <v>25</v>
      </c>
      <c r="O43" s="4" t="s">
        <v>69</v>
      </c>
      <c r="P43" s="4">
        <v>4</v>
      </c>
      <c r="Q43" s="4">
        <v>2</v>
      </c>
      <c r="R43" s="4">
        <v>10</v>
      </c>
      <c r="T43" s="4" t="s">
        <v>70</v>
      </c>
      <c r="U43" s="4" t="s">
        <v>71</v>
      </c>
      <c r="V43" s="6" t="s">
        <v>145</v>
      </c>
      <c r="W43" s="4" t="s">
        <v>70</v>
      </c>
      <c r="X43" s="4" t="s">
        <v>71</v>
      </c>
      <c r="Y43" s="4" t="s">
        <v>71</v>
      </c>
      <c r="Z43" s="4" t="s">
        <v>71</v>
      </c>
      <c r="AA43" s="4" t="s">
        <v>70</v>
      </c>
      <c r="AB43" s="4" t="s">
        <v>71</v>
      </c>
      <c r="AC43" s="4" t="s">
        <v>71</v>
      </c>
      <c r="AD43" s="4" t="s">
        <v>71</v>
      </c>
      <c r="AE43" s="4" t="s">
        <v>71</v>
      </c>
      <c r="AM43" s="4" t="s">
        <v>70</v>
      </c>
    </row>
    <row r="44" spans="1:46" x14ac:dyDescent="0.25">
      <c r="A44" s="3">
        <v>45000.743401585649</v>
      </c>
      <c r="B44" s="4" t="s">
        <v>759</v>
      </c>
      <c r="C44" s="4" t="s">
        <v>760</v>
      </c>
      <c r="D44" s="5" t="s">
        <v>761</v>
      </c>
      <c r="E44" s="4" t="s">
        <v>62</v>
      </c>
      <c r="F44" s="4" t="s">
        <v>762</v>
      </c>
      <c r="G44" s="4" t="s">
        <v>64</v>
      </c>
      <c r="H44" s="4" t="s">
        <v>763</v>
      </c>
      <c r="I44" s="4" t="s">
        <v>764</v>
      </c>
      <c r="J44" s="4" t="s">
        <v>765</v>
      </c>
      <c r="K44" s="4" t="s">
        <v>759</v>
      </c>
      <c r="L44" s="4" t="s">
        <v>656</v>
      </c>
      <c r="M44" s="4" t="s">
        <v>440</v>
      </c>
      <c r="N44" s="4">
        <v>35</v>
      </c>
      <c r="O44" s="4" t="s">
        <v>69</v>
      </c>
      <c r="P44" s="4">
        <v>4</v>
      </c>
      <c r="Q44" s="4">
        <v>3</v>
      </c>
      <c r="R44" s="4">
        <v>10</v>
      </c>
      <c r="T44" s="4" t="s">
        <v>70</v>
      </c>
      <c r="U44" s="4" t="s">
        <v>71</v>
      </c>
      <c r="V44" s="6" t="s">
        <v>145</v>
      </c>
      <c r="W44" s="4" t="s">
        <v>70</v>
      </c>
      <c r="X44" s="4" t="s">
        <v>71</v>
      </c>
      <c r="Y44" s="4" t="s">
        <v>71</v>
      </c>
      <c r="Z44" s="4" t="s">
        <v>71</v>
      </c>
      <c r="AA44" s="4" t="s">
        <v>70</v>
      </c>
      <c r="AB44" s="4" t="s">
        <v>71</v>
      </c>
      <c r="AC44" s="4" t="s">
        <v>71</v>
      </c>
      <c r="AD44" s="4" t="s">
        <v>71</v>
      </c>
      <c r="AE44" s="4" t="s">
        <v>71</v>
      </c>
      <c r="AM44" s="4" t="s">
        <v>70</v>
      </c>
    </row>
    <row r="45" spans="1:46" x14ac:dyDescent="0.25">
      <c r="A45" s="3">
        <v>45005.81125875</v>
      </c>
      <c r="B45" s="4" t="s">
        <v>768</v>
      </c>
      <c r="C45" s="4" t="s">
        <v>769</v>
      </c>
      <c r="D45" s="6" t="s">
        <v>770</v>
      </c>
      <c r="E45" s="4" t="s">
        <v>103</v>
      </c>
      <c r="F45" s="4" t="s">
        <v>384</v>
      </c>
      <c r="G45" s="4" t="s">
        <v>64</v>
      </c>
      <c r="H45" s="4" t="s">
        <v>774</v>
      </c>
      <c r="I45" s="4" t="s">
        <v>772</v>
      </c>
      <c r="J45" s="4" t="s">
        <v>775</v>
      </c>
      <c r="K45" s="4" t="s">
        <v>768</v>
      </c>
      <c r="L45" s="4" t="s">
        <v>656</v>
      </c>
      <c r="M45" s="4" t="s">
        <v>458</v>
      </c>
      <c r="N45" s="4">
        <v>38</v>
      </c>
      <c r="O45" s="4" t="s">
        <v>69</v>
      </c>
      <c r="P45" s="4">
        <v>3</v>
      </c>
      <c r="Q45" s="4">
        <v>4</v>
      </c>
      <c r="R45" s="4">
        <v>10</v>
      </c>
      <c r="T45" s="4" t="s">
        <v>70</v>
      </c>
      <c r="U45" s="4" t="s">
        <v>70</v>
      </c>
      <c r="V45" s="6" t="s">
        <v>145</v>
      </c>
      <c r="W45" s="4" t="s">
        <v>70</v>
      </c>
      <c r="X45" s="4" t="s">
        <v>70</v>
      </c>
      <c r="Y45" s="4" t="s">
        <v>70</v>
      </c>
      <c r="Z45" s="4" t="s">
        <v>70</v>
      </c>
      <c r="AA45" s="4" t="s">
        <v>70</v>
      </c>
      <c r="AB45" s="4" t="s">
        <v>70</v>
      </c>
      <c r="AC45" s="4" t="s">
        <v>70</v>
      </c>
      <c r="AD45" s="4" t="s">
        <v>71</v>
      </c>
      <c r="AE45" s="4" t="s">
        <v>71</v>
      </c>
      <c r="AF45" s="4" t="s">
        <v>70</v>
      </c>
      <c r="AG45" s="4" t="s">
        <v>70</v>
      </c>
      <c r="AH45" s="4" t="s">
        <v>70</v>
      </c>
      <c r="AI45" s="4" t="s">
        <v>71</v>
      </c>
      <c r="AJ45" s="4" t="s">
        <v>71</v>
      </c>
      <c r="AK45" s="4" t="s">
        <v>70</v>
      </c>
      <c r="AL45" s="4" t="s">
        <v>70</v>
      </c>
      <c r="AM45" s="4" t="s">
        <v>70</v>
      </c>
      <c r="AN45" s="4" t="s">
        <v>71</v>
      </c>
      <c r="AO45" s="4" t="s">
        <v>71</v>
      </c>
      <c r="AP45" s="4" t="s">
        <v>70</v>
      </c>
      <c r="AQ45" s="4" t="s">
        <v>70</v>
      </c>
      <c r="AR45" s="4" t="s">
        <v>70</v>
      </c>
      <c r="AS45" s="4" t="s">
        <v>71</v>
      </c>
    </row>
    <row r="46" spans="1:46" x14ac:dyDescent="0.25">
      <c r="A46" s="3">
        <v>45005.80737436343</v>
      </c>
      <c r="B46" s="4" t="s">
        <v>768</v>
      </c>
      <c r="C46" s="4" t="s">
        <v>769</v>
      </c>
      <c r="D46" s="6" t="s">
        <v>770</v>
      </c>
      <c r="E46" s="4" t="s">
        <v>149</v>
      </c>
      <c r="F46" s="4" t="s">
        <v>205</v>
      </c>
      <c r="G46" s="4" t="s">
        <v>64</v>
      </c>
      <c r="H46" s="4" t="s">
        <v>771</v>
      </c>
      <c r="I46" s="4" t="s">
        <v>772</v>
      </c>
      <c r="J46" s="4" t="s">
        <v>773</v>
      </c>
      <c r="K46" s="4" t="s">
        <v>768</v>
      </c>
      <c r="L46" s="4" t="s">
        <v>656</v>
      </c>
      <c r="M46" s="4" t="s">
        <v>458</v>
      </c>
      <c r="N46" s="4">
        <v>33</v>
      </c>
      <c r="O46" s="4" t="s">
        <v>69</v>
      </c>
      <c r="P46" s="4">
        <v>3</v>
      </c>
      <c r="Q46" s="4">
        <v>4</v>
      </c>
      <c r="R46" s="4">
        <v>10</v>
      </c>
      <c r="T46" s="4" t="s">
        <v>70</v>
      </c>
      <c r="U46" s="4" t="s">
        <v>70</v>
      </c>
      <c r="V46" s="6" t="s">
        <v>145</v>
      </c>
      <c r="W46" s="4" t="s">
        <v>70</v>
      </c>
      <c r="X46" s="4" t="s">
        <v>70</v>
      </c>
      <c r="Y46" s="4" t="s">
        <v>70</v>
      </c>
      <c r="Z46" s="4" t="s">
        <v>70</v>
      </c>
      <c r="AA46" s="4" t="s">
        <v>70</v>
      </c>
      <c r="AB46" s="4" t="s">
        <v>70</v>
      </c>
      <c r="AC46" s="4" t="s">
        <v>70</v>
      </c>
      <c r="AD46" s="4" t="s">
        <v>71</v>
      </c>
      <c r="AE46" s="4" t="s">
        <v>71</v>
      </c>
      <c r="AF46" s="4" t="s">
        <v>70</v>
      </c>
      <c r="AG46" s="4" t="s">
        <v>70</v>
      </c>
      <c r="AH46" s="4" t="s">
        <v>70</v>
      </c>
      <c r="AI46" s="4" t="s">
        <v>71</v>
      </c>
      <c r="AJ46" s="4" t="s">
        <v>71</v>
      </c>
      <c r="AK46" s="4" t="s">
        <v>70</v>
      </c>
      <c r="AL46" s="4" t="s">
        <v>70</v>
      </c>
      <c r="AM46" s="4" t="s">
        <v>70</v>
      </c>
      <c r="AN46" s="4" t="s">
        <v>71</v>
      </c>
      <c r="AO46" s="4" t="s">
        <v>71</v>
      </c>
      <c r="AP46" s="4" t="s">
        <v>70</v>
      </c>
      <c r="AQ46" s="4" t="s">
        <v>70</v>
      </c>
      <c r="AR46" s="4" t="s">
        <v>70</v>
      </c>
      <c r="AS46" s="4" t="s">
        <v>71</v>
      </c>
    </row>
    <row r="47" spans="1:46" x14ac:dyDescent="0.25">
      <c r="A47" s="3">
        <v>45001.535564270831</v>
      </c>
      <c r="B47" s="4" t="s">
        <v>776</v>
      </c>
      <c r="C47" s="4" t="s">
        <v>777</v>
      </c>
      <c r="D47" s="7" t="s">
        <v>778</v>
      </c>
      <c r="E47" s="4" t="s">
        <v>103</v>
      </c>
      <c r="F47" s="4" t="s">
        <v>779</v>
      </c>
      <c r="G47" s="4" t="s">
        <v>64</v>
      </c>
      <c r="H47" s="4" t="s">
        <v>785</v>
      </c>
      <c r="I47" s="4" t="s">
        <v>786</v>
      </c>
      <c r="J47" s="4" t="s">
        <v>782</v>
      </c>
      <c r="K47" s="4" t="s">
        <v>776</v>
      </c>
      <c r="L47" s="4" t="s">
        <v>656</v>
      </c>
      <c r="M47" s="4" t="s">
        <v>467</v>
      </c>
      <c r="N47" s="4">
        <v>26</v>
      </c>
      <c r="O47" s="4" t="s">
        <v>433</v>
      </c>
      <c r="P47" s="4">
        <v>4</v>
      </c>
      <c r="Q47" s="4">
        <v>4</v>
      </c>
      <c r="R47" s="4">
        <v>1</v>
      </c>
      <c r="T47" s="4" t="s">
        <v>70</v>
      </c>
      <c r="U47" s="4" t="s">
        <v>71</v>
      </c>
      <c r="V47" s="6" t="s">
        <v>145</v>
      </c>
      <c r="W47" s="4" t="s">
        <v>70</v>
      </c>
      <c r="X47" s="4" t="s">
        <v>70</v>
      </c>
      <c r="Y47" s="4" t="s">
        <v>71</v>
      </c>
      <c r="Z47" s="4" t="s">
        <v>71</v>
      </c>
      <c r="AA47" s="4" t="s">
        <v>70</v>
      </c>
      <c r="AB47" s="4" t="s">
        <v>71</v>
      </c>
      <c r="AC47" s="4" t="s">
        <v>71</v>
      </c>
      <c r="AD47" s="4" t="s">
        <v>71</v>
      </c>
      <c r="AE47" s="4" t="s">
        <v>71</v>
      </c>
      <c r="AG47" s="4" t="s">
        <v>70</v>
      </c>
      <c r="AL47" s="4" t="s">
        <v>70</v>
      </c>
    </row>
    <row r="48" spans="1:46" x14ac:dyDescent="0.25">
      <c r="A48" s="3">
        <v>45001.552058356479</v>
      </c>
      <c r="B48" s="4" t="s">
        <v>776</v>
      </c>
      <c r="C48" s="4" t="s">
        <v>788</v>
      </c>
      <c r="D48" s="7" t="s">
        <v>778</v>
      </c>
      <c r="E48" s="4" t="s">
        <v>103</v>
      </c>
      <c r="F48" s="4" t="s">
        <v>779</v>
      </c>
      <c r="G48" s="4" t="s">
        <v>64</v>
      </c>
      <c r="H48" s="4" t="s">
        <v>785</v>
      </c>
      <c r="I48" s="4" t="s">
        <v>789</v>
      </c>
      <c r="J48" s="4" t="s">
        <v>782</v>
      </c>
      <c r="K48" s="4" t="s">
        <v>776</v>
      </c>
      <c r="L48" s="4" t="s">
        <v>656</v>
      </c>
      <c r="M48" s="4" t="s">
        <v>470</v>
      </c>
      <c r="N48" s="4">
        <v>30</v>
      </c>
      <c r="O48" s="4" t="s">
        <v>433</v>
      </c>
      <c r="P48" s="4">
        <v>4</v>
      </c>
      <c r="Q48" s="4">
        <v>4</v>
      </c>
      <c r="R48" s="4">
        <v>0</v>
      </c>
      <c r="T48" s="4" t="s">
        <v>70</v>
      </c>
      <c r="U48" s="4" t="s">
        <v>71</v>
      </c>
      <c r="V48" s="6" t="s">
        <v>145</v>
      </c>
      <c r="W48" s="4" t="s">
        <v>70</v>
      </c>
      <c r="X48" s="4" t="s">
        <v>70</v>
      </c>
      <c r="Y48" s="4" t="s">
        <v>71</v>
      </c>
      <c r="Z48" s="4" t="s">
        <v>71</v>
      </c>
      <c r="AA48" s="4" t="s">
        <v>70</v>
      </c>
      <c r="AB48" s="4" t="s">
        <v>71</v>
      </c>
      <c r="AC48" s="4" t="s">
        <v>71</v>
      </c>
      <c r="AD48" s="4" t="s">
        <v>71</v>
      </c>
      <c r="AE48" s="4" t="s">
        <v>71</v>
      </c>
    </row>
    <row r="49" spans="1:94" x14ac:dyDescent="0.25">
      <c r="A49" s="3">
        <v>45001.560459155095</v>
      </c>
      <c r="B49" s="4" t="s">
        <v>776</v>
      </c>
      <c r="C49" s="4" t="s">
        <v>777</v>
      </c>
      <c r="D49" s="7" t="s">
        <v>778</v>
      </c>
      <c r="E49" s="4" t="s">
        <v>140</v>
      </c>
      <c r="F49" s="4" t="s">
        <v>779</v>
      </c>
      <c r="G49" s="4" t="s">
        <v>64</v>
      </c>
      <c r="H49" s="4" t="s">
        <v>785</v>
      </c>
      <c r="I49" s="4" t="s">
        <v>789</v>
      </c>
      <c r="J49" s="4" t="s">
        <v>782</v>
      </c>
      <c r="K49" s="4" t="s">
        <v>776</v>
      </c>
      <c r="L49" s="4" t="s">
        <v>656</v>
      </c>
      <c r="M49" s="4" t="s">
        <v>470</v>
      </c>
      <c r="N49" s="4">
        <v>30</v>
      </c>
      <c r="O49" s="4" t="s">
        <v>433</v>
      </c>
      <c r="P49" s="4">
        <v>4</v>
      </c>
      <c r="Q49" s="4">
        <v>4</v>
      </c>
      <c r="R49" s="4">
        <v>0</v>
      </c>
      <c r="T49" s="4" t="s">
        <v>70</v>
      </c>
      <c r="U49" s="4" t="s">
        <v>71</v>
      </c>
      <c r="V49" s="6" t="s">
        <v>145</v>
      </c>
      <c r="W49" s="4" t="s">
        <v>70</v>
      </c>
      <c r="X49" s="4" t="s">
        <v>70</v>
      </c>
      <c r="Y49" s="4" t="s">
        <v>71</v>
      </c>
      <c r="Z49" s="4" t="s">
        <v>71</v>
      </c>
      <c r="AA49" s="4" t="s">
        <v>70</v>
      </c>
      <c r="AB49" s="4" t="s">
        <v>71</v>
      </c>
      <c r="AC49" s="4" t="s">
        <v>71</v>
      </c>
      <c r="AD49" s="4" t="s">
        <v>71</v>
      </c>
      <c r="AE49" s="4" t="s">
        <v>71</v>
      </c>
    </row>
    <row r="50" spans="1:94" x14ac:dyDescent="0.25">
      <c r="A50" s="3">
        <v>45005.500209340273</v>
      </c>
      <c r="B50" s="4" t="s">
        <v>796</v>
      </c>
      <c r="C50" s="4" t="s">
        <v>797</v>
      </c>
      <c r="D50" s="7" t="s">
        <v>798</v>
      </c>
      <c r="E50" s="4" t="s">
        <v>62</v>
      </c>
      <c r="F50" s="4" t="s">
        <v>803</v>
      </c>
      <c r="G50" s="4" t="s">
        <v>64</v>
      </c>
      <c r="H50" s="4" t="s">
        <v>804</v>
      </c>
      <c r="I50" s="4" t="s">
        <v>805</v>
      </c>
      <c r="J50" s="4" t="s">
        <v>801</v>
      </c>
      <c r="K50" s="4" t="s">
        <v>796</v>
      </c>
      <c r="L50" s="4" t="s">
        <v>656</v>
      </c>
      <c r="M50" s="4" t="s">
        <v>490</v>
      </c>
      <c r="N50" s="4">
        <v>35</v>
      </c>
      <c r="O50" s="4" t="s">
        <v>69</v>
      </c>
      <c r="P50" s="4">
        <v>1</v>
      </c>
      <c r="Q50" s="4">
        <v>3</v>
      </c>
      <c r="R50" s="4">
        <v>20</v>
      </c>
      <c r="T50" s="4" t="s">
        <v>70</v>
      </c>
      <c r="U50" s="4" t="s">
        <v>71</v>
      </c>
      <c r="V50" s="6" t="s">
        <v>145</v>
      </c>
      <c r="W50" s="4" t="s">
        <v>70</v>
      </c>
      <c r="X50" s="4" t="s">
        <v>70</v>
      </c>
      <c r="Y50" s="4" t="s">
        <v>71</v>
      </c>
      <c r="Z50" s="4" t="s">
        <v>71</v>
      </c>
      <c r="AA50" s="4" t="s">
        <v>71</v>
      </c>
      <c r="AB50" s="4" t="s">
        <v>71</v>
      </c>
      <c r="AC50" s="4" t="s">
        <v>71</v>
      </c>
      <c r="AD50" s="4" t="s">
        <v>71</v>
      </c>
      <c r="AE50" s="4" t="s">
        <v>71</v>
      </c>
      <c r="AF50" s="4" t="s">
        <v>71</v>
      </c>
      <c r="AG50" s="4" t="s">
        <v>71</v>
      </c>
      <c r="AH50" s="4" t="s">
        <v>71</v>
      </c>
      <c r="AI50" s="4" t="s">
        <v>71</v>
      </c>
      <c r="AJ50" s="4" t="s">
        <v>71</v>
      </c>
      <c r="AK50" s="4" t="s">
        <v>71</v>
      </c>
      <c r="AL50" s="4" t="s">
        <v>71</v>
      </c>
      <c r="AM50" s="4" t="s">
        <v>71</v>
      </c>
      <c r="AN50" s="4" t="s">
        <v>71</v>
      </c>
      <c r="AO50" s="4" t="s">
        <v>71</v>
      </c>
      <c r="AP50" s="4" t="s">
        <v>71</v>
      </c>
      <c r="AQ50" s="4" t="s">
        <v>71</v>
      </c>
      <c r="AR50" s="4" t="s">
        <v>71</v>
      </c>
      <c r="AS50" s="4" t="s">
        <v>71</v>
      </c>
    </row>
    <row r="51" spans="1:94" x14ac:dyDescent="0.25">
      <c r="A51" s="3">
        <v>45005.412433206016</v>
      </c>
      <c r="B51" s="4" t="s">
        <v>796</v>
      </c>
      <c r="C51" s="4" t="s">
        <v>797</v>
      </c>
      <c r="D51" s="7" t="s">
        <v>798</v>
      </c>
      <c r="E51" s="4" t="s">
        <v>149</v>
      </c>
      <c r="F51" s="4" t="s">
        <v>799</v>
      </c>
      <c r="G51" s="4" t="s">
        <v>64</v>
      </c>
      <c r="H51" s="4" t="s">
        <v>800</v>
      </c>
      <c r="I51" s="4" t="s">
        <v>801</v>
      </c>
      <c r="J51" s="4" t="s">
        <v>802</v>
      </c>
      <c r="K51" s="4" t="s">
        <v>796</v>
      </c>
      <c r="L51" s="4" t="s">
        <v>656</v>
      </c>
      <c r="M51" s="4" t="s">
        <v>490</v>
      </c>
      <c r="N51" s="4">
        <v>35</v>
      </c>
      <c r="O51" s="4" t="s">
        <v>69</v>
      </c>
      <c r="P51" s="4">
        <v>1</v>
      </c>
      <c r="Q51" s="4">
        <v>3</v>
      </c>
      <c r="R51" s="4">
        <v>20</v>
      </c>
      <c r="T51" s="4" t="s">
        <v>70</v>
      </c>
      <c r="U51" s="4" t="s">
        <v>71</v>
      </c>
      <c r="V51" s="6" t="s">
        <v>145</v>
      </c>
      <c r="W51" s="4" t="s">
        <v>70</v>
      </c>
      <c r="X51" s="4" t="s">
        <v>70</v>
      </c>
      <c r="Y51" s="4" t="s">
        <v>71</v>
      </c>
      <c r="Z51" s="4" t="s">
        <v>71</v>
      </c>
      <c r="AA51" s="4" t="s">
        <v>71</v>
      </c>
      <c r="AB51" s="4" t="s">
        <v>71</v>
      </c>
      <c r="AC51" s="4" t="s">
        <v>71</v>
      </c>
      <c r="AD51" s="4" t="s">
        <v>71</v>
      </c>
      <c r="AE51" s="4" t="s">
        <v>71</v>
      </c>
      <c r="AF51" s="4" t="s">
        <v>71</v>
      </c>
      <c r="AG51" s="4" t="s">
        <v>71</v>
      </c>
      <c r="AH51" s="4" t="s">
        <v>71</v>
      </c>
      <c r="AI51" s="4" t="s">
        <v>71</v>
      </c>
      <c r="AJ51" s="4" t="s">
        <v>71</v>
      </c>
      <c r="AK51" s="4" t="s">
        <v>71</v>
      </c>
      <c r="AL51" s="4" t="s">
        <v>71</v>
      </c>
      <c r="AM51" s="4" t="s">
        <v>71</v>
      </c>
      <c r="AN51" s="4" t="s">
        <v>71</v>
      </c>
      <c r="AO51" s="4" t="s">
        <v>71</v>
      </c>
      <c r="AP51" s="4" t="s">
        <v>71</v>
      </c>
      <c r="AQ51" s="4" t="s">
        <v>71</v>
      </c>
      <c r="AR51" s="4" t="s">
        <v>71</v>
      </c>
      <c r="AS51" s="4" t="s">
        <v>71</v>
      </c>
    </row>
    <row r="52" spans="1:94" x14ac:dyDescent="0.25">
      <c r="A52" s="3">
        <v>45005.502667476852</v>
      </c>
      <c r="B52" s="4" t="s">
        <v>796</v>
      </c>
      <c r="C52" s="4" t="s">
        <v>797</v>
      </c>
      <c r="D52" s="7" t="s">
        <v>798</v>
      </c>
      <c r="E52" s="4" t="s">
        <v>149</v>
      </c>
      <c r="F52" s="4" t="s">
        <v>799</v>
      </c>
      <c r="G52" s="4" t="s">
        <v>64</v>
      </c>
      <c r="H52" s="4" t="s">
        <v>804</v>
      </c>
      <c r="I52" s="4" t="s">
        <v>802</v>
      </c>
      <c r="J52" s="4" t="s">
        <v>805</v>
      </c>
      <c r="K52" s="4" t="s">
        <v>796</v>
      </c>
      <c r="L52" s="4" t="s">
        <v>656</v>
      </c>
      <c r="M52" s="4" t="s">
        <v>490</v>
      </c>
      <c r="N52" s="4">
        <v>35</v>
      </c>
      <c r="O52" s="4" t="s">
        <v>69</v>
      </c>
      <c r="P52" s="4">
        <v>1</v>
      </c>
      <c r="Q52" s="4">
        <v>3</v>
      </c>
      <c r="R52" s="4">
        <v>20</v>
      </c>
      <c r="T52" s="4" t="s">
        <v>70</v>
      </c>
      <c r="U52" s="4" t="s">
        <v>71</v>
      </c>
      <c r="V52" s="6" t="s">
        <v>145</v>
      </c>
      <c r="W52" s="4" t="s">
        <v>70</v>
      </c>
      <c r="X52" s="4" t="s">
        <v>70</v>
      </c>
      <c r="Y52" s="4" t="s">
        <v>71</v>
      </c>
      <c r="Z52" s="4" t="s">
        <v>71</v>
      </c>
      <c r="AA52" s="4" t="s">
        <v>71</v>
      </c>
      <c r="AB52" s="4" t="s">
        <v>71</v>
      </c>
      <c r="AC52" s="4" t="s">
        <v>71</v>
      </c>
      <c r="AD52" s="4" t="s">
        <v>71</v>
      </c>
      <c r="AE52" s="4" t="s">
        <v>71</v>
      </c>
      <c r="AF52" s="4" t="s">
        <v>71</v>
      </c>
      <c r="AG52" s="4" t="s">
        <v>71</v>
      </c>
      <c r="AH52" s="4" t="s">
        <v>71</v>
      </c>
      <c r="AI52" s="4" t="s">
        <v>71</v>
      </c>
      <c r="AJ52" s="4" t="s">
        <v>71</v>
      </c>
      <c r="AK52" s="4" t="s">
        <v>71</v>
      </c>
      <c r="AL52" s="4" t="s">
        <v>71</v>
      </c>
      <c r="AM52" s="4" t="s">
        <v>71</v>
      </c>
      <c r="AN52" s="4" t="s">
        <v>71</v>
      </c>
      <c r="AO52" s="4" t="s">
        <v>71</v>
      </c>
      <c r="AP52" s="4" t="s">
        <v>71</v>
      </c>
      <c r="AQ52" s="4" t="s">
        <v>71</v>
      </c>
      <c r="AR52" s="4" t="s">
        <v>71</v>
      </c>
      <c r="AS52" s="4" t="s">
        <v>71</v>
      </c>
    </row>
    <row r="53" spans="1:94" x14ac:dyDescent="0.25">
      <c r="A53" s="9">
        <v>45001.582880046291</v>
      </c>
      <c r="B53" s="10" t="s">
        <v>806</v>
      </c>
      <c r="C53" s="10" t="s">
        <v>807</v>
      </c>
      <c r="D53" s="11" t="s">
        <v>808</v>
      </c>
      <c r="E53" s="10" t="s">
        <v>263</v>
      </c>
      <c r="F53" s="10" t="s">
        <v>809</v>
      </c>
      <c r="G53" s="10" t="s">
        <v>105</v>
      </c>
      <c r="H53" s="10" t="s">
        <v>810</v>
      </c>
      <c r="I53" s="10" t="s">
        <v>811</v>
      </c>
      <c r="J53" s="10" t="s">
        <v>812</v>
      </c>
      <c r="K53" s="10" t="s">
        <v>806</v>
      </c>
      <c r="L53" s="10" t="s">
        <v>665</v>
      </c>
      <c r="M53" s="10" t="s">
        <v>492</v>
      </c>
      <c r="N53" s="10">
        <v>35</v>
      </c>
      <c r="O53" s="10" t="s">
        <v>433</v>
      </c>
      <c r="P53" s="10">
        <v>2</v>
      </c>
      <c r="Q53" s="10">
        <v>1</v>
      </c>
      <c r="R53" s="10">
        <v>90</v>
      </c>
      <c r="S53" s="10" t="s">
        <v>813</v>
      </c>
      <c r="T53" s="10" t="s">
        <v>70</v>
      </c>
      <c r="U53" s="10" t="s">
        <v>70</v>
      </c>
      <c r="V53" s="12" t="s">
        <v>145</v>
      </c>
      <c r="W53" s="10" t="s">
        <v>70</v>
      </c>
      <c r="X53" s="10" t="s">
        <v>71</v>
      </c>
      <c r="Y53" s="10" t="s">
        <v>71</v>
      </c>
      <c r="Z53" s="10" t="s">
        <v>71</v>
      </c>
      <c r="AA53" s="10" t="s">
        <v>71</v>
      </c>
      <c r="AB53" s="10" t="s">
        <v>70</v>
      </c>
      <c r="AC53" s="10" t="s">
        <v>70</v>
      </c>
      <c r="AD53" s="10" t="s">
        <v>70</v>
      </c>
      <c r="AE53" s="10" t="s">
        <v>70</v>
      </c>
      <c r="AF53" s="10" t="s">
        <v>71</v>
      </c>
      <c r="AG53" s="10" t="s">
        <v>71</v>
      </c>
      <c r="AH53" s="10" t="s">
        <v>70</v>
      </c>
      <c r="AI53" s="10" t="s">
        <v>71</v>
      </c>
      <c r="AJ53" s="10" t="s">
        <v>71</v>
      </c>
      <c r="AK53" s="13"/>
      <c r="AL53" s="10" t="s">
        <v>70</v>
      </c>
      <c r="AM53" s="10" t="s">
        <v>71</v>
      </c>
      <c r="AN53" s="10" t="s">
        <v>70</v>
      </c>
      <c r="AO53" s="10" t="s">
        <v>70</v>
      </c>
      <c r="AP53" s="13"/>
      <c r="AQ53" s="13"/>
      <c r="AR53" s="10" t="s">
        <v>70</v>
      </c>
      <c r="AS53" s="13"/>
      <c r="AT53" s="10" t="s">
        <v>814</v>
      </c>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row>
    <row r="54" spans="1:94" x14ac:dyDescent="0.25">
      <c r="A54" s="3">
        <v>45005.879274895837</v>
      </c>
      <c r="B54" s="4" t="s">
        <v>828</v>
      </c>
      <c r="C54" s="4" t="s">
        <v>829</v>
      </c>
      <c r="D54" s="5" t="s">
        <v>830</v>
      </c>
      <c r="E54" s="4" t="s">
        <v>103</v>
      </c>
      <c r="F54" s="4" t="s">
        <v>384</v>
      </c>
      <c r="G54" s="4" t="s">
        <v>105</v>
      </c>
      <c r="H54" s="4" t="s">
        <v>831</v>
      </c>
      <c r="I54" s="4" t="s">
        <v>832</v>
      </c>
      <c r="J54" s="4" t="s">
        <v>833</v>
      </c>
      <c r="K54" s="4" t="s">
        <v>834</v>
      </c>
      <c r="L54" s="4" t="s">
        <v>656</v>
      </c>
      <c r="M54" s="4" t="s">
        <v>507</v>
      </c>
      <c r="N54" s="4">
        <v>35</v>
      </c>
      <c r="O54" s="4" t="s">
        <v>69</v>
      </c>
      <c r="P54" s="4">
        <v>5</v>
      </c>
      <c r="Q54" s="4">
        <v>5</v>
      </c>
      <c r="R54" s="4">
        <v>80</v>
      </c>
      <c r="S54" s="4" t="s">
        <v>835</v>
      </c>
      <c r="T54" s="4" t="s">
        <v>70</v>
      </c>
      <c r="U54" s="4" t="s">
        <v>70</v>
      </c>
      <c r="V54" s="6" t="s">
        <v>145</v>
      </c>
      <c r="W54" s="4" t="s">
        <v>70</v>
      </c>
      <c r="X54" s="4" t="s">
        <v>71</v>
      </c>
      <c r="Y54" s="4" t="s">
        <v>71</v>
      </c>
      <c r="Z54" s="4" t="s">
        <v>71</v>
      </c>
      <c r="AA54" s="4" t="s">
        <v>70</v>
      </c>
      <c r="AB54" s="4" t="s">
        <v>71</v>
      </c>
      <c r="AC54" s="4" t="s">
        <v>70</v>
      </c>
      <c r="AD54" s="4" t="s">
        <v>71</v>
      </c>
      <c r="AE54" s="4" t="s">
        <v>71</v>
      </c>
      <c r="AH54" s="4" t="s">
        <v>70</v>
      </c>
      <c r="AN54" s="4" t="s">
        <v>70</v>
      </c>
      <c r="AS54" s="4" t="s">
        <v>70</v>
      </c>
    </row>
    <row r="55" spans="1:94" x14ac:dyDescent="0.25">
      <c r="A55" s="3">
        <v>45006.469990937505</v>
      </c>
      <c r="B55" s="4" t="s">
        <v>828</v>
      </c>
      <c r="C55" s="4" t="s">
        <v>829</v>
      </c>
      <c r="D55" s="5" t="s">
        <v>830</v>
      </c>
      <c r="E55" s="4" t="s">
        <v>103</v>
      </c>
      <c r="F55" s="4" t="s">
        <v>384</v>
      </c>
      <c r="G55" s="4" t="s">
        <v>105</v>
      </c>
      <c r="H55" s="4" t="s">
        <v>836</v>
      </c>
      <c r="I55" s="4" t="s">
        <v>832</v>
      </c>
      <c r="J55" s="4" t="s">
        <v>837</v>
      </c>
      <c r="K55" s="4" t="s">
        <v>828</v>
      </c>
      <c r="L55" s="4" t="s">
        <v>656</v>
      </c>
      <c r="M55" s="4" t="s">
        <v>507</v>
      </c>
      <c r="N55" s="4">
        <v>35</v>
      </c>
      <c r="O55" s="4" t="s">
        <v>69</v>
      </c>
      <c r="P55" s="4">
        <v>5</v>
      </c>
      <c r="Q55" s="4">
        <v>5</v>
      </c>
      <c r="R55" s="4">
        <v>80</v>
      </c>
      <c r="S55" s="4" t="s">
        <v>835</v>
      </c>
      <c r="T55" s="4" t="s">
        <v>70</v>
      </c>
      <c r="U55" s="4" t="s">
        <v>70</v>
      </c>
      <c r="V55" s="6" t="s">
        <v>145</v>
      </c>
      <c r="W55" s="4" t="s">
        <v>70</v>
      </c>
      <c r="X55" s="4" t="s">
        <v>70</v>
      </c>
      <c r="Y55" s="4" t="s">
        <v>71</v>
      </c>
      <c r="Z55" s="4" t="s">
        <v>70</v>
      </c>
      <c r="AA55" s="4" t="s">
        <v>71</v>
      </c>
      <c r="AB55" s="4" t="s">
        <v>70</v>
      </c>
      <c r="AC55" s="4" t="s">
        <v>71</v>
      </c>
      <c r="AD55" s="4" t="s">
        <v>70</v>
      </c>
      <c r="AE55" s="4" t="s">
        <v>71</v>
      </c>
      <c r="AG55" s="4" t="s">
        <v>70</v>
      </c>
      <c r="AI55" s="4" t="s">
        <v>70</v>
      </c>
      <c r="AK55" s="4" t="s">
        <v>70</v>
      </c>
      <c r="AN55" s="4" t="s">
        <v>70</v>
      </c>
      <c r="AO55" s="4" t="s">
        <v>70</v>
      </c>
      <c r="AR55" s="4" t="s">
        <v>70</v>
      </c>
      <c r="AS55" s="4" t="s">
        <v>70</v>
      </c>
    </row>
    <row r="56" spans="1:94" x14ac:dyDescent="0.25">
      <c r="A56" s="3">
        <v>45000.853107164352</v>
      </c>
      <c r="B56" s="4" t="s">
        <v>858</v>
      </c>
      <c r="C56" s="4" t="s">
        <v>859</v>
      </c>
      <c r="D56" s="5" t="s">
        <v>860</v>
      </c>
      <c r="E56" s="4" t="s">
        <v>103</v>
      </c>
      <c r="F56" s="4" t="s">
        <v>861</v>
      </c>
      <c r="G56" s="4" t="s">
        <v>105</v>
      </c>
      <c r="H56" s="4" t="s">
        <v>862</v>
      </c>
      <c r="I56" s="4" t="s">
        <v>863</v>
      </c>
      <c r="J56" s="4" t="s">
        <v>864</v>
      </c>
      <c r="K56" s="4" t="s">
        <v>858</v>
      </c>
      <c r="L56" s="4" t="s">
        <v>656</v>
      </c>
      <c r="M56" s="4" t="s">
        <v>530</v>
      </c>
      <c r="N56" s="4">
        <v>35</v>
      </c>
      <c r="O56" s="4" t="s">
        <v>69</v>
      </c>
      <c r="P56" s="4">
        <v>2</v>
      </c>
      <c r="Q56" s="4">
        <v>3</v>
      </c>
      <c r="R56" s="4">
        <v>80</v>
      </c>
      <c r="S56" s="4" t="s">
        <v>865</v>
      </c>
      <c r="T56" s="4" t="s">
        <v>70</v>
      </c>
      <c r="U56" s="4" t="s">
        <v>70</v>
      </c>
      <c r="V56" s="6" t="s">
        <v>145</v>
      </c>
      <c r="W56" s="4" t="s">
        <v>70</v>
      </c>
      <c r="X56" s="4" t="s">
        <v>70</v>
      </c>
      <c r="Y56" s="4" t="s">
        <v>70</v>
      </c>
      <c r="Z56" s="4" t="s">
        <v>71</v>
      </c>
      <c r="AA56" s="4" t="s">
        <v>71</v>
      </c>
      <c r="AB56" s="4" t="s">
        <v>71</v>
      </c>
      <c r="AC56" s="4" t="s">
        <v>70</v>
      </c>
      <c r="AD56" s="4" t="s">
        <v>71</v>
      </c>
      <c r="AE56" s="4" t="s">
        <v>71</v>
      </c>
      <c r="AF56" s="4" t="s">
        <v>71</v>
      </c>
      <c r="AG56" s="4" t="s">
        <v>70</v>
      </c>
      <c r="AH56" s="4" t="s">
        <v>71</v>
      </c>
      <c r="AI56" s="4" t="s">
        <v>71</v>
      </c>
      <c r="AJ56" s="4" t="s">
        <v>71</v>
      </c>
      <c r="AK56" s="4" t="s">
        <v>71</v>
      </c>
      <c r="AL56" s="4" t="s">
        <v>71</v>
      </c>
      <c r="AM56" s="4" t="s">
        <v>71</v>
      </c>
      <c r="AN56" s="4" t="s">
        <v>71</v>
      </c>
      <c r="AO56" s="4" t="s">
        <v>70</v>
      </c>
      <c r="AP56" s="4" t="s">
        <v>71</v>
      </c>
      <c r="AQ56" s="4" t="s">
        <v>71</v>
      </c>
      <c r="AR56" s="4" t="s">
        <v>70</v>
      </c>
      <c r="AS56" s="4" t="s">
        <v>71</v>
      </c>
      <c r="AT56" s="4" t="s">
        <v>866</v>
      </c>
    </row>
    <row r="57" spans="1:94" x14ac:dyDescent="0.25">
      <c r="A57" s="3">
        <v>45001.624717766201</v>
      </c>
      <c r="B57" s="4" t="s">
        <v>906</v>
      </c>
      <c r="C57" s="4" t="s">
        <v>907</v>
      </c>
      <c r="D57" s="5" t="s">
        <v>908</v>
      </c>
      <c r="E57" s="4" t="s">
        <v>103</v>
      </c>
      <c r="F57" s="4" t="s">
        <v>909</v>
      </c>
      <c r="G57" s="4" t="s">
        <v>64</v>
      </c>
      <c r="H57" s="4" t="s">
        <v>910</v>
      </c>
      <c r="I57" s="4" t="s">
        <v>911</v>
      </c>
      <c r="K57" s="4" t="s">
        <v>906</v>
      </c>
      <c r="L57" s="4" t="s">
        <v>656</v>
      </c>
      <c r="M57" s="4" t="s">
        <v>552</v>
      </c>
      <c r="N57" s="4">
        <v>35</v>
      </c>
      <c r="O57" s="4" t="s">
        <v>69</v>
      </c>
      <c r="P57" s="4">
        <v>5</v>
      </c>
      <c r="Q57" s="4">
        <v>4</v>
      </c>
      <c r="R57" s="4">
        <v>2</v>
      </c>
      <c r="T57" s="4" t="s">
        <v>70</v>
      </c>
      <c r="U57" s="4" t="s">
        <v>71</v>
      </c>
      <c r="V57" s="6" t="s">
        <v>145</v>
      </c>
      <c r="W57" s="4" t="s">
        <v>70</v>
      </c>
      <c r="X57" s="4" t="s">
        <v>71</v>
      </c>
      <c r="Y57" s="4" t="s">
        <v>71</v>
      </c>
      <c r="Z57" s="4" t="s">
        <v>71</v>
      </c>
      <c r="AA57" s="4" t="s">
        <v>70</v>
      </c>
      <c r="AB57" s="4" t="s">
        <v>71</v>
      </c>
      <c r="AC57" s="4" t="s">
        <v>71</v>
      </c>
      <c r="AD57" s="4" t="s">
        <v>71</v>
      </c>
      <c r="AE57" s="4" t="s">
        <v>71</v>
      </c>
      <c r="AG57" s="4" t="s">
        <v>70</v>
      </c>
      <c r="AH57" s="4" t="s">
        <v>70</v>
      </c>
      <c r="AM57" s="4" t="s">
        <v>70</v>
      </c>
      <c r="AP57" s="4" t="s">
        <v>70</v>
      </c>
      <c r="AQ57" s="4" t="s">
        <v>70</v>
      </c>
      <c r="AR57" s="4" t="s">
        <v>71</v>
      </c>
      <c r="AS57" s="4" t="s">
        <v>71</v>
      </c>
    </row>
    <row r="58" spans="1:94" x14ac:dyDescent="0.25">
      <c r="A58" s="3">
        <v>45001.629127442131</v>
      </c>
      <c r="B58" s="4" t="s">
        <v>906</v>
      </c>
      <c r="C58" s="4" t="s">
        <v>912</v>
      </c>
      <c r="D58" s="5" t="s">
        <v>908</v>
      </c>
      <c r="E58" s="4" t="s">
        <v>103</v>
      </c>
      <c r="F58" s="4" t="s">
        <v>913</v>
      </c>
      <c r="G58" s="4" t="s">
        <v>64</v>
      </c>
      <c r="H58" s="4" t="s">
        <v>914</v>
      </c>
      <c r="I58" s="4" t="s">
        <v>915</v>
      </c>
      <c r="K58" s="4" t="s">
        <v>906</v>
      </c>
      <c r="L58" s="4" t="s">
        <v>656</v>
      </c>
      <c r="M58" s="4" t="s">
        <v>552</v>
      </c>
      <c r="N58" s="4">
        <v>35</v>
      </c>
      <c r="O58" s="4" t="s">
        <v>69</v>
      </c>
      <c r="P58" s="4">
        <v>5</v>
      </c>
      <c r="Q58" s="4">
        <v>4</v>
      </c>
      <c r="R58" s="4">
        <v>2</v>
      </c>
      <c r="T58" s="4" t="s">
        <v>70</v>
      </c>
      <c r="U58" s="4" t="s">
        <v>71</v>
      </c>
      <c r="V58" s="6" t="s">
        <v>145</v>
      </c>
      <c r="W58" s="4" t="s">
        <v>70</v>
      </c>
      <c r="X58" s="4" t="s">
        <v>71</v>
      </c>
      <c r="Y58" s="4" t="s">
        <v>71</v>
      </c>
      <c r="Z58" s="4" t="s">
        <v>71</v>
      </c>
      <c r="AA58" s="4" t="s">
        <v>70</v>
      </c>
      <c r="AB58" s="4" t="s">
        <v>71</v>
      </c>
      <c r="AC58" s="4" t="s">
        <v>71</v>
      </c>
      <c r="AD58" s="4" t="s">
        <v>71</v>
      </c>
      <c r="AE58" s="4" t="s">
        <v>71</v>
      </c>
      <c r="AG58" s="4" t="s">
        <v>70</v>
      </c>
      <c r="AH58" s="4" t="s">
        <v>70</v>
      </c>
      <c r="AM58" s="4" t="s">
        <v>70</v>
      </c>
    </row>
    <row r="59" spans="1:94" x14ac:dyDescent="0.25">
      <c r="A59" s="3">
        <v>45001.659661122685</v>
      </c>
      <c r="B59" s="4" t="s">
        <v>906</v>
      </c>
      <c r="C59" s="4" t="s">
        <v>916</v>
      </c>
      <c r="D59" s="5" t="s">
        <v>908</v>
      </c>
      <c r="E59" s="4" t="s">
        <v>103</v>
      </c>
      <c r="F59" s="4" t="s">
        <v>917</v>
      </c>
      <c r="G59" s="4" t="s">
        <v>64</v>
      </c>
      <c r="H59" s="4" t="s">
        <v>918</v>
      </c>
      <c r="I59" s="4" t="s">
        <v>911</v>
      </c>
      <c r="J59" s="4" t="s">
        <v>919</v>
      </c>
      <c r="K59" s="4" t="s">
        <v>906</v>
      </c>
      <c r="L59" s="4" t="s">
        <v>656</v>
      </c>
      <c r="M59" s="4" t="s">
        <v>556</v>
      </c>
      <c r="N59" s="4">
        <v>35</v>
      </c>
      <c r="O59" s="4" t="s">
        <v>69</v>
      </c>
      <c r="P59" s="4">
        <v>5</v>
      </c>
      <c r="Q59" s="4">
        <v>4</v>
      </c>
      <c r="R59" s="4">
        <v>2</v>
      </c>
      <c r="T59" s="4" t="s">
        <v>70</v>
      </c>
      <c r="U59" s="4" t="s">
        <v>71</v>
      </c>
      <c r="V59" s="6" t="s">
        <v>145</v>
      </c>
      <c r="W59" s="4" t="s">
        <v>70</v>
      </c>
      <c r="X59" s="4" t="s">
        <v>71</v>
      </c>
      <c r="Y59" s="4" t="s">
        <v>71</v>
      </c>
      <c r="Z59" s="4" t="s">
        <v>71</v>
      </c>
      <c r="AA59" s="4" t="s">
        <v>70</v>
      </c>
      <c r="AB59" s="4" t="s">
        <v>70</v>
      </c>
      <c r="AC59" s="4" t="s">
        <v>71</v>
      </c>
      <c r="AD59" s="4" t="s">
        <v>71</v>
      </c>
      <c r="AE59" s="4" t="s">
        <v>71</v>
      </c>
      <c r="AG59" s="4" t="s">
        <v>70</v>
      </c>
      <c r="AL59" s="4" t="s">
        <v>70</v>
      </c>
      <c r="AM59" s="4" t="s">
        <v>70</v>
      </c>
    </row>
    <row r="60" spans="1:94" x14ac:dyDescent="0.25">
      <c r="A60" s="3">
        <v>45003.815387372684</v>
      </c>
      <c r="B60" s="4" t="s">
        <v>920</v>
      </c>
      <c r="C60" s="4" t="s">
        <v>921</v>
      </c>
      <c r="D60" s="5" t="s">
        <v>922</v>
      </c>
      <c r="E60" s="4" t="s">
        <v>91</v>
      </c>
      <c r="F60" s="4" t="s">
        <v>923</v>
      </c>
      <c r="G60" s="4" t="s">
        <v>105</v>
      </c>
      <c r="H60" s="4" t="s">
        <v>924</v>
      </c>
      <c r="I60" s="4" t="s">
        <v>925</v>
      </c>
      <c r="J60" s="4" t="s">
        <v>926</v>
      </c>
      <c r="K60" s="4" t="s">
        <v>920</v>
      </c>
      <c r="L60" s="4" t="s">
        <v>665</v>
      </c>
      <c r="M60" s="4" t="s">
        <v>558</v>
      </c>
      <c r="N60" s="4">
        <v>34</v>
      </c>
      <c r="O60" s="4" t="s">
        <v>927</v>
      </c>
      <c r="P60" s="4">
        <v>3</v>
      </c>
      <c r="Q60" s="4">
        <v>3</v>
      </c>
      <c r="R60" s="4">
        <v>88</v>
      </c>
      <c r="S60" s="4" t="s">
        <v>928</v>
      </c>
      <c r="T60" s="4" t="s">
        <v>71</v>
      </c>
      <c r="U60" s="4" t="s">
        <v>70</v>
      </c>
      <c r="V60" s="6" t="s">
        <v>145</v>
      </c>
      <c r="W60" s="4" t="s">
        <v>71</v>
      </c>
      <c r="X60" s="4" t="s">
        <v>71</v>
      </c>
      <c r="Y60" s="4" t="s">
        <v>70</v>
      </c>
      <c r="Z60" s="4" t="s">
        <v>71</v>
      </c>
      <c r="AA60" s="4" t="s">
        <v>71</v>
      </c>
      <c r="AB60" s="4" t="s">
        <v>70</v>
      </c>
      <c r="AC60" s="4" t="s">
        <v>70</v>
      </c>
      <c r="AD60" s="4" t="s">
        <v>71</v>
      </c>
      <c r="AE60" s="4" t="s">
        <v>71</v>
      </c>
      <c r="AJ60" s="4" t="s">
        <v>70</v>
      </c>
      <c r="AO60" s="4" t="s">
        <v>70</v>
      </c>
      <c r="AP60" s="4" t="s">
        <v>70</v>
      </c>
      <c r="AT60" s="4" t="s">
        <v>929</v>
      </c>
    </row>
    <row r="61" spans="1:94" x14ac:dyDescent="0.25">
      <c r="A61" s="3">
        <v>45005.590160740743</v>
      </c>
      <c r="B61" s="4" t="s">
        <v>930</v>
      </c>
      <c r="C61" s="4" t="s">
        <v>931</v>
      </c>
      <c r="D61" s="5" t="s">
        <v>932</v>
      </c>
      <c r="E61" s="4" t="s">
        <v>103</v>
      </c>
      <c r="F61" s="4" t="s">
        <v>384</v>
      </c>
      <c r="G61" s="4" t="s">
        <v>64</v>
      </c>
      <c r="H61" s="4" t="s">
        <v>933</v>
      </c>
      <c r="I61" s="4" t="s">
        <v>934</v>
      </c>
      <c r="J61" s="4" t="s">
        <v>935</v>
      </c>
      <c r="K61" s="4" t="s">
        <v>930</v>
      </c>
      <c r="L61" s="4" t="s">
        <v>656</v>
      </c>
      <c r="M61" s="4" t="s">
        <v>558</v>
      </c>
      <c r="N61" s="4">
        <v>35</v>
      </c>
      <c r="O61" s="4" t="s">
        <v>69</v>
      </c>
      <c r="P61" s="4">
        <v>5</v>
      </c>
      <c r="Q61" s="4">
        <v>5</v>
      </c>
      <c r="R61" s="4">
        <v>0</v>
      </c>
      <c r="T61" s="4" t="s">
        <v>70</v>
      </c>
      <c r="U61" s="4" t="s">
        <v>70</v>
      </c>
      <c r="V61" s="6" t="s">
        <v>145</v>
      </c>
      <c r="W61" s="4" t="s">
        <v>70</v>
      </c>
      <c r="X61" s="4" t="s">
        <v>71</v>
      </c>
      <c r="Y61" s="4" t="s">
        <v>70</v>
      </c>
      <c r="Z61" s="4" t="s">
        <v>71</v>
      </c>
      <c r="AA61" s="4" t="s">
        <v>71</v>
      </c>
      <c r="AB61" s="4" t="s">
        <v>71</v>
      </c>
      <c r="AC61" s="4" t="s">
        <v>71</v>
      </c>
      <c r="AD61" s="4" t="s">
        <v>71</v>
      </c>
      <c r="AE61" s="4" t="s">
        <v>70</v>
      </c>
      <c r="AF61" s="4" t="s">
        <v>71</v>
      </c>
      <c r="AG61" s="4" t="s">
        <v>70</v>
      </c>
      <c r="AH61" s="4" t="s">
        <v>71</v>
      </c>
      <c r="AI61" s="4" t="s">
        <v>71</v>
      </c>
      <c r="AJ61" s="4" t="s">
        <v>71</v>
      </c>
      <c r="AK61" s="4" t="s">
        <v>71</v>
      </c>
      <c r="AL61" s="4" t="s">
        <v>71</v>
      </c>
      <c r="AM61" s="4" t="s">
        <v>71</v>
      </c>
      <c r="AN61" s="4" t="s">
        <v>71</v>
      </c>
      <c r="AO61" s="4" t="s">
        <v>71</v>
      </c>
      <c r="AP61" s="4" t="s">
        <v>71</v>
      </c>
      <c r="AQ61" s="4" t="s">
        <v>70</v>
      </c>
      <c r="AR61" s="4" t="s">
        <v>71</v>
      </c>
      <c r="AS61" s="4" t="s">
        <v>71</v>
      </c>
    </row>
    <row r="62" spans="1:94" x14ac:dyDescent="0.25">
      <c r="A62" s="3">
        <v>45005.646885740745</v>
      </c>
      <c r="B62" s="4" t="s">
        <v>943</v>
      </c>
      <c r="C62" s="4" t="s">
        <v>944</v>
      </c>
      <c r="D62" s="6" t="s">
        <v>945</v>
      </c>
      <c r="E62" s="4" t="s">
        <v>103</v>
      </c>
      <c r="F62" s="4" t="s">
        <v>723</v>
      </c>
      <c r="G62" s="4" t="s">
        <v>105</v>
      </c>
      <c r="H62" s="4" t="s">
        <v>946</v>
      </c>
      <c r="I62" s="4" t="s">
        <v>947</v>
      </c>
      <c r="J62" s="4" t="s">
        <v>948</v>
      </c>
      <c r="K62" s="4" t="s">
        <v>943</v>
      </c>
      <c r="L62" s="4" t="s">
        <v>656</v>
      </c>
      <c r="M62" s="4" t="s">
        <v>558</v>
      </c>
      <c r="N62" s="4">
        <v>35</v>
      </c>
      <c r="O62" s="4" t="s">
        <v>433</v>
      </c>
      <c r="P62" s="4">
        <v>2</v>
      </c>
      <c r="Q62" s="4">
        <v>3</v>
      </c>
      <c r="R62" s="4">
        <v>85</v>
      </c>
      <c r="S62" s="4" t="s">
        <v>949</v>
      </c>
      <c r="T62" s="4" t="s">
        <v>70</v>
      </c>
      <c r="U62" s="4" t="s">
        <v>71</v>
      </c>
      <c r="V62" s="6" t="s">
        <v>145</v>
      </c>
      <c r="W62" s="4" t="s">
        <v>70</v>
      </c>
      <c r="X62" s="4" t="s">
        <v>71</v>
      </c>
      <c r="Y62" s="4" t="s">
        <v>70</v>
      </c>
      <c r="Z62" s="4" t="s">
        <v>71</v>
      </c>
      <c r="AA62" s="4" t="s">
        <v>70</v>
      </c>
      <c r="AB62" s="4" t="s">
        <v>70</v>
      </c>
      <c r="AC62" s="4" t="s">
        <v>70</v>
      </c>
      <c r="AD62" s="4" t="s">
        <v>71</v>
      </c>
      <c r="AE62" s="4" t="s">
        <v>70</v>
      </c>
      <c r="AF62" s="4" t="s">
        <v>70</v>
      </c>
      <c r="AG62" s="4" t="s">
        <v>70</v>
      </c>
      <c r="AH62" s="4" t="s">
        <v>70</v>
      </c>
      <c r="AI62" s="4" t="s">
        <v>70</v>
      </c>
      <c r="AJ62" s="4" t="s">
        <v>70</v>
      </c>
      <c r="AK62" s="4" t="s">
        <v>70</v>
      </c>
      <c r="AL62" s="4" t="s">
        <v>70</v>
      </c>
      <c r="AM62" s="4" t="s">
        <v>70</v>
      </c>
      <c r="AN62" s="4" t="s">
        <v>70</v>
      </c>
      <c r="AO62" s="4" t="s">
        <v>70</v>
      </c>
      <c r="AP62" s="4" t="s">
        <v>70</v>
      </c>
      <c r="AQ62" s="4" t="s">
        <v>70</v>
      </c>
      <c r="AR62" s="4" t="s">
        <v>70</v>
      </c>
      <c r="AS62" s="4" t="s">
        <v>70</v>
      </c>
      <c r="AT62" s="4" t="s">
        <v>950</v>
      </c>
    </row>
    <row r="63" spans="1:94" x14ac:dyDescent="0.25">
      <c r="A63" s="3">
        <v>45003.708134085653</v>
      </c>
      <c r="B63" s="4" t="s">
        <v>936</v>
      </c>
      <c r="C63" s="4" t="s">
        <v>951</v>
      </c>
      <c r="D63" s="5" t="s">
        <v>952</v>
      </c>
      <c r="E63" s="4" t="s">
        <v>103</v>
      </c>
      <c r="F63" s="4" t="s">
        <v>384</v>
      </c>
      <c r="G63" s="4" t="s">
        <v>105</v>
      </c>
      <c r="H63" s="4" t="s">
        <v>939</v>
      </c>
      <c r="I63" s="4" t="s">
        <v>953</v>
      </c>
      <c r="J63" s="4" t="s">
        <v>954</v>
      </c>
      <c r="K63" s="4" t="s">
        <v>936</v>
      </c>
      <c r="L63" s="4" t="s">
        <v>656</v>
      </c>
      <c r="M63" s="4" t="s">
        <v>558</v>
      </c>
      <c r="N63" s="4">
        <v>30</v>
      </c>
      <c r="O63" s="4" t="s">
        <v>69</v>
      </c>
      <c r="P63" s="4">
        <v>1</v>
      </c>
      <c r="Q63" s="4">
        <v>4</v>
      </c>
      <c r="R63" s="4">
        <v>60</v>
      </c>
      <c r="T63" s="4" t="s">
        <v>70</v>
      </c>
      <c r="U63" s="4" t="s">
        <v>71</v>
      </c>
      <c r="V63" s="6" t="s">
        <v>145</v>
      </c>
      <c r="W63" s="4" t="s">
        <v>70</v>
      </c>
      <c r="X63" s="4" t="s">
        <v>70</v>
      </c>
      <c r="Y63" s="4" t="s">
        <v>71</v>
      </c>
      <c r="Z63" s="4" t="s">
        <v>70</v>
      </c>
      <c r="AA63" s="4" t="s">
        <v>70</v>
      </c>
      <c r="AB63" s="4" t="s">
        <v>70</v>
      </c>
      <c r="AC63" s="4" t="s">
        <v>71</v>
      </c>
      <c r="AD63" s="4" t="s">
        <v>71</v>
      </c>
      <c r="AE63" s="4" t="s">
        <v>71</v>
      </c>
      <c r="AF63" s="4" t="s">
        <v>70</v>
      </c>
      <c r="AG63" s="4" t="s">
        <v>70</v>
      </c>
      <c r="AH63" s="4" t="s">
        <v>70</v>
      </c>
      <c r="AI63" s="4" t="s">
        <v>71</v>
      </c>
      <c r="AJ63" s="4" t="s">
        <v>71</v>
      </c>
      <c r="AK63" s="4" t="s">
        <v>70</v>
      </c>
      <c r="AL63" s="4" t="s">
        <v>70</v>
      </c>
      <c r="AM63" s="4" t="s">
        <v>70</v>
      </c>
      <c r="AN63" s="4" t="s">
        <v>71</v>
      </c>
      <c r="AO63" s="4" t="s">
        <v>71</v>
      </c>
      <c r="AP63" s="4" t="s">
        <v>70</v>
      </c>
      <c r="AQ63" s="4" t="s">
        <v>70</v>
      </c>
      <c r="AR63" s="4" t="s">
        <v>71</v>
      </c>
      <c r="AS63" s="4" t="s">
        <v>71</v>
      </c>
      <c r="AT63" s="4" t="s">
        <v>955</v>
      </c>
    </row>
    <row r="64" spans="1:94" x14ac:dyDescent="0.25">
      <c r="A64" s="3">
        <v>45006.488201030093</v>
      </c>
      <c r="B64" s="4" t="s">
        <v>971</v>
      </c>
      <c r="C64" s="4" t="s">
        <v>972</v>
      </c>
      <c r="D64" s="7" t="s">
        <v>973</v>
      </c>
      <c r="E64" s="4" t="s">
        <v>103</v>
      </c>
      <c r="F64" s="4" t="s">
        <v>63</v>
      </c>
      <c r="G64" s="4" t="s">
        <v>64</v>
      </c>
      <c r="H64" s="4" t="s">
        <v>974</v>
      </c>
      <c r="I64" s="4" t="s">
        <v>975</v>
      </c>
      <c r="J64" s="4" t="s">
        <v>976</v>
      </c>
      <c r="K64" s="4" t="s">
        <v>971</v>
      </c>
      <c r="L64" s="4" t="s">
        <v>656</v>
      </c>
      <c r="M64" s="4" t="s">
        <v>579</v>
      </c>
      <c r="N64" s="4">
        <v>34</v>
      </c>
      <c r="O64" s="4" t="s">
        <v>69</v>
      </c>
      <c r="P64" s="4">
        <v>3</v>
      </c>
      <c r="Q64" s="4">
        <v>3</v>
      </c>
      <c r="R64" s="4">
        <v>10</v>
      </c>
      <c r="T64" s="4" t="s">
        <v>70</v>
      </c>
      <c r="U64" s="4" t="s">
        <v>71</v>
      </c>
      <c r="V64" s="6" t="s">
        <v>145</v>
      </c>
      <c r="W64" s="4" t="s">
        <v>70</v>
      </c>
      <c r="X64" s="4" t="s">
        <v>71</v>
      </c>
      <c r="Y64" s="4" t="s">
        <v>71</v>
      </c>
      <c r="Z64" s="4" t="s">
        <v>71</v>
      </c>
      <c r="AA64" s="4" t="s">
        <v>71</v>
      </c>
      <c r="AB64" s="4" t="s">
        <v>70</v>
      </c>
      <c r="AC64" s="4" t="s">
        <v>71</v>
      </c>
      <c r="AD64" s="4" t="s">
        <v>71</v>
      </c>
      <c r="AE64" s="4" t="s">
        <v>71</v>
      </c>
      <c r="AF64" s="4" t="s">
        <v>71</v>
      </c>
      <c r="AG64" s="4" t="s">
        <v>71</v>
      </c>
      <c r="AH64" s="4" t="s">
        <v>71</v>
      </c>
      <c r="AI64" s="4" t="s">
        <v>70</v>
      </c>
      <c r="AJ64" s="4" t="s">
        <v>71</v>
      </c>
      <c r="AK64" s="4" t="s">
        <v>71</v>
      </c>
      <c r="AL64" s="4" t="s">
        <v>71</v>
      </c>
      <c r="AM64" s="4" t="s">
        <v>70</v>
      </c>
      <c r="AN64" s="4" t="s">
        <v>71</v>
      </c>
      <c r="AO64" s="4" t="s">
        <v>71</v>
      </c>
      <c r="AP64" s="4" t="s">
        <v>70</v>
      </c>
    </row>
    <row r="65" spans="1:46" x14ac:dyDescent="0.25">
      <c r="A65" s="3">
        <v>45001.832031689817</v>
      </c>
      <c r="B65" s="4" t="s">
        <v>658</v>
      </c>
      <c r="C65" s="4" t="s">
        <v>996</v>
      </c>
      <c r="D65" s="7" t="s">
        <v>997</v>
      </c>
      <c r="E65" s="4" t="s">
        <v>604</v>
      </c>
      <c r="F65" s="4" t="s">
        <v>998</v>
      </c>
      <c r="G65" s="4" t="s">
        <v>64</v>
      </c>
      <c r="H65" s="4" t="s">
        <v>662</v>
      </c>
      <c r="I65" s="4" t="s">
        <v>999</v>
      </c>
      <c r="K65" s="4" t="s">
        <v>664</v>
      </c>
      <c r="L65" s="4" t="s">
        <v>665</v>
      </c>
      <c r="M65" s="4" t="s">
        <v>600</v>
      </c>
      <c r="N65" s="4">
        <v>28</v>
      </c>
      <c r="O65" s="4" t="s">
        <v>69</v>
      </c>
      <c r="P65" s="4">
        <v>4</v>
      </c>
      <c r="Q65" s="4">
        <v>5</v>
      </c>
      <c r="R65" s="4">
        <v>40</v>
      </c>
      <c r="S65" s="4" t="s">
        <v>1000</v>
      </c>
      <c r="T65" s="4" t="s">
        <v>70</v>
      </c>
      <c r="U65" s="4" t="s">
        <v>71</v>
      </c>
      <c r="V65" s="6" t="s">
        <v>145</v>
      </c>
      <c r="W65" s="4" t="s">
        <v>71</v>
      </c>
      <c r="X65" s="4" t="s">
        <v>70</v>
      </c>
      <c r="Y65" s="4" t="s">
        <v>71</v>
      </c>
      <c r="Z65" s="4" t="s">
        <v>70</v>
      </c>
      <c r="AA65" s="4" t="s">
        <v>70</v>
      </c>
      <c r="AB65" s="4" t="s">
        <v>71</v>
      </c>
      <c r="AC65" s="4" t="s">
        <v>71</v>
      </c>
      <c r="AD65" s="4" t="s">
        <v>71</v>
      </c>
      <c r="AE65" s="4" t="s">
        <v>71</v>
      </c>
      <c r="AF65" s="4" t="s">
        <v>70</v>
      </c>
      <c r="AK65" s="4" t="s">
        <v>70</v>
      </c>
      <c r="AL65" s="4" t="s">
        <v>70</v>
      </c>
      <c r="AM65" s="4" t="s">
        <v>71</v>
      </c>
      <c r="AN65" s="4" t="s">
        <v>71</v>
      </c>
      <c r="AO65" s="4" t="s">
        <v>71</v>
      </c>
      <c r="AQ65" s="4" t="s">
        <v>71</v>
      </c>
      <c r="AT65" s="4" t="s">
        <v>1000</v>
      </c>
    </row>
    <row r="66" spans="1:46" x14ac:dyDescent="0.25">
      <c r="A66" s="3">
        <v>45000.747829861109</v>
      </c>
      <c r="B66" s="4" t="s">
        <v>1035</v>
      </c>
      <c r="C66" s="4" t="s">
        <v>1036</v>
      </c>
      <c r="D66" s="7" t="s">
        <v>1037</v>
      </c>
      <c r="E66" s="4" t="s">
        <v>103</v>
      </c>
      <c r="F66" s="4" t="s">
        <v>104</v>
      </c>
      <c r="G66" s="4" t="s">
        <v>64</v>
      </c>
      <c r="H66" s="4" t="s">
        <v>1038</v>
      </c>
      <c r="I66" s="4" t="s">
        <v>1039</v>
      </c>
      <c r="J66" s="4" t="s">
        <v>1040</v>
      </c>
      <c r="K66" s="4" t="s">
        <v>1035</v>
      </c>
      <c r="L66" s="4" t="s">
        <v>656</v>
      </c>
      <c r="M66" s="4" t="s">
        <v>639</v>
      </c>
      <c r="N66" s="4">
        <v>30</v>
      </c>
      <c r="O66" s="4" t="s">
        <v>69</v>
      </c>
      <c r="P66" s="4">
        <v>5</v>
      </c>
      <c r="Q66" s="4">
        <v>1</v>
      </c>
      <c r="R66" s="4">
        <v>20</v>
      </c>
      <c r="T66" s="4" t="s">
        <v>70</v>
      </c>
      <c r="U66" s="4" t="s">
        <v>71</v>
      </c>
      <c r="V66" s="6" t="s">
        <v>145</v>
      </c>
      <c r="W66" s="4" t="s">
        <v>70</v>
      </c>
      <c r="X66" s="4" t="s">
        <v>71</v>
      </c>
      <c r="Y66" s="4" t="s">
        <v>70</v>
      </c>
      <c r="Z66" s="4" t="s">
        <v>71</v>
      </c>
      <c r="AA66" s="4" t="s">
        <v>70</v>
      </c>
      <c r="AB66" s="4" t="s">
        <v>70</v>
      </c>
      <c r="AC66" s="4" t="s">
        <v>70</v>
      </c>
      <c r="AD66" s="4" t="s">
        <v>71</v>
      </c>
      <c r="AE66" s="4" t="s">
        <v>71</v>
      </c>
      <c r="AF66" s="4" t="s">
        <v>71</v>
      </c>
      <c r="AG66" s="4" t="s">
        <v>71</v>
      </c>
      <c r="AH66" s="4" t="s">
        <v>70</v>
      </c>
      <c r="AI66" s="4" t="s">
        <v>71</v>
      </c>
      <c r="AJ66" s="4" t="s">
        <v>71</v>
      </c>
      <c r="AK66" s="4" t="s">
        <v>71</v>
      </c>
      <c r="AL66" s="4" t="s">
        <v>70</v>
      </c>
      <c r="AM66" s="4" t="s">
        <v>70</v>
      </c>
      <c r="AN66" s="4" t="s">
        <v>70</v>
      </c>
      <c r="AO66" s="4" t="s">
        <v>71</v>
      </c>
    </row>
    <row r="67" spans="1:46" x14ac:dyDescent="0.25">
      <c r="A67" s="3">
        <v>45001.494281053238</v>
      </c>
      <c r="B67" s="4" t="s">
        <v>1035</v>
      </c>
      <c r="C67" s="4" t="s">
        <v>1036</v>
      </c>
      <c r="D67" s="7" t="s">
        <v>1037</v>
      </c>
      <c r="E67" s="4" t="s">
        <v>149</v>
      </c>
      <c r="F67" s="4" t="s">
        <v>594</v>
      </c>
      <c r="G67" s="4" t="s">
        <v>64</v>
      </c>
      <c r="H67" s="4" t="s">
        <v>1038</v>
      </c>
      <c r="I67" s="4" t="s">
        <v>1043</v>
      </c>
      <c r="J67" s="4" t="s">
        <v>1040</v>
      </c>
      <c r="K67" s="4" t="s">
        <v>1035</v>
      </c>
      <c r="L67" s="4" t="s">
        <v>656</v>
      </c>
      <c r="M67" s="4" t="s">
        <v>639</v>
      </c>
      <c r="N67" s="4">
        <v>32</v>
      </c>
      <c r="O67" s="4" t="s">
        <v>69</v>
      </c>
      <c r="P67" s="4">
        <v>5</v>
      </c>
      <c r="Q67" s="4">
        <v>1</v>
      </c>
      <c r="R67" s="4">
        <v>20</v>
      </c>
      <c r="T67" s="4" t="s">
        <v>70</v>
      </c>
      <c r="U67" s="4" t="s">
        <v>71</v>
      </c>
      <c r="V67" s="6" t="s">
        <v>145</v>
      </c>
      <c r="W67" s="4" t="s">
        <v>70</v>
      </c>
      <c r="X67" s="4" t="s">
        <v>71</v>
      </c>
      <c r="Y67" s="4" t="s">
        <v>71</v>
      </c>
      <c r="Z67" s="4" t="s">
        <v>71</v>
      </c>
      <c r="AA67" s="4" t="s">
        <v>70</v>
      </c>
      <c r="AB67" s="4" t="s">
        <v>70</v>
      </c>
      <c r="AC67" s="4" t="s">
        <v>70</v>
      </c>
      <c r="AD67" s="4" t="s">
        <v>71</v>
      </c>
      <c r="AE67" s="4" t="s">
        <v>71</v>
      </c>
      <c r="AF67" s="4" t="s">
        <v>71</v>
      </c>
      <c r="AG67" s="4" t="s">
        <v>71</v>
      </c>
      <c r="AH67" s="4" t="s">
        <v>70</v>
      </c>
      <c r="AI67" s="4" t="s">
        <v>70</v>
      </c>
      <c r="AJ67" s="4" t="s">
        <v>71</v>
      </c>
      <c r="AK67" s="4" t="s">
        <v>71</v>
      </c>
      <c r="AL67" s="4" t="s">
        <v>70</v>
      </c>
      <c r="AM67" s="4" t="s">
        <v>70</v>
      </c>
      <c r="AN67" s="4" t="s">
        <v>70</v>
      </c>
      <c r="AO67" s="4" t="s">
        <v>71</v>
      </c>
      <c r="AT67" s="4" t="s">
        <v>1044</v>
      </c>
    </row>
    <row r="68" spans="1:46" x14ac:dyDescent="0.25">
      <c r="A68" s="3">
        <v>45000.751942002316</v>
      </c>
      <c r="B68" s="4" t="s">
        <v>1035</v>
      </c>
      <c r="C68" s="4" t="s">
        <v>1036</v>
      </c>
      <c r="D68" s="7" t="s">
        <v>1037</v>
      </c>
      <c r="E68" s="4" t="s">
        <v>103</v>
      </c>
      <c r="F68" s="4" t="s">
        <v>104</v>
      </c>
      <c r="G68" s="4" t="s">
        <v>64</v>
      </c>
      <c r="H68" s="4" t="s">
        <v>1038</v>
      </c>
      <c r="I68" s="4" t="s">
        <v>1041</v>
      </c>
      <c r="J68" s="4" t="s">
        <v>1042</v>
      </c>
      <c r="K68" s="4" t="s">
        <v>1035</v>
      </c>
      <c r="L68" s="4" t="s">
        <v>656</v>
      </c>
      <c r="M68" s="4" t="s">
        <v>639</v>
      </c>
      <c r="N68" s="4">
        <v>35</v>
      </c>
      <c r="O68" s="4" t="s">
        <v>97</v>
      </c>
      <c r="P68" s="4">
        <v>5</v>
      </c>
      <c r="Q68" s="4">
        <v>1</v>
      </c>
      <c r="R68" s="4">
        <v>20</v>
      </c>
      <c r="T68" s="4" t="s">
        <v>70</v>
      </c>
      <c r="U68" s="4" t="s">
        <v>71</v>
      </c>
      <c r="V68" s="6" t="s">
        <v>145</v>
      </c>
      <c r="W68" s="4" t="s">
        <v>70</v>
      </c>
      <c r="X68" s="4" t="s">
        <v>71</v>
      </c>
      <c r="Y68" s="4" t="s">
        <v>71</v>
      </c>
      <c r="Z68" s="4" t="s">
        <v>71</v>
      </c>
      <c r="AA68" s="4" t="s">
        <v>70</v>
      </c>
      <c r="AB68" s="4" t="s">
        <v>70</v>
      </c>
      <c r="AC68" s="4" t="s">
        <v>70</v>
      </c>
      <c r="AD68" s="4" t="s">
        <v>71</v>
      </c>
      <c r="AE68" s="4" t="s">
        <v>71</v>
      </c>
      <c r="AF68" s="4" t="s">
        <v>71</v>
      </c>
      <c r="AG68" s="4" t="s">
        <v>70</v>
      </c>
      <c r="AH68" s="4" t="s">
        <v>70</v>
      </c>
      <c r="AI68" s="4" t="s">
        <v>71</v>
      </c>
      <c r="AJ68" s="4" t="s">
        <v>71</v>
      </c>
      <c r="AK68" s="4" t="s">
        <v>71</v>
      </c>
      <c r="AL68" s="4" t="s">
        <v>70</v>
      </c>
      <c r="AM68" s="4" t="s">
        <v>70</v>
      </c>
      <c r="AN68" s="4" t="s">
        <v>70</v>
      </c>
      <c r="AO68" s="4" t="s">
        <v>71</v>
      </c>
    </row>
    <row r="69" spans="1:46" x14ac:dyDescent="0.25">
      <c r="A69" s="3">
        <v>45002.566896562501</v>
      </c>
      <c r="B69" s="4" t="s">
        <v>1014</v>
      </c>
      <c r="C69" s="4" t="s">
        <v>1102</v>
      </c>
      <c r="D69" s="5" t="s">
        <v>1103</v>
      </c>
      <c r="E69" s="4" t="s">
        <v>62</v>
      </c>
      <c r="F69" s="4" t="s">
        <v>581</v>
      </c>
      <c r="G69" s="4" t="s">
        <v>105</v>
      </c>
      <c r="H69" s="4" t="s">
        <v>1104</v>
      </c>
      <c r="I69" s="4" t="s">
        <v>1105</v>
      </c>
      <c r="K69" s="4" t="s">
        <v>1014</v>
      </c>
      <c r="L69" s="4" t="s">
        <v>656</v>
      </c>
      <c r="M69" s="4" t="s">
        <v>361</v>
      </c>
      <c r="N69" s="4">
        <v>35</v>
      </c>
      <c r="O69" s="4" t="s">
        <v>69</v>
      </c>
      <c r="P69" s="4">
        <v>3</v>
      </c>
      <c r="Q69" s="4">
        <v>1</v>
      </c>
      <c r="R69" s="4">
        <v>75</v>
      </c>
      <c r="T69" s="4" t="s">
        <v>70</v>
      </c>
      <c r="U69" s="4" t="s">
        <v>71</v>
      </c>
      <c r="V69" s="6" t="s">
        <v>145</v>
      </c>
      <c r="W69" s="4" t="s">
        <v>70</v>
      </c>
      <c r="X69" s="4" t="s">
        <v>71</v>
      </c>
      <c r="Y69" s="4" t="s">
        <v>71</v>
      </c>
      <c r="Z69" s="4" t="s">
        <v>71</v>
      </c>
      <c r="AA69" s="4" t="s">
        <v>71</v>
      </c>
      <c r="AB69" s="4" t="s">
        <v>71</v>
      </c>
      <c r="AC69" s="4" t="s">
        <v>70</v>
      </c>
      <c r="AD69" s="4" t="s">
        <v>70</v>
      </c>
      <c r="AE69" s="4" t="s">
        <v>70</v>
      </c>
      <c r="AF69" s="4" t="s">
        <v>71</v>
      </c>
      <c r="AG69" s="4" t="s">
        <v>70</v>
      </c>
      <c r="AH69" s="4" t="s">
        <v>71</v>
      </c>
      <c r="AI69" s="4" t="s">
        <v>71</v>
      </c>
      <c r="AJ69" s="4" t="s">
        <v>71</v>
      </c>
      <c r="AK69" s="4" t="s">
        <v>71</v>
      </c>
      <c r="AL69" s="4" t="s">
        <v>71</v>
      </c>
      <c r="AM69" s="4" t="s">
        <v>70</v>
      </c>
      <c r="AN69" s="4" t="s">
        <v>71</v>
      </c>
      <c r="AO69" s="4" t="s">
        <v>71</v>
      </c>
      <c r="AP69" s="4" t="s">
        <v>71</v>
      </c>
      <c r="AQ69" s="4" t="s">
        <v>71</v>
      </c>
      <c r="AR69" s="4" t="s">
        <v>70</v>
      </c>
      <c r="AS69" s="4" t="s">
        <v>70</v>
      </c>
    </row>
    <row r="70" spans="1:46" x14ac:dyDescent="0.25">
      <c r="A70" s="3">
        <v>45005.626857986106</v>
      </c>
      <c r="B70" s="4" t="s">
        <v>1106</v>
      </c>
      <c r="C70" s="4" t="s">
        <v>1107</v>
      </c>
      <c r="D70" s="5" t="s">
        <v>1108</v>
      </c>
      <c r="E70" s="4" t="s">
        <v>62</v>
      </c>
      <c r="F70" s="4" t="s">
        <v>1109</v>
      </c>
      <c r="G70" s="4" t="s">
        <v>105</v>
      </c>
      <c r="H70" s="4" t="s">
        <v>1110</v>
      </c>
      <c r="I70" s="4" t="s">
        <v>1111</v>
      </c>
      <c r="J70" s="4" t="s">
        <v>1112</v>
      </c>
      <c r="K70" s="4" t="s">
        <v>1106</v>
      </c>
      <c r="L70" s="4" t="s">
        <v>656</v>
      </c>
      <c r="M70" s="4" t="s">
        <v>680</v>
      </c>
      <c r="N70" s="4">
        <v>30</v>
      </c>
      <c r="O70" s="4" t="s">
        <v>200</v>
      </c>
      <c r="P70" s="4">
        <v>4</v>
      </c>
      <c r="Q70" s="4">
        <v>1</v>
      </c>
      <c r="R70" s="4">
        <v>80</v>
      </c>
      <c r="T70" s="4" t="s">
        <v>70</v>
      </c>
      <c r="U70" s="4" t="s">
        <v>70</v>
      </c>
      <c r="V70" s="6" t="s">
        <v>145</v>
      </c>
      <c r="W70" s="4" t="s">
        <v>70</v>
      </c>
      <c r="X70" s="4" t="s">
        <v>71</v>
      </c>
      <c r="Y70" s="4" t="s">
        <v>70</v>
      </c>
      <c r="Z70" s="4" t="s">
        <v>71</v>
      </c>
      <c r="AA70" s="4" t="s">
        <v>71</v>
      </c>
      <c r="AB70" s="4" t="s">
        <v>71</v>
      </c>
      <c r="AC70" s="4" t="s">
        <v>70</v>
      </c>
      <c r="AD70" s="4" t="s">
        <v>71</v>
      </c>
      <c r="AE70" s="4" t="s">
        <v>71</v>
      </c>
      <c r="AF70" s="4" t="s">
        <v>71</v>
      </c>
      <c r="AG70" s="4" t="s">
        <v>71</v>
      </c>
      <c r="AH70" s="4" t="s">
        <v>70</v>
      </c>
      <c r="AI70" s="4" t="s">
        <v>70</v>
      </c>
      <c r="AJ70" s="4" t="s">
        <v>71</v>
      </c>
      <c r="AK70" s="4" t="s">
        <v>71</v>
      </c>
      <c r="AL70" s="4" t="s">
        <v>70</v>
      </c>
      <c r="AM70" s="4" t="s">
        <v>71</v>
      </c>
      <c r="AN70" s="4" t="s">
        <v>71</v>
      </c>
      <c r="AO70" s="4" t="s">
        <v>71</v>
      </c>
      <c r="AP70" s="4" t="s">
        <v>71</v>
      </c>
      <c r="AQ70" s="4" t="s">
        <v>70</v>
      </c>
      <c r="AR70" s="4" t="s">
        <v>71</v>
      </c>
      <c r="AS70" s="4" t="s">
        <v>71</v>
      </c>
    </row>
    <row r="71" spans="1:46" x14ac:dyDescent="0.25">
      <c r="A71" s="3">
        <v>45001.604640810183</v>
      </c>
      <c r="B71" s="4" t="s">
        <v>1137</v>
      </c>
      <c r="C71" s="4" t="s">
        <v>1138</v>
      </c>
      <c r="D71" s="7" t="s">
        <v>1139</v>
      </c>
      <c r="E71" s="4" t="s">
        <v>149</v>
      </c>
      <c r="F71" s="4" t="s">
        <v>671</v>
      </c>
      <c r="G71" s="4" t="s">
        <v>64</v>
      </c>
      <c r="H71" s="4" t="s">
        <v>1140</v>
      </c>
      <c r="I71" s="4" t="s">
        <v>1141</v>
      </c>
      <c r="J71" s="4" t="s">
        <v>1142</v>
      </c>
      <c r="K71" s="4" t="s">
        <v>1137</v>
      </c>
      <c r="L71" s="4" t="s">
        <v>656</v>
      </c>
      <c r="M71" s="4" t="s">
        <v>708</v>
      </c>
      <c r="N71" s="4">
        <v>39</v>
      </c>
      <c r="O71" s="4" t="s">
        <v>69</v>
      </c>
      <c r="P71" s="4">
        <v>3</v>
      </c>
      <c r="Q71" s="4">
        <v>2</v>
      </c>
      <c r="R71" s="4">
        <v>30</v>
      </c>
      <c r="T71" s="4" t="s">
        <v>70</v>
      </c>
      <c r="U71" s="4" t="s">
        <v>71</v>
      </c>
      <c r="V71" s="6" t="s">
        <v>145</v>
      </c>
      <c r="W71" s="4" t="s">
        <v>70</v>
      </c>
      <c r="X71" s="4" t="s">
        <v>71</v>
      </c>
      <c r="Y71" s="4" t="s">
        <v>71</v>
      </c>
      <c r="Z71" s="4" t="s">
        <v>71</v>
      </c>
      <c r="AA71" s="4" t="s">
        <v>71</v>
      </c>
      <c r="AB71" s="4" t="s">
        <v>70</v>
      </c>
      <c r="AC71" s="4" t="s">
        <v>71</v>
      </c>
      <c r="AD71" s="4" t="s">
        <v>71</v>
      </c>
      <c r="AE71" s="4" t="s">
        <v>71</v>
      </c>
      <c r="AF71" s="4" t="s">
        <v>71</v>
      </c>
      <c r="AG71" s="4" t="s">
        <v>71</v>
      </c>
      <c r="AH71" s="4" t="s">
        <v>71</v>
      </c>
      <c r="AI71" s="4" t="s">
        <v>71</v>
      </c>
      <c r="AJ71" s="4" t="s">
        <v>71</v>
      </c>
      <c r="AK71" s="4" t="s">
        <v>71</v>
      </c>
      <c r="AL71" s="4" t="s">
        <v>71</v>
      </c>
      <c r="AM71" s="4" t="s">
        <v>71</v>
      </c>
      <c r="AN71" s="4" t="s">
        <v>71</v>
      </c>
      <c r="AO71" s="4" t="s">
        <v>71</v>
      </c>
      <c r="AP71" s="4" t="s">
        <v>70</v>
      </c>
    </row>
    <row r="72" spans="1:46" x14ac:dyDescent="0.25">
      <c r="A72" s="3">
        <v>45006.468651608797</v>
      </c>
      <c r="B72" s="4" t="s">
        <v>1153</v>
      </c>
      <c r="C72" s="4" t="s">
        <v>1154</v>
      </c>
      <c r="D72" s="5" t="s">
        <v>1155</v>
      </c>
      <c r="E72" s="4" t="s">
        <v>149</v>
      </c>
      <c r="F72" s="4" t="s">
        <v>205</v>
      </c>
      <c r="G72" s="4" t="s">
        <v>64</v>
      </c>
      <c r="H72" s="4" t="s">
        <v>1156</v>
      </c>
      <c r="I72" s="4" t="s">
        <v>1157</v>
      </c>
      <c r="K72" s="4" t="s">
        <v>1153</v>
      </c>
      <c r="L72" s="4" t="s">
        <v>656</v>
      </c>
      <c r="M72" s="4" t="s">
        <v>710</v>
      </c>
      <c r="N72" s="4">
        <v>25</v>
      </c>
      <c r="O72" s="4" t="s">
        <v>69</v>
      </c>
      <c r="P72" s="4">
        <v>4</v>
      </c>
      <c r="Q72" s="4">
        <v>1</v>
      </c>
      <c r="R72" s="4">
        <v>75</v>
      </c>
      <c r="T72" s="4" t="s">
        <v>70</v>
      </c>
      <c r="U72" s="4" t="s">
        <v>70</v>
      </c>
      <c r="V72" s="6" t="s">
        <v>145</v>
      </c>
      <c r="W72" s="4" t="s">
        <v>70</v>
      </c>
      <c r="X72" s="4" t="s">
        <v>71</v>
      </c>
      <c r="Y72" s="4" t="s">
        <v>71</v>
      </c>
      <c r="Z72" s="4" t="s">
        <v>71</v>
      </c>
      <c r="AA72" s="4" t="s">
        <v>71</v>
      </c>
      <c r="AB72" s="4" t="s">
        <v>71</v>
      </c>
      <c r="AC72" s="4" t="s">
        <v>70</v>
      </c>
      <c r="AD72" s="4" t="s">
        <v>71</v>
      </c>
      <c r="AE72" s="4" t="s">
        <v>71</v>
      </c>
      <c r="AF72" s="4" t="s">
        <v>71</v>
      </c>
      <c r="AG72" s="4" t="s">
        <v>71</v>
      </c>
      <c r="AH72" s="4" t="s">
        <v>70</v>
      </c>
      <c r="AI72" s="4" t="s">
        <v>71</v>
      </c>
      <c r="AJ72" s="4" t="s">
        <v>71</v>
      </c>
      <c r="AK72" s="4" t="s">
        <v>71</v>
      </c>
      <c r="AL72" s="4" t="s">
        <v>70</v>
      </c>
      <c r="AM72" s="4" t="s">
        <v>71</v>
      </c>
      <c r="AN72" s="4" t="s">
        <v>71</v>
      </c>
      <c r="AO72" s="4" t="s">
        <v>71</v>
      </c>
      <c r="AP72" s="4" t="s">
        <v>71</v>
      </c>
      <c r="AQ72" s="4" t="s">
        <v>71</v>
      </c>
      <c r="AR72" s="4" t="s">
        <v>71</v>
      </c>
      <c r="AS72" s="4" t="s">
        <v>71</v>
      </c>
      <c r="AT72" s="4" t="s">
        <v>1158</v>
      </c>
    </row>
    <row r="73" spans="1:46" x14ac:dyDescent="0.25">
      <c r="A73" s="3">
        <v>45006.483010752316</v>
      </c>
      <c r="B73" s="4" t="s">
        <v>1159</v>
      </c>
      <c r="C73" s="4" t="s">
        <v>1160</v>
      </c>
      <c r="D73" s="5" t="s">
        <v>1155</v>
      </c>
      <c r="E73" s="4" t="s">
        <v>149</v>
      </c>
      <c r="F73" s="4" t="s">
        <v>1004</v>
      </c>
      <c r="G73" s="4" t="s">
        <v>64</v>
      </c>
      <c r="H73" s="4" t="s">
        <v>1161</v>
      </c>
      <c r="I73" s="4" t="s">
        <v>1156</v>
      </c>
      <c r="K73" s="4" t="s">
        <v>1159</v>
      </c>
      <c r="L73" s="4" t="s">
        <v>656</v>
      </c>
      <c r="M73" s="4" t="s">
        <v>710</v>
      </c>
      <c r="N73" s="4">
        <v>25</v>
      </c>
      <c r="O73" s="4" t="s">
        <v>69</v>
      </c>
      <c r="P73" s="4">
        <v>4</v>
      </c>
      <c r="Q73" s="4">
        <v>1</v>
      </c>
      <c r="R73" s="4">
        <v>75</v>
      </c>
      <c r="T73" s="4" t="s">
        <v>70</v>
      </c>
      <c r="U73" s="4" t="s">
        <v>70</v>
      </c>
      <c r="V73" s="6" t="s">
        <v>145</v>
      </c>
      <c r="W73" s="4" t="s">
        <v>70</v>
      </c>
      <c r="X73" s="4" t="s">
        <v>71</v>
      </c>
      <c r="Y73" s="4" t="s">
        <v>71</v>
      </c>
      <c r="Z73" s="4" t="s">
        <v>71</v>
      </c>
      <c r="AA73" s="4" t="s">
        <v>71</v>
      </c>
      <c r="AB73" s="4" t="s">
        <v>71</v>
      </c>
      <c r="AC73" s="4" t="s">
        <v>70</v>
      </c>
      <c r="AD73" s="4" t="s">
        <v>71</v>
      </c>
      <c r="AE73" s="4" t="s">
        <v>71</v>
      </c>
      <c r="AF73" s="4" t="s">
        <v>71</v>
      </c>
      <c r="AG73" s="4" t="s">
        <v>71</v>
      </c>
      <c r="AH73" s="4" t="s">
        <v>70</v>
      </c>
      <c r="AI73" s="4" t="s">
        <v>71</v>
      </c>
      <c r="AJ73" s="4" t="s">
        <v>71</v>
      </c>
      <c r="AK73" s="4" t="s">
        <v>71</v>
      </c>
      <c r="AL73" s="4" t="s">
        <v>70</v>
      </c>
      <c r="AM73" s="4" t="s">
        <v>71</v>
      </c>
      <c r="AN73" s="4" t="s">
        <v>71</v>
      </c>
      <c r="AO73" s="4" t="s">
        <v>71</v>
      </c>
      <c r="AP73" s="4" t="s">
        <v>71</v>
      </c>
      <c r="AQ73" s="4" t="s">
        <v>71</v>
      </c>
      <c r="AR73" s="4" t="s">
        <v>70</v>
      </c>
      <c r="AS73" s="4" t="s">
        <v>71</v>
      </c>
      <c r="AT73" s="4" t="s">
        <v>1162</v>
      </c>
    </row>
    <row r="74" spans="1:46" x14ac:dyDescent="0.25">
      <c r="A74" s="3">
        <v>45005.953918101848</v>
      </c>
      <c r="B74" s="4" t="s">
        <v>1163</v>
      </c>
      <c r="C74" s="4" t="s">
        <v>1164</v>
      </c>
      <c r="D74" s="5" t="s">
        <v>1165</v>
      </c>
      <c r="E74" s="4" t="s">
        <v>103</v>
      </c>
      <c r="F74" s="4" t="s">
        <v>1166</v>
      </c>
      <c r="G74" s="4" t="s">
        <v>105</v>
      </c>
      <c r="H74" s="4" t="s">
        <v>1167</v>
      </c>
      <c r="I74" s="4" t="s">
        <v>1168</v>
      </c>
      <c r="J74" s="4" t="s">
        <v>1169</v>
      </c>
      <c r="K74" s="4" t="s">
        <v>1163</v>
      </c>
      <c r="L74" s="4" t="s">
        <v>665</v>
      </c>
      <c r="M74" s="4" t="s">
        <v>719</v>
      </c>
      <c r="N74" s="4">
        <v>35</v>
      </c>
      <c r="O74" s="4" t="s">
        <v>433</v>
      </c>
      <c r="P74" s="4">
        <v>5</v>
      </c>
      <c r="Q74" s="4">
        <v>5</v>
      </c>
      <c r="R74" s="4">
        <v>10</v>
      </c>
      <c r="S74" s="4" t="s">
        <v>1170</v>
      </c>
      <c r="T74" s="4" t="s">
        <v>70</v>
      </c>
      <c r="U74" s="4" t="s">
        <v>71</v>
      </c>
      <c r="V74" s="6" t="s">
        <v>145</v>
      </c>
      <c r="W74" s="4" t="s">
        <v>70</v>
      </c>
      <c r="X74" s="4" t="s">
        <v>70</v>
      </c>
      <c r="Y74" s="4" t="s">
        <v>70</v>
      </c>
      <c r="Z74" s="4" t="s">
        <v>70</v>
      </c>
      <c r="AA74" s="4" t="s">
        <v>70</v>
      </c>
      <c r="AB74" s="4" t="s">
        <v>70</v>
      </c>
      <c r="AC74" s="4" t="s">
        <v>71</v>
      </c>
      <c r="AD74" s="4" t="s">
        <v>71</v>
      </c>
      <c r="AE74" s="4" t="s">
        <v>71</v>
      </c>
      <c r="AF74" s="4" t="s">
        <v>70</v>
      </c>
      <c r="AG74" s="4" t="s">
        <v>70</v>
      </c>
      <c r="AH74" s="4" t="s">
        <v>70</v>
      </c>
      <c r="AI74" s="4" t="s">
        <v>71</v>
      </c>
      <c r="AJ74" s="4" t="s">
        <v>71</v>
      </c>
      <c r="AK74" s="4" t="s">
        <v>70</v>
      </c>
      <c r="AL74" s="4" t="s">
        <v>70</v>
      </c>
      <c r="AM74" s="4" t="s">
        <v>70</v>
      </c>
      <c r="AN74" s="4" t="s">
        <v>71</v>
      </c>
      <c r="AO74" s="4" t="s">
        <v>71</v>
      </c>
      <c r="AP74" s="4" t="s">
        <v>70</v>
      </c>
      <c r="AT74" s="4" t="s">
        <v>1171</v>
      </c>
    </row>
    <row r="75" spans="1:46" x14ac:dyDescent="0.25">
      <c r="A75" s="3">
        <v>45005.956144710653</v>
      </c>
      <c r="B75" s="4" t="s">
        <v>1163</v>
      </c>
      <c r="C75" s="4" t="s">
        <v>1164</v>
      </c>
      <c r="D75" s="5" t="s">
        <v>1165</v>
      </c>
      <c r="E75" s="4" t="s">
        <v>103</v>
      </c>
      <c r="F75" s="4" t="s">
        <v>1172</v>
      </c>
      <c r="G75" s="4" t="s">
        <v>105</v>
      </c>
      <c r="H75" s="4" t="s">
        <v>1167</v>
      </c>
      <c r="I75" s="4" t="s">
        <v>1168</v>
      </c>
      <c r="J75" s="4" t="s">
        <v>1169</v>
      </c>
      <c r="K75" s="4" t="s">
        <v>1163</v>
      </c>
      <c r="L75" s="4" t="s">
        <v>665</v>
      </c>
      <c r="M75" s="4" t="s">
        <v>719</v>
      </c>
      <c r="N75" s="4">
        <v>35</v>
      </c>
      <c r="O75" s="4" t="s">
        <v>433</v>
      </c>
      <c r="P75" s="4">
        <v>5</v>
      </c>
      <c r="Q75" s="4">
        <v>5</v>
      </c>
      <c r="R75" s="4">
        <v>10</v>
      </c>
      <c r="S75" s="4" t="s">
        <v>1173</v>
      </c>
      <c r="T75" s="4" t="s">
        <v>70</v>
      </c>
      <c r="U75" s="4" t="s">
        <v>71</v>
      </c>
      <c r="V75" s="6" t="s">
        <v>145</v>
      </c>
      <c r="W75" s="4" t="s">
        <v>70</v>
      </c>
      <c r="X75" s="4" t="s">
        <v>70</v>
      </c>
      <c r="Y75" s="4" t="s">
        <v>71</v>
      </c>
      <c r="Z75" s="4" t="s">
        <v>70</v>
      </c>
      <c r="AA75" s="4" t="s">
        <v>70</v>
      </c>
      <c r="AB75" s="4" t="s">
        <v>70</v>
      </c>
      <c r="AC75" s="4" t="s">
        <v>71</v>
      </c>
      <c r="AD75" s="4" t="s">
        <v>71</v>
      </c>
      <c r="AE75" s="4" t="s">
        <v>71</v>
      </c>
      <c r="AF75" s="4" t="s">
        <v>70</v>
      </c>
      <c r="AG75" s="4" t="s">
        <v>70</v>
      </c>
      <c r="AH75" s="4" t="s">
        <v>70</v>
      </c>
      <c r="AI75" s="4" t="s">
        <v>71</v>
      </c>
      <c r="AJ75" s="4" t="s">
        <v>71</v>
      </c>
      <c r="AK75" s="4" t="s">
        <v>70</v>
      </c>
      <c r="AL75" s="4" t="s">
        <v>70</v>
      </c>
      <c r="AM75" s="4" t="s">
        <v>70</v>
      </c>
      <c r="AN75" s="4" t="s">
        <v>71</v>
      </c>
      <c r="AO75" s="4" t="s">
        <v>71</v>
      </c>
      <c r="AP75" s="4" t="s">
        <v>70</v>
      </c>
      <c r="AQ75" s="4" t="s">
        <v>71</v>
      </c>
      <c r="AR75" s="4" t="s">
        <v>71</v>
      </c>
      <c r="AS75" s="4" t="s">
        <v>71</v>
      </c>
      <c r="AT75" s="4" t="s">
        <v>1174</v>
      </c>
    </row>
    <row r="77" spans="1:46" x14ac:dyDescent="0.25">
      <c r="N77" s="14">
        <f>SUM(N1:N75)</f>
        <v>2392</v>
      </c>
    </row>
  </sheetData>
  <autoFilter ref="A1:CV7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DK127"/>
  <sheetViews>
    <sheetView workbookViewId="0">
      <pane xSplit="21" ySplit="1" topLeftCell="V2" activePane="bottomRight" state="frozen"/>
      <selection pane="topRight" activeCell="V1" sqref="V1"/>
      <selection pane="bottomLeft" activeCell="A2" sqref="A2"/>
      <selection pane="bottomRight" activeCell="V2" sqref="V2"/>
    </sheetView>
  </sheetViews>
  <sheetFormatPr baseColWidth="10" defaultColWidth="12.6640625" defaultRowHeight="15.75" customHeight="1" x14ac:dyDescent="0.25"/>
  <cols>
    <col min="1" max="2" width="12.6640625" hidden="1"/>
    <col min="3" max="3" width="24.109375" customWidth="1"/>
    <col min="4" max="4" width="11" hidden="1" customWidth="1"/>
    <col min="9" max="12" width="12.6640625" hidden="1"/>
    <col min="14" max="14" width="6.109375" customWidth="1"/>
    <col min="16" max="19" width="12.6640625" hidden="1"/>
    <col min="20" max="20" width="5.77734375" customWidth="1"/>
    <col min="21" max="21" width="5.109375" customWidth="1"/>
    <col min="22" max="22" width="12.6640625" hidden="1"/>
    <col min="23" max="23" width="11.6640625" customWidth="1"/>
    <col min="24" max="24" width="11.33203125" customWidth="1"/>
    <col min="27" max="27" width="8.77734375" customWidth="1"/>
    <col min="29" max="29" width="8.21875" customWidth="1"/>
    <col min="30" max="30" width="10.88671875" customWidth="1"/>
    <col min="31" max="31" width="6.33203125" customWidth="1"/>
    <col min="33" max="33" width="6.44140625" customWidth="1"/>
    <col min="35" max="35" width="8.44140625" customWidth="1"/>
    <col min="37" max="37" width="7.77734375" customWidth="1"/>
    <col min="62" max="62" width="11.33203125" customWidth="1"/>
  </cols>
  <sheetData>
    <row r="1" spans="1:115" ht="63" customHeight="1" x14ac:dyDescent="0.25">
      <c r="A1" s="19" t="s">
        <v>0</v>
      </c>
      <c r="B1" s="19" t="s">
        <v>1</v>
      </c>
      <c r="C1" s="19" t="s">
        <v>2</v>
      </c>
      <c r="D1" s="19" t="s">
        <v>1198</v>
      </c>
      <c r="E1" s="19" t="s">
        <v>1199</v>
      </c>
      <c r="F1" s="19" t="s">
        <v>5</v>
      </c>
      <c r="G1" s="19" t="s">
        <v>6</v>
      </c>
      <c r="H1" s="19" t="s">
        <v>7</v>
      </c>
      <c r="I1" s="19" t="s">
        <v>8</v>
      </c>
      <c r="J1" s="19" t="s">
        <v>9</v>
      </c>
      <c r="K1" s="19" t="s">
        <v>10</v>
      </c>
      <c r="L1" s="19" t="s">
        <v>1200</v>
      </c>
      <c r="M1" s="19" t="s">
        <v>12</v>
      </c>
      <c r="N1" s="19" t="s">
        <v>1201</v>
      </c>
      <c r="O1" s="19" t="s">
        <v>1202</v>
      </c>
      <c r="P1" s="19" t="s">
        <v>15</v>
      </c>
      <c r="Q1" s="19" t="s">
        <v>16</v>
      </c>
      <c r="R1" s="19" t="s">
        <v>1203</v>
      </c>
      <c r="S1" s="19" t="s">
        <v>18</v>
      </c>
      <c r="T1" s="19" t="s">
        <v>19</v>
      </c>
      <c r="U1" s="19" t="s">
        <v>20</v>
      </c>
      <c r="V1" s="19" t="s">
        <v>1204</v>
      </c>
      <c r="W1" s="19" t="s">
        <v>23</v>
      </c>
      <c r="X1" s="19" t="s">
        <v>24</v>
      </c>
      <c r="Y1" s="19" t="s">
        <v>25</v>
      </c>
      <c r="Z1" s="19" t="s">
        <v>26</v>
      </c>
      <c r="AA1" s="20" t="s">
        <v>1218</v>
      </c>
      <c r="AB1" s="19" t="s">
        <v>27</v>
      </c>
      <c r="AC1" s="20" t="s">
        <v>1219</v>
      </c>
      <c r="AD1" s="19" t="s">
        <v>28</v>
      </c>
      <c r="AE1" s="20" t="s">
        <v>1218</v>
      </c>
      <c r="AF1" s="19" t="s">
        <v>29</v>
      </c>
      <c r="AG1" s="20" t="s">
        <v>1218</v>
      </c>
      <c r="AH1" s="19" t="s">
        <v>30</v>
      </c>
      <c r="AI1" s="20" t="s">
        <v>1218</v>
      </c>
      <c r="AJ1" s="19" t="s">
        <v>31</v>
      </c>
      <c r="AK1" s="20" t="s">
        <v>1218</v>
      </c>
      <c r="AL1" s="19" t="s">
        <v>32</v>
      </c>
      <c r="AM1" s="20" t="s">
        <v>1220</v>
      </c>
      <c r="AN1" s="19" t="s">
        <v>33</v>
      </c>
      <c r="AO1" s="20" t="s">
        <v>1221</v>
      </c>
      <c r="AP1" s="19" t="s">
        <v>34</v>
      </c>
      <c r="AQ1" s="20" t="s">
        <v>1222</v>
      </c>
      <c r="AR1" s="19" t="s">
        <v>35</v>
      </c>
      <c r="AS1" s="20" t="s">
        <v>1223</v>
      </c>
      <c r="AT1" s="19" t="s">
        <v>36</v>
      </c>
      <c r="AU1" s="20" t="s">
        <v>1224</v>
      </c>
      <c r="AV1" s="19" t="s">
        <v>37</v>
      </c>
      <c r="AW1" s="19" t="s">
        <v>38</v>
      </c>
      <c r="AX1" s="19" t="s">
        <v>39</v>
      </c>
      <c r="AY1" s="19" t="s">
        <v>40</v>
      </c>
      <c r="AZ1" s="19" t="s">
        <v>41</v>
      </c>
      <c r="BA1" s="19" t="s">
        <v>42</v>
      </c>
      <c r="BB1" s="20" t="s">
        <v>1225</v>
      </c>
      <c r="BC1" s="19" t="s">
        <v>43</v>
      </c>
      <c r="BD1" s="20" t="s">
        <v>1225</v>
      </c>
      <c r="BE1" s="19" t="s">
        <v>44</v>
      </c>
      <c r="BF1" s="20" t="s">
        <v>1225</v>
      </c>
      <c r="BG1" s="19" t="s">
        <v>45</v>
      </c>
      <c r="BH1" s="20" t="s">
        <v>1225</v>
      </c>
      <c r="BI1" s="17" t="s">
        <v>46</v>
      </c>
      <c r="BJ1" s="20" t="s">
        <v>1226</v>
      </c>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21"/>
      <c r="DG1" s="21"/>
      <c r="DH1" s="21"/>
      <c r="DI1" s="21"/>
      <c r="DJ1" s="21"/>
      <c r="DK1" s="21"/>
    </row>
    <row r="2" spans="1:115" ht="13.2" x14ac:dyDescent="0.25">
      <c r="A2" s="22">
        <v>45003.486368124999</v>
      </c>
      <c r="B2" s="23" t="s">
        <v>137</v>
      </c>
      <c r="C2" s="23" t="s">
        <v>138</v>
      </c>
      <c r="D2" s="24" t="s">
        <v>139</v>
      </c>
      <c r="E2" s="23" t="s">
        <v>140</v>
      </c>
      <c r="F2" s="23" t="s">
        <v>141</v>
      </c>
      <c r="G2" s="23" t="s">
        <v>105</v>
      </c>
      <c r="H2" s="23" t="s">
        <v>142</v>
      </c>
      <c r="I2" s="23" t="s">
        <v>143</v>
      </c>
      <c r="J2" s="25"/>
      <c r="K2" s="23" t="s">
        <v>137</v>
      </c>
      <c r="L2" s="23" t="s">
        <v>67</v>
      </c>
      <c r="M2" s="23" t="s">
        <v>120</v>
      </c>
      <c r="N2" s="23">
        <v>17</v>
      </c>
      <c r="O2" s="23" t="s">
        <v>97</v>
      </c>
      <c r="P2" s="23">
        <v>3</v>
      </c>
      <c r="Q2" s="23">
        <v>3</v>
      </c>
      <c r="R2" s="23">
        <v>90</v>
      </c>
      <c r="S2" s="25"/>
      <c r="T2" s="23" t="s">
        <v>71</v>
      </c>
      <c r="U2" s="23" t="s">
        <v>70</v>
      </c>
      <c r="V2" s="26" t="s">
        <v>145</v>
      </c>
      <c r="W2" s="27">
        <f>IF('CRUDO MARTES'!W2="Si",$N2,)</f>
        <v>0</v>
      </c>
      <c r="X2" s="27">
        <f>IF('CRUDO MARTES'!X2="Si",$N2,)</f>
        <v>0</v>
      </c>
      <c r="Y2" s="27">
        <f>IF('CRUDO MARTES'!Y2="Si",$N2,)</f>
        <v>17</v>
      </c>
      <c r="Z2" s="27">
        <f>IF('CRUDO MARTES'!Z2="Si",$N2,)</f>
        <v>0</v>
      </c>
      <c r="AA2" s="27"/>
      <c r="AB2" s="27">
        <f>IF('CRUDO MARTES'!AA2="Si",$N2,)</f>
        <v>0</v>
      </c>
      <c r="AC2" s="27"/>
      <c r="AD2" s="27">
        <f>IF('CRUDO MARTES'!AB2="Si",$N2,)</f>
        <v>0</v>
      </c>
      <c r="AE2" s="27"/>
      <c r="AF2" s="27">
        <f>IF('CRUDO MARTES'!AC2="Si",$N2,)</f>
        <v>17</v>
      </c>
      <c r="AG2" s="28" t="s">
        <v>1227</v>
      </c>
      <c r="AH2" s="27">
        <f>IF('CRUDO MARTES'!AD2="Si",$N2,)</f>
        <v>0</v>
      </c>
      <c r="AI2" s="27"/>
      <c r="AJ2" s="27">
        <f>IF('CRUDO MARTES'!AE2="Si",$N2,)</f>
        <v>0</v>
      </c>
      <c r="AK2" s="27"/>
      <c r="AL2" s="27">
        <f>IF('CRUDO MARTES'!AF2="Si",$N2,)</f>
        <v>0</v>
      </c>
      <c r="AM2" s="27"/>
      <c r="AN2" s="27">
        <f>IF('CRUDO MARTES'!AG2="Si",$N2,)</f>
        <v>0</v>
      </c>
      <c r="AO2" s="27"/>
      <c r="AP2" s="27">
        <f>IF('CRUDO MARTES'!AH2="Si",$N2,)</f>
        <v>0</v>
      </c>
      <c r="AQ2" s="27"/>
      <c r="AR2" s="27">
        <f>IF('CRUDO MARTES'!AI2="Si",$N2,)</f>
        <v>0</v>
      </c>
      <c r="AS2" s="27"/>
      <c r="AT2" s="27">
        <f>IF('CRUDO MARTES'!AJ2="Si",$N2,)</f>
        <v>17</v>
      </c>
      <c r="AU2" s="28" t="s">
        <v>1228</v>
      </c>
      <c r="AV2" s="27">
        <f>IF('CRUDO MARTES'!AK2="Si",$N2,)</f>
        <v>0</v>
      </c>
      <c r="AW2" s="27">
        <f>IF('CRUDO MARTES'!AL2="Si",$N2,)</f>
        <v>0</v>
      </c>
      <c r="AX2" s="27">
        <f>IF('CRUDO MARTES'!AM2="Si",$N2,)</f>
        <v>0</v>
      </c>
      <c r="AY2" s="28">
        <v>0</v>
      </c>
      <c r="AZ2" s="27">
        <f>IF('CRUDO MARTES'!AO2="Si",$N2,)</f>
        <v>0</v>
      </c>
      <c r="BA2" s="27">
        <f>IF('CRUDO MARTES'!AP2="Si",$N2,)</f>
        <v>0</v>
      </c>
      <c r="BB2" s="27"/>
      <c r="BC2" s="27">
        <f>IF('CRUDO MARTES'!AQ2="Si",$N2,)</f>
        <v>0</v>
      </c>
      <c r="BD2" s="27"/>
      <c r="BE2" s="27">
        <f>IF('CRUDO MARTES'!AR2="Si",$N2,)</f>
        <v>0</v>
      </c>
      <c r="BF2" s="27"/>
      <c r="BG2" s="27">
        <f>IF('CRUDO MARTES'!AS2="Si",$N2,)</f>
        <v>0</v>
      </c>
      <c r="BH2" s="25"/>
      <c r="BI2" s="25"/>
      <c r="BJ2" s="23" t="s">
        <v>1229</v>
      </c>
      <c r="BK2" s="23">
        <v>1</v>
      </c>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row>
    <row r="3" spans="1:115" ht="13.2" x14ac:dyDescent="0.25">
      <c r="A3" s="22">
        <v>45002.995239270836</v>
      </c>
      <c r="B3" s="23" t="s">
        <v>146</v>
      </c>
      <c r="C3" s="23" t="s">
        <v>147</v>
      </c>
      <c r="D3" s="29" t="s">
        <v>148</v>
      </c>
      <c r="E3" s="23" t="s">
        <v>149</v>
      </c>
      <c r="F3" s="23" t="s">
        <v>150</v>
      </c>
      <c r="G3" s="23" t="s">
        <v>64</v>
      </c>
      <c r="H3" s="23" t="s">
        <v>151</v>
      </c>
      <c r="I3" s="23" t="s">
        <v>152</v>
      </c>
      <c r="J3" s="25"/>
      <c r="K3" s="23" t="s">
        <v>146</v>
      </c>
      <c r="L3" s="23" t="s">
        <v>67</v>
      </c>
      <c r="M3" s="23" t="s">
        <v>127</v>
      </c>
      <c r="N3" s="23">
        <v>25</v>
      </c>
      <c r="O3" s="23" t="s">
        <v>69</v>
      </c>
      <c r="P3" s="23">
        <v>4</v>
      </c>
      <c r="Q3" s="23">
        <v>3</v>
      </c>
      <c r="R3" s="23">
        <v>8</v>
      </c>
      <c r="S3" s="25"/>
      <c r="T3" s="23" t="s">
        <v>70</v>
      </c>
      <c r="U3" s="23" t="s">
        <v>71</v>
      </c>
      <c r="V3" s="26" t="s">
        <v>145</v>
      </c>
      <c r="W3" s="27">
        <f>IF('CRUDO MARTES'!W3="Si",$N3,)</f>
        <v>25</v>
      </c>
      <c r="X3" s="27">
        <f>IF('CRUDO MARTES'!X3="Si",$N3,)</f>
        <v>0</v>
      </c>
      <c r="Y3" s="27">
        <f>IF('CRUDO MARTES'!Y3="Si",$N3,)</f>
        <v>0</v>
      </c>
      <c r="Z3" s="27">
        <f>IF('CRUDO MARTES'!Z3="Si",$N3,)</f>
        <v>0</v>
      </c>
      <c r="AA3" s="27"/>
      <c r="AB3" s="27">
        <f>IF('CRUDO MARTES'!AA3="Si",$N3,)</f>
        <v>0</v>
      </c>
      <c r="AC3" s="27"/>
      <c r="AD3" s="27">
        <f>IF('CRUDO MARTES'!AC3="Si",$N3,)</f>
        <v>25</v>
      </c>
      <c r="AE3" s="28" t="s">
        <v>1227</v>
      </c>
      <c r="AF3" s="25"/>
      <c r="AG3" s="25"/>
      <c r="AH3" s="27">
        <f>IF('CRUDO MARTES'!AD3="Si",$N3,)</f>
        <v>0</v>
      </c>
      <c r="AI3" s="27"/>
      <c r="AJ3" s="27">
        <f>IF('CRUDO MARTES'!AE3="Si",$N3,)</f>
        <v>0</v>
      </c>
      <c r="AK3" s="27"/>
      <c r="AL3" s="27">
        <f>IF('CRUDO MARTES'!AF3="Si",$N3,)</f>
        <v>0</v>
      </c>
      <c r="AM3" s="28"/>
      <c r="AN3" s="28">
        <v>25</v>
      </c>
      <c r="AO3" s="28" t="s">
        <v>1230</v>
      </c>
      <c r="AP3" s="27">
        <f>IF('CRUDO MARTES'!AH3="Si",$N3,)</f>
        <v>0</v>
      </c>
      <c r="AQ3" s="27"/>
      <c r="AR3" s="27">
        <f>IF('CRUDO MARTES'!AI3="Si",$N3,)</f>
        <v>0</v>
      </c>
      <c r="AS3" s="27"/>
      <c r="AT3" s="27">
        <f>IF('CRUDO MARTES'!AJ3="Si",$N3,)</f>
        <v>0</v>
      </c>
      <c r="AU3" s="27"/>
      <c r="AV3" s="27">
        <f>IF('CRUDO MARTES'!AK3="Si",$N3,)</f>
        <v>0</v>
      </c>
      <c r="AW3" s="27">
        <f>IF('CRUDO MARTES'!AL3="Si",$N3,)</f>
        <v>0</v>
      </c>
      <c r="AX3" s="28">
        <v>0</v>
      </c>
      <c r="AY3" s="27">
        <f>IF('CRUDO MARTES'!AN3="Si",$N3,)</f>
        <v>0</v>
      </c>
      <c r="AZ3" s="27">
        <f>IF('CRUDO MARTES'!AO3="Si",$N3,)</f>
        <v>0</v>
      </c>
      <c r="BA3" s="27">
        <f>IF('CRUDO MARTES'!AP3="Si",$N3,)</f>
        <v>0</v>
      </c>
      <c r="BB3" s="27"/>
      <c r="BC3" s="27">
        <f>IF('CRUDO MARTES'!AQ3="Si",$N3,)</f>
        <v>0</v>
      </c>
      <c r="BD3" s="27"/>
      <c r="BE3" s="27">
        <f>IF('CRUDO MARTES'!AR3="Si",$N3,)</f>
        <v>0</v>
      </c>
      <c r="BF3" s="27"/>
      <c r="BG3" s="27">
        <f>IF('CRUDO MARTES'!AS3="Si",$N3,)</f>
        <v>0</v>
      </c>
      <c r="BH3" s="25"/>
      <c r="BI3" s="25"/>
      <c r="BJ3" s="23" t="s">
        <v>1231</v>
      </c>
      <c r="BK3" s="23">
        <v>1</v>
      </c>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row>
    <row r="4" spans="1:115" ht="13.2" hidden="1" x14ac:dyDescent="0.25">
      <c r="A4" s="30">
        <v>45004.572966157408</v>
      </c>
      <c r="B4" s="31" t="s">
        <v>179</v>
      </c>
      <c r="C4" s="31" t="s">
        <v>187</v>
      </c>
      <c r="D4" s="32" t="s">
        <v>181</v>
      </c>
      <c r="E4" s="31" t="s">
        <v>62</v>
      </c>
      <c r="F4" s="31" t="s">
        <v>188</v>
      </c>
      <c r="G4" s="31" t="s">
        <v>64</v>
      </c>
      <c r="H4" s="31" t="s">
        <v>185</v>
      </c>
      <c r="I4" s="31" t="s">
        <v>184</v>
      </c>
      <c r="J4" s="31" t="s">
        <v>183</v>
      </c>
      <c r="K4" s="31" t="s">
        <v>179</v>
      </c>
      <c r="L4" s="31" t="s">
        <v>67</v>
      </c>
      <c r="M4" s="31" t="s">
        <v>161</v>
      </c>
      <c r="N4" s="31">
        <v>0</v>
      </c>
      <c r="O4" s="31" t="s">
        <v>69</v>
      </c>
      <c r="P4" s="31">
        <v>4</v>
      </c>
      <c r="Q4" s="31">
        <v>4</v>
      </c>
      <c r="R4" s="31">
        <v>15</v>
      </c>
      <c r="S4" s="33"/>
      <c r="T4" s="31" t="s">
        <v>70</v>
      </c>
      <c r="U4" s="31" t="s">
        <v>71</v>
      </c>
      <c r="V4" s="8" t="s">
        <v>145</v>
      </c>
      <c r="W4" s="34">
        <v>0</v>
      </c>
      <c r="X4" s="35">
        <f>IF('CRUDO MARTES'!X5="Si",$N4,)</f>
        <v>0</v>
      </c>
      <c r="Y4" s="35">
        <f>IF('CRUDO MARTES'!Y5="Si",$N4,)</f>
        <v>0</v>
      </c>
      <c r="Z4" s="35">
        <f>IF('CRUDO MARTES'!Z5="Si",$N4,)</f>
        <v>0</v>
      </c>
      <c r="AA4" s="35"/>
      <c r="AB4" s="35">
        <f>IF('CRUDO MARTES'!AA5="Si",$N4,)</f>
        <v>0</v>
      </c>
      <c r="AC4" s="35"/>
      <c r="AD4" s="35">
        <f>IF('CRUDO MARTES'!AB5="Si",$N4,)</f>
        <v>0</v>
      </c>
      <c r="AE4" s="35"/>
      <c r="AF4" s="35">
        <f>IF('CRUDO MARTES'!AC5="Si",$N4,)</f>
        <v>0</v>
      </c>
      <c r="AG4" s="35"/>
      <c r="AH4" s="35">
        <f>IF('CRUDO MARTES'!AD5="Si",$N4,)</f>
        <v>0</v>
      </c>
      <c r="AI4" s="35"/>
      <c r="AJ4" s="35">
        <f>IF('CRUDO MARTES'!AE5="Si",$N4,)</f>
        <v>0</v>
      </c>
      <c r="AK4" s="35"/>
      <c r="AL4" s="35">
        <f>IF('CRUDO MARTES'!AF5="Si",$N4,)</f>
        <v>0</v>
      </c>
      <c r="AM4" s="35"/>
      <c r="AN4" s="35">
        <f>IF('CRUDO MARTES'!AG5="Si",$N4,)</f>
        <v>0</v>
      </c>
      <c r="AO4" s="35"/>
      <c r="AP4" s="35">
        <f>IF('CRUDO MARTES'!AH5="Si",$N4,)</f>
        <v>0</v>
      </c>
      <c r="AQ4" s="35"/>
      <c r="AR4" s="35">
        <f>IF('CRUDO MARTES'!AI5="Si",$N4,)</f>
        <v>0</v>
      </c>
      <c r="AS4" s="35"/>
      <c r="AT4" s="35">
        <f>IF('CRUDO MARTES'!AJ5="Si",$N4,)</f>
        <v>0</v>
      </c>
      <c r="AU4" s="35"/>
      <c r="AV4" s="35">
        <f>IF('CRUDO MARTES'!AK5="Si",$N4,)</f>
        <v>0</v>
      </c>
      <c r="AW4" s="35">
        <f>IF('CRUDO MARTES'!AL5="Si",$N4,)</f>
        <v>0</v>
      </c>
      <c r="AX4" s="35">
        <f>IF('CRUDO MARTES'!AM5="Si",$N4,)</f>
        <v>0</v>
      </c>
      <c r="AY4" s="35">
        <f>IF('CRUDO MARTES'!AN5="Si",$N4,)</f>
        <v>0</v>
      </c>
      <c r="AZ4" s="35">
        <f>IF('CRUDO MARTES'!AO5="Si",$N4,)</f>
        <v>0</v>
      </c>
      <c r="BA4" s="35">
        <f>IF('CRUDO MARTES'!AP5="Si",$N4,)</f>
        <v>0</v>
      </c>
      <c r="BB4" s="35"/>
      <c r="BC4" s="35">
        <f>IF('CRUDO MARTES'!AQ5="Si",$N4,)</f>
        <v>0</v>
      </c>
      <c r="BD4" s="35"/>
      <c r="BE4" s="35">
        <f>IF('CRUDO MARTES'!AR5="Si",$N4,)</f>
        <v>0</v>
      </c>
      <c r="BF4" s="35"/>
      <c r="BG4" s="35">
        <f>IF('CRUDO MARTES'!AS5="Si",$N4,)</f>
        <v>0</v>
      </c>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row>
    <row r="5" spans="1:115" ht="13.2" hidden="1" x14ac:dyDescent="0.25">
      <c r="A5" s="30">
        <v>45004.574748125</v>
      </c>
      <c r="B5" s="31" t="s">
        <v>179</v>
      </c>
      <c r="C5" s="31" t="s">
        <v>187</v>
      </c>
      <c r="D5" s="32" t="s">
        <v>181</v>
      </c>
      <c r="E5" s="31" t="s">
        <v>62</v>
      </c>
      <c r="F5" s="31" t="s">
        <v>190</v>
      </c>
      <c r="G5" s="31" t="s">
        <v>64</v>
      </c>
      <c r="H5" s="31" t="s">
        <v>185</v>
      </c>
      <c r="I5" s="31" t="s">
        <v>184</v>
      </c>
      <c r="J5" s="31" t="s">
        <v>183</v>
      </c>
      <c r="K5" s="31" t="s">
        <v>179</v>
      </c>
      <c r="L5" s="31" t="s">
        <v>67</v>
      </c>
      <c r="M5" s="31" t="s">
        <v>161</v>
      </c>
      <c r="N5" s="31">
        <v>0</v>
      </c>
      <c r="O5" s="31" t="s">
        <v>69</v>
      </c>
      <c r="P5" s="31">
        <v>4</v>
      </c>
      <c r="Q5" s="31">
        <v>4</v>
      </c>
      <c r="R5" s="31">
        <v>15</v>
      </c>
      <c r="S5" s="33"/>
      <c r="T5" s="31" t="s">
        <v>70</v>
      </c>
      <c r="U5" s="31" t="s">
        <v>71</v>
      </c>
      <c r="V5" s="8" t="s">
        <v>145</v>
      </c>
      <c r="W5" s="34">
        <v>0</v>
      </c>
      <c r="X5" s="35">
        <f>IF('CRUDO MARTES'!X6="Si",$N5,)</f>
        <v>0</v>
      </c>
      <c r="Y5" s="35">
        <f>IF('CRUDO MARTES'!Y6="Si",$N5,)</f>
        <v>0</v>
      </c>
      <c r="Z5" s="34">
        <v>0</v>
      </c>
      <c r="AA5" s="34"/>
      <c r="AB5" s="34">
        <v>0</v>
      </c>
      <c r="AC5" s="34"/>
      <c r="AD5" s="35">
        <f>IF('CRUDO MARTES'!AB6="Si",$N5,)</f>
        <v>0</v>
      </c>
      <c r="AE5" s="35"/>
      <c r="AF5" s="35">
        <f>IF('CRUDO MARTES'!AC6="Si",$N5,)</f>
        <v>0</v>
      </c>
      <c r="AG5" s="35"/>
      <c r="AH5" s="35">
        <f>IF('CRUDO MARTES'!AD6="Si",$N5,)</f>
        <v>0</v>
      </c>
      <c r="AI5" s="35"/>
      <c r="AJ5" s="35">
        <f>IF('CRUDO MARTES'!AE6="Si",$N5,)</f>
        <v>0</v>
      </c>
      <c r="AK5" s="35"/>
      <c r="AL5" s="34" t="s">
        <v>1232</v>
      </c>
      <c r="AM5" s="34"/>
      <c r="AN5" s="34">
        <v>0</v>
      </c>
      <c r="AO5" s="35"/>
      <c r="AP5" s="35">
        <f>IF('CRUDO MARTES'!AH6="Si",$N5,)</f>
        <v>0</v>
      </c>
      <c r="AQ5" s="35"/>
      <c r="AR5" s="35">
        <f>IF('CRUDO MARTES'!AI6="Si",$N5,)</f>
        <v>0</v>
      </c>
      <c r="AS5" s="35"/>
      <c r="AT5" s="35">
        <f>IF('CRUDO MARTES'!AJ6="Si",$N5,)</f>
        <v>0</v>
      </c>
      <c r="AU5" s="35"/>
      <c r="AV5" s="35">
        <f>IF('CRUDO MARTES'!AK6="Si",$N5,)</f>
        <v>0</v>
      </c>
      <c r="AW5" s="34">
        <v>0</v>
      </c>
      <c r="AX5" s="34">
        <v>0</v>
      </c>
      <c r="AY5" s="35">
        <f>IF('CRUDO MARTES'!AN6="Si",$N5,)</f>
        <v>0</v>
      </c>
      <c r="AZ5" s="35">
        <f>IF('CRUDO MARTES'!AO6="Si",$N5,)</f>
        <v>0</v>
      </c>
      <c r="BA5" s="34">
        <v>0</v>
      </c>
      <c r="BB5" s="34"/>
      <c r="BC5" s="34">
        <v>0</v>
      </c>
      <c r="BD5" s="35"/>
      <c r="BE5" s="35">
        <f>IF('CRUDO MARTES'!AR6="Si",$N5,)</f>
        <v>0</v>
      </c>
      <c r="BF5" s="35"/>
      <c r="BG5" s="35">
        <f>IF('CRUDO MARTES'!AS6="Si",$N5,)</f>
        <v>0</v>
      </c>
      <c r="BH5" s="33"/>
      <c r="BI5" s="33"/>
      <c r="BJ5" s="31" t="s">
        <v>1231</v>
      </c>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row>
    <row r="6" spans="1:115" ht="13.2" hidden="1" x14ac:dyDescent="0.25">
      <c r="A6" s="30">
        <v>45002.545335844909</v>
      </c>
      <c r="B6" s="31" t="s">
        <v>239</v>
      </c>
      <c r="C6" s="31" t="s">
        <v>240</v>
      </c>
      <c r="D6" s="36" t="s">
        <v>241</v>
      </c>
      <c r="E6" s="31" t="s">
        <v>62</v>
      </c>
      <c r="F6" s="31" t="s">
        <v>242</v>
      </c>
      <c r="G6" s="31" t="s">
        <v>64</v>
      </c>
      <c r="H6" s="31" t="s">
        <v>243</v>
      </c>
      <c r="I6" s="31" t="s">
        <v>244</v>
      </c>
      <c r="J6" s="31" t="s">
        <v>245</v>
      </c>
      <c r="K6" s="31" t="s">
        <v>239</v>
      </c>
      <c r="L6" s="31" t="s">
        <v>67</v>
      </c>
      <c r="M6" s="31" t="s">
        <v>77</v>
      </c>
      <c r="N6" s="31">
        <v>0</v>
      </c>
      <c r="O6" s="31" t="s">
        <v>69</v>
      </c>
      <c r="P6" s="31">
        <v>4</v>
      </c>
      <c r="Q6" s="31">
        <v>4</v>
      </c>
      <c r="R6" s="31">
        <v>30</v>
      </c>
      <c r="S6" s="31" t="s">
        <v>247</v>
      </c>
      <c r="T6" s="31" t="s">
        <v>70</v>
      </c>
      <c r="U6" s="31" t="s">
        <v>71</v>
      </c>
      <c r="V6" s="8" t="s">
        <v>145</v>
      </c>
      <c r="W6" s="35">
        <f>IF('CRUDO MARTES'!W7="Si",$N6,)</f>
        <v>0</v>
      </c>
      <c r="X6" s="35">
        <f>IF('CRUDO MARTES'!X7="Si",$N6,)</f>
        <v>0</v>
      </c>
      <c r="Y6" s="35">
        <f>IF('CRUDO MARTES'!Y7="Si",$N6,)</f>
        <v>0</v>
      </c>
      <c r="Z6" s="35">
        <f>IF('CRUDO MARTES'!Z7="Si",$N6,)</f>
        <v>0</v>
      </c>
      <c r="AA6" s="35"/>
      <c r="AB6" s="35">
        <f>IF('CRUDO MARTES'!AA7="Si",$N6,)</f>
        <v>0</v>
      </c>
      <c r="AC6" s="35"/>
      <c r="AD6" s="35">
        <f>IF('CRUDO MARTES'!AB7="Si",$N6,)</f>
        <v>0</v>
      </c>
      <c r="AE6" s="35"/>
      <c r="AF6" s="35">
        <f>IF('CRUDO MARTES'!AC7="Si",$N6,)</f>
        <v>0</v>
      </c>
      <c r="AG6" s="35"/>
      <c r="AH6" s="35">
        <f>IF('CRUDO MARTES'!AD7="Si",$N6,)</f>
        <v>0</v>
      </c>
      <c r="AI6" s="35"/>
      <c r="AJ6" s="35">
        <f>IF('CRUDO MARTES'!AE7="Si",$N6,)</f>
        <v>0</v>
      </c>
      <c r="AK6" s="35"/>
      <c r="AL6" s="35">
        <f>IF('CRUDO MARTES'!AF7="Si",$N6,)</f>
        <v>0</v>
      </c>
      <c r="AM6" s="35"/>
      <c r="AN6" s="35">
        <f>IF('CRUDO MARTES'!AG7="Si",$N6,)</f>
        <v>0</v>
      </c>
      <c r="AO6" s="35"/>
      <c r="AP6" s="35">
        <f>IF('CRUDO MARTES'!AH7="Si",$N6,)</f>
        <v>0</v>
      </c>
      <c r="AQ6" s="35"/>
      <c r="AR6" s="35">
        <f>IF('CRUDO MARTES'!AI7="Si",$N6,)</f>
        <v>0</v>
      </c>
      <c r="AS6" s="35"/>
      <c r="AT6" s="35">
        <f>IF('CRUDO MARTES'!AJ7="Si",$N6,)</f>
        <v>0</v>
      </c>
      <c r="AU6" s="35"/>
      <c r="AV6" s="35">
        <f>IF('CRUDO MARTES'!AK7="Si",$N6,)</f>
        <v>0</v>
      </c>
      <c r="AW6" s="35">
        <f>IF('CRUDO MARTES'!AL7="Si",$N6,)</f>
        <v>0</v>
      </c>
      <c r="AX6" s="35">
        <f>IF('CRUDO MARTES'!AM7="Si",$N6,)</f>
        <v>0</v>
      </c>
      <c r="AY6" s="35">
        <f>IF('CRUDO MARTES'!AN7="Si",$N6,)</f>
        <v>0</v>
      </c>
      <c r="AZ6" s="35">
        <f>IF('CRUDO MARTES'!AO7="Si",$N6,)</f>
        <v>0</v>
      </c>
      <c r="BA6" s="35">
        <f>IF('CRUDO MARTES'!AP7="Si",$N6,)</f>
        <v>0</v>
      </c>
      <c r="BB6" s="35"/>
      <c r="BC6" s="35">
        <f>IF('CRUDO MARTES'!AQ7="Si",$N6,)</f>
        <v>0</v>
      </c>
      <c r="BD6" s="35"/>
      <c r="BE6" s="35">
        <f>IF('CRUDO MARTES'!AR7="Si",$N6,)</f>
        <v>0</v>
      </c>
      <c r="BF6" s="35"/>
      <c r="BG6" s="35">
        <f>IF('CRUDO MARTES'!AS7="Si",$N6,)</f>
        <v>0</v>
      </c>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row>
    <row r="7" spans="1:115" ht="13.2" x14ac:dyDescent="0.25">
      <c r="A7" s="22">
        <v>45003.740165891199</v>
      </c>
      <c r="B7" s="23" t="s">
        <v>239</v>
      </c>
      <c r="C7" s="23" t="s">
        <v>248</v>
      </c>
      <c r="D7" s="29" t="s">
        <v>241</v>
      </c>
      <c r="E7" s="23" t="s">
        <v>62</v>
      </c>
      <c r="F7" s="23" t="s">
        <v>249</v>
      </c>
      <c r="G7" s="23" t="s">
        <v>64</v>
      </c>
      <c r="H7" s="23" t="s">
        <v>243</v>
      </c>
      <c r="I7" s="23" t="s">
        <v>243</v>
      </c>
      <c r="J7" s="23" t="s">
        <v>250</v>
      </c>
      <c r="K7" s="23" t="s">
        <v>239</v>
      </c>
      <c r="L7" s="23" t="s">
        <v>67</v>
      </c>
      <c r="M7" s="23" t="s">
        <v>77</v>
      </c>
      <c r="N7" s="23">
        <v>25</v>
      </c>
      <c r="O7" s="23" t="s">
        <v>69</v>
      </c>
      <c r="P7" s="23">
        <v>4</v>
      </c>
      <c r="Q7" s="23">
        <v>4</v>
      </c>
      <c r="R7" s="23">
        <v>30</v>
      </c>
      <c r="S7" s="23" t="s">
        <v>247</v>
      </c>
      <c r="T7" s="23" t="s">
        <v>70</v>
      </c>
      <c r="U7" s="23" t="s">
        <v>71</v>
      </c>
      <c r="V7" s="26" t="s">
        <v>145</v>
      </c>
      <c r="W7" s="27">
        <f>IF('CRUDO MARTES'!W8="Si",$N7,)</f>
        <v>25</v>
      </c>
      <c r="X7" s="27">
        <f>IF('CRUDO MARTES'!X8="Si",$N7,)</f>
        <v>0</v>
      </c>
      <c r="Y7" s="27">
        <f>IF('CRUDO MARTES'!Y8="Si",$N7,)</f>
        <v>0</v>
      </c>
      <c r="Z7" s="27">
        <f>IF('CRUDO MARTES'!Z8="Si",$N7,)</f>
        <v>0</v>
      </c>
      <c r="AA7" s="27"/>
      <c r="AB7" s="28">
        <v>25</v>
      </c>
      <c r="AC7" s="28" t="s">
        <v>1233</v>
      </c>
      <c r="AD7" s="28">
        <v>0</v>
      </c>
      <c r="AE7" s="28"/>
      <c r="AF7" s="27">
        <f>IF('CRUDO MARTES'!AC8="Si",$N7,)</f>
        <v>0</v>
      </c>
      <c r="AG7" s="27"/>
      <c r="AH7" s="27">
        <f>IF('CRUDO MARTES'!AD8="Si",$N7,)</f>
        <v>0</v>
      </c>
      <c r="AI7" s="27"/>
      <c r="AJ7" s="27">
        <f>IF('CRUDO MARTES'!AE8="Si",$N7,)</f>
        <v>0</v>
      </c>
      <c r="AK7" s="27"/>
      <c r="AL7" s="27">
        <f>IF('CRUDO MARTES'!AF8="Si",$N7,)</f>
        <v>0</v>
      </c>
      <c r="AM7" s="28"/>
      <c r="AN7" s="28">
        <v>0</v>
      </c>
      <c r="AO7" s="28"/>
      <c r="AP7" s="28">
        <v>0</v>
      </c>
      <c r="AQ7" s="27"/>
      <c r="AR7" s="27">
        <f>IF('CRUDO MARTES'!AI8="Si",$N7,)</f>
        <v>0</v>
      </c>
      <c r="AS7" s="27"/>
      <c r="AT7" s="27">
        <f>IF('CRUDO MARTES'!AJ8="Si",$N7,)</f>
        <v>0</v>
      </c>
      <c r="AU7" s="27"/>
      <c r="AV7" s="27">
        <f>IF('CRUDO MARTES'!AK8="Si",$N7,)</f>
        <v>0</v>
      </c>
      <c r="AW7" s="28">
        <v>0</v>
      </c>
      <c r="AX7" s="28">
        <v>0</v>
      </c>
      <c r="AY7" s="27">
        <f>IF('CRUDO MARTES'!AN8="Si",$N7,)</f>
        <v>0</v>
      </c>
      <c r="AZ7" s="27">
        <f>IF('CRUDO MARTES'!AO8="Si",$N7,)</f>
        <v>0</v>
      </c>
      <c r="BA7" s="28">
        <v>0</v>
      </c>
      <c r="BB7" s="28"/>
      <c r="BC7" s="28">
        <v>25</v>
      </c>
      <c r="BD7" s="28" t="s">
        <v>1234</v>
      </c>
      <c r="BE7" s="27">
        <f>IF('CRUDO MARTES'!AR8="Si",$N7,)</f>
        <v>0</v>
      </c>
      <c r="BF7" s="27"/>
      <c r="BG7" s="27">
        <f>IF('CRUDO MARTES'!AS8="Si",$N7,)</f>
        <v>0</v>
      </c>
      <c r="BH7" s="25"/>
      <c r="BI7" s="25"/>
      <c r="BJ7" s="23" t="s">
        <v>1231</v>
      </c>
      <c r="BK7" s="23">
        <v>1</v>
      </c>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row>
    <row r="8" spans="1:115" ht="13.2" x14ac:dyDescent="0.25">
      <c r="A8" s="22">
        <v>45002.736449976852</v>
      </c>
      <c r="B8" s="23" t="s">
        <v>275</v>
      </c>
      <c r="C8" s="23" t="s">
        <v>276</v>
      </c>
      <c r="D8" s="29" t="s">
        <v>277</v>
      </c>
      <c r="E8" s="23" t="s">
        <v>62</v>
      </c>
      <c r="F8" s="23" t="s">
        <v>211</v>
      </c>
      <c r="G8" s="23" t="s">
        <v>64</v>
      </c>
      <c r="H8" s="23" t="s">
        <v>206</v>
      </c>
      <c r="I8" s="23" t="s">
        <v>278</v>
      </c>
      <c r="J8" s="23" t="s">
        <v>279</v>
      </c>
      <c r="K8" s="23" t="s">
        <v>275</v>
      </c>
      <c r="L8" s="23" t="s">
        <v>67</v>
      </c>
      <c r="M8" s="23" t="s">
        <v>174</v>
      </c>
      <c r="N8" s="23">
        <v>31</v>
      </c>
      <c r="O8" s="23" t="s">
        <v>69</v>
      </c>
      <c r="P8" s="23">
        <v>4</v>
      </c>
      <c r="Q8" s="23">
        <v>4</v>
      </c>
      <c r="R8" s="23">
        <v>25</v>
      </c>
      <c r="S8" s="25"/>
      <c r="T8" s="23" t="s">
        <v>70</v>
      </c>
      <c r="U8" s="23" t="s">
        <v>71</v>
      </c>
      <c r="V8" s="26" t="s">
        <v>145</v>
      </c>
      <c r="W8" s="27">
        <f>IF('CRUDO MARTES'!W11="Si",$N8,)</f>
        <v>31</v>
      </c>
      <c r="X8" s="27">
        <f>IF('CRUDO MARTES'!X11="Si",$N8,)</f>
        <v>0</v>
      </c>
      <c r="Y8" s="27">
        <f>IF('CRUDO MARTES'!Y11="Si",$N8,)</f>
        <v>0</v>
      </c>
      <c r="Z8" s="27">
        <f>IF('CRUDO MARTES'!Z11="Si",$N8,)</f>
        <v>0</v>
      </c>
      <c r="AA8" s="27"/>
      <c r="AB8" s="28">
        <v>0</v>
      </c>
      <c r="AC8" s="28"/>
      <c r="AD8" s="27">
        <f>IF('CRUDO MARTES'!AB11="Si",$N8,)</f>
        <v>31</v>
      </c>
      <c r="AE8" s="28" t="s">
        <v>1233</v>
      </c>
      <c r="AF8" s="27">
        <f>IF('CRUDO MARTES'!AC11="Si",$N8,)</f>
        <v>0</v>
      </c>
      <c r="AG8" s="27"/>
      <c r="AH8" s="27">
        <f>IF('CRUDO MARTES'!AD11="Si",$N8,)</f>
        <v>0</v>
      </c>
      <c r="AI8" s="27"/>
      <c r="AJ8" s="27">
        <f>IF('CRUDO MARTES'!AE11="Si",$N8,)</f>
        <v>0</v>
      </c>
      <c r="AK8" s="27"/>
      <c r="AL8" s="27">
        <f>IF('CRUDO MARTES'!AF11="Si",$N8,)</f>
        <v>0</v>
      </c>
      <c r="AM8" s="28"/>
      <c r="AN8" s="28">
        <v>0</v>
      </c>
      <c r="AO8" s="28"/>
      <c r="AP8" s="28">
        <v>0</v>
      </c>
      <c r="AQ8" s="27"/>
      <c r="AR8" s="27">
        <f>IF('CRUDO MARTES'!AI11="Si",$N8,)</f>
        <v>0</v>
      </c>
      <c r="AS8" s="27"/>
      <c r="AT8" s="27">
        <f>IF('CRUDO MARTES'!AJ11="Si",$N8,)</f>
        <v>0</v>
      </c>
      <c r="AU8" s="27"/>
      <c r="AV8" s="27">
        <f>IF('CRUDO MARTES'!AK11="Si",$N8,)</f>
        <v>0</v>
      </c>
      <c r="AW8" s="28">
        <v>31</v>
      </c>
      <c r="AX8" s="28">
        <v>0</v>
      </c>
      <c r="AY8" s="27">
        <f>IF('CRUDO MARTES'!AN11="Si",$N8,)</f>
        <v>0</v>
      </c>
      <c r="AZ8" s="27">
        <f>IF('CRUDO MARTES'!AO11="Si",$N8,)</f>
        <v>0</v>
      </c>
      <c r="BA8" s="27">
        <f>IF('CRUDO MARTES'!AP11="Si",$N8,)</f>
        <v>0</v>
      </c>
      <c r="BB8" s="27"/>
      <c r="BC8" s="27">
        <f>IF('CRUDO MARTES'!AQ11="Si",$N8,)</f>
        <v>0</v>
      </c>
      <c r="BD8" s="27"/>
      <c r="BE8" s="27">
        <f>IF('CRUDO MARTES'!AR11="Si",$N8,)</f>
        <v>0</v>
      </c>
      <c r="BF8" s="27"/>
      <c r="BG8" s="27">
        <f>IF('CRUDO MARTES'!AS11="Si",$N8,)</f>
        <v>0</v>
      </c>
      <c r="BH8" s="25"/>
      <c r="BI8" s="25"/>
      <c r="BJ8" s="23" t="s">
        <v>1231</v>
      </c>
      <c r="BK8" s="23">
        <v>1</v>
      </c>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row>
    <row r="9" spans="1:115" ht="13.2" hidden="1" x14ac:dyDescent="0.25">
      <c r="A9" s="30">
        <v>45002.738249467591</v>
      </c>
      <c r="B9" s="31" t="s">
        <v>281</v>
      </c>
      <c r="C9" s="31" t="s">
        <v>276</v>
      </c>
      <c r="D9" s="32" t="s">
        <v>277</v>
      </c>
      <c r="E9" s="31" t="s">
        <v>62</v>
      </c>
      <c r="F9" s="31" t="s">
        <v>211</v>
      </c>
      <c r="G9" s="31" t="s">
        <v>64</v>
      </c>
      <c r="H9" s="31" t="s">
        <v>206</v>
      </c>
      <c r="I9" s="31" t="s">
        <v>278</v>
      </c>
      <c r="J9" s="31" t="s">
        <v>279</v>
      </c>
      <c r="K9" s="31" t="s">
        <v>281</v>
      </c>
      <c r="L9" s="31" t="s">
        <v>67</v>
      </c>
      <c r="M9" s="31" t="s">
        <v>174</v>
      </c>
      <c r="N9" s="31">
        <v>0</v>
      </c>
      <c r="O9" s="31" t="s">
        <v>69</v>
      </c>
      <c r="P9" s="31">
        <v>4</v>
      </c>
      <c r="Q9" s="31">
        <v>4</v>
      </c>
      <c r="R9" s="31">
        <v>25</v>
      </c>
      <c r="S9" s="33"/>
      <c r="T9" s="31" t="s">
        <v>70</v>
      </c>
      <c r="U9" s="31" t="s">
        <v>71</v>
      </c>
      <c r="V9" s="8" t="s">
        <v>145</v>
      </c>
      <c r="W9" s="35">
        <f>IF('CRUDO MARTES'!W12="Si",$N9,)</f>
        <v>0</v>
      </c>
      <c r="X9" s="35">
        <f>IF('CRUDO MARTES'!X12="Si",$N9,)</f>
        <v>0</v>
      </c>
      <c r="Y9" s="35">
        <f>IF('CRUDO MARTES'!Y12="Si",$N9,)</f>
        <v>0</v>
      </c>
      <c r="Z9" s="35">
        <f>IF('CRUDO MARTES'!Z12="Si",$N9,)</f>
        <v>0</v>
      </c>
      <c r="AA9" s="35"/>
      <c r="AB9" s="35">
        <f>IF('CRUDO MARTES'!AA12="Si",$N9,)</f>
        <v>0</v>
      </c>
      <c r="AC9" s="35"/>
      <c r="AD9" s="35">
        <f>IF('CRUDO MARTES'!AB12="Si",$N9,)</f>
        <v>0</v>
      </c>
      <c r="AE9" s="35"/>
      <c r="AF9" s="35">
        <f>IF('CRUDO MARTES'!AC12="Si",$N9,)</f>
        <v>0</v>
      </c>
      <c r="AG9" s="35"/>
      <c r="AH9" s="35">
        <f>IF('CRUDO MARTES'!AD12="Si",$N9,)</f>
        <v>0</v>
      </c>
      <c r="AI9" s="35"/>
      <c r="AJ9" s="35">
        <f>IF('CRUDO MARTES'!AE12="Si",$N9,)</f>
        <v>0</v>
      </c>
      <c r="AK9" s="35"/>
      <c r="AL9" s="35">
        <f>IF('CRUDO MARTES'!AF12="Si",$N9,)</f>
        <v>0</v>
      </c>
      <c r="AM9" s="35"/>
      <c r="AN9" s="35">
        <f>IF('CRUDO MARTES'!AG12="Si",$N9,)</f>
        <v>0</v>
      </c>
      <c r="AO9" s="35"/>
      <c r="AP9" s="35">
        <f>IF('CRUDO MARTES'!AH12="Si",$N9,)</f>
        <v>0</v>
      </c>
      <c r="AQ9" s="35"/>
      <c r="AR9" s="35">
        <f>IF('CRUDO MARTES'!AI12="Si",$N9,)</f>
        <v>0</v>
      </c>
      <c r="AS9" s="35"/>
      <c r="AT9" s="35">
        <f>IF('CRUDO MARTES'!AJ12="Si",$N9,)</f>
        <v>0</v>
      </c>
      <c r="AU9" s="35"/>
      <c r="AV9" s="35">
        <f>IF('CRUDO MARTES'!AK12="Si",$N9,)</f>
        <v>0</v>
      </c>
      <c r="AW9" s="35">
        <f>IF('CRUDO MARTES'!AL12="Si",$N9,)</f>
        <v>0</v>
      </c>
      <c r="AX9" s="35">
        <f>IF('CRUDO MARTES'!AM12="Si",$N9,)</f>
        <v>0</v>
      </c>
      <c r="AY9" s="35">
        <f>IF('CRUDO MARTES'!AN12="Si",$N9,)</f>
        <v>0</v>
      </c>
      <c r="AZ9" s="35">
        <f>IF('CRUDO MARTES'!AO12="Si",$N9,)</f>
        <v>0</v>
      </c>
      <c r="BA9" s="35">
        <f>IF('CRUDO MARTES'!AP12="Si",$N9,)</f>
        <v>0</v>
      </c>
      <c r="BB9" s="35"/>
      <c r="BC9" s="35">
        <f>IF('CRUDO MARTES'!AQ12="Si",$N9,)</f>
        <v>0</v>
      </c>
      <c r="BD9" s="35"/>
      <c r="BE9" s="35">
        <f>IF('CRUDO MARTES'!AR12="Si",$N9,)</f>
        <v>0</v>
      </c>
      <c r="BF9" s="35"/>
      <c r="BG9" s="35">
        <f>IF('CRUDO MARTES'!AS12="Si",$N9,)</f>
        <v>0</v>
      </c>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row>
    <row r="10" spans="1:115" ht="13.2" x14ac:dyDescent="0.25">
      <c r="A10" s="22">
        <v>45001.757350115746</v>
      </c>
      <c r="B10" s="23" t="s">
        <v>283</v>
      </c>
      <c r="C10" s="23" t="s">
        <v>284</v>
      </c>
      <c r="D10" s="29" t="s">
        <v>285</v>
      </c>
      <c r="E10" s="23" t="s">
        <v>62</v>
      </c>
      <c r="F10" s="23" t="s">
        <v>286</v>
      </c>
      <c r="G10" s="23" t="s">
        <v>64</v>
      </c>
      <c r="H10" s="23" t="s">
        <v>287</v>
      </c>
      <c r="I10" s="23" t="s">
        <v>288</v>
      </c>
      <c r="J10" s="23" t="s">
        <v>289</v>
      </c>
      <c r="K10" s="23" t="s">
        <v>283</v>
      </c>
      <c r="L10" s="23" t="s">
        <v>67</v>
      </c>
      <c r="M10" s="23" t="s">
        <v>209</v>
      </c>
      <c r="N10" s="23">
        <v>40</v>
      </c>
      <c r="O10" s="23" t="s">
        <v>69</v>
      </c>
      <c r="P10" s="23">
        <v>3</v>
      </c>
      <c r="Q10" s="23">
        <v>3</v>
      </c>
      <c r="R10" s="23">
        <v>5</v>
      </c>
      <c r="S10" s="25"/>
      <c r="T10" s="23" t="s">
        <v>70</v>
      </c>
      <c r="U10" s="23" t="s">
        <v>71</v>
      </c>
      <c r="V10" s="26" t="s">
        <v>145</v>
      </c>
      <c r="W10" s="28">
        <v>0</v>
      </c>
      <c r="X10" s="27">
        <f>IF('CRUDO MARTES'!X13="Si",$N10,)</f>
        <v>40</v>
      </c>
      <c r="Y10" s="27">
        <f>IF('CRUDO MARTES'!Y13="Si",$N10,)</f>
        <v>0</v>
      </c>
      <c r="Z10" s="28">
        <v>0</v>
      </c>
      <c r="AA10" s="28"/>
      <c r="AB10" s="28">
        <v>40</v>
      </c>
      <c r="AC10" s="28" t="s">
        <v>1227</v>
      </c>
      <c r="AD10" s="28">
        <v>0</v>
      </c>
      <c r="AE10" s="28"/>
      <c r="AF10" s="27">
        <f>IF('CRUDO MARTES'!AC13="Si",$N10,)</f>
        <v>0</v>
      </c>
      <c r="AG10" s="27"/>
      <c r="AH10" s="27">
        <f>IF('CRUDO MARTES'!AD13="Si",$N10,)</f>
        <v>0</v>
      </c>
      <c r="AI10" s="27"/>
      <c r="AJ10" s="27">
        <f>IF('CRUDO MARTES'!AE13="Si",$N10,)</f>
        <v>0</v>
      </c>
      <c r="AK10" s="27"/>
      <c r="AL10" s="28">
        <v>40</v>
      </c>
      <c r="AM10" s="28" t="s">
        <v>1228</v>
      </c>
      <c r="AN10" s="28">
        <v>0</v>
      </c>
      <c r="AO10" s="28"/>
      <c r="AP10" s="28">
        <v>0</v>
      </c>
      <c r="AQ10" s="27"/>
      <c r="AR10" s="27">
        <f>IF('CRUDO MARTES'!AI13="Si",$N10,)</f>
        <v>0</v>
      </c>
      <c r="AS10" s="27"/>
      <c r="AT10" s="27">
        <f>IF('CRUDO MARTES'!AJ13="Si",$N10,)</f>
        <v>0</v>
      </c>
      <c r="AU10" s="28"/>
      <c r="AV10" s="28">
        <v>0</v>
      </c>
      <c r="AW10" s="28">
        <v>0</v>
      </c>
      <c r="AX10" s="28">
        <v>0</v>
      </c>
      <c r="AY10" s="27">
        <f>IF('CRUDO MARTES'!AN13="Si",$N10,)</f>
        <v>0</v>
      </c>
      <c r="AZ10" s="27">
        <f>IF('CRUDO MARTES'!AO13="Si",$N10,)</f>
        <v>0</v>
      </c>
      <c r="BA10" s="28">
        <v>0</v>
      </c>
      <c r="BB10" s="28"/>
      <c r="BC10" s="28">
        <v>0</v>
      </c>
      <c r="BD10" s="27"/>
      <c r="BE10" s="27">
        <f>IF('CRUDO MARTES'!AR13="Si",$N10,)</f>
        <v>0</v>
      </c>
      <c r="BF10" s="27"/>
      <c r="BG10" s="27">
        <f>IF('CRUDO MARTES'!AS13="Si",$N10,)</f>
        <v>0</v>
      </c>
      <c r="BH10" s="25"/>
      <c r="BI10" s="25"/>
      <c r="BJ10" s="23" t="s">
        <v>1231</v>
      </c>
      <c r="BK10" s="23">
        <v>1</v>
      </c>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row>
    <row r="11" spans="1:115" ht="13.2" x14ac:dyDescent="0.25">
      <c r="A11" s="22">
        <v>45001.58790165509</v>
      </c>
      <c r="B11" s="23" t="s">
        <v>396</v>
      </c>
      <c r="C11" s="23" t="s">
        <v>397</v>
      </c>
      <c r="D11" s="24" t="s">
        <v>398</v>
      </c>
      <c r="E11" s="23" t="s">
        <v>62</v>
      </c>
      <c r="F11" s="23" t="s">
        <v>399</v>
      </c>
      <c r="G11" s="23" t="s">
        <v>64</v>
      </c>
      <c r="H11" s="23" t="s">
        <v>400</v>
      </c>
      <c r="I11" s="23" t="s">
        <v>401</v>
      </c>
      <c r="J11" s="23" t="s">
        <v>402</v>
      </c>
      <c r="K11" s="23" t="s">
        <v>396</v>
      </c>
      <c r="L11" s="23" t="s">
        <v>67</v>
      </c>
      <c r="M11" s="23" t="s">
        <v>68</v>
      </c>
      <c r="N11" s="23">
        <v>33</v>
      </c>
      <c r="O11" s="23" t="s">
        <v>69</v>
      </c>
      <c r="P11" s="23">
        <v>5</v>
      </c>
      <c r="Q11" s="23">
        <v>5</v>
      </c>
      <c r="R11" s="23">
        <v>0</v>
      </c>
      <c r="S11" s="25"/>
      <c r="T11" s="23" t="s">
        <v>70</v>
      </c>
      <c r="U11" s="23" t="s">
        <v>71</v>
      </c>
      <c r="V11" s="26" t="s">
        <v>145</v>
      </c>
      <c r="W11" s="27">
        <f>IF('CRUDO MARTES'!W16="Si",$N11,)</f>
        <v>33</v>
      </c>
      <c r="X11" s="27">
        <f>IF('CRUDO MARTES'!X16="Si",$N11,)</f>
        <v>0</v>
      </c>
      <c r="Y11" s="27">
        <f>IF('CRUDO MARTES'!Y16="Si",$N11,)</f>
        <v>0</v>
      </c>
      <c r="Z11" s="27">
        <f>IF('CRUDO MARTES'!Z16="Si",$N11,)</f>
        <v>0</v>
      </c>
      <c r="AA11" s="27"/>
      <c r="AB11" s="28">
        <v>0</v>
      </c>
      <c r="AC11" s="28"/>
      <c r="AD11" s="27">
        <f>IF('CRUDO MARTES'!AB16="Si",$N11,)</f>
        <v>33</v>
      </c>
      <c r="AE11" s="28" t="s">
        <v>1227</v>
      </c>
      <c r="AF11" s="27">
        <f>IF('CRUDO MARTES'!AC16="Si",$N11,)</f>
        <v>0</v>
      </c>
      <c r="AG11" s="27"/>
      <c r="AH11" s="27">
        <f>IF('CRUDO MARTES'!AD16="Si",$N11,)</f>
        <v>0</v>
      </c>
      <c r="AI11" s="27"/>
      <c r="AJ11" s="27">
        <f>IF('CRUDO MARTES'!AE16="Si",$N11,)</f>
        <v>0</v>
      </c>
      <c r="AK11" s="27"/>
      <c r="AL11" s="27">
        <f>IF('CRUDO MARTES'!AF16="Si",$N11,)</f>
        <v>0</v>
      </c>
      <c r="AM11" s="27"/>
      <c r="AN11" s="27">
        <f>IF('CRUDO MARTES'!AG16="Si",$N11,)</f>
        <v>0</v>
      </c>
      <c r="AO11" s="27"/>
      <c r="AP11" s="27">
        <f>IF('CRUDO MARTES'!AH16="Si",$N11,)</f>
        <v>0</v>
      </c>
      <c r="AQ11" s="27"/>
      <c r="AR11" s="27">
        <f>IF('CRUDO MARTES'!AI16="Si",$N11,)</f>
        <v>0</v>
      </c>
      <c r="AS11" s="27"/>
      <c r="AT11" s="27">
        <f>IF('CRUDO MARTES'!AJ16="Si",$N11,)</f>
        <v>0</v>
      </c>
      <c r="AU11" s="27"/>
      <c r="AV11" s="27">
        <f>IF('CRUDO MARTES'!AK16="Si",$N11,)</f>
        <v>0</v>
      </c>
      <c r="AW11" s="28">
        <v>0</v>
      </c>
      <c r="AX11" s="28">
        <v>0</v>
      </c>
      <c r="AY11" s="27">
        <f>IF('CRUDO MARTES'!AN16="Si",$N11,)</f>
        <v>0</v>
      </c>
      <c r="AZ11" s="27">
        <f>IF('CRUDO MARTES'!AO16="Si",$N11,)</f>
        <v>0</v>
      </c>
      <c r="BA11" s="27">
        <f>IF('CRUDO MARTES'!AP16="Si",$N11,)</f>
        <v>0</v>
      </c>
      <c r="BB11" s="27"/>
      <c r="BC11" s="27">
        <f>IF('CRUDO MARTES'!AQ16="Si",$N11,)</f>
        <v>0</v>
      </c>
      <c r="BD11" s="27"/>
      <c r="BE11" s="27">
        <f>IF('CRUDO MARTES'!AR16="Si",$N11,)</f>
        <v>0</v>
      </c>
      <c r="BF11" s="27"/>
      <c r="BG11" s="27">
        <f>IF('CRUDO MARTES'!AS16="Si",$N11,)</f>
        <v>0</v>
      </c>
      <c r="BH11" s="25"/>
      <c r="BI11" s="25"/>
      <c r="BJ11" s="23" t="s">
        <v>1231</v>
      </c>
      <c r="BK11" s="23">
        <v>1</v>
      </c>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row>
    <row r="12" spans="1:115" ht="13.2" x14ac:dyDescent="0.25">
      <c r="A12" s="22">
        <v>45005.612843923613</v>
      </c>
      <c r="B12" s="23" t="s">
        <v>451</v>
      </c>
      <c r="C12" s="23" t="s">
        <v>452</v>
      </c>
      <c r="D12" s="29" t="s">
        <v>453</v>
      </c>
      <c r="E12" s="23" t="s">
        <v>103</v>
      </c>
      <c r="F12" s="23" t="s">
        <v>454</v>
      </c>
      <c r="G12" s="23" t="s">
        <v>105</v>
      </c>
      <c r="H12" s="23" t="s">
        <v>455</v>
      </c>
      <c r="I12" s="23" t="s">
        <v>456</v>
      </c>
      <c r="J12" s="23" t="s">
        <v>457</v>
      </c>
      <c r="K12" s="23" t="s">
        <v>451</v>
      </c>
      <c r="L12" s="23" t="s">
        <v>67</v>
      </c>
      <c r="M12" s="23" t="s">
        <v>68</v>
      </c>
      <c r="N12" s="23">
        <v>40</v>
      </c>
      <c r="O12" s="23" t="s">
        <v>97</v>
      </c>
      <c r="P12" s="23">
        <v>4</v>
      </c>
      <c r="Q12" s="23">
        <v>4</v>
      </c>
      <c r="R12" s="23">
        <v>20</v>
      </c>
      <c r="S12" s="23" t="s">
        <v>459</v>
      </c>
      <c r="T12" s="23" t="s">
        <v>70</v>
      </c>
      <c r="U12" s="23" t="s">
        <v>71</v>
      </c>
      <c r="V12" s="26" t="s">
        <v>145</v>
      </c>
      <c r="W12" s="28">
        <v>0</v>
      </c>
      <c r="X12" s="27">
        <f>IF('CRUDO MARTES'!X20="Si",$N12,)</f>
        <v>40</v>
      </c>
      <c r="Y12" s="27">
        <f>IF('CRUDO MARTES'!Y20="Si",$N12,)</f>
        <v>0</v>
      </c>
      <c r="Z12" s="28">
        <v>40</v>
      </c>
      <c r="AA12" s="28" t="s">
        <v>1227</v>
      </c>
      <c r="AB12" s="28">
        <v>0</v>
      </c>
      <c r="AC12" s="28"/>
      <c r="AD12" s="28">
        <v>0</v>
      </c>
      <c r="AE12" s="28"/>
      <c r="AF12" s="27">
        <f>IF('CRUDO MARTES'!AC20="Si",$N12,)</f>
        <v>0</v>
      </c>
      <c r="AG12" s="27"/>
      <c r="AH12" s="27">
        <f>IF('CRUDO MARTES'!AD20="Si",$N12,)</f>
        <v>0</v>
      </c>
      <c r="AI12" s="27"/>
      <c r="AJ12" s="27">
        <f>IF('CRUDO MARTES'!AE20="Si",$N12,)</f>
        <v>0</v>
      </c>
      <c r="AK12" s="27"/>
      <c r="AL12" s="27">
        <f>IF('CRUDO MARTES'!AF20="Si",$N12,)</f>
        <v>0</v>
      </c>
      <c r="AM12" s="28"/>
      <c r="AN12" s="28">
        <v>0</v>
      </c>
      <c r="AO12" s="28"/>
      <c r="AP12" s="28">
        <v>0</v>
      </c>
      <c r="AQ12" s="27"/>
      <c r="AR12" s="27">
        <f>IF('CRUDO MARTES'!AI20="Si",$N12,)</f>
        <v>0</v>
      </c>
      <c r="AS12" s="27"/>
      <c r="AT12" s="27">
        <f>IF('CRUDO MARTES'!AJ20="Si",$N12,)</f>
        <v>0</v>
      </c>
      <c r="AU12" s="27"/>
      <c r="AV12" s="27">
        <f>IF('CRUDO MARTES'!AK20="Si",$N12,)</f>
        <v>0</v>
      </c>
      <c r="AW12" s="28">
        <v>0</v>
      </c>
      <c r="AX12" s="28">
        <v>0</v>
      </c>
      <c r="AY12" s="27">
        <f>IF('CRUDO MARTES'!AN20="Si",$N12,)</f>
        <v>0</v>
      </c>
      <c r="AZ12" s="27">
        <f>IF('CRUDO MARTES'!AO20="Si",$N12,)</f>
        <v>0</v>
      </c>
      <c r="BA12" s="27">
        <f>IF('CRUDO MARTES'!AP20="Si",$N12,)</f>
        <v>40</v>
      </c>
      <c r="BB12" s="28" t="s">
        <v>1235</v>
      </c>
      <c r="BC12" s="28">
        <v>0</v>
      </c>
      <c r="BD12" s="27"/>
      <c r="BE12" s="27">
        <f>IF('CRUDO MARTES'!AR20="Si",$N12,)</f>
        <v>0</v>
      </c>
      <c r="BF12" s="27"/>
      <c r="BG12" s="27">
        <f>IF('CRUDO MARTES'!AS20="Si",$N12,)</f>
        <v>0</v>
      </c>
      <c r="BH12" s="23"/>
      <c r="BI12" s="23" t="s">
        <v>460</v>
      </c>
      <c r="BJ12" s="23" t="s">
        <v>1231</v>
      </c>
      <c r="BK12" s="23">
        <v>1</v>
      </c>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row>
    <row r="13" spans="1:115" ht="13.2" x14ac:dyDescent="0.25">
      <c r="A13" s="22">
        <v>45003.652522557866</v>
      </c>
      <c r="B13" s="23" t="s">
        <v>461</v>
      </c>
      <c r="C13" s="23" t="s">
        <v>462</v>
      </c>
      <c r="D13" s="24" t="s">
        <v>463</v>
      </c>
      <c r="E13" s="23" t="s">
        <v>140</v>
      </c>
      <c r="F13" s="23" t="s">
        <v>157</v>
      </c>
      <c r="G13" s="23" t="s">
        <v>64</v>
      </c>
      <c r="H13" s="23" t="s">
        <v>464</v>
      </c>
      <c r="I13" s="23" t="s">
        <v>465</v>
      </c>
      <c r="J13" s="23" t="s">
        <v>466</v>
      </c>
      <c r="K13" s="23" t="s">
        <v>461</v>
      </c>
      <c r="L13" s="23" t="s">
        <v>67</v>
      </c>
      <c r="M13" s="23" t="s">
        <v>298</v>
      </c>
      <c r="N13" s="23">
        <v>35</v>
      </c>
      <c r="O13" s="23" t="s">
        <v>97</v>
      </c>
      <c r="P13" s="23">
        <v>3</v>
      </c>
      <c r="Q13" s="23">
        <v>3</v>
      </c>
      <c r="R13" s="23">
        <v>30</v>
      </c>
      <c r="S13" s="25"/>
      <c r="T13" s="23" t="s">
        <v>70</v>
      </c>
      <c r="U13" s="23" t="s">
        <v>70</v>
      </c>
      <c r="V13" s="26" t="s">
        <v>145</v>
      </c>
      <c r="W13" s="28">
        <v>0</v>
      </c>
      <c r="X13" s="27">
        <f>IF('CRUDO MARTES'!X22="Si",$N13,)</f>
        <v>35</v>
      </c>
      <c r="Y13" s="28">
        <v>0</v>
      </c>
      <c r="Z13" s="28">
        <v>0</v>
      </c>
      <c r="AA13" s="28"/>
      <c r="AB13" s="28">
        <v>0</v>
      </c>
      <c r="AC13" s="28"/>
      <c r="AD13" s="28">
        <v>0</v>
      </c>
      <c r="AE13" s="28"/>
      <c r="AF13" s="28">
        <v>0</v>
      </c>
      <c r="AG13" s="28"/>
      <c r="AH13" s="28">
        <v>0</v>
      </c>
      <c r="AI13" s="28"/>
      <c r="AJ13" s="27">
        <f>IF('CRUDO MARTES'!AE22="Si",$N13,)</f>
        <v>35</v>
      </c>
      <c r="AK13" s="28" t="s">
        <v>1227</v>
      </c>
      <c r="AL13" s="28">
        <v>0</v>
      </c>
      <c r="AM13" s="28"/>
      <c r="AN13" s="28">
        <v>35</v>
      </c>
      <c r="AO13" s="28" t="s">
        <v>1230</v>
      </c>
      <c r="AP13" s="28">
        <v>0</v>
      </c>
      <c r="AQ13" s="28"/>
      <c r="AR13" s="28">
        <v>35</v>
      </c>
      <c r="AS13" s="28" t="s">
        <v>1236</v>
      </c>
      <c r="AT13" s="28">
        <v>0</v>
      </c>
      <c r="AU13" s="28"/>
      <c r="AV13" s="28">
        <v>0</v>
      </c>
      <c r="AW13" s="28">
        <v>0</v>
      </c>
      <c r="AX13" s="28">
        <v>0</v>
      </c>
      <c r="AY13" s="28">
        <v>0</v>
      </c>
      <c r="AZ13" s="28">
        <v>0</v>
      </c>
      <c r="BA13" s="28">
        <v>0</v>
      </c>
      <c r="BB13" s="28"/>
      <c r="BC13" s="28">
        <v>0</v>
      </c>
      <c r="BD13" s="28"/>
      <c r="BE13" s="28">
        <v>0</v>
      </c>
      <c r="BF13" s="28"/>
      <c r="BG13" s="28">
        <v>0</v>
      </c>
      <c r="BH13" s="23"/>
      <c r="BI13" s="23" t="s">
        <v>468</v>
      </c>
      <c r="BJ13" s="23" t="s">
        <v>1237</v>
      </c>
      <c r="BK13" s="23">
        <v>1</v>
      </c>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row>
    <row r="14" spans="1:115" ht="13.2" x14ac:dyDescent="0.25">
      <c r="A14" s="22">
        <v>45000.737666921297</v>
      </c>
      <c r="B14" s="23" t="s">
        <v>473</v>
      </c>
      <c r="C14" s="23" t="s">
        <v>474</v>
      </c>
      <c r="D14" s="24" t="s">
        <v>475</v>
      </c>
      <c r="E14" s="23" t="s">
        <v>103</v>
      </c>
      <c r="F14" s="23" t="s">
        <v>476</v>
      </c>
      <c r="G14" s="23" t="s">
        <v>105</v>
      </c>
      <c r="H14" s="23" t="s">
        <v>477</v>
      </c>
      <c r="I14" s="23" t="s">
        <v>478</v>
      </c>
      <c r="J14" s="23" t="s">
        <v>479</v>
      </c>
      <c r="K14" s="23" t="s">
        <v>473</v>
      </c>
      <c r="L14" s="23" t="s">
        <v>67</v>
      </c>
      <c r="M14" s="23" t="s">
        <v>303</v>
      </c>
      <c r="N14" s="23">
        <v>23</v>
      </c>
      <c r="O14" s="23" t="s">
        <v>69</v>
      </c>
      <c r="P14" s="23">
        <v>4</v>
      </c>
      <c r="Q14" s="23">
        <v>4</v>
      </c>
      <c r="R14" s="23">
        <v>50</v>
      </c>
      <c r="S14" s="23" t="s">
        <v>481</v>
      </c>
      <c r="T14" s="23" t="s">
        <v>70</v>
      </c>
      <c r="U14" s="23" t="s">
        <v>71</v>
      </c>
      <c r="V14" s="26" t="s">
        <v>145</v>
      </c>
      <c r="W14" s="27">
        <f>IF('CRUDO MARTES'!W23="Si",$N14,)</f>
        <v>23</v>
      </c>
      <c r="X14" s="27">
        <f>IF('CRUDO MARTES'!X23="Si",$N14,)</f>
        <v>0</v>
      </c>
      <c r="Y14" s="27">
        <f>IF('CRUDO MARTES'!Y23="Si",$N14,)</f>
        <v>0</v>
      </c>
      <c r="Z14" s="27">
        <f>IF('CRUDO MARTES'!Z23="Si",$N14,)</f>
        <v>0</v>
      </c>
      <c r="AA14" s="27"/>
      <c r="AB14" s="27">
        <f>IF('CRUDO MARTES'!AA23="Si",$N14,)</f>
        <v>23</v>
      </c>
      <c r="AC14" s="28" t="s">
        <v>1233</v>
      </c>
      <c r="AD14" s="27">
        <f>IF('CRUDO MARTES'!AB23="Si",$N14,)</f>
        <v>0</v>
      </c>
      <c r="AE14" s="27"/>
      <c r="AF14" s="27">
        <f>IF('CRUDO MARTES'!AC23="Si",$N14,)</f>
        <v>0</v>
      </c>
      <c r="AG14" s="27"/>
      <c r="AH14" s="27">
        <f>IF('CRUDO MARTES'!AD23="Si",$N14,)</f>
        <v>0</v>
      </c>
      <c r="AI14" s="27"/>
      <c r="AJ14" s="27">
        <f>IF('CRUDO MARTES'!AE23="Si",$N14,)</f>
        <v>0</v>
      </c>
      <c r="AK14" s="27"/>
      <c r="AL14" s="27">
        <f>IF('CRUDO MARTES'!AF23="Si",$N14,)</f>
        <v>0</v>
      </c>
      <c r="AM14" s="27"/>
      <c r="AN14" s="27">
        <f>IF('CRUDO MARTES'!AG23="Si",$N14,)</f>
        <v>0</v>
      </c>
      <c r="AO14" s="28"/>
      <c r="AP14" s="28">
        <v>23</v>
      </c>
      <c r="AQ14" s="28" t="s">
        <v>1228</v>
      </c>
      <c r="AR14" s="27">
        <f>IF('CRUDO MARTES'!AI23="Si",$N14,)</f>
        <v>0</v>
      </c>
      <c r="AS14" s="27"/>
      <c r="AT14" s="27">
        <f>IF('CRUDO MARTES'!AJ23="Si",$N14,)</f>
        <v>0</v>
      </c>
      <c r="AU14" s="27"/>
      <c r="AV14" s="27">
        <f>IF('CRUDO MARTES'!AK23="Si",$N14,)</f>
        <v>0</v>
      </c>
      <c r="AW14" s="27">
        <f>IF('CRUDO MARTES'!AL23="Si",$N14,)</f>
        <v>0</v>
      </c>
      <c r="AX14" s="27">
        <f>IF('CRUDO MARTES'!AM23="Si",$N14,)</f>
        <v>0</v>
      </c>
      <c r="AY14" s="27">
        <f>IF('CRUDO MARTES'!AN23="Si",$N14,)</f>
        <v>0</v>
      </c>
      <c r="AZ14" s="27">
        <f>IF('CRUDO MARTES'!AO23="Si",$N14,)</f>
        <v>0</v>
      </c>
      <c r="BA14" s="27">
        <f>IF('CRUDO MARTES'!AP23="Si",$N14,)</f>
        <v>0</v>
      </c>
      <c r="BB14" s="27"/>
      <c r="BC14" s="27">
        <f>IF('CRUDO MARTES'!AQ23="Si",$N14,)</f>
        <v>0</v>
      </c>
      <c r="BD14" s="27"/>
      <c r="BE14" s="27">
        <f>IF('CRUDO MARTES'!AR23="Si",$N14,)</f>
        <v>0</v>
      </c>
      <c r="BF14" s="27"/>
      <c r="BG14" s="27">
        <f>IF('CRUDO MARTES'!AS23="Si",$N14,)</f>
        <v>0</v>
      </c>
      <c r="BH14" s="23"/>
      <c r="BI14" s="23" t="s">
        <v>482</v>
      </c>
      <c r="BJ14" s="23" t="s">
        <v>1231</v>
      </c>
      <c r="BK14" s="23">
        <v>1</v>
      </c>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row>
    <row r="15" spans="1:115" ht="13.2" x14ac:dyDescent="0.25">
      <c r="A15" s="22">
        <v>45000.83467074074</v>
      </c>
      <c r="B15" s="23" t="s">
        <v>483</v>
      </c>
      <c r="C15" s="23" t="s">
        <v>484</v>
      </c>
      <c r="D15" s="24" t="s">
        <v>485</v>
      </c>
      <c r="E15" s="23" t="s">
        <v>103</v>
      </c>
      <c r="F15" s="23" t="s">
        <v>486</v>
      </c>
      <c r="G15" s="23" t="s">
        <v>105</v>
      </c>
      <c r="H15" s="23" t="s">
        <v>487</v>
      </c>
      <c r="I15" s="23" t="s">
        <v>488</v>
      </c>
      <c r="J15" s="23" t="s">
        <v>489</v>
      </c>
      <c r="K15" s="23" t="s">
        <v>483</v>
      </c>
      <c r="L15" s="23" t="s">
        <v>67</v>
      </c>
      <c r="M15" s="23" t="s">
        <v>312</v>
      </c>
      <c r="N15" s="23">
        <v>15</v>
      </c>
      <c r="O15" s="23" t="s">
        <v>69</v>
      </c>
      <c r="P15" s="23">
        <v>3</v>
      </c>
      <c r="Q15" s="23">
        <v>3</v>
      </c>
      <c r="R15" s="23">
        <v>30</v>
      </c>
      <c r="S15" s="25"/>
      <c r="T15" s="23" t="s">
        <v>70</v>
      </c>
      <c r="U15" s="23" t="s">
        <v>71</v>
      </c>
      <c r="V15" s="26" t="s">
        <v>145</v>
      </c>
      <c r="W15" s="27">
        <f>IF('CRUDO MARTES'!W24="Si",$N15,)</f>
        <v>15</v>
      </c>
      <c r="X15" s="27">
        <f>IF('CRUDO MARTES'!X24="Si",$N15,)</f>
        <v>0</v>
      </c>
      <c r="Y15" s="27">
        <f>IF('CRUDO MARTES'!Y24="Si",$N15,)</f>
        <v>0</v>
      </c>
      <c r="Z15" s="27">
        <f>IF('CRUDO MARTES'!Z24="Si",$N15,)</f>
        <v>0</v>
      </c>
      <c r="AA15" s="27"/>
      <c r="AB15" s="28">
        <v>15</v>
      </c>
      <c r="AC15" s="28" t="s">
        <v>1227</v>
      </c>
      <c r="AD15" s="28">
        <v>0</v>
      </c>
      <c r="AE15" s="28"/>
      <c r="AF15" s="28">
        <v>0</v>
      </c>
      <c r="AG15" s="28"/>
      <c r="AH15" s="27">
        <f>IF('CRUDO MARTES'!AD24="Si",$N15,)</f>
        <v>0</v>
      </c>
      <c r="AI15" s="27"/>
      <c r="AJ15" s="27">
        <f>IF('CRUDO MARTES'!AE24="Si",$N15,)</f>
        <v>0</v>
      </c>
      <c r="AK15" s="27"/>
      <c r="AL15" s="27">
        <f>IF('CRUDO MARTES'!AF24="Si",$N15,)</f>
        <v>0</v>
      </c>
      <c r="AM15" s="27"/>
      <c r="AN15" s="27">
        <f>IF('CRUDO MARTES'!AG24="Si",$N15,)</f>
        <v>0</v>
      </c>
      <c r="AO15" s="27"/>
      <c r="AP15" s="27">
        <f>IF('CRUDO MARTES'!AH24="Si",$N15,)</f>
        <v>15</v>
      </c>
      <c r="AQ15" s="28" t="s">
        <v>1238</v>
      </c>
      <c r="AR15" s="27">
        <f>IF('CRUDO MARTES'!AI24="Si",$N15,)</f>
        <v>0</v>
      </c>
      <c r="AS15" s="27"/>
      <c r="AT15" s="27">
        <f>IF('CRUDO MARTES'!AJ24="Si",$N15,)</f>
        <v>0</v>
      </c>
      <c r="AU15" s="27"/>
      <c r="AV15" s="27">
        <f>IF('CRUDO MARTES'!AK24="Si",$N15,)</f>
        <v>0</v>
      </c>
      <c r="AW15" s="28">
        <v>0</v>
      </c>
      <c r="AX15" s="27">
        <f>IF('CRUDO MARTES'!AM24="Si",$N15,)</f>
        <v>0</v>
      </c>
      <c r="AY15" s="27">
        <f>IF('CRUDO MARTES'!AN24="Si",$N15,)</f>
        <v>0</v>
      </c>
      <c r="AZ15" s="27">
        <f>IF('CRUDO MARTES'!AO24="Si",$N15,)</f>
        <v>0</v>
      </c>
      <c r="BA15" s="27">
        <f>IF('CRUDO MARTES'!AP24="Si",$N15,)</f>
        <v>0</v>
      </c>
      <c r="BB15" s="27"/>
      <c r="BC15" s="27">
        <f>IF('CRUDO MARTES'!AQ24="Si",$N15,)</f>
        <v>0</v>
      </c>
      <c r="BD15" s="28"/>
      <c r="BE15" s="28">
        <v>0</v>
      </c>
      <c r="BF15" s="27"/>
      <c r="BG15" s="27">
        <f>IF('CRUDO MARTES'!AS24="Si",$N15,)</f>
        <v>0</v>
      </c>
      <c r="BH15" s="25"/>
      <c r="BI15" s="25"/>
      <c r="BJ15" s="23" t="s">
        <v>1231</v>
      </c>
      <c r="BK15" s="23">
        <v>1</v>
      </c>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row>
    <row r="16" spans="1:115" ht="13.2" x14ac:dyDescent="0.25">
      <c r="A16" s="22">
        <v>45000.840254699069</v>
      </c>
      <c r="B16" s="23" t="s">
        <v>483</v>
      </c>
      <c r="C16" s="23" t="s">
        <v>491</v>
      </c>
      <c r="D16" s="24" t="s">
        <v>485</v>
      </c>
      <c r="E16" s="23" t="s">
        <v>103</v>
      </c>
      <c r="F16" s="23" t="s">
        <v>486</v>
      </c>
      <c r="G16" s="23" t="s">
        <v>105</v>
      </c>
      <c r="H16" s="23" t="s">
        <v>487</v>
      </c>
      <c r="I16" s="23" t="s">
        <v>488</v>
      </c>
      <c r="J16" s="23" t="s">
        <v>489</v>
      </c>
      <c r="K16" s="23" t="s">
        <v>483</v>
      </c>
      <c r="L16" s="23" t="s">
        <v>67</v>
      </c>
      <c r="M16" s="23" t="s">
        <v>312</v>
      </c>
      <c r="N16" s="23">
        <v>16</v>
      </c>
      <c r="O16" s="23" t="s">
        <v>97</v>
      </c>
      <c r="P16" s="23">
        <v>3</v>
      </c>
      <c r="Q16" s="23">
        <v>3</v>
      </c>
      <c r="R16" s="23">
        <v>30</v>
      </c>
      <c r="S16" s="25"/>
      <c r="T16" s="23" t="s">
        <v>70</v>
      </c>
      <c r="U16" s="23" t="s">
        <v>71</v>
      </c>
      <c r="V16" s="26" t="s">
        <v>145</v>
      </c>
      <c r="W16" s="27">
        <f>IF('CRUDO MARTES'!W25="Si",$N16,)</f>
        <v>16</v>
      </c>
      <c r="X16" s="27">
        <f>IF('CRUDO MARTES'!X25="Si",$N16,)</f>
        <v>0</v>
      </c>
      <c r="Y16" s="27">
        <f>IF('CRUDO MARTES'!Y25="Si",$N16,)</f>
        <v>0</v>
      </c>
      <c r="Z16" s="27">
        <f>IF('CRUDO MARTES'!Z25="Si",$N16,)</f>
        <v>0</v>
      </c>
      <c r="AA16" s="27"/>
      <c r="AB16" s="27">
        <f>IF('CRUDO MARTES'!AA25="Si",$N16,)</f>
        <v>16</v>
      </c>
      <c r="AC16" s="28" t="s">
        <v>1227</v>
      </c>
      <c r="AD16" s="27">
        <f>IF('CRUDO MARTES'!AB25="Si",$N16,)</f>
        <v>0</v>
      </c>
      <c r="AE16" s="27"/>
      <c r="AF16" s="27">
        <f>IF('CRUDO MARTES'!AC25="Si",$N16,)</f>
        <v>0</v>
      </c>
      <c r="AG16" s="27"/>
      <c r="AH16" s="27">
        <f>IF('CRUDO MARTES'!AD25="Si",$N16,)</f>
        <v>0</v>
      </c>
      <c r="AI16" s="27"/>
      <c r="AJ16" s="27">
        <f>IF('CRUDO MARTES'!AE25="Si",$N16,)</f>
        <v>0</v>
      </c>
      <c r="AK16" s="27"/>
      <c r="AL16" s="27">
        <f>IF('CRUDO MARTES'!AF25="Si",$N16,)</f>
        <v>0</v>
      </c>
      <c r="AM16" s="27"/>
      <c r="AN16" s="27">
        <f>IF('CRUDO MARTES'!AG25="Si",$N16,)</f>
        <v>0</v>
      </c>
      <c r="AO16" s="27"/>
      <c r="AP16" s="27">
        <f>IF('CRUDO MARTES'!AH25="Si",$N16,)</f>
        <v>16</v>
      </c>
      <c r="AQ16" s="28" t="s">
        <v>1238</v>
      </c>
      <c r="AR16" s="27">
        <f>IF('CRUDO MARTES'!AI25="Si",$N16,)</f>
        <v>0</v>
      </c>
      <c r="AS16" s="27"/>
      <c r="AT16" s="27">
        <f>IF('CRUDO MARTES'!AJ25="Si",$N16,)</f>
        <v>0</v>
      </c>
      <c r="AU16" s="27"/>
      <c r="AV16" s="27">
        <f>IF('CRUDO MARTES'!AK25="Si",$N16,)</f>
        <v>0</v>
      </c>
      <c r="AW16" s="27">
        <f>IF('CRUDO MARTES'!AL25="Si",$N16,)</f>
        <v>0</v>
      </c>
      <c r="AX16" s="27">
        <f>IF('CRUDO MARTES'!AM25="Si",$N16,)</f>
        <v>0</v>
      </c>
      <c r="AY16" s="28">
        <v>0</v>
      </c>
      <c r="AZ16" s="27">
        <f>IF('CRUDO MARTES'!AO25="Si",$N16,)</f>
        <v>0</v>
      </c>
      <c r="BA16" s="27">
        <f>IF('CRUDO MARTES'!AP25="Si",$N16,)</f>
        <v>0</v>
      </c>
      <c r="BB16" s="27"/>
      <c r="BC16" s="27">
        <f>IF('CRUDO MARTES'!AQ25="Si",$N16,)</f>
        <v>0</v>
      </c>
      <c r="BD16" s="28"/>
      <c r="BE16" s="28">
        <v>0</v>
      </c>
      <c r="BF16" s="27"/>
      <c r="BG16" s="27">
        <f>IF('CRUDO MARTES'!AS25="Si",$N16,)</f>
        <v>0</v>
      </c>
      <c r="BH16" s="25"/>
      <c r="BI16" s="25"/>
      <c r="BJ16" s="23" t="s">
        <v>1231</v>
      </c>
      <c r="BK16" s="23">
        <v>1</v>
      </c>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row>
    <row r="17" spans="1:115" ht="13.2" x14ac:dyDescent="0.25">
      <c r="A17" s="22">
        <v>45001.665316087965</v>
      </c>
      <c r="B17" s="23" t="s">
        <v>694</v>
      </c>
      <c r="C17" s="23" t="s">
        <v>695</v>
      </c>
      <c r="D17" s="29" t="s">
        <v>696</v>
      </c>
      <c r="E17" s="23" t="s">
        <v>62</v>
      </c>
      <c r="F17" s="23" t="s">
        <v>697</v>
      </c>
      <c r="G17" s="23" t="s">
        <v>64</v>
      </c>
      <c r="H17" s="23" t="s">
        <v>698</v>
      </c>
      <c r="I17" s="23" t="s">
        <v>699</v>
      </c>
      <c r="J17" s="25"/>
      <c r="K17" s="23" t="s">
        <v>694</v>
      </c>
      <c r="L17" s="23" t="s">
        <v>656</v>
      </c>
      <c r="M17" s="23" t="s">
        <v>394</v>
      </c>
      <c r="N17" s="23">
        <v>35</v>
      </c>
      <c r="O17" s="23" t="s">
        <v>69</v>
      </c>
      <c r="P17" s="23">
        <v>3</v>
      </c>
      <c r="Q17" s="23">
        <v>3</v>
      </c>
      <c r="R17" s="23">
        <v>5</v>
      </c>
      <c r="S17" s="25"/>
      <c r="T17" s="23" t="s">
        <v>71</v>
      </c>
      <c r="U17" s="23" t="s">
        <v>70</v>
      </c>
      <c r="V17" s="26" t="s">
        <v>145</v>
      </c>
      <c r="W17" s="27">
        <f>IF('CRUDO MARTES'!W36="Si",$N17,)</f>
        <v>0</v>
      </c>
      <c r="X17" s="27">
        <f>IF('CRUDO MARTES'!X36="Si",$N17,)</f>
        <v>0</v>
      </c>
      <c r="Y17" s="27">
        <f>IF('CRUDO MARTES'!Y36="Si",$N17,)</f>
        <v>35</v>
      </c>
      <c r="Z17" s="27">
        <f>IF('CRUDO MARTES'!Z36="Si",$N17,)</f>
        <v>0</v>
      </c>
      <c r="AA17" s="27"/>
      <c r="AB17" s="27">
        <f>IF('CRUDO MARTES'!AA36="Si",$N17,)</f>
        <v>0</v>
      </c>
      <c r="AC17" s="27"/>
      <c r="AD17" s="27">
        <f>IF('CRUDO MARTES'!AB36="Si",$N17,)</f>
        <v>0</v>
      </c>
      <c r="AE17" s="27"/>
      <c r="AF17" s="28">
        <v>35</v>
      </c>
      <c r="AG17" s="28" t="s">
        <v>1233</v>
      </c>
      <c r="AH17" s="28">
        <v>0</v>
      </c>
      <c r="AI17" s="28"/>
      <c r="AJ17" s="28">
        <v>0</v>
      </c>
      <c r="AK17" s="28"/>
      <c r="AL17" s="27">
        <f>IF('CRUDO MARTES'!AF36="Si",$N17,)</f>
        <v>0</v>
      </c>
      <c r="AM17" s="27"/>
      <c r="AN17" s="27">
        <f>IF('CRUDO MARTES'!AG36="Si",$N17,)</f>
        <v>0</v>
      </c>
      <c r="AO17" s="27"/>
      <c r="AP17" s="27">
        <f>IF('CRUDO MARTES'!AH36="Si",$N17,)</f>
        <v>0</v>
      </c>
      <c r="AQ17" s="28"/>
      <c r="AR17" s="28">
        <v>0</v>
      </c>
      <c r="AS17" s="28"/>
      <c r="AT17" s="28">
        <v>0</v>
      </c>
      <c r="AU17" s="27"/>
      <c r="AV17" s="27">
        <f>IF('CRUDO MARTES'!AK36="Si",$N17,)</f>
        <v>0</v>
      </c>
      <c r="AW17" s="27">
        <f>IF('CRUDO MARTES'!AL36="Si",$N17,)</f>
        <v>0</v>
      </c>
      <c r="AX17" s="27">
        <f>IF('CRUDO MARTES'!AM36="Si",$N17,)</f>
        <v>0</v>
      </c>
      <c r="AY17" s="28">
        <v>0</v>
      </c>
      <c r="AZ17" s="28">
        <v>0</v>
      </c>
      <c r="BA17" s="27">
        <f>IF('CRUDO MARTES'!AP36="Si",$N17,)</f>
        <v>0</v>
      </c>
      <c r="BB17" s="27"/>
      <c r="BC17" s="27">
        <f>IF('CRUDO MARTES'!AQ36="Si",$N17,)</f>
        <v>0</v>
      </c>
      <c r="BD17" s="28"/>
      <c r="BE17" s="28">
        <v>0</v>
      </c>
      <c r="BF17" s="27"/>
      <c r="BG17" s="27">
        <f>IF('CRUDO MARTES'!AS36="Si",$N17,)</f>
        <v>35</v>
      </c>
      <c r="BH17" s="23" t="s">
        <v>1239</v>
      </c>
      <c r="BI17" s="25"/>
      <c r="BJ17" s="23" t="s">
        <v>1229</v>
      </c>
      <c r="BK17" s="23">
        <v>1</v>
      </c>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row>
    <row r="18" spans="1:115" ht="13.2" x14ac:dyDescent="0.25">
      <c r="A18" s="22"/>
      <c r="B18" s="23"/>
      <c r="C18" s="23" t="s">
        <v>695</v>
      </c>
      <c r="D18" s="29" t="s">
        <v>696</v>
      </c>
      <c r="E18" s="23" t="s">
        <v>62</v>
      </c>
      <c r="F18" s="23" t="s">
        <v>205</v>
      </c>
      <c r="G18" s="23"/>
      <c r="H18" s="23" t="s">
        <v>698</v>
      </c>
      <c r="I18" s="23"/>
      <c r="J18" s="25"/>
      <c r="K18" s="23" t="s">
        <v>694</v>
      </c>
      <c r="L18" s="23"/>
      <c r="M18" s="23" t="s">
        <v>394</v>
      </c>
      <c r="N18" s="23">
        <v>18</v>
      </c>
      <c r="O18" s="23" t="s">
        <v>69</v>
      </c>
      <c r="P18" s="23"/>
      <c r="Q18" s="23"/>
      <c r="R18" s="23"/>
      <c r="S18" s="25"/>
      <c r="T18" s="23" t="s">
        <v>71</v>
      </c>
      <c r="U18" s="23" t="s">
        <v>70</v>
      </c>
      <c r="V18" s="23"/>
      <c r="W18" s="27"/>
      <c r="X18" s="27"/>
      <c r="Y18" s="28">
        <v>18</v>
      </c>
      <c r="Z18" s="27"/>
      <c r="AA18" s="27"/>
      <c r="AB18" s="27"/>
      <c r="AC18" s="27"/>
      <c r="AD18" s="27"/>
      <c r="AE18" s="27"/>
      <c r="AF18" s="28">
        <v>18</v>
      </c>
      <c r="AG18" s="28" t="s">
        <v>1233</v>
      </c>
      <c r="AH18" s="28"/>
      <c r="AI18" s="28"/>
      <c r="AJ18" s="28"/>
      <c r="AK18" s="28"/>
      <c r="AL18" s="27"/>
      <c r="AM18" s="27"/>
      <c r="AN18" s="27"/>
      <c r="AO18" s="27"/>
      <c r="AP18" s="27"/>
      <c r="AQ18" s="28"/>
      <c r="AR18" s="28"/>
      <c r="AS18" s="28"/>
      <c r="AT18" s="28"/>
      <c r="AU18" s="27"/>
      <c r="AV18" s="27"/>
      <c r="AW18" s="27"/>
      <c r="AX18" s="27"/>
      <c r="AY18" s="28"/>
      <c r="AZ18" s="28"/>
      <c r="BA18" s="27"/>
      <c r="BB18" s="27"/>
      <c r="BC18" s="27"/>
      <c r="BD18" s="28"/>
      <c r="BE18" s="28"/>
      <c r="BF18" s="28"/>
      <c r="BG18" s="28">
        <v>18</v>
      </c>
      <c r="BH18" s="23" t="s">
        <v>1234</v>
      </c>
      <c r="BI18" s="25"/>
      <c r="BJ18" s="23" t="s">
        <v>1229</v>
      </c>
      <c r="BK18" s="23">
        <v>1</v>
      </c>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row>
    <row r="19" spans="1:115" ht="13.2" x14ac:dyDescent="0.25">
      <c r="A19" s="30">
        <v>45005.507034837967</v>
      </c>
      <c r="B19" s="31" t="s">
        <v>728</v>
      </c>
      <c r="C19" s="31" t="s">
        <v>743</v>
      </c>
      <c r="D19" s="36" t="s">
        <v>744</v>
      </c>
      <c r="E19" s="31" t="s">
        <v>149</v>
      </c>
      <c r="F19" s="31" t="s">
        <v>671</v>
      </c>
      <c r="G19" s="31" t="s">
        <v>64</v>
      </c>
      <c r="H19" s="31" t="s">
        <v>732</v>
      </c>
      <c r="I19" s="31" t="s">
        <v>745</v>
      </c>
      <c r="J19" s="31" t="s">
        <v>746</v>
      </c>
      <c r="K19" s="31" t="s">
        <v>728</v>
      </c>
      <c r="L19" s="31" t="s">
        <v>656</v>
      </c>
      <c r="M19" s="31" t="s">
        <v>423</v>
      </c>
      <c r="N19" s="31">
        <v>0</v>
      </c>
      <c r="O19" s="31" t="s">
        <v>69</v>
      </c>
      <c r="P19" s="31">
        <v>5</v>
      </c>
      <c r="Q19" s="31">
        <v>4</v>
      </c>
      <c r="R19" s="31">
        <v>10</v>
      </c>
      <c r="S19" s="31" t="s">
        <v>747</v>
      </c>
      <c r="T19" s="31" t="s">
        <v>70</v>
      </c>
      <c r="U19" s="31" t="s">
        <v>70</v>
      </c>
      <c r="V19" s="8" t="s">
        <v>145</v>
      </c>
      <c r="W19" s="34">
        <v>0</v>
      </c>
      <c r="X19" s="35">
        <f>IF('CRUDO MARTES'!X40="Si",$N19,)</f>
        <v>0</v>
      </c>
      <c r="Y19" s="35">
        <f>IF('CRUDO MARTES'!Y40="Si",$N19,)</f>
        <v>0</v>
      </c>
      <c r="Z19" s="35">
        <f>IF('CRUDO MARTES'!Z40="Si",$N19,)</f>
        <v>0</v>
      </c>
      <c r="AA19" s="35"/>
      <c r="AB19" s="34">
        <v>0</v>
      </c>
      <c r="AC19" s="34"/>
      <c r="AD19" s="35">
        <f>IF('CRUDO MARTES'!AB40="Si",$N19,)</f>
        <v>0</v>
      </c>
      <c r="AE19" s="35"/>
      <c r="AF19" s="34">
        <v>40</v>
      </c>
      <c r="AG19" s="34" t="s">
        <v>1233</v>
      </c>
      <c r="AH19" s="35">
        <f>IF('CRUDO MARTES'!AD40="Si",$N19,)</f>
        <v>0</v>
      </c>
      <c r="AI19" s="35"/>
      <c r="AJ19" s="34">
        <v>40</v>
      </c>
      <c r="AK19" s="34" t="s">
        <v>1227</v>
      </c>
      <c r="AL19" s="35">
        <f>IF('CRUDO MARTES'!AF40="Si",$N19,)</f>
        <v>0</v>
      </c>
      <c r="AM19" s="35"/>
      <c r="AN19" s="34">
        <v>40</v>
      </c>
      <c r="AO19" s="34" t="s">
        <v>1230</v>
      </c>
      <c r="AP19" s="35">
        <f>IF('CRUDO MARTES'!AH40="Si",$N19,)</f>
        <v>0</v>
      </c>
      <c r="AQ19" s="35"/>
      <c r="AR19" s="35">
        <f>IF('CRUDO MARTES'!AI40="Si",$N19,)</f>
        <v>0</v>
      </c>
      <c r="AS19" s="35"/>
      <c r="AT19" s="34">
        <v>0</v>
      </c>
      <c r="AU19" s="35"/>
      <c r="AV19" s="35">
        <f>IF('CRUDO MARTES'!AK40="Si",$N19,)</f>
        <v>0</v>
      </c>
      <c r="AW19" s="35">
        <f>IF('CRUDO MARTES'!AL40="Si",$N19,)</f>
        <v>0</v>
      </c>
      <c r="AX19" s="35">
        <f>IF('CRUDO MARTES'!AM40="Si",$N19,)</f>
        <v>0</v>
      </c>
      <c r="AY19" s="35">
        <f>IF('CRUDO MARTES'!AN40="Si",$N19,)</f>
        <v>0</v>
      </c>
      <c r="AZ19" s="35">
        <f>IF('CRUDO MARTES'!AO40="Si",$N19,)</f>
        <v>0</v>
      </c>
      <c r="BA19" s="35">
        <f>IF('CRUDO MARTES'!AP40="Si",$N19,)</f>
        <v>0</v>
      </c>
      <c r="BB19" s="35"/>
      <c r="BC19" s="35">
        <f>IF('CRUDO MARTES'!AQ40="Si",$N19,)</f>
        <v>0</v>
      </c>
      <c r="BD19" s="35"/>
      <c r="BE19" s="35">
        <f>IF('CRUDO MARTES'!AR40="Si",$N19,)</f>
        <v>0</v>
      </c>
      <c r="BF19" s="35"/>
      <c r="BG19" s="35">
        <f>IF('CRUDO MARTES'!AS40="Si",$N19,)</f>
        <v>0</v>
      </c>
      <c r="BH19" s="33"/>
      <c r="BI19" s="33"/>
      <c r="BJ19" s="31" t="s">
        <v>1240</v>
      </c>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row>
    <row r="20" spans="1:115" ht="21" hidden="1" customHeight="1" x14ac:dyDescent="0.25">
      <c r="A20" s="30">
        <v>45000.745915578707</v>
      </c>
      <c r="B20" s="31" t="s">
        <v>759</v>
      </c>
      <c r="C20" s="31" t="s">
        <v>1241</v>
      </c>
      <c r="D20" s="32" t="s">
        <v>761</v>
      </c>
      <c r="E20" s="31" t="s">
        <v>62</v>
      </c>
      <c r="F20" s="31" t="s">
        <v>766</v>
      </c>
      <c r="G20" s="31" t="s">
        <v>64</v>
      </c>
      <c r="H20" s="31" t="s">
        <v>764</v>
      </c>
      <c r="I20" s="31" t="s">
        <v>767</v>
      </c>
      <c r="J20" s="31" t="s">
        <v>765</v>
      </c>
      <c r="K20" s="31" t="s">
        <v>759</v>
      </c>
      <c r="L20" s="31" t="s">
        <v>656</v>
      </c>
      <c r="M20" s="31" t="s">
        <v>450</v>
      </c>
      <c r="N20" s="31">
        <v>0</v>
      </c>
      <c r="O20" s="31" t="s">
        <v>69</v>
      </c>
      <c r="P20" s="31">
        <v>4</v>
      </c>
      <c r="Q20" s="31">
        <v>2</v>
      </c>
      <c r="R20" s="31">
        <v>10</v>
      </c>
      <c r="S20" s="33"/>
      <c r="T20" s="31" t="s">
        <v>70</v>
      </c>
      <c r="U20" s="31" t="s">
        <v>71</v>
      </c>
      <c r="V20" s="8" t="s">
        <v>145</v>
      </c>
      <c r="W20" s="35">
        <f>IF('CRUDO MARTES'!W43="Si",$N20,)</f>
        <v>0</v>
      </c>
      <c r="X20" s="35">
        <f>IF('CRUDO MARTES'!X43="Si",$N20,)</f>
        <v>0</v>
      </c>
      <c r="Y20" s="35">
        <f>IF('CRUDO MARTES'!Y43="Si",$N20,)</f>
        <v>0</v>
      </c>
      <c r="Z20" s="35">
        <f>IF('CRUDO MARTES'!Z43="Si",$N20,)</f>
        <v>0</v>
      </c>
      <c r="AA20" s="35"/>
      <c r="AB20" s="35">
        <f>IF('CRUDO MARTES'!AA43="Si",$N20,)</f>
        <v>0</v>
      </c>
      <c r="AC20" s="35"/>
      <c r="AD20" s="35">
        <f>IF('CRUDO MARTES'!AB43="Si",$N20,)</f>
        <v>0</v>
      </c>
      <c r="AE20" s="35"/>
      <c r="AF20" s="35">
        <f>IF('CRUDO MARTES'!AC43="Si",$N20,)</f>
        <v>0</v>
      </c>
      <c r="AG20" s="35"/>
      <c r="AH20" s="35">
        <f>IF('CRUDO MARTES'!AD43="Si",$N20,)</f>
        <v>0</v>
      </c>
      <c r="AI20" s="35"/>
      <c r="AJ20" s="35">
        <f>IF('CRUDO MARTES'!AE43="Si",$N20,)</f>
        <v>0</v>
      </c>
      <c r="AK20" s="35"/>
      <c r="AL20" s="35">
        <f>IF('CRUDO MARTES'!AF43="Si",$N20,)</f>
        <v>0</v>
      </c>
      <c r="AM20" s="35"/>
      <c r="AN20" s="35">
        <f>IF('CRUDO MARTES'!AG43="Si",$N20,)</f>
        <v>0</v>
      </c>
      <c r="AO20" s="35"/>
      <c r="AP20" s="35">
        <f>IF('CRUDO MARTES'!AH43="Si",$N20,)</f>
        <v>0</v>
      </c>
      <c r="AQ20" s="35"/>
      <c r="AR20" s="35">
        <f>IF('CRUDO MARTES'!AI43="Si",$N20,)</f>
        <v>0</v>
      </c>
      <c r="AS20" s="35"/>
      <c r="AT20" s="35">
        <f>IF('CRUDO MARTES'!AJ43="Si",$N20,)</f>
        <v>0</v>
      </c>
      <c r="AU20" s="35"/>
      <c r="AV20" s="35">
        <f>IF('CRUDO MARTES'!AK43="Si",$N20,)</f>
        <v>0</v>
      </c>
      <c r="AW20" s="35">
        <f>IF('CRUDO MARTES'!AL43="Si",$N20,)</f>
        <v>0</v>
      </c>
      <c r="AX20" s="34">
        <v>0</v>
      </c>
      <c r="AY20" s="35">
        <f>IF('CRUDO MARTES'!AN43="Si",$N20,)</f>
        <v>0</v>
      </c>
      <c r="AZ20" s="35">
        <f>IF('CRUDO MARTES'!AO43="Si",$N20,)</f>
        <v>0</v>
      </c>
      <c r="BA20" s="35">
        <f>IF('CRUDO MARTES'!AP43="Si",$N20,)</f>
        <v>0</v>
      </c>
      <c r="BB20" s="35"/>
      <c r="BC20" s="35">
        <f>IF('CRUDO MARTES'!AQ43="Si",$N20,)</f>
        <v>0</v>
      </c>
      <c r="BD20" s="35"/>
      <c r="BE20" s="35">
        <f>IF('CRUDO MARTES'!AR43="Si",$N20,)</f>
        <v>0</v>
      </c>
      <c r="BF20" s="35"/>
      <c r="BG20" s="35">
        <f>IF('CRUDO MARTES'!AS43="Si",$N20,)</f>
        <v>0</v>
      </c>
      <c r="BH20" s="33"/>
      <c r="BI20" s="33"/>
      <c r="BJ20" s="31" t="s">
        <v>1231</v>
      </c>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row>
    <row r="21" spans="1:115" ht="24" hidden="1" customHeight="1" x14ac:dyDescent="0.25">
      <c r="A21" s="30">
        <v>45000.743401585649</v>
      </c>
      <c r="B21" s="31" t="s">
        <v>759</v>
      </c>
      <c r="C21" s="31" t="s">
        <v>760</v>
      </c>
      <c r="D21" s="32" t="s">
        <v>761</v>
      </c>
      <c r="E21" s="31" t="s">
        <v>62</v>
      </c>
      <c r="F21" s="31" t="s">
        <v>762</v>
      </c>
      <c r="G21" s="31" t="s">
        <v>64</v>
      </c>
      <c r="H21" s="31" t="s">
        <v>763</v>
      </c>
      <c r="I21" s="31" t="s">
        <v>764</v>
      </c>
      <c r="J21" s="31" t="s">
        <v>765</v>
      </c>
      <c r="K21" s="31" t="s">
        <v>759</v>
      </c>
      <c r="L21" s="31" t="s">
        <v>656</v>
      </c>
      <c r="M21" s="31" t="s">
        <v>440</v>
      </c>
      <c r="N21" s="31">
        <v>0</v>
      </c>
      <c r="O21" s="31" t="s">
        <v>69</v>
      </c>
      <c r="P21" s="31">
        <v>4</v>
      </c>
      <c r="Q21" s="31">
        <v>3</v>
      </c>
      <c r="R21" s="31">
        <v>10</v>
      </c>
      <c r="S21" s="33"/>
      <c r="T21" s="31" t="s">
        <v>70</v>
      </c>
      <c r="U21" s="31" t="s">
        <v>71</v>
      </c>
      <c r="V21" s="8" t="s">
        <v>145</v>
      </c>
      <c r="W21" s="35">
        <f>IF('CRUDO MARTES'!W44="Si",$N21,)</f>
        <v>0</v>
      </c>
      <c r="X21" s="35">
        <f>IF('CRUDO MARTES'!X44="Si",$N21,)</f>
        <v>0</v>
      </c>
      <c r="Y21" s="35">
        <f>IF('CRUDO MARTES'!Y44="Si",$N21,)</f>
        <v>0</v>
      </c>
      <c r="Z21" s="35">
        <f>IF('CRUDO MARTES'!Z44="Si",$N21,)</f>
        <v>0</v>
      </c>
      <c r="AA21" s="35"/>
      <c r="AB21" s="35">
        <f>IF('CRUDO MARTES'!AA44="Si",$N21,)</f>
        <v>0</v>
      </c>
      <c r="AC21" s="35"/>
      <c r="AD21" s="35">
        <f>IF('CRUDO MARTES'!AB44="Si",$N21,)</f>
        <v>0</v>
      </c>
      <c r="AE21" s="35"/>
      <c r="AF21" s="35">
        <f>IF('CRUDO MARTES'!AC44="Si",$N21,)</f>
        <v>0</v>
      </c>
      <c r="AG21" s="35"/>
      <c r="AH21" s="35">
        <f>IF('CRUDO MARTES'!AD44="Si",$N21,)</f>
        <v>0</v>
      </c>
      <c r="AI21" s="35"/>
      <c r="AJ21" s="35">
        <f>IF('CRUDO MARTES'!AE44="Si",$N21,)</f>
        <v>0</v>
      </c>
      <c r="AK21" s="35"/>
      <c r="AL21" s="35">
        <f>IF('CRUDO MARTES'!AF44="Si",$N21,)</f>
        <v>0</v>
      </c>
      <c r="AM21" s="35"/>
      <c r="AN21" s="35">
        <f>IF('CRUDO MARTES'!AG44="Si",$N21,)</f>
        <v>0</v>
      </c>
      <c r="AO21" s="35"/>
      <c r="AP21" s="35">
        <f>IF('CRUDO MARTES'!AH44="Si",$N21,)</f>
        <v>0</v>
      </c>
      <c r="AQ21" s="35"/>
      <c r="AR21" s="35">
        <f>IF('CRUDO MARTES'!AI44="Si",$N21,)</f>
        <v>0</v>
      </c>
      <c r="AS21" s="35"/>
      <c r="AT21" s="35">
        <f>IF('CRUDO MARTES'!AJ44="Si",$N21,)</f>
        <v>0</v>
      </c>
      <c r="AU21" s="35"/>
      <c r="AV21" s="35">
        <f>IF('CRUDO MARTES'!AK44="Si",$N21,)</f>
        <v>0</v>
      </c>
      <c r="AW21" s="35">
        <f>IF('CRUDO MARTES'!AL44="Si",$N21,)</f>
        <v>0</v>
      </c>
      <c r="AX21" s="35">
        <f>IF('CRUDO MARTES'!AM44="Si",$N21,)</f>
        <v>0</v>
      </c>
      <c r="AY21" s="35">
        <f>IF('CRUDO MARTES'!AN44="Si",$N21,)</f>
        <v>0</v>
      </c>
      <c r="AZ21" s="35">
        <f>IF('CRUDO MARTES'!AO44="Si",$N21,)</f>
        <v>0</v>
      </c>
      <c r="BA21" s="35">
        <f>IF('CRUDO MARTES'!AP44="Si",$N21,)</f>
        <v>0</v>
      </c>
      <c r="BB21" s="35"/>
      <c r="BC21" s="35">
        <f>IF('CRUDO MARTES'!AQ44="Si",$N21,)</f>
        <v>0</v>
      </c>
      <c r="BD21" s="35"/>
      <c r="BE21" s="35">
        <f>IF('CRUDO MARTES'!AR44="Si",$N21,)</f>
        <v>0</v>
      </c>
      <c r="BF21" s="35"/>
      <c r="BG21" s="35">
        <f>IF('CRUDO MARTES'!AS44="Si",$N21,)</f>
        <v>0</v>
      </c>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row>
    <row r="22" spans="1:115" ht="17.25" customHeight="1" x14ac:dyDescent="0.25">
      <c r="A22" s="22">
        <v>45005.81125875</v>
      </c>
      <c r="B22" s="23" t="s">
        <v>768</v>
      </c>
      <c r="C22" s="23" t="s">
        <v>769</v>
      </c>
      <c r="D22" s="26" t="s">
        <v>770</v>
      </c>
      <c r="E22" s="23" t="s">
        <v>103</v>
      </c>
      <c r="F22" s="23" t="s">
        <v>384</v>
      </c>
      <c r="G22" s="23" t="s">
        <v>64</v>
      </c>
      <c r="H22" s="23" t="s">
        <v>774</v>
      </c>
      <c r="I22" s="23" t="s">
        <v>772</v>
      </c>
      <c r="J22" s="23" t="s">
        <v>775</v>
      </c>
      <c r="K22" s="23" t="s">
        <v>768</v>
      </c>
      <c r="L22" s="23" t="s">
        <v>656</v>
      </c>
      <c r="M22" s="23" t="s">
        <v>458</v>
      </c>
      <c r="N22" s="23">
        <v>38</v>
      </c>
      <c r="O22" s="23" t="s">
        <v>69</v>
      </c>
      <c r="P22" s="23">
        <v>3</v>
      </c>
      <c r="Q22" s="23">
        <v>4</v>
      </c>
      <c r="R22" s="23">
        <v>10</v>
      </c>
      <c r="S22" s="25"/>
      <c r="T22" s="23" t="s">
        <v>70</v>
      </c>
      <c r="U22" s="23" t="s">
        <v>70</v>
      </c>
      <c r="V22" s="26" t="s">
        <v>145</v>
      </c>
      <c r="W22" s="28">
        <v>0</v>
      </c>
      <c r="X22" s="27">
        <f>IF('CRUDO MARTES'!X45="Si",$N22,)</f>
        <v>38</v>
      </c>
      <c r="Y22" s="28">
        <v>0</v>
      </c>
      <c r="Z22" s="27">
        <f>IF('CRUDO MARTES'!Z45="Si",$N22,)</f>
        <v>38</v>
      </c>
      <c r="AA22" s="28" t="s">
        <v>1233</v>
      </c>
      <c r="AB22" s="28">
        <v>0</v>
      </c>
      <c r="AC22" s="28"/>
      <c r="AD22" s="28">
        <v>0</v>
      </c>
      <c r="AE22" s="28"/>
      <c r="AF22" s="28">
        <v>0</v>
      </c>
      <c r="AG22" s="28"/>
      <c r="AH22" s="27">
        <f>IF('CRUDO MARTES'!AD45="Si",$N22,)</f>
        <v>0</v>
      </c>
      <c r="AI22" s="27"/>
      <c r="AJ22" s="27">
        <f>IF('CRUDO MARTES'!AE45="Si",$N22,)</f>
        <v>0</v>
      </c>
      <c r="AK22" s="27"/>
      <c r="AL22" s="28">
        <v>0</v>
      </c>
      <c r="AM22" s="28"/>
      <c r="AN22" s="28">
        <v>0</v>
      </c>
      <c r="AO22" s="28"/>
      <c r="AP22" s="28">
        <v>0</v>
      </c>
      <c r="AQ22" s="27"/>
      <c r="AR22" s="27">
        <f>IF('CRUDO MARTES'!AI45="Si",$N22,)</f>
        <v>0</v>
      </c>
      <c r="AS22" s="27"/>
      <c r="AT22" s="27">
        <f>IF('CRUDO MARTES'!AJ45="Si",$N22,)</f>
        <v>0</v>
      </c>
      <c r="AU22" s="28"/>
      <c r="AV22" s="28">
        <v>0</v>
      </c>
      <c r="AW22" s="28">
        <v>0</v>
      </c>
      <c r="AX22" s="28">
        <v>0</v>
      </c>
      <c r="AY22" s="27">
        <f>IF('CRUDO MARTES'!AN45="Si",$N22,)</f>
        <v>0</v>
      </c>
      <c r="AZ22" s="27">
        <f>IF('CRUDO MARTES'!AO45="Si",$N22,)</f>
        <v>0</v>
      </c>
      <c r="BA22" s="28">
        <v>0</v>
      </c>
      <c r="BB22" s="28"/>
      <c r="BC22" s="28">
        <v>0</v>
      </c>
      <c r="BD22" s="27"/>
      <c r="BE22" s="27">
        <f>IF('CRUDO MARTES'!AR45="Si",$N22,)</f>
        <v>38</v>
      </c>
      <c r="BF22" s="28" t="s">
        <v>1235</v>
      </c>
      <c r="BG22" s="27">
        <f>IF('CRUDO MARTES'!AS45="Si",$N22,)</f>
        <v>0</v>
      </c>
      <c r="BH22" s="25"/>
      <c r="BI22" s="25"/>
      <c r="BJ22" s="23" t="s">
        <v>1242</v>
      </c>
      <c r="BK22" s="23">
        <v>1</v>
      </c>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row>
    <row r="23" spans="1:115" ht="13.2" hidden="1" x14ac:dyDescent="0.25">
      <c r="A23" s="30">
        <v>45005.80737436343</v>
      </c>
      <c r="B23" s="31" t="s">
        <v>768</v>
      </c>
      <c r="C23" s="31" t="s">
        <v>769</v>
      </c>
      <c r="D23" s="8" t="s">
        <v>770</v>
      </c>
      <c r="E23" s="31" t="s">
        <v>149</v>
      </c>
      <c r="F23" s="31" t="s">
        <v>205</v>
      </c>
      <c r="G23" s="31" t="s">
        <v>64</v>
      </c>
      <c r="H23" s="31" t="s">
        <v>771</v>
      </c>
      <c r="I23" s="31" t="s">
        <v>772</v>
      </c>
      <c r="J23" s="31" t="s">
        <v>773</v>
      </c>
      <c r="K23" s="31" t="s">
        <v>768</v>
      </c>
      <c r="L23" s="31" t="s">
        <v>656</v>
      </c>
      <c r="M23" s="31" t="s">
        <v>458</v>
      </c>
      <c r="N23" s="31">
        <v>0</v>
      </c>
      <c r="O23" s="31" t="s">
        <v>69</v>
      </c>
      <c r="P23" s="31">
        <v>3</v>
      </c>
      <c r="Q23" s="31">
        <v>4</v>
      </c>
      <c r="R23" s="31">
        <v>10</v>
      </c>
      <c r="S23" s="33"/>
      <c r="T23" s="31" t="s">
        <v>70</v>
      </c>
      <c r="U23" s="31" t="s">
        <v>70</v>
      </c>
      <c r="V23" s="8" t="s">
        <v>145</v>
      </c>
      <c r="W23" s="34">
        <v>0</v>
      </c>
      <c r="X23" s="35">
        <f>IF('CRUDO MARTES'!X46="Si",$N23,)</f>
        <v>0</v>
      </c>
      <c r="Y23" s="35">
        <f>IF('CRUDO MARTES'!Y46="Si",$N23,)</f>
        <v>0</v>
      </c>
      <c r="Z23" s="35">
        <f>IF('CRUDO MARTES'!Z46="Si",$N23,)</f>
        <v>0</v>
      </c>
      <c r="AA23" s="35"/>
      <c r="AB23" s="35">
        <f>IF('CRUDO MARTES'!AA46="Si",$N23,)</f>
        <v>0</v>
      </c>
      <c r="AC23" s="35"/>
      <c r="AD23" s="35">
        <f>IF('CRUDO MARTES'!AB46="Si",$N23,)</f>
        <v>0</v>
      </c>
      <c r="AE23" s="35"/>
      <c r="AF23" s="35">
        <f>IF('CRUDO MARTES'!AC46="Si",$N23,)</f>
        <v>0</v>
      </c>
      <c r="AG23" s="35"/>
      <c r="AH23" s="35">
        <f>IF('CRUDO MARTES'!AD46="Si",$N23,)</f>
        <v>0</v>
      </c>
      <c r="AI23" s="35"/>
      <c r="AJ23" s="35">
        <f>IF('CRUDO MARTES'!AE46="Si",$N23,)</f>
        <v>0</v>
      </c>
      <c r="AK23" s="35"/>
      <c r="AL23" s="35">
        <f>IF('CRUDO MARTES'!AF46="Si",$N23,)</f>
        <v>0</v>
      </c>
      <c r="AM23" s="35"/>
      <c r="AN23" s="35">
        <f>IF('CRUDO MARTES'!AG46="Si",$N23,)</f>
        <v>0</v>
      </c>
      <c r="AO23" s="35"/>
      <c r="AP23" s="35">
        <f>IF('CRUDO MARTES'!AH46="Si",$N23,)</f>
        <v>0</v>
      </c>
      <c r="AQ23" s="35"/>
      <c r="AR23" s="35">
        <f>IF('CRUDO MARTES'!AI46="Si",$N23,)</f>
        <v>0</v>
      </c>
      <c r="AS23" s="35"/>
      <c r="AT23" s="35">
        <f>IF('CRUDO MARTES'!AJ46="Si",$N23,)</f>
        <v>0</v>
      </c>
      <c r="AU23" s="35"/>
      <c r="AV23" s="35">
        <f>IF('CRUDO MARTES'!AK46="Si",$N23,)</f>
        <v>0</v>
      </c>
      <c r="AW23" s="35">
        <f>IF('CRUDO MARTES'!AL46="Si",$N23,)</f>
        <v>0</v>
      </c>
      <c r="AX23" s="35">
        <f>IF('CRUDO MARTES'!AM46="Si",$N23,)</f>
        <v>0</v>
      </c>
      <c r="AY23" s="35">
        <f>IF('CRUDO MARTES'!AN46="Si",$N23,)</f>
        <v>0</v>
      </c>
      <c r="AZ23" s="35">
        <f>IF('CRUDO MARTES'!AO46="Si",$N23,)</f>
        <v>0</v>
      </c>
      <c r="BA23" s="35">
        <f>IF('CRUDO MARTES'!AP46="Si",$N23,)</f>
        <v>0</v>
      </c>
      <c r="BB23" s="35"/>
      <c r="BC23" s="35">
        <f>IF('CRUDO MARTES'!AQ46="Si",$N23,)</f>
        <v>0</v>
      </c>
      <c r="BD23" s="35"/>
      <c r="BE23" s="35">
        <f>IF('CRUDO MARTES'!AR46="Si",$N23,)</f>
        <v>0</v>
      </c>
      <c r="BF23" s="35"/>
      <c r="BG23" s="35">
        <f>IF('CRUDO MARTES'!AS46="Si",$N23,)</f>
        <v>0</v>
      </c>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row>
    <row r="24" spans="1:115" ht="34.5" hidden="1" customHeight="1" x14ac:dyDescent="0.25">
      <c r="A24" s="30">
        <v>45005.500209340273</v>
      </c>
      <c r="B24" s="31" t="s">
        <v>796</v>
      </c>
      <c r="C24" s="31" t="s">
        <v>797</v>
      </c>
      <c r="D24" s="36" t="s">
        <v>798</v>
      </c>
      <c r="E24" s="31" t="s">
        <v>62</v>
      </c>
      <c r="F24" s="31" t="s">
        <v>803</v>
      </c>
      <c r="G24" s="31" t="s">
        <v>64</v>
      </c>
      <c r="H24" s="31" t="s">
        <v>804</v>
      </c>
      <c r="I24" s="31" t="s">
        <v>805</v>
      </c>
      <c r="J24" s="31" t="s">
        <v>801</v>
      </c>
      <c r="K24" s="31" t="s">
        <v>796</v>
      </c>
      <c r="L24" s="31" t="s">
        <v>656</v>
      </c>
      <c r="M24" s="31" t="s">
        <v>490</v>
      </c>
      <c r="N24" s="31">
        <v>0</v>
      </c>
      <c r="O24" s="31" t="s">
        <v>69</v>
      </c>
      <c r="P24" s="31">
        <v>1</v>
      </c>
      <c r="Q24" s="31">
        <v>3</v>
      </c>
      <c r="R24" s="31">
        <v>20</v>
      </c>
      <c r="S24" s="33"/>
      <c r="T24" s="31" t="s">
        <v>70</v>
      </c>
      <c r="U24" s="31" t="s">
        <v>71</v>
      </c>
      <c r="V24" s="8" t="s">
        <v>145</v>
      </c>
      <c r="W24" s="34">
        <v>0</v>
      </c>
      <c r="X24" s="35">
        <f>IF('CRUDO MARTES'!X50="Si",$N24,)</f>
        <v>0</v>
      </c>
      <c r="Y24" s="35">
        <f>IF('CRUDO MARTES'!Y50="Si",$N24,)</f>
        <v>0</v>
      </c>
      <c r="Z24" s="35">
        <f>IF('CRUDO MARTES'!Z50="Si",$N24,)</f>
        <v>0</v>
      </c>
      <c r="AA24" s="35"/>
      <c r="AB24" s="35">
        <f>IF('CRUDO MARTES'!AA50="Si",$N24,)</f>
        <v>0</v>
      </c>
      <c r="AC24" s="35"/>
      <c r="AD24" s="35">
        <f>IF('CRUDO MARTES'!AB50="Si",$N24,)</f>
        <v>0</v>
      </c>
      <c r="AE24" s="35"/>
      <c r="AF24" s="35">
        <f>IF('CRUDO MARTES'!AC50="Si",$N24,)</f>
        <v>0</v>
      </c>
      <c r="AG24" s="35"/>
      <c r="AH24" s="35">
        <f>IF('CRUDO MARTES'!AD50="Si",$N24,)</f>
        <v>0</v>
      </c>
      <c r="AI24" s="35"/>
      <c r="AJ24" s="35">
        <f>IF('CRUDO MARTES'!AE50="Si",$N24,)</f>
        <v>0</v>
      </c>
      <c r="AK24" s="35"/>
      <c r="AL24" s="35">
        <f>IF('CRUDO MARTES'!AF50="Si",$N24,)</f>
        <v>0</v>
      </c>
      <c r="AM24" s="35"/>
      <c r="AN24" s="35">
        <f>IF('CRUDO MARTES'!AG50="Si",$N24,)</f>
        <v>0</v>
      </c>
      <c r="AO24" s="35"/>
      <c r="AP24" s="35">
        <f>IF('CRUDO MARTES'!AH50="Si",$N24,)</f>
        <v>0</v>
      </c>
      <c r="AQ24" s="35"/>
      <c r="AR24" s="35">
        <f>IF('CRUDO MARTES'!AI50="Si",$N24,)</f>
        <v>0</v>
      </c>
      <c r="AS24" s="35"/>
      <c r="AT24" s="35">
        <f>IF('CRUDO MARTES'!AJ50="Si",$N24,)</f>
        <v>0</v>
      </c>
      <c r="AU24" s="35"/>
      <c r="AV24" s="35">
        <f>IF('CRUDO MARTES'!AK50="Si",$N24,)</f>
        <v>0</v>
      </c>
      <c r="AW24" s="35">
        <f>IF('CRUDO MARTES'!AL50="Si",$N24,)</f>
        <v>0</v>
      </c>
      <c r="AX24" s="35">
        <f>IF('CRUDO MARTES'!AM50="Si",$N24,)</f>
        <v>0</v>
      </c>
      <c r="AY24" s="35">
        <f>IF('CRUDO MARTES'!AN50="Si",$N24,)</f>
        <v>0</v>
      </c>
      <c r="AZ24" s="35">
        <f>IF('CRUDO MARTES'!AO50="Si",$N24,)</f>
        <v>0</v>
      </c>
      <c r="BA24" s="35">
        <f>IF('CRUDO MARTES'!AP50="Si",$N24,)</f>
        <v>0</v>
      </c>
      <c r="BB24" s="35"/>
      <c r="BC24" s="35">
        <f>IF('CRUDO MARTES'!AQ50="Si",$N24,)</f>
        <v>0</v>
      </c>
      <c r="BD24" s="35"/>
      <c r="BE24" s="35">
        <f>IF('CRUDO MARTES'!AR50="Si",$N24,)</f>
        <v>0</v>
      </c>
      <c r="BF24" s="35"/>
      <c r="BG24" s="35">
        <f>IF('CRUDO MARTES'!AS50="Si",$N24,)</f>
        <v>0</v>
      </c>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row>
    <row r="25" spans="1:115" ht="13.2" x14ac:dyDescent="0.25">
      <c r="A25" s="22">
        <v>45005.412433206016</v>
      </c>
      <c r="B25" s="23" t="s">
        <v>796</v>
      </c>
      <c r="C25" s="23" t="s">
        <v>797</v>
      </c>
      <c r="D25" s="24" t="s">
        <v>798</v>
      </c>
      <c r="E25" s="23" t="s">
        <v>149</v>
      </c>
      <c r="F25" s="23" t="s">
        <v>799</v>
      </c>
      <c r="G25" s="23" t="s">
        <v>64</v>
      </c>
      <c r="H25" s="23" t="s">
        <v>800</v>
      </c>
      <c r="I25" s="23" t="s">
        <v>801</v>
      </c>
      <c r="J25" s="23" t="s">
        <v>802</v>
      </c>
      <c r="K25" s="23" t="s">
        <v>796</v>
      </c>
      <c r="L25" s="23" t="s">
        <v>656</v>
      </c>
      <c r="M25" s="23" t="s">
        <v>490</v>
      </c>
      <c r="N25" s="23">
        <v>35</v>
      </c>
      <c r="O25" s="23" t="s">
        <v>69</v>
      </c>
      <c r="P25" s="23">
        <v>1</v>
      </c>
      <c r="Q25" s="23">
        <v>3</v>
      </c>
      <c r="R25" s="23">
        <v>20</v>
      </c>
      <c r="S25" s="25"/>
      <c r="T25" s="23" t="s">
        <v>70</v>
      </c>
      <c r="U25" s="23" t="s">
        <v>71</v>
      </c>
      <c r="V25" s="26" t="s">
        <v>145</v>
      </c>
      <c r="W25" s="28">
        <v>0</v>
      </c>
      <c r="X25" s="27">
        <f>IF('CRUDO MARTES'!X51="Si",$N25,)</f>
        <v>35</v>
      </c>
      <c r="Y25" s="27">
        <f>IF('CRUDO MARTES'!Y51="Si",$N25,)</f>
        <v>0</v>
      </c>
      <c r="Z25" s="28">
        <v>35</v>
      </c>
      <c r="AA25" s="28" t="s">
        <v>1227</v>
      </c>
      <c r="AB25" s="27">
        <f>IF('CRUDO MARTES'!AA51="Si",$N25,)</f>
        <v>0</v>
      </c>
      <c r="AC25" s="27"/>
      <c r="AD25" s="27">
        <f>IF('CRUDO MARTES'!AB51="Si",$N25,)</f>
        <v>0</v>
      </c>
      <c r="AE25" s="27"/>
      <c r="AF25" s="27">
        <f>IF('CRUDO MARTES'!AC51="Si",$N25,)</f>
        <v>0</v>
      </c>
      <c r="AG25" s="27"/>
      <c r="AH25" s="27">
        <f>IF('CRUDO MARTES'!AD51="Si",$N25,)</f>
        <v>0</v>
      </c>
      <c r="AI25" s="27"/>
      <c r="AJ25" s="27">
        <f>IF('CRUDO MARTES'!AE51="Si",$N25,)</f>
        <v>0</v>
      </c>
      <c r="AK25" s="27"/>
      <c r="AL25" s="27">
        <f>IF('CRUDO MARTES'!AF51="Si",$N25,)</f>
        <v>0</v>
      </c>
      <c r="AM25" s="27"/>
      <c r="AN25" s="28">
        <v>35</v>
      </c>
      <c r="AO25" s="28" t="s">
        <v>1243</v>
      </c>
      <c r="AP25" s="27">
        <f>IF('CRUDO MARTES'!AH51="Si",$N25,)</f>
        <v>0</v>
      </c>
      <c r="AQ25" s="27"/>
      <c r="AR25" s="27">
        <f>IF('CRUDO MARTES'!AI51="Si",$N25,)</f>
        <v>0</v>
      </c>
      <c r="AS25" s="27"/>
      <c r="AT25" s="27">
        <f>IF('CRUDO MARTES'!AJ51="Si",$N25,)</f>
        <v>0</v>
      </c>
      <c r="AU25" s="27"/>
      <c r="AV25" s="27">
        <f>IF('CRUDO MARTES'!AK51="Si",$N25,)</f>
        <v>0</v>
      </c>
      <c r="AW25" s="27">
        <f>IF('CRUDO MARTES'!AL51="Si",$N25,)</f>
        <v>0</v>
      </c>
      <c r="AX25" s="27">
        <f>IF('CRUDO MARTES'!AM51="Si",$N25,)</f>
        <v>0</v>
      </c>
      <c r="AY25" s="27">
        <f>IF('CRUDO MARTES'!AN51="Si",$N25,)</f>
        <v>0</v>
      </c>
      <c r="AZ25" s="27">
        <f>IF('CRUDO MARTES'!AO51="Si",$N25,)</f>
        <v>0</v>
      </c>
      <c r="BA25" s="27">
        <f>IF('CRUDO MARTES'!AP51="Si",$N25,)</f>
        <v>0</v>
      </c>
      <c r="BB25" s="27"/>
      <c r="BC25" s="27">
        <f>IF('CRUDO MARTES'!AQ51="Si",$N25,)</f>
        <v>0</v>
      </c>
      <c r="BD25" s="27"/>
      <c r="BE25" s="27">
        <f>IF('CRUDO MARTES'!AR51="Si",$N25,)</f>
        <v>0</v>
      </c>
      <c r="BF25" s="27"/>
      <c r="BG25" s="27">
        <f>IF('CRUDO MARTES'!AS51="Si",$N25,)</f>
        <v>0</v>
      </c>
      <c r="BH25" s="25"/>
      <c r="BI25" s="25"/>
      <c r="BJ25" s="23" t="s">
        <v>1231</v>
      </c>
      <c r="BK25" s="23">
        <v>1</v>
      </c>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row>
    <row r="26" spans="1:115" ht="13.2" x14ac:dyDescent="0.25">
      <c r="A26" s="22">
        <v>45005.879274895837</v>
      </c>
      <c r="B26" s="23" t="s">
        <v>828</v>
      </c>
      <c r="C26" s="23" t="s">
        <v>829</v>
      </c>
      <c r="D26" s="29" t="s">
        <v>830</v>
      </c>
      <c r="E26" s="23" t="s">
        <v>103</v>
      </c>
      <c r="F26" s="23" t="s">
        <v>384</v>
      </c>
      <c r="G26" s="23" t="s">
        <v>105</v>
      </c>
      <c r="H26" s="23" t="s">
        <v>831</v>
      </c>
      <c r="I26" s="23" t="s">
        <v>832</v>
      </c>
      <c r="J26" s="23" t="s">
        <v>833</v>
      </c>
      <c r="K26" s="23" t="s">
        <v>834</v>
      </c>
      <c r="L26" s="23" t="s">
        <v>656</v>
      </c>
      <c r="M26" s="23" t="s">
        <v>507</v>
      </c>
      <c r="N26" s="23">
        <v>35</v>
      </c>
      <c r="O26" s="23" t="s">
        <v>69</v>
      </c>
      <c r="P26" s="23">
        <v>5</v>
      </c>
      <c r="Q26" s="23">
        <v>5</v>
      </c>
      <c r="R26" s="23">
        <v>80</v>
      </c>
      <c r="S26" s="23" t="s">
        <v>835</v>
      </c>
      <c r="T26" s="23" t="s">
        <v>70</v>
      </c>
      <c r="U26" s="23" t="s">
        <v>70</v>
      </c>
      <c r="V26" s="26" t="s">
        <v>145</v>
      </c>
      <c r="W26" s="27">
        <f>IF('CRUDO MARTES'!W54="Si",$N26,)</f>
        <v>35</v>
      </c>
      <c r="X26" s="27">
        <f>IF('CRUDO MARTES'!X54="Si",$N26,)</f>
        <v>0</v>
      </c>
      <c r="Y26" s="27">
        <f>IF('CRUDO MARTES'!Y54="Si",$N26,)</f>
        <v>0</v>
      </c>
      <c r="Z26" s="27">
        <f>IF('CRUDO MARTES'!Z54="Si",$N26,)</f>
        <v>0</v>
      </c>
      <c r="AA26" s="27"/>
      <c r="AB26" s="28">
        <v>0</v>
      </c>
      <c r="AC26" s="28"/>
      <c r="AD26" s="28">
        <v>35</v>
      </c>
      <c r="AE26" s="28" t="s">
        <v>1233</v>
      </c>
      <c r="AF26" s="27">
        <f>IF('CRUDO MARTES'!AC54="Si",$N26,)</f>
        <v>35</v>
      </c>
      <c r="AG26" s="28" t="s">
        <v>1227</v>
      </c>
      <c r="AH26" s="27">
        <f>IF('CRUDO MARTES'!AD54="Si",$N26,)</f>
        <v>0</v>
      </c>
      <c r="AI26" s="27"/>
      <c r="AJ26" s="27">
        <f>IF('CRUDO MARTES'!AE54="Si",$N26,)</f>
        <v>0</v>
      </c>
      <c r="AK26" s="27"/>
      <c r="AL26" s="27">
        <f>IF('CRUDO MARTES'!AF54="Si",$N26,)</f>
        <v>0</v>
      </c>
      <c r="AM26" s="27"/>
      <c r="AN26" s="27">
        <f>IF('CRUDO MARTES'!AG54="Si",$N26,)</f>
        <v>0</v>
      </c>
      <c r="AO26" s="28"/>
      <c r="AP26" s="28">
        <v>0</v>
      </c>
      <c r="AQ26" s="27"/>
      <c r="AR26" s="27">
        <f>IF('CRUDO MARTES'!AI54="Si",$N26,)</f>
        <v>0</v>
      </c>
      <c r="AS26" s="27"/>
      <c r="AT26" s="27">
        <f>IF('CRUDO MARTES'!AJ54="Si",$N26,)</f>
        <v>0</v>
      </c>
      <c r="AU26" s="27"/>
      <c r="AV26" s="27">
        <f>IF('CRUDO MARTES'!AK54="Si",$N26,)</f>
        <v>0</v>
      </c>
      <c r="AW26" s="27">
        <f>IF('CRUDO MARTES'!AL54="Si",$N26,)</f>
        <v>0</v>
      </c>
      <c r="AX26" s="27">
        <f>IF('CRUDO MARTES'!AM54="Si",$N26,)</f>
        <v>0</v>
      </c>
      <c r="AY26" s="27">
        <f>IF('CRUDO MARTES'!AN54="Si",$N26,)</f>
        <v>35</v>
      </c>
      <c r="AZ26" s="27">
        <f>IF('CRUDO MARTES'!AO54="Si",$N26,)</f>
        <v>0</v>
      </c>
      <c r="BA26" s="27">
        <f>IF('CRUDO MARTES'!AP54="Si",$N26,)</f>
        <v>0</v>
      </c>
      <c r="BB26" s="27"/>
      <c r="BC26" s="27">
        <f>IF('CRUDO MARTES'!AQ54="Si",$N26,)</f>
        <v>0</v>
      </c>
      <c r="BD26" s="27"/>
      <c r="BE26" s="27">
        <f>IF('CRUDO MARTES'!AR54="Si",$N26,)</f>
        <v>0</v>
      </c>
      <c r="BF26" s="28"/>
      <c r="BG26" s="28">
        <v>0</v>
      </c>
      <c r="BH26" s="25"/>
      <c r="BI26" s="25"/>
      <c r="BJ26" s="23" t="s">
        <v>1237</v>
      </c>
      <c r="BK26" s="23">
        <v>1</v>
      </c>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row>
    <row r="27" spans="1:115" ht="13.2" x14ac:dyDescent="0.25">
      <c r="A27" s="22">
        <v>45006.469990937505</v>
      </c>
      <c r="B27" s="23" t="s">
        <v>828</v>
      </c>
      <c r="C27" s="23" t="s">
        <v>829</v>
      </c>
      <c r="D27" s="29" t="s">
        <v>830</v>
      </c>
      <c r="E27" s="23" t="s">
        <v>103</v>
      </c>
      <c r="F27" s="23" t="s">
        <v>384</v>
      </c>
      <c r="G27" s="23" t="s">
        <v>105</v>
      </c>
      <c r="H27" s="23" t="s">
        <v>836</v>
      </c>
      <c r="I27" s="23" t="s">
        <v>832</v>
      </c>
      <c r="J27" s="23" t="s">
        <v>837</v>
      </c>
      <c r="K27" s="23" t="s">
        <v>828</v>
      </c>
      <c r="L27" s="23" t="s">
        <v>656</v>
      </c>
      <c r="M27" s="23" t="s">
        <v>507</v>
      </c>
      <c r="N27" s="23">
        <v>35</v>
      </c>
      <c r="O27" s="23" t="s">
        <v>69</v>
      </c>
      <c r="P27" s="23">
        <v>5</v>
      </c>
      <c r="Q27" s="23">
        <v>5</v>
      </c>
      <c r="R27" s="23">
        <v>80</v>
      </c>
      <c r="S27" s="23" t="s">
        <v>835</v>
      </c>
      <c r="T27" s="23" t="s">
        <v>70</v>
      </c>
      <c r="U27" s="23" t="s">
        <v>70</v>
      </c>
      <c r="V27" s="26" t="s">
        <v>145</v>
      </c>
      <c r="W27" s="28">
        <v>0</v>
      </c>
      <c r="X27" s="27">
        <f>IF('CRUDO MARTES'!X55="Si",$N27,)</f>
        <v>35</v>
      </c>
      <c r="Y27" s="27">
        <f>IF('CRUDO MARTES'!Y55="Si",$N27,)</f>
        <v>0</v>
      </c>
      <c r="Z27" s="27">
        <f>IF('CRUDO MARTES'!Z55="Si",$N27,)</f>
        <v>35</v>
      </c>
      <c r="AA27" s="28" t="s">
        <v>1233</v>
      </c>
      <c r="AB27" s="27">
        <f>IF('CRUDO MARTES'!AA55="Si",$N27,)</f>
        <v>0</v>
      </c>
      <c r="AC27" s="27"/>
      <c r="AD27" s="28">
        <v>0</v>
      </c>
      <c r="AE27" s="28"/>
      <c r="AF27" s="27">
        <f>IF('CRUDO MARTES'!AC55="Si",$N27,)</f>
        <v>0</v>
      </c>
      <c r="AG27" s="27"/>
      <c r="AH27" s="28">
        <v>0</v>
      </c>
      <c r="AI27" s="28"/>
      <c r="AJ27" s="27">
        <f>IF('CRUDO MARTES'!AE55="Si",$N27,)</f>
        <v>0</v>
      </c>
      <c r="AK27" s="27"/>
      <c r="AL27" s="27">
        <f>IF('CRUDO MARTES'!AF55="Si",$N27,)</f>
        <v>0</v>
      </c>
      <c r="AM27" s="28"/>
      <c r="AN27" s="28">
        <v>0</v>
      </c>
      <c r="AO27" s="27"/>
      <c r="AP27" s="27">
        <f>IF('CRUDO MARTES'!AH55="Si",$N27,)</f>
        <v>0</v>
      </c>
      <c r="AQ27" s="27"/>
      <c r="AR27" s="27">
        <f>IF('CRUDO MARTES'!AI55="Si",$N27,)</f>
        <v>35</v>
      </c>
      <c r="AS27" s="28" t="s">
        <v>1228</v>
      </c>
      <c r="AT27" s="27">
        <f>IF('CRUDO MARTES'!AJ55="Si",$N27,)</f>
        <v>0</v>
      </c>
      <c r="AU27" s="28"/>
      <c r="AV27" s="28">
        <v>0</v>
      </c>
      <c r="AW27" s="27">
        <f>IF('CRUDO MARTES'!AL55="Si",$N27,)</f>
        <v>0</v>
      </c>
      <c r="AX27" s="27">
        <f>IF('CRUDO MARTES'!AM55="Si",$N27,)</f>
        <v>0</v>
      </c>
      <c r="AY27" s="28">
        <v>0</v>
      </c>
      <c r="AZ27" s="28">
        <v>0</v>
      </c>
      <c r="BA27" s="27">
        <f>IF('CRUDO MARTES'!AP55="Si",$N27,)</f>
        <v>0</v>
      </c>
      <c r="BB27" s="27"/>
      <c r="BC27" s="27">
        <f>IF('CRUDO MARTES'!AQ55="Si",$N27,)</f>
        <v>0</v>
      </c>
      <c r="BD27" s="28"/>
      <c r="BE27" s="28">
        <v>0</v>
      </c>
      <c r="BF27" s="28"/>
      <c r="BG27" s="28">
        <v>0</v>
      </c>
      <c r="BH27" s="25"/>
      <c r="BI27" s="25"/>
      <c r="BJ27" s="23" t="s">
        <v>1237</v>
      </c>
      <c r="BK27" s="23">
        <v>1</v>
      </c>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row>
    <row r="28" spans="1:115" ht="13.2" x14ac:dyDescent="0.25">
      <c r="A28" s="22">
        <v>45000.853107164352</v>
      </c>
      <c r="B28" s="23" t="s">
        <v>858</v>
      </c>
      <c r="C28" s="23" t="s">
        <v>859</v>
      </c>
      <c r="D28" s="29" t="s">
        <v>860</v>
      </c>
      <c r="E28" s="23" t="s">
        <v>103</v>
      </c>
      <c r="F28" s="23" t="s">
        <v>861</v>
      </c>
      <c r="G28" s="23" t="s">
        <v>105</v>
      </c>
      <c r="H28" s="23" t="s">
        <v>862</v>
      </c>
      <c r="I28" s="23" t="s">
        <v>863</v>
      </c>
      <c r="J28" s="23" t="s">
        <v>864</v>
      </c>
      <c r="K28" s="23" t="s">
        <v>858</v>
      </c>
      <c r="L28" s="23" t="s">
        <v>656</v>
      </c>
      <c r="M28" s="23" t="s">
        <v>530</v>
      </c>
      <c r="N28" s="23">
        <v>35</v>
      </c>
      <c r="O28" s="23" t="s">
        <v>69</v>
      </c>
      <c r="P28" s="23">
        <v>2</v>
      </c>
      <c r="Q28" s="23">
        <v>3</v>
      </c>
      <c r="R28" s="23">
        <v>80</v>
      </c>
      <c r="S28" s="23" t="s">
        <v>865</v>
      </c>
      <c r="T28" s="23" t="s">
        <v>70</v>
      </c>
      <c r="U28" s="23" t="s">
        <v>70</v>
      </c>
      <c r="V28" s="26" t="s">
        <v>145</v>
      </c>
      <c r="W28" s="28">
        <v>0</v>
      </c>
      <c r="X28" s="27">
        <f>IF('CRUDO MARTES'!X56="Si",$N28,)</f>
        <v>35</v>
      </c>
      <c r="Y28" s="27">
        <f>IF('CRUDO MARTES'!Y56="Si",$N28,)</f>
        <v>35</v>
      </c>
      <c r="Z28" s="27">
        <f>IF('CRUDO MARTES'!Z56="Si",$N28,)</f>
        <v>0</v>
      </c>
      <c r="AA28" s="27"/>
      <c r="AB28" s="27">
        <f>IF('CRUDO MARTES'!AA56="Si",$N28,)</f>
        <v>0</v>
      </c>
      <c r="AC28" s="27"/>
      <c r="AD28" s="27">
        <f>IF('CRUDO MARTES'!AB56="Si",$N28,)</f>
        <v>0</v>
      </c>
      <c r="AE28" s="27"/>
      <c r="AF28" s="27">
        <f>IF('CRUDO MARTES'!AC56="Si",$N28,)</f>
        <v>35</v>
      </c>
      <c r="AG28" s="28" t="s">
        <v>1227</v>
      </c>
      <c r="AH28" s="27">
        <f>IF('CRUDO MARTES'!AD56="Si",$N28,)</f>
        <v>0</v>
      </c>
      <c r="AI28" s="27"/>
      <c r="AJ28" s="27">
        <f>IF('CRUDO MARTES'!AG56="Si",$N28,)</f>
        <v>35</v>
      </c>
      <c r="AK28" s="28" t="s">
        <v>1233</v>
      </c>
      <c r="AL28" s="27">
        <f>IF('CRUDO MARTES'!AF56="Si",$N28,)</f>
        <v>0</v>
      </c>
      <c r="AM28" s="27"/>
      <c r="AN28" s="27">
        <f>IF('CRUDO MARTES'!AG56="Si",$N28,)</f>
        <v>35</v>
      </c>
      <c r="AO28" s="28" t="s">
        <v>1244</v>
      </c>
      <c r="AP28" s="27">
        <f>IF('CRUDO MARTES'!AH56="Si",$N28,)</f>
        <v>0</v>
      </c>
      <c r="AQ28" s="27"/>
      <c r="AR28" s="27">
        <f>IF('CRUDO MARTES'!AI56="Si",$N28,)</f>
        <v>0</v>
      </c>
      <c r="AS28" s="27"/>
      <c r="AT28" s="27">
        <f>IF('CRUDO MARTES'!AJ56="Si",$N28,)</f>
        <v>0</v>
      </c>
      <c r="AU28" s="27"/>
      <c r="AV28" s="27">
        <f>IF('CRUDO MARTES'!AK56="Si",$N28,)</f>
        <v>0</v>
      </c>
      <c r="AW28" s="27">
        <f>IF('CRUDO MARTES'!AL56="Si",$N28,)</f>
        <v>0</v>
      </c>
      <c r="AX28" s="27">
        <f>IF('CRUDO MARTES'!AM56="Si",$N28,)</f>
        <v>0</v>
      </c>
      <c r="AY28" s="27">
        <f>IF('CRUDO MARTES'!AN56="Si",$N28,)</f>
        <v>0</v>
      </c>
      <c r="AZ28" s="28">
        <v>0</v>
      </c>
      <c r="BA28" s="27">
        <f>IF('CRUDO MARTES'!AP56="Si",$N28,)</f>
        <v>0</v>
      </c>
      <c r="BB28" s="27"/>
      <c r="BC28" s="27">
        <f>IF('CRUDO MARTES'!AQ56="Si",$N28,)</f>
        <v>0</v>
      </c>
      <c r="BD28" s="28"/>
      <c r="BE28" s="28">
        <v>0</v>
      </c>
      <c r="BF28" s="27"/>
      <c r="BG28" s="27">
        <f>IF('CRUDO MARTES'!AS56="Si",$N28,)</f>
        <v>0</v>
      </c>
      <c r="BH28" s="23"/>
      <c r="BI28" s="23" t="s">
        <v>866</v>
      </c>
      <c r="BJ28" s="23" t="s">
        <v>1240</v>
      </c>
      <c r="BK28" s="23">
        <v>1</v>
      </c>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row>
    <row r="29" spans="1:115" ht="13.2" x14ac:dyDescent="0.25">
      <c r="A29" s="22">
        <v>45001.629127442131</v>
      </c>
      <c r="B29" s="23" t="s">
        <v>906</v>
      </c>
      <c r="C29" s="23" t="s">
        <v>912</v>
      </c>
      <c r="D29" s="29" t="s">
        <v>908</v>
      </c>
      <c r="E29" s="23" t="s">
        <v>103</v>
      </c>
      <c r="F29" s="23" t="s">
        <v>913</v>
      </c>
      <c r="G29" s="23" t="s">
        <v>64</v>
      </c>
      <c r="H29" s="23" t="s">
        <v>914</v>
      </c>
      <c r="I29" s="23" t="s">
        <v>915</v>
      </c>
      <c r="J29" s="25"/>
      <c r="K29" s="23" t="s">
        <v>906</v>
      </c>
      <c r="L29" s="23" t="s">
        <v>656</v>
      </c>
      <c r="M29" s="23" t="s">
        <v>552</v>
      </c>
      <c r="N29" s="23">
        <v>35</v>
      </c>
      <c r="O29" s="23" t="s">
        <v>69</v>
      </c>
      <c r="P29" s="23">
        <v>5</v>
      </c>
      <c r="Q29" s="23">
        <v>4</v>
      </c>
      <c r="R29" s="23">
        <v>2</v>
      </c>
      <c r="S29" s="25"/>
      <c r="T29" s="23" t="s">
        <v>70</v>
      </c>
      <c r="U29" s="23" t="s">
        <v>71</v>
      </c>
      <c r="V29" s="26" t="s">
        <v>145</v>
      </c>
      <c r="W29" s="27">
        <f>IF('CRUDO MARTES'!W58="Si",$N29,)</f>
        <v>35</v>
      </c>
      <c r="X29" s="27">
        <f>IF('CRUDO MARTES'!X58="Si",$N29,)</f>
        <v>0</v>
      </c>
      <c r="Y29" s="27">
        <f>IF('CRUDO MARTES'!Y58="Si",$N29,)</f>
        <v>0</v>
      </c>
      <c r="Z29" s="27">
        <f>IF('CRUDO MARTES'!Z58="Si",$N29,)</f>
        <v>0</v>
      </c>
      <c r="AA29" s="27"/>
      <c r="AB29" s="25"/>
      <c r="AC29" s="25"/>
      <c r="AD29" s="27">
        <f>IF('CRUDO MARTES'!AA58="Si",$N29,)</f>
        <v>35</v>
      </c>
      <c r="AE29" s="28" t="s">
        <v>1227</v>
      </c>
      <c r="AF29" s="27">
        <f>IF('CRUDO MARTES'!AC58="Si",$N29,)</f>
        <v>0</v>
      </c>
      <c r="AG29" s="27"/>
      <c r="AH29" s="27">
        <f>IF('CRUDO MARTES'!AD58="Si",$N29,)</f>
        <v>0</v>
      </c>
      <c r="AI29" s="27"/>
      <c r="AJ29" s="27">
        <f>IF('CRUDO MARTES'!AE58="Si",$N29,)</f>
        <v>0</v>
      </c>
      <c r="AK29" s="27"/>
      <c r="AL29" s="27">
        <f>IF('CRUDO MARTES'!AF58="Si",$N29,)</f>
        <v>0</v>
      </c>
      <c r="AM29" s="28"/>
      <c r="AN29" s="28">
        <v>35</v>
      </c>
      <c r="AO29" s="28" t="s">
        <v>1230</v>
      </c>
      <c r="AP29" s="28">
        <v>0</v>
      </c>
      <c r="AQ29" s="27"/>
      <c r="AR29" s="27">
        <f>IF('CRUDO MARTES'!AI58="Si",$N29,)</f>
        <v>0</v>
      </c>
      <c r="AS29" s="27"/>
      <c r="AT29" s="27">
        <f>IF('CRUDO MARTES'!AJ58="Si",$N29,)</f>
        <v>0</v>
      </c>
      <c r="AU29" s="27"/>
      <c r="AV29" s="27">
        <f>IF('CRUDO MARTES'!AK58="Si",$N29,)</f>
        <v>0</v>
      </c>
      <c r="AW29" s="27">
        <f>IF('CRUDO MARTES'!AL58="Si",$N29,)</f>
        <v>0</v>
      </c>
      <c r="AX29" s="28">
        <v>0</v>
      </c>
      <c r="AY29" s="27">
        <f>IF('CRUDO MARTES'!AN58="Si",$N29,)</f>
        <v>0</v>
      </c>
      <c r="AZ29" s="27">
        <f>IF('CRUDO MARTES'!AO58="Si",$N29,)</f>
        <v>0</v>
      </c>
      <c r="BA29" s="27">
        <f>IF('CRUDO MARTES'!AP58="Si",$N29,)</f>
        <v>0</v>
      </c>
      <c r="BB29" s="27"/>
      <c r="BC29" s="27">
        <f>IF('CRUDO MARTES'!AQ58="Si",$N29,)</f>
        <v>0</v>
      </c>
      <c r="BD29" s="27"/>
      <c r="BE29" s="27">
        <f>IF('CRUDO MARTES'!AR58="Si",$N29,)</f>
        <v>0</v>
      </c>
      <c r="BF29" s="27"/>
      <c r="BG29" s="27">
        <f>IF('CRUDO MARTES'!AS58="Si",$N29,)</f>
        <v>0</v>
      </c>
      <c r="BH29" s="25"/>
      <c r="BI29" s="25"/>
      <c r="BJ29" s="23" t="s">
        <v>1231</v>
      </c>
      <c r="BK29" s="23">
        <v>1</v>
      </c>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row>
    <row r="30" spans="1:115" ht="13.2" hidden="1" x14ac:dyDescent="0.25">
      <c r="A30" s="30">
        <v>45001.659661122685</v>
      </c>
      <c r="B30" s="31" t="s">
        <v>906</v>
      </c>
      <c r="C30" s="31" t="s">
        <v>916</v>
      </c>
      <c r="D30" s="32" t="s">
        <v>908</v>
      </c>
      <c r="E30" s="31" t="s">
        <v>103</v>
      </c>
      <c r="F30" s="31" t="s">
        <v>917</v>
      </c>
      <c r="G30" s="31" t="s">
        <v>64</v>
      </c>
      <c r="H30" s="31" t="s">
        <v>918</v>
      </c>
      <c r="I30" s="31" t="s">
        <v>911</v>
      </c>
      <c r="J30" s="31" t="s">
        <v>919</v>
      </c>
      <c r="K30" s="31" t="s">
        <v>906</v>
      </c>
      <c r="L30" s="31" t="s">
        <v>656</v>
      </c>
      <c r="M30" s="31" t="s">
        <v>556</v>
      </c>
      <c r="N30" s="31">
        <v>0</v>
      </c>
      <c r="O30" s="31" t="s">
        <v>69</v>
      </c>
      <c r="P30" s="31">
        <v>5</v>
      </c>
      <c r="Q30" s="31">
        <v>4</v>
      </c>
      <c r="R30" s="31">
        <v>2</v>
      </c>
      <c r="S30" s="33"/>
      <c r="T30" s="31" t="s">
        <v>70</v>
      </c>
      <c r="U30" s="31" t="s">
        <v>71</v>
      </c>
      <c r="V30" s="8" t="s">
        <v>145</v>
      </c>
      <c r="W30" s="35">
        <f>IF('CRUDO MARTES'!W59="Si",$N30,)</f>
        <v>0</v>
      </c>
      <c r="X30" s="35">
        <f>IF('CRUDO MARTES'!X59="Si",$N30,)</f>
        <v>0</v>
      </c>
      <c r="Y30" s="35">
        <f>IF('CRUDO MARTES'!Y59="Si",$N30,)</f>
        <v>0</v>
      </c>
      <c r="Z30" s="35">
        <f>IF('CRUDO MARTES'!Z59="Si",$N30,)</f>
        <v>0</v>
      </c>
      <c r="AA30" s="35"/>
      <c r="AB30" s="35">
        <f>IF('CRUDO MARTES'!AA59="Si",$N30,)</f>
        <v>0</v>
      </c>
      <c r="AC30" s="35"/>
      <c r="AD30" s="35">
        <f>IF('CRUDO MARTES'!AB59="Si",$N30,)</f>
        <v>0</v>
      </c>
      <c r="AE30" s="35"/>
      <c r="AF30" s="35">
        <f>IF('CRUDO MARTES'!AC59="Si",$N30,)</f>
        <v>0</v>
      </c>
      <c r="AG30" s="35"/>
      <c r="AH30" s="35">
        <f>IF('CRUDO MARTES'!AD59="Si",$N30,)</f>
        <v>0</v>
      </c>
      <c r="AI30" s="35"/>
      <c r="AJ30" s="35">
        <f>IF('CRUDO MARTES'!AE59="Si",$N30,)</f>
        <v>0</v>
      </c>
      <c r="AK30" s="35"/>
      <c r="AL30" s="35">
        <f>IF('CRUDO MARTES'!AF59="Si",$N30,)</f>
        <v>0</v>
      </c>
      <c r="AM30" s="35"/>
      <c r="AN30" s="35">
        <f>IF('CRUDO MARTES'!AG59="Si",$N30,)</f>
        <v>0</v>
      </c>
      <c r="AO30" s="35"/>
      <c r="AP30" s="35">
        <f>IF('CRUDO MARTES'!AH59="Si",$N30,)</f>
        <v>0</v>
      </c>
      <c r="AQ30" s="35"/>
      <c r="AR30" s="35">
        <f>IF('CRUDO MARTES'!AI59="Si",$N30,)</f>
        <v>0</v>
      </c>
      <c r="AS30" s="35"/>
      <c r="AT30" s="35">
        <f>IF('CRUDO MARTES'!AJ59="Si",$N30,)</f>
        <v>0</v>
      </c>
      <c r="AU30" s="35"/>
      <c r="AV30" s="35">
        <f>IF('CRUDO MARTES'!AK59="Si",$N30,)</f>
        <v>0</v>
      </c>
      <c r="AW30" s="35">
        <f>IF('CRUDO MARTES'!AL59="Si",$N30,)</f>
        <v>0</v>
      </c>
      <c r="AX30" s="35">
        <f>IF('CRUDO MARTES'!AM59="Si",$N30,)</f>
        <v>0</v>
      </c>
      <c r="AY30" s="35">
        <f>IF('CRUDO MARTES'!AN59="Si",$N30,)</f>
        <v>0</v>
      </c>
      <c r="AZ30" s="35">
        <f>IF('CRUDO MARTES'!AO59="Si",$N30,)</f>
        <v>0</v>
      </c>
      <c r="BA30" s="35">
        <f>IF('CRUDO MARTES'!AP59="Si",$N30,)</f>
        <v>0</v>
      </c>
      <c r="BB30" s="35"/>
      <c r="BC30" s="35">
        <f>IF('CRUDO MARTES'!AQ59="Si",$N30,)</f>
        <v>0</v>
      </c>
      <c r="BD30" s="35"/>
      <c r="BE30" s="35">
        <f>IF('CRUDO MARTES'!AR59="Si",$N30,)</f>
        <v>0</v>
      </c>
      <c r="BF30" s="35"/>
      <c r="BG30" s="35">
        <f>IF('CRUDO MARTES'!AS59="Si",$N30,)</f>
        <v>0</v>
      </c>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row>
    <row r="31" spans="1:115" ht="13.2" x14ac:dyDescent="0.25">
      <c r="A31" s="22">
        <v>45003.815387372684</v>
      </c>
      <c r="B31" s="23" t="s">
        <v>920</v>
      </c>
      <c r="C31" s="23" t="s">
        <v>921</v>
      </c>
      <c r="D31" s="29" t="s">
        <v>922</v>
      </c>
      <c r="E31" s="23" t="s">
        <v>91</v>
      </c>
      <c r="F31" s="23" t="s">
        <v>923</v>
      </c>
      <c r="G31" s="23" t="s">
        <v>105</v>
      </c>
      <c r="H31" s="23" t="s">
        <v>924</v>
      </c>
      <c r="I31" s="23" t="s">
        <v>925</v>
      </c>
      <c r="J31" s="23" t="s">
        <v>926</v>
      </c>
      <c r="K31" s="23" t="s">
        <v>920</v>
      </c>
      <c r="L31" s="23" t="s">
        <v>665</v>
      </c>
      <c r="M31" s="23" t="s">
        <v>558</v>
      </c>
      <c r="N31" s="23">
        <v>34</v>
      </c>
      <c r="O31" s="23" t="s">
        <v>927</v>
      </c>
      <c r="P31" s="23">
        <v>3</v>
      </c>
      <c r="Q31" s="23">
        <v>3</v>
      </c>
      <c r="R31" s="23">
        <v>88</v>
      </c>
      <c r="S31" s="23" t="s">
        <v>928</v>
      </c>
      <c r="T31" s="23" t="s">
        <v>71</v>
      </c>
      <c r="U31" s="23" t="s">
        <v>70</v>
      </c>
      <c r="V31" s="26" t="s">
        <v>145</v>
      </c>
      <c r="W31" s="27">
        <f>IF('CRUDO MARTES'!W60="Si",$N31,)</f>
        <v>0</v>
      </c>
      <c r="X31" s="27">
        <f>IF('CRUDO MARTES'!X60="Si",$N31,)</f>
        <v>0</v>
      </c>
      <c r="Y31" s="27">
        <f>IF('CRUDO MARTES'!Y60="Si",$N31,)</f>
        <v>34</v>
      </c>
      <c r="Z31" s="27">
        <f>IF('CRUDO MARTES'!Z60="Si",$N31,)</f>
        <v>0</v>
      </c>
      <c r="AA31" s="27"/>
      <c r="AB31" s="27">
        <f>IF('CRUDO MARTES'!AA60="Si",$N31,)</f>
        <v>0</v>
      </c>
      <c r="AC31" s="27"/>
      <c r="AD31" s="28">
        <v>0</v>
      </c>
      <c r="AE31" s="28"/>
      <c r="AF31" s="27">
        <f>IF('CRUDO MARTES'!AC60="Si",$N31,)</f>
        <v>34</v>
      </c>
      <c r="AG31" s="28" t="s">
        <v>1233</v>
      </c>
      <c r="AH31" s="27">
        <f>IF('CRUDO MARTES'!AD60="Si",$N31,)</f>
        <v>0</v>
      </c>
      <c r="AI31" s="27"/>
      <c r="AJ31" s="27">
        <f>IF('CRUDO MARTES'!AE60="Si",$N31,)</f>
        <v>0</v>
      </c>
      <c r="AK31" s="27"/>
      <c r="AL31" s="27">
        <f>IF('CRUDO MARTES'!AF60="Si",$N31,)</f>
        <v>0</v>
      </c>
      <c r="AM31" s="27"/>
      <c r="AN31" s="27">
        <f>IF('CRUDO MARTES'!AG60="Si",$N31,)</f>
        <v>0</v>
      </c>
      <c r="AO31" s="27"/>
      <c r="AP31" s="27">
        <f>IF('CRUDO MARTES'!AH60="Si",$N31,)</f>
        <v>0</v>
      </c>
      <c r="AQ31" s="27"/>
      <c r="AR31" s="27">
        <f>IF('CRUDO MARTES'!AI60="Si",$N31,)</f>
        <v>0</v>
      </c>
      <c r="AS31" s="27"/>
      <c r="AT31" s="28">
        <v>0</v>
      </c>
      <c r="AU31" s="27"/>
      <c r="AV31" s="27">
        <f>IF('CRUDO MARTES'!AK60="Si",$N31,)</f>
        <v>0</v>
      </c>
      <c r="AW31" s="27">
        <f>IF('CRUDO MARTES'!AL60="Si",$N31,)</f>
        <v>0</v>
      </c>
      <c r="AX31" s="27">
        <f>IF('CRUDO MARTES'!AM60="Si",$N31,)</f>
        <v>0</v>
      </c>
      <c r="AY31" s="27">
        <f>IF('CRUDO MARTES'!AN60="Si",$N31,)</f>
        <v>0</v>
      </c>
      <c r="AZ31" s="28">
        <v>0</v>
      </c>
      <c r="BA31" s="28">
        <v>0</v>
      </c>
      <c r="BB31" s="27"/>
      <c r="BC31" s="27">
        <f>IF('CRUDO MARTES'!AQ60="Si",$N31,)</f>
        <v>0</v>
      </c>
      <c r="BD31" s="27"/>
      <c r="BE31" s="27">
        <f>IF('CRUDO MARTES'!AR60="Si",$N31,)</f>
        <v>0</v>
      </c>
      <c r="BF31" s="28"/>
      <c r="BG31" s="28">
        <v>34</v>
      </c>
      <c r="BH31" s="23" t="s">
        <v>1235</v>
      </c>
      <c r="BI31" s="23" t="s">
        <v>929</v>
      </c>
      <c r="BJ31" s="23" t="s">
        <v>1229</v>
      </c>
      <c r="BK31" s="23">
        <v>1</v>
      </c>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row>
    <row r="32" spans="1:115" ht="13.2" x14ac:dyDescent="0.25">
      <c r="A32" s="22">
        <v>45005.590160740743</v>
      </c>
      <c r="B32" s="23" t="s">
        <v>930</v>
      </c>
      <c r="C32" s="23" t="s">
        <v>931</v>
      </c>
      <c r="D32" s="29" t="s">
        <v>932</v>
      </c>
      <c r="E32" s="23" t="s">
        <v>103</v>
      </c>
      <c r="F32" s="23" t="s">
        <v>384</v>
      </c>
      <c r="G32" s="23" t="s">
        <v>64</v>
      </c>
      <c r="H32" s="23" t="s">
        <v>933</v>
      </c>
      <c r="I32" s="23" t="s">
        <v>934</v>
      </c>
      <c r="J32" s="23" t="s">
        <v>935</v>
      </c>
      <c r="K32" s="23" t="s">
        <v>930</v>
      </c>
      <c r="L32" s="23" t="s">
        <v>656</v>
      </c>
      <c r="M32" s="23" t="s">
        <v>558</v>
      </c>
      <c r="N32" s="23">
        <v>35</v>
      </c>
      <c r="O32" s="23" t="s">
        <v>69</v>
      </c>
      <c r="P32" s="23">
        <v>5</v>
      </c>
      <c r="Q32" s="23">
        <v>5</v>
      </c>
      <c r="R32" s="23">
        <v>0</v>
      </c>
      <c r="S32" s="25"/>
      <c r="T32" s="23" t="s">
        <v>70</v>
      </c>
      <c r="U32" s="23" t="s">
        <v>70</v>
      </c>
      <c r="V32" s="26" t="s">
        <v>145</v>
      </c>
      <c r="W32" s="28">
        <v>0</v>
      </c>
      <c r="X32" s="27">
        <f>IF('CRUDO MARTES'!X61="Si",$N32,)</f>
        <v>0</v>
      </c>
      <c r="Y32" s="27">
        <f>IF('CRUDO MARTES'!Y61="Si",$N32,)</f>
        <v>35</v>
      </c>
      <c r="Z32" s="27">
        <f>IF('CRUDO MARTES'!Z61="Si",$N32,)</f>
        <v>0</v>
      </c>
      <c r="AA32" s="27"/>
      <c r="AB32" s="27">
        <f>IF('CRUDO MARTES'!AA61="Si",$N32,)</f>
        <v>0</v>
      </c>
      <c r="AC32" s="27"/>
      <c r="AD32" s="28">
        <v>0</v>
      </c>
      <c r="AE32" s="28"/>
      <c r="AF32" s="27">
        <f>IF('CRUDO MARTES'!AC61="Si",$N32,)</f>
        <v>0</v>
      </c>
      <c r="AG32" s="27"/>
      <c r="AH32" s="27">
        <f>IF('CRUDO MARTES'!AD61="Si",$N32,)</f>
        <v>0</v>
      </c>
      <c r="AI32" s="27"/>
      <c r="AJ32" s="27">
        <f>IF('CRUDO MARTES'!AE61="Si",$N32,)</f>
        <v>35</v>
      </c>
      <c r="AK32" s="28" t="s">
        <v>1233</v>
      </c>
      <c r="AL32" s="27">
        <f>IF('CRUDO MARTES'!AF61="Si",$N32,)</f>
        <v>0</v>
      </c>
      <c r="AM32" s="28"/>
      <c r="AN32" s="28">
        <v>0</v>
      </c>
      <c r="AO32" s="27"/>
      <c r="AP32" s="27">
        <f>IF('CRUDO MARTES'!AH61="Si",$N32,)</f>
        <v>0</v>
      </c>
      <c r="AQ32" s="27"/>
      <c r="AR32" s="27">
        <f>IF('CRUDO MARTES'!AI61="Si",$N32,)</f>
        <v>0</v>
      </c>
      <c r="AS32" s="27"/>
      <c r="AT32" s="27">
        <f>IF('CRUDO MARTES'!AJ61="Si",$N32,)</f>
        <v>0</v>
      </c>
      <c r="AU32" s="27"/>
      <c r="AV32" s="27">
        <f>IF('CRUDO MARTES'!AK61="Si",$N32,)</f>
        <v>0</v>
      </c>
      <c r="AW32" s="27">
        <f>IF('CRUDO MARTES'!AL61="Si",$N32,)</f>
        <v>0</v>
      </c>
      <c r="AX32" s="27">
        <f>IF('CRUDO MARTES'!AM61="Si",$N32,)</f>
        <v>0</v>
      </c>
      <c r="AY32" s="27">
        <f>IF('CRUDO MARTES'!AN61="Si",$N32,)</f>
        <v>0</v>
      </c>
      <c r="AZ32" s="27">
        <f>IF('CRUDO MARTES'!AO61="Si",$N32,)</f>
        <v>0</v>
      </c>
      <c r="BA32" s="27">
        <f>IF('CRUDO MARTES'!AP61="Si",$N32,)</f>
        <v>0</v>
      </c>
      <c r="BB32" s="28"/>
      <c r="BC32" s="28">
        <v>35</v>
      </c>
      <c r="BD32" s="28" t="s">
        <v>1235</v>
      </c>
      <c r="BE32" s="27">
        <f>IF('CRUDO MARTES'!AR61="Si",$N32,)</f>
        <v>0</v>
      </c>
      <c r="BF32" s="27"/>
      <c r="BG32" s="27">
        <f>IF('CRUDO MARTES'!AS61="Si",$N32,)</f>
        <v>0</v>
      </c>
      <c r="BH32" s="25"/>
      <c r="BI32" s="25"/>
      <c r="BJ32" s="23" t="s">
        <v>1245</v>
      </c>
      <c r="BK32" s="23">
        <v>1</v>
      </c>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row>
    <row r="33" spans="1:115" ht="13.2" x14ac:dyDescent="0.25">
      <c r="A33" s="22">
        <v>45003.708134085653</v>
      </c>
      <c r="B33" s="23" t="s">
        <v>936</v>
      </c>
      <c r="C33" s="23" t="s">
        <v>951</v>
      </c>
      <c r="D33" s="29" t="s">
        <v>952</v>
      </c>
      <c r="E33" s="23" t="s">
        <v>103</v>
      </c>
      <c r="F33" s="23" t="s">
        <v>384</v>
      </c>
      <c r="G33" s="23" t="s">
        <v>105</v>
      </c>
      <c r="H33" s="23" t="s">
        <v>939</v>
      </c>
      <c r="I33" s="23" t="s">
        <v>953</v>
      </c>
      <c r="J33" s="23" t="s">
        <v>954</v>
      </c>
      <c r="K33" s="23" t="s">
        <v>936</v>
      </c>
      <c r="L33" s="23" t="s">
        <v>656</v>
      </c>
      <c r="M33" s="23" t="s">
        <v>558</v>
      </c>
      <c r="N33" s="23">
        <v>30</v>
      </c>
      <c r="O33" s="23" t="s">
        <v>69</v>
      </c>
      <c r="P33" s="23">
        <v>1</v>
      </c>
      <c r="Q33" s="23">
        <v>4</v>
      </c>
      <c r="R33" s="23">
        <v>60</v>
      </c>
      <c r="S33" s="25"/>
      <c r="T33" s="23" t="s">
        <v>70</v>
      </c>
      <c r="U33" s="23" t="s">
        <v>71</v>
      </c>
      <c r="V33" s="26" t="s">
        <v>145</v>
      </c>
      <c r="W33" s="28">
        <v>0</v>
      </c>
      <c r="X33" s="27">
        <f>IF('CRUDO MARTES'!X63="Si",$N33,)</f>
        <v>30</v>
      </c>
      <c r="Y33" s="27">
        <f>IF('CRUDO MARTES'!Y63="Si",$N33,)</f>
        <v>0</v>
      </c>
      <c r="Z33" s="28">
        <v>0</v>
      </c>
      <c r="AA33" s="28"/>
      <c r="AB33" s="28">
        <v>30</v>
      </c>
      <c r="AC33" s="28"/>
      <c r="AD33" s="28">
        <v>0</v>
      </c>
      <c r="AE33" s="28"/>
      <c r="AF33" s="27">
        <f>IF('CRUDO MARTES'!AC63="Si",$N33,)</f>
        <v>0</v>
      </c>
      <c r="AG33" s="27"/>
      <c r="AH33" s="27">
        <f>IF('CRUDO MARTES'!AD63="Si",$N33,)</f>
        <v>0</v>
      </c>
      <c r="AI33" s="27"/>
      <c r="AJ33" s="27">
        <f>IF('CRUDO MARTES'!AE63="Si",$N33,)</f>
        <v>0</v>
      </c>
      <c r="AK33" s="27"/>
      <c r="AL33" s="28">
        <v>30</v>
      </c>
      <c r="AM33" s="28" t="s">
        <v>1238</v>
      </c>
      <c r="AN33" s="28">
        <v>0</v>
      </c>
      <c r="AO33" s="28"/>
      <c r="AP33" s="28">
        <v>0</v>
      </c>
      <c r="AQ33" s="27"/>
      <c r="AR33" s="27">
        <f>IF('CRUDO MARTES'!AI63="Si",$N33,)</f>
        <v>0</v>
      </c>
      <c r="AS33" s="27"/>
      <c r="AT33" s="27">
        <f>IF('CRUDO MARTES'!AJ63="Si",$N33,)</f>
        <v>0</v>
      </c>
      <c r="AU33" s="28"/>
      <c r="AV33" s="28">
        <v>0</v>
      </c>
      <c r="AW33" s="28">
        <v>0</v>
      </c>
      <c r="AX33" s="28">
        <v>0</v>
      </c>
      <c r="AY33" s="27">
        <f>IF('CRUDO MARTES'!AN63="Si",$N33,)</f>
        <v>0</v>
      </c>
      <c r="AZ33" s="27">
        <f>IF('CRUDO MARTES'!AO63="Si",$N33,)</f>
        <v>0</v>
      </c>
      <c r="BA33" s="28">
        <v>0</v>
      </c>
      <c r="BB33" s="28"/>
      <c r="BC33" s="28">
        <v>0</v>
      </c>
      <c r="BD33" s="27"/>
      <c r="BE33" s="27">
        <f>IF('CRUDO MARTES'!AR63="Si",$N33,)</f>
        <v>0</v>
      </c>
      <c r="BF33" s="27"/>
      <c r="BG33" s="27">
        <f>IF('CRUDO MARTES'!AS63="Si",$N33,)</f>
        <v>0</v>
      </c>
      <c r="BH33" s="23"/>
      <c r="BI33" s="23" t="s">
        <v>955</v>
      </c>
      <c r="BJ33" s="23" t="s">
        <v>1231</v>
      </c>
      <c r="BK33" s="23">
        <v>1</v>
      </c>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row>
    <row r="34" spans="1:115" ht="13.2" x14ac:dyDescent="0.25">
      <c r="A34" s="22">
        <v>45006.488201030093</v>
      </c>
      <c r="B34" s="23" t="s">
        <v>971</v>
      </c>
      <c r="C34" s="23" t="s">
        <v>972</v>
      </c>
      <c r="D34" s="24" t="s">
        <v>973</v>
      </c>
      <c r="E34" s="23" t="s">
        <v>103</v>
      </c>
      <c r="F34" s="23" t="s">
        <v>63</v>
      </c>
      <c r="G34" s="23" t="s">
        <v>64</v>
      </c>
      <c r="H34" s="23" t="s">
        <v>974</v>
      </c>
      <c r="I34" s="23" t="s">
        <v>975</v>
      </c>
      <c r="J34" s="23" t="s">
        <v>976</v>
      </c>
      <c r="K34" s="23" t="s">
        <v>971</v>
      </c>
      <c r="L34" s="23" t="s">
        <v>656</v>
      </c>
      <c r="M34" s="23" t="s">
        <v>579</v>
      </c>
      <c r="N34" s="23">
        <v>34</v>
      </c>
      <c r="O34" s="23" t="s">
        <v>69</v>
      </c>
      <c r="P34" s="23">
        <v>3</v>
      </c>
      <c r="Q34" s="23">
        <v>3</v>
      </c>
      <c r="R34" s="23">
        <v>10</v>
      </c>
      <c r="S34" s="25"/>
      <c r="T34" s="23" t="s">
        <v>70</v>
      </c>
      <c r="U34" s="23" t="s">
        <v>71</v>
      </c>
      <c r="V34" s="26" t="s">
        <v>145</v>
      </c>
      <c r="W34" s="27">
        <f>IF('CRUDO MARTES'!W64="Si",$N34,)</f>
        <v>34</v>
      </c>
      <c r="X34" s="27">
        <f>IF('CRUDO MARTES'!X64="Si",$N34,)</f>
        <v>0</v>
      </c>
      <c r="Y34" s="27">
        <f>IF('CRUDO MARTES'!Y64="Si",$N34,)</f>
        <v>0</v>
      </c>
      <c r="Z34" s="27">
        <f>IF('CRUDO MARTES'!Z64="Si",$N34,)</f>
        <v>0</v>
      </c>
      <c r="AA34" s="27"/>
      <c r="AB34" s="27">
        <f>IF('CRUDO MARTES'!AA64="Si",$N34,)</f>
        <v>0</v>
      </c>
      <c r="AC34" s="27"/>
      <c r="AD34" s="27">
        <f>IF('CRUDO MARTES'!AB64="Si",$N34,)</f>
        <v>34</v>
      </c>
      <c r="AE34" s="28" t="s">
        <v>1227</v>
      </c>
      <c r="AF34" s="27">
        <f>IF('CRUDO MARTES'!AC64="Si",$N34,)</f>
        <v>0</v>
      </c>
      <c r="AG34" s="27"/>
      <c r="AH34" s="27">
        <f>IF('CRUDO MARTES'!AD64="Si",$N34,)</f>
        <v>0</v>
      </c>
      <c r="AI34" s="27"/>
      <c r="AJ34" s="27">
        <f>IF('CRUDO MARTES'!AE64="Si",$N34,)</f>
        <v>0</v>
      </c>
      <c r="AK34" s="27"/>
      <c r="AL34" s="27">
        <f>IF('CRUDO MARTES'!AF64="Si",$N34,)</f>
        <v>0</v>
      </c>
      <c r="AM34" s="27"/>
      <c r="AN34" s="27">
        <f>IF('CRUDO MARTES'!AG64="Si",$N34,)</f>
        <v>0</v>
      </c>
      <c r="AO34" s="27"/>
      <c r="AP34" s="27">
        <f>IF('CRUDO MARTES'!AH64="Si",$N34,)</f>
        <v>0</v>
      </c>
      <c r="AQ34" s="28"/>
      <c r="AR34" s="28">
        <v>0</v>
      </c>
      <c r="AS34" s="28"/>
      <c r="AT34" s="27">
        <f>IF('CRUDO MARTES'!AJ64="Si",$N34,)</f>
        <v>0</v>
      </c>
      <c r="AU34" s="27"/>
      <c r="AV34" s="27">
        <f>IF('CRUDO MARTES'!AK64="Si",$N34,)</f>
        <v>0</v>
      </c>
      <c r="AW34" s="27">
        <f>IF('CRUDO MARTES'!AL64="Si",$N34,)</f>
        <v>0</v>
      </c>
      <c r="AX34" s="28">
        <v>0</v>
      </c>
      <c r="AY34" s="27">
        <f>IF('CRUDO MARTES'!AN64="Si",$N34,)</f>
        <v>0</v>
      </c>
      <c r="AZ34" s="27">
        <f>IF('CRUDO MARTES'!AO64="Si",$N34,)</f>
        <v>0</v>
      </c>
      <c r="BA34" s="28">
        <v>34</v>
      </c>
      <c r="BB34" s="28" t="s">
        <v>1239</v>
      </c>
      <c r="BC34" s="27">
        <f>IF('CRUDO MARTES'!AQ64="Si",$N34,)</f>
        <v>0</v>
      </c>
      <c r="BD34" s="27"/>
      <c r="BE34" s="27">
        <f>IF('CRUDO MARTES'!AR64="Si",$N34,)</f>
        <v>0</v>
      </c>
      <c r="BF34" s="27"/>
      <c r="BG34" s="27">
        <f>IF('CRUDO MARTES'!AS64="Si",$N34,)</f>
        <v>0</v>
      </c>
      <c r="BH34" s="25"/>
      <c r="BI34" s="25"/>
      <c r="BJ34" s="23" t="s">
        <v>1231</v>
      </c>
      <c r="BK34" s="23">
        <v>1</v>
      </c>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row>
    <row r="35" spans="1:115" ht="13.2" x14ac:dyDescent="0.25">
      <c r="A35" s="22">
        <v>45001.832031689817</v>
      </c>
      <c r="B35" s="23" t="s">
        <v>658</v>
      </c>
      <c r="C35" s="23" t="s">
        <v>996</v>
      </c>
      <c r="D35" s="24" t="s">
        <v>997</v>
      </c>
      <c r="E35" s="23" t="s">
        <v>604</v>
      </c>
      <c r="F35" s="23" t="s">
        <v>998</v>
      </c>
      <c r="G35" s="23" t="s">
        <v>64</v>
      </c>
      <c r="H35" s="23" t="s">
        <v>662</v>
      </c>
      <c r="I35" s="23" t="s">
        <v>999</v>
      </c>
      <c r="J35" s="25"/>
      <c r="K35" s="23" t="s">
        <v>664</v>
      </c>
      <c r="L35" s="23" t="s">
        <v>665</v>
      </c>
      <c r="M35" s="23" t="s">
        <v>600</v>
      </c>
      <c r="N35" s="23">
        <v>28</v>
      </c>
      <c r="O35" s="23" t="s">
        <v>69</v>
      </c>
      <c r="P35" s="23">
        <v>4</v>
      </c>
      <c r="Q35" s="23">
        <v>5</v>
      </c>
      <c r="R35" s="23">
        <v>40</v>
      </c>
      <c r="S35" s="23" t="s">
        <v>1000</v>
      </c>
      <c r="T35" s="23" t="s">
        <v>70</v>
      </c>
      <c r="U35" s="23" t="s">
        <v>71</v>
      </c>
      <c r="V35" s="26" t="s">
        <v>145</v>
      </c>
      <c r="W35" s="27">
        <f>IF('CRUDO MARTES'!W65="Si",$N35,)</f>
        <v>0</v>
      </c>
      <c r="X35" s="27">
        <f>IF('CRUDO MARTES'!X65="Si",$N35,)</f>
        <v>28</v>
      </c>
      <c r="Y35" s="27">
        <f>IF('CRUDO MARTES'!Y65="Si",$N35,)</f>
        <v>0</v>
      </c>
      <c r="Z35" s="28">
        <v>0</v>
      </c>
      <c r="AA35" s="28"/>
      <c r="AB35" s="27">
        <f>IF('CRUDO MARTES'!AA65="Si",$N35,)</f>
        <v>28</v>
      </c>
      <c r="AC35" s="28" t="s">
        <v>1227</v>
      </c>
      <c r="AD35" s="27">
        <f>IF('CRUDO MARTES'!AB65="Si",$N35,)</f>
        <v>0</v>
      </c>
      <c r="AE35" s="27"/>
      <c r="AF35" s="27">
        <f>IF('CRUDO MARTES'!AC65="Si",$N35,)</f>
        <v>0</v>
      </c>
      <c r="AG35" s="27"/>
      <c r="AH35" s="27">
        <f>IF('CRUDO MARTES'!AD65="Si",$N35,)</f>
        <v>0</v>
      </c>
      <c r="AI35" s="27"/>
      <c r="AJ35" s="27">
        <f>IF('CRUDO MARTES'!AE65="Si",$N35,)</f>
        <v>0</v>
      </c>
      <c r="AK35" s="27"/>
      <c r="AL35" s="28">
        <v>0</v>
      </c>
      <c r="AM35" s="27"/>
      <c r="AN35" s="27">
        <f>IF('CRUDO MARTES'!AG65="Si",$N35,)</f>
        <v>0</v>
      </c>
      <c r="AO35" s="27"/>
      <c r="AP35" s="27">
        <f>IF('CRUDO MARTES'!AH65="Si",$N35,)</f>
        <v>0</v>
      </c>
      <c r="AQ35" s="27"/>
      <c r="AR35" s="27">
        <f>IF('CRUDO MARTES'!AI65="Si",$N35,)</f>
        <v>0</v>
      </c>
      <c r="AS35" s="27"/>
      <c r="AT35" s="27">
        <f>IF('CRUDO MARTES'!AJ65="Si",$N35,)</f>
        <v>0</v>
      </c>
      <c r="AU35" s="27"/>
      <c r="AV35" s="27">
        <f>IF('CRUDO MARTES'!AK65="Si",$N35,)</f>
        <v>28</v>
      </c>
      <c r="AW35" s="28">
        <v>0</v>
      </c>
      <c r="AX35" s="27">
        <f>IF('CRUDO MARTES'!AM65="Si",$N35,)</f>
        <v>0</v>
      </c>
      <c r="AY35" s="27">
        <f>IF('CRUDO MARTES'!AN65="Si",$N35,)</f>
        <v>0</v>
      </c>
      <c r="AZ35" s="27">
        <f>IF('CRUDO MARTES'!AO65="Si",$N35,)</f>
        <v>0</v>
      </c>
      <c r="BA35" s="27">
        <f>IF('CRUDO MARTES'!AP65="Si",$N35,)</f>
        <v>0</v>
      </c>
      <c r="BB35" s="27"/>
      <c r="BC35" s="27">
        <f>IF('CRUDO MARTES'!AQ65="Si",$N35,)</f>
        <v>0</v>
      </c>
      <c r="BD35" s="27"/>
      <c r="BE35" s="27">
        <f>IF('CRUDO MARTES'!AR65="Si",$N35,)</f>
        <v>0</v>
      </c>
      <c r="BF35" s="27"/>
      <c r="BG35" s="27">
        <f>IF('CRUDO MARTES'!AS65="Si",$N35,)</f>
        <v>0</v>
      </c>
      <c r="BH35" s="23"/>
      <c r="BI35" s="23" t="s">
        <v>1000</v>
      </c>
      <c r="BJ35" s="23" t="s">
        <v>1231</v>
      </c>
      <c r="BK35" s="23">
        <v>1</v>
      </c>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row>
    <row r="36" spans="1:115" ht="13.2" x14ac:dyDescent="0.25">
      <c r="A36" s="22">
        <v>45000.747829861109</v>
      </c>
      <c r="B36" s="23" t="s">
        <v>1035</v>
      </c>
      <c r="C36" s="23" t="s">
        <v>1036</v>
      </c>
      <c r="D36" s="24" t="s">
        <v>1037</v>
      </c>
      <c r="E36" s="23" t="s">
        <v>103</v>
      </c>
      <c r="F36" s="23" t="s">
        <v>104</v>
      </c>
      <c r="G36" s="23" t="s">
        <v>64</v>
      </c>
      <c r="H36" s="23" t="s">
        <v>1038</v>
      </c>
      <c r="I36" s="23" t="s">
        <v>1039</v>
      </c>
      <c r="J36" s="23" t="s">
        <v>1040</v>
      </c>
      <c r="K36" s="23" t="s">
        <v>1035</v>
      </c>
      <c r="L36" s="23" t="s">
        <v>656</v>
      </c>
      <c r="M36" s="23" t="s">
        <v>639</v>
      </c>
      <c r="N36" s="23">
        <v>37</v>
      </c>
      <c r="O36" s="23" t="s">
        <v>69</v>
      </c>
      <c r="P36" s="23">
        <v>5</v>
      </c>
      <c r="Q36" s="23">
        <v>1</v>
      </c>
      <c r="R36" s="23">
        <v>20</v>
      </c>
      <c r="S36" s="25"/>
      <c r="T36" s="23" t="s">
        <v>70</v>
      </c>
      <c r="U36" s="23" t="s">
        <v>71</v>
      </c>
      <c r="V36" s="26" t="s">
        <v>145</v>
      </c>
      <c r="W36" s="28">
        <v>37</v>
      </c>
      <c r="X36" s="27">
        <f>IF('CRUDO MARTES'!X66="Si",$N36,)</f>
        <v>0</v>
      </c>
      <c r="Y36" s="27">
        <f>IF('CRUDO MARTES'!Y66="Si",$N36,)</f>
        <v>37</v>
      </c>
      <c r="Z36" s="27">
        <f>IF('CRUDO MARTES'!Z66="Si",$N36,)</f>
        <v>0</v>
      </c>
      <c r="AA36" s="27"/>
      <c r="AB36" s="27">
        <f>IF('CRUDO MARTES'!AA66="Si",$N36,)</f>
        <v>37</v>
      </c>
      <c r="AC36" s="28" t="s">
        <v>1233</v>
      </c>
      <c r="AD36" s="28">
        <v>0</v>
      </c>
      <c r="AE36" s="28"/>
      <c r="AF36" s="27">
        <f>IF('CRUDO MARTES'!AC66="Si",$N36,)</f>
        <v>37</v>
      </c>
      <c r="AG36" s="28" t="s">
        <v>1227</v>
      </c>
      <c r="AH36" s="27">
        <f>IF('CRUDO MARTES'!AD66="Si",$N36,)</f>
        <v>0</v>
      </c>
      <c r="AI36" s="27"/>
      <c r="AJ36" s="27">
        <f>IF('CRUDO MARTES'!AE66="Si",$N36,)</f>
        <v>0</v>
      </c>
      <c r="AK36" s="27"/>
      <c r="AL36" s="27">
        <f>IF('CRUDO MARTES'!AF66="Si",$N36,)</f>
        <v>0</v>
      </c>
      <c r="AM36" s="27"/>
      <c r="AN36" s="27">
        <f>IF('CRUDO MARTES'!AG66="Si",$N36,)</f>
        <v>0</v>
      </c>
      <c r="AO36" s="28"/>
      <c r="AP36" s="28">
        <v>0</v>
      </c>
      <c r="AQ36" s="27"/>
      <c r="AR36" s="27">
        <f>IF('CRUDO MARTES'!AI66="Si",$N36,)</f>
        <v>0</v>
      </c>
      <c r="AS36" s="27"/>
      <c r="AT36" s="27">
        <f>IF('CRUDO MARTES'!AJ66="Si",$N36,)</f>
        <v>0</v>
      </c>
      <c r="AU36" s="27"/>
      <c r="AV36" s="27">
        <f>IF('CRUDO MARTES'!AK66="Si",$N36,)</f>
        <v>0</v>
      </c>
      <c r="AW36" s="28">
        <v>0</v>
      </c>
      <c r="AX36" s="28">
        <v>0</v>
      </c>
      <c r="AY36" s="28">
        <v>0</v>
      </c>
      <c r="AZ36" s="27">
        <f>IF('CRUDO MARTES'!AO66="Si",$N36,)</f>
        <v>0</v>
      </c>
      <c r="BA36" s="27">
        <f>IF('CRUDO MARTES'!AP66="Si",$N36,)</f>
        <v>0</v>
      </c>
      <c r="BB36" s="27"/>
      <c r="BC36" s="27">
        <f>IF('CRUDO MARTES'!AQ66="Si",$N36,)</f>
        <v>0</v>
      </c>
      <c r="BD36" s="27"/>
      <c r="BE36" s="27">
        <f>IF('CRUDO MARTES'!AR66="Si",$N36,)</f>
        <v>0</v>
      </c>
      <c r="BF36" s="27"/>
      <c r="BG36" s="27">
        <f>IF('CRUDO MARTES'!AS66="Si",$N36,)</f>
        <v>0</v>
      </c>
      <c r="BH36" s="25"/>
      <c r="BI36" s="25"/>
      <c r="BJ36" s="23" t="s">
        <v>1231</v>
      </c>
      <c r="BK36" s="23">
        <v>1</v>
      </c>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row>
    <row r="37" spans="1:115" ht="13.2" hidden="1" x14ac:dyDescent="0.25">
      <c r="A37" s="30">
        <v>45001.494281053238</v>
      </c>
      <c r="B37" s="31" t="s">
        <v>1035</v>
      </c>
      <c r="C37" s="31" t="s">
        <v>1036</v>
      </c>
      <c r="D37" s="36" t="s">
        <v>1037</v>
      </c>
      <c r="E37" s="31" t="s">
        <v>149</v>
      </c>
      <c r="F37" s="31" t="s">
        <v>594</v>
      </c>
      <c r="G37" s="31" t="s">
        <v>64</v>
      </c>
      <c r="H37" s="31" t="s">
        <v>1038</v>
      </c>
      <c r="I37" s="31" t="s">
        <v>1043</v>
      </c>
      <c r="J37" s="31" t="s">
        <v>1040</v>
      </c>
      <c r="K37" s="31" t="s">
        <v>1035</v>
      </c>
      <c r="L37" s="31" t="s">
        <v>656</v>
      </c>
      <c r="M37" s="31" t="s">
        <v>639</v>
      </c>
      <c r="N37" s="31">
        <v>0</v>
      </c>
      <c r="O37" s="31" t="s">
        <v>69</v>
      </c>
      <c r="P37" s="31">
        <v>5</v>
      </c>
      <c r="Q37" s="31">
        <v>1</v>
      </c>
      <c r="R37" s="31">
        <v>20</v>
      </c>
      <c r="S37" s="33"/>
      <c r="T37" s="31" t="s">
        <v>70</v>
      </c>
      <c r="U37" s="31" t="s">
        <v>71</v>
      </c>
      <c r="V37" s="8" t="s">
        <v>145</v>
      </c>
      <c r="W37" s="35">
        <f>IF('CRUDO MARTES'!W67="Si",$N37,)</f>
        <v>0</v>
      </c>
      <c r="X37" s="35">
        <f>IF('CRUDO MARTES'!X67="Si",$N37,)</f>
        <v>0</v>
      </c>
      <c r="Y37" s="35">
        <f>IF('CRUDO MARTES'!Y67="Si",$N37,)</f>
        <v>0</v>
      </c>
      <c r="Z37" s="35">
        <f>IF('CRUDO MARTES'!Z67="Si",$N37,)</f>
        <v>0</v>
      </c>
      <c r="AA37" s="35"/>
      <c r="AB37" s="35">
        <f>IF('CRUDO MARTES'!AA67="Si",$N37,)</f>
        <v>0</v>
      </c>
      <c r="AC37" s="35"/>
      <c r="AD37" s="35">
        <f>IF('CRUDO MARTES'!AB67="Si",$N37,)</f>
        <v>0</v>
      </c>
      <c r="AE37" s="35"/>
      <c r="AF37" s="35">
        <f>IF('CRUDO MARTES'!AC67="Si",$N37,)</f>
        <v>0</v>
      </c>
      <c r="AG37" s="35"/>
      <c r="AH37" s="35">
        <f>IF('CRUDO MARTES'!AD67="Si",$N37,)</f>
        <v>0</v>
      </c>
      <c r="AI37" s="35"/>
      <c r="AJ37" s="35">
        <f>IF('CRUDO MARTES'!AE67="Si",$N37,)</f>
        <v>0</v>
      </c>
      <c r="AK37" s="35"/>
      <c r="AL37" s="35">
        <f>IF('CRUDO MARTES'!AF67="Si",$N37,)</f>
        <v>0</v>
      </c>
      <c r="AM37" s="35"/>
      <c r="AN37" s="35">
        <f>IF('CRUDO MARTES'!AG67="Si",$N37,)</f>
        <v>0</v>
      </c>
      <c r="AO37" s="35"/>
      <c r="AP37" s="35">
        <f>IF('CRUDO MARTES'!AH67="Si",$N37,)</f>
        <v>0</v>
      </c>
      <c r="AQ37" s="35"/>
      <c r="AR37" s="35">
        <f>IF('CRUDO MARTES'!AI67="Si",$N37,)</f>
        <v>0</v>
      </c>
      <c r="AS37" s="35"/>
      <c r="AT37" s="35">
        <f>IF('CRUDO MARTES'!AJ67="Si",$N37,)</f>
        <v>0</v>
      </c>
      <c r="AU37" s="35"/>
      <c r="AV37" s="35">
        <f>IF('CRUDO MARTES'!AK67="Si",$N37,)</f>
        <v>0</v>
      </c>
      <c r="AW37" s="35">
        <f>IF('CRUDO MARTES'!AL67="Si",$N37,)</f>
        <v>0</v>
      </c>
      <c r="AX37" s="35">
        <f>IF('CRUDO MARTES'!AM67="Si",$N37,)</f>
        <v>0</v>
      </c>
      <c r="AY37" s="35">
        <f>IF('CRUDO MARTES'!AN67="Si",$N37,)</f>
        <v>0</v>
      </c>
      <c r="AZ37" s="35">
        <f>IF('CRUDO MARTES'!AO67="Si",$N37,)</f>
        <v>0</v>
      </c>
      <c r="BA37" s="35">
        <f>IF('CRUDO MARTES'!AP67="Si",$N37,)</f>
        <v>0</v>
      </c>
      <c r="BB37" s="35"/>
      <c r="BC37" s="35">
        <f>IF('CRUDO MARTES'!AQ67="Si",$N37,)</f>
        <v>0</v>
      </c>
      <c r="BD37" s="35"/>
      <c r="BE37" s="35">
        <f>IF('CRUDO MARTES'!AR67="Si",$N37,)</f>
        <v>0</v>
      </c>
      <c r="BF37" s="35"/>
      <c r="BG37" s="35">
        <f>IF('CRUDO MARTES'!AS67="Si",$N37,)</f>
        <v>0</v>
      </c>
      <c r="BH37" s="31"/>
      <c r="BI37" s="31" t="s">
        <v>1044</v>
      </c>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row>
    <row r="38" spans="1:115" ht="13.2" x14ac:dyDescent="0.25">
      <c r="A38" s="22">
        <v>45002.566896562501</v>
      </c>
      <c r="B38" s="23" t="s">
        <v>1014</v>
      </c>
      <c r="C38" s="23" t="s">
        <v>1102</v>
      </c>
      <c r="D38" s="29" t="s">
        <v>1103</v>
      </c>
      <c r="E38" s="23" t="s">
        <v>62</v>
      </c>
      <c r="F38" s="23" t="s">
        <v>581</v>
      </c>
      <c r="G38" s="23" t="s">
        <v>105</v>
      </c>
      <c r="H38" s="23" t="s">
        <v>1104</v>
      </c>
      <c r="I38" s="23" t="s">
        <v>1105</v>
      </c>
      <c r="J38" s="25"/>
      <c r="K38" s="23" t="s">
        <v>1014</v>
      </c>
      <c r="L38" s="23" t="s">
        <v>656</v>
      </c>
      <c r="M38" s="23" t="s">
        <v>361</v>
      </c>
      <c r="N38" s="23">
        <v>35</v>
      </c>
      <c r="O38" s="23" t="s">
        <v>69</v>
      </c>
      <c r="P38" s="23">
        <v>3</v>
      </c>
      <c r="Q38" s="23">
        <v>1</v>
      </c>
      <c r="R38" s="23">
        <v>75</v>
      </c>
      <c r="S38" s="25"/>
      <c r="T38" s="23" t="s">
        <v>70</v>
      </c>
      <c r="U38" s="23" t="s">
        <v>71</v>
      </c>
      <c r="V38" s="26" t="s">
        <v>145</v>
      </c>
      <c r="W38" s="27">
        <f>IF('CRUDO MARTES'!W69="Si",$N38,)</f>
        <v>35</v>
      </c>
      <c r="X38" s="27">
        <f>IF('CRUDO MARTES'!X69="Si",$N38,)</f>
        <v>0</v>
      </c>
      <c r="Y38" s="27">
        <f>IF('CRUDO MARTES'!Y69="Si",$N38,)</f>
        <v>0</v>
      </c>
      <c r="Z38" s="27">
        <f>IF('CRUDO MARTES'!Z69="Si",$N38,)</f>
        <v>0</v>
      </c>
      <c r="AA38" s="27"/>
      <c r="AB38" s="27">
        <f>IF('CRUDO MARTES'!AA69="Si",$N38,)</f>
        <v>0</v>
      </c>
      <c r="AC38" s="27"/>
      <c r="AD38" s="27">
        <f>IF('CRUDO MARTES'!AB69="Si",$N38,)</f>
        <v>0</v>
      </c>
      <c r="AE38" s="27"/>
      <c r="AF38" s="28">
        <v>35</v>
      </c>
      <c r="AG38" s="28" t="s">
        <v>1233</v>
      </c>
      <c r="AH38" s="28">
        <v>0</v>
      </c>
      <c r="AI38" s="28"/>
      <c r="AJ38" s="28">
        <v>0</v>
      </c>
      <c r="AK38" s="28"/>
      <c r="AL38" s="27">
        <f>IF('CRUDO MARTES'!AF69="Si",$N38,)</f>
        <v>0</v>
      </c>
      <c r="AM38" s="28"/>
      <c r="AN38" s="28">
        <v>0</v>
      </c>
      <c r="AO38" s="27"/>
      <c r="AP38" s="27">
        <f>IF('CRUDO MARTES'!AH69="Si",$N38,)</f>
        <v>0</v>
      </c>
      <c r="AQ38" s="27"/>
      <c r="AR38" s="27">
        <f>IF('CRUDO MARTES'!AI69="Si",$N38,)</f>
        <v>0</v>
      </c>
      <c r="AS38" s="27"/>
      <c r="AT38" s="27">
        <f>IF('CRUDO MARTES'!AJ69="Si",$N38,)</f>
        <v>0</v>
      </c>
      <c r="AU38" s="27"/>
      <c r="AV38" s="27">
        <f>IF('CRUDO MARTES'!AK69="Si",$N38,)</f>
        <v>0</v>
      </c>
      <c r="AW38" s="27">
        <f>IF('CRUDO MARTES'!AL69="Si",$N38,)</f>
        <v>0</v>
      </c>
      <c r="AX38" s="27">
        <f>IF('CRUDO MARTES'!AM69="Si",$N38,)</f>
        <v>35</v>
      </c>
      <c r="AY38" s="27">
        <f>IF('CRUDO MARTES'!AN69="Si",$N38,)</f>
        <v>0</v>
      </c>
      <c r="AZ38" s="27">
        <f>IF('CRUDO MARTES'!AO69="Si",$N38,)</f>
        <v>0</v>
      </c>
      <c r="BA38" s="27">
        <f>IF('CRUDO MARTES'!AP69="Si",$N38,)</f>
        <v>0</v>
      </c>
      <c r="BB38" s="27"/>
      <c r="BC38" s="27">
        <f>IF('CRUDO MARTES'!AQ69="Si",$N38,)</f>
        <v>0</v>
      </c>
      <c r="BD38" s="28"/>
      <c r="BE38" s="28">
        <v>0</v>
      </c>
      <c r="BF38" s="28"/>
      <c r="BG38" s="28">
        <v>0</v>
      </c>
      <c r="BH38" s="25"/>
      <c r="BI38" s="25"/>
      <c r="BJ38" s="23" t="s">
        <v>1242</v>
      </c>
      <c r="BK38" s="23">
        <v>1</v>
      </c>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row>
    <row r="39" spans="1:115" ht="13.2" x14ac:dyDescent="0.25">
      <c r="A39" s="22">
        <v>45001.604640810183</v>
      </c>
      <c r="B39" s="23" t="s">
        <v>1137</v>
      </c>
      <c r="C39" s="23" t="s">
        <v>1138</v>
      </c>
      <c r="D39" s="24" t="s">
        <v>1139</v>
      </c>
      <c r="E39" s="23" t="s">
        <v>149</v>
      </c>
      <c r="F39" s="23" t="s">
        <v>671</v>
      </c>
      <c r="G39" s="23" t="s">
        <v>64</v>
      </c>
      <c r="H39" s="23" t="s">
        <v>1140</v>
      </c>
      <c r="I39" s="23" t="s">
        <v>1141</v>
      </c>
      <c r="J39" s="23" t="s">
        <v>1142</v>
      </c>
      <c r="K39" s="23" t="s">
        <v>1137</v>
      </c>
      <c r="L39" s="23" t="s">
        <v>656</v>
      </c>
      <c r="M39" s="23" t="s">
        <v>708</v>
      </c>
      <c r="N39" s="23">
        <v>39</v>
      </c>
      <c r="O39" s="23" t="s">
        <v>69</v>
      </c>
      <c r="P39" s="23">
        <v>3</v>
      </c>
      <c r="Q39" s="23">
        <v>2</v>
      </c>
      <c r="R39" s="23">
        <v>30</v>
      </c>
      <c r="S39" s="25"/>
      <c r="T39" s="23" t="s">
        <v>70</v>
      </c>
      <c r="U39" s="23" t="s">
        <v>71</v>
      </c>
      <c r="V39" s="26" t="s">
        <v>145</v>
      </c>
      <c r="W39" s="27">
        <f>IF('CRUDO MARTES'!W71="Si",$N39,)</f>
        <v>39</v>
      </c>
      <c r="X39" s="27">
        <f>IF('CRUDO MARTES'!X71="Si",$N39,)</f>
        <v>0</v>
      </c>
      <c r="Y39" s="27">
        <f>IF('CRUDO MARTES'!Y71="Si",$N39,)</f>
        <v>0</v>
      </c>
      <c r="Z39" s="27">
        <f>IF('CRUDO MARTES'!Z71="Si",$N39,)</f>
        <v>0</v>
      </c>
      <c r="AA39" s="27"/>
      <c r="AB39" s="27">
        <f>IF('CRUDO MARTES'!AA71="Si",$N39,)</f>
        <v>0</v>
      </c>
      <c r="AC39" s="27"/>
      <c r="AD39" s="27">
        <f>IF('CRUDO MARTES'!AB71="Si",$N39,)</f>
        <v>39</v>
      </c>
      <c r="AE39" s="28" t="s">
        <v>1233</v>
      </c>
      <c r="AF39" s="27">
        <f>IF('CRUDO MARTES'!AC71="Si",$N39,)</f>
        <v>0</v>
      </c>
      <c r="AG39" s="27"/>
      <c r="AH39" s="27">
        <f>IF('CRUDO MARTES'!AD71="Si",$N39,)</f>
        <v>0</v>
      </c>
      <c r="AI39" s="27"/>
      <c r="AJ39" s="27">
        <f>IF('CRUDO MARTES'!AE71="Si",$N39,)</f>
        <v>0</v>
      </c>
      <c r="AK39" s="27"/>
      <c r="AL39" s="27">
        <f>IF('CRUDO MARTES'!AF71="Si",$N39,)</f>
        <v>0</v>
      </c>
      <c r="AM39" s="27"/>
      <c r="AN39" s="27">
        <f>IF('CRUDO MARTES'!AG71="Si",$N39,)</f>
        <v>0</v>
      </c>
      <c r="AO39" s="27"/>
      <c r="AP39" s="27">
        <f>IF('CRUDO MARTES'!AH71="Si",$N39,)</f>
        <v>0</v>
      </c>
      <c r="AQ39" s="27"/>
      <c r="AR39" s="27">
        <f>IF('CRUDO MARTES'!AI71="Si",$N39,)</f>
        <v>0</v>
      </c>
      <c r="AS39" s="27"/>
      <c r="AT39" s="27">
        <f>IF('CRUDO MARTES'!AJ71="Si",$N39,)</f>
        <v>0</v>
      </c>
      <c r="AU39" s="27"/>
      <c r="AV39" s="27">
        <f>IF('CRUDO MARTES'!AK71="Si",$N39,)</f>
        <v>0</v>
      </c>
      <c r="AW39" s="27">
        <f>IF('CRUDO MARTES'!AL71="Si",$N39,)</f>
        <v>0</v>
      </c>
      <c r="AX39" s="27">
        <f>IF('CRUDO MARTES'!AM71="Si",$N39,)</f>
        <v>0</v>
      </c>
      <c r="AY39" s="27">
        <f>IF('CRUDO MARTES'!AN71="Si",$N39,)</f>
        <v>0</v>
      </c>
      <c r="AZ39" s="27">
        <f>IF('CRUDO MARTES'!AO71="Si",$N39,)</f>
        <v>0</v>
      </c>
      <c r="BA39" s="28">
        <v>39</v>
      </c>
      <c r="BB39" s="28" t="s">
        <v>1234</v>
      </c>
      <c r="BC39" s="27">
        <f>IF('CRUDO MARTES'!AQ71="Si",$N39,)</f>
        <v>0</v>
      </c>
      <c r="BD39" s="27"/>
      <c r="BE39" s="27">
        <f>IF('CRUDO MARTES'!AR71="Si",$N39,)</f>
        <v>0</v>
      </c>
      <c r="BF39" s="27"/>
      <c r="BG39" s="27">
        <f>IF('CRUDO MARTES'!AS71="Si",$N39,)</f>
        <v>0</v>
      </c>
      <c r="BH39" s="25"/>
      <c r="BI39" s="25"/>
      <c r="BJ39" s="23" t="s">
        <v>1231</v>
      </c>
      <c r="BK39" s="23">
        <v>1</v>
      </c>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row>
    <row r="40" spans="1:115" ht="13.2" x14ac:dyDescent="0.25">
      <c r="A40" s="22">
        <v>45006.468651608797</v>
      </c>
      <c r="B40" s="23" t="s">
        <v>1153</v>
      </c>
      <c r="C40" s="23" t="s">
        <v>1154</v>
      </c>
      <c r="D40" s="29" t="s">
        <v>1155</v>
      </c>
      <c r="E40" s="23" t="s">
        <v>149</v>
      </c>
      <c r="F40" s="23" t="s">
        <v>205</v>
      </c>
      <c r="G40" s="23" t="s">
        <v>64</v>
      </c>
      <c r="H40" s="23" t="s">
        <v>1156</v>
      </c>
      <c r="I40" s="23" t="s">
        <v>1157</v>
      </c>
      <c r="J40" s="25"/>
      <c r="K40" s="23" t="s">
        <v>1153</v>
      </c>
      <c r="L40" s="23" t="s">
        <v>656</v>
      </c>
      <c r="M40" s="23" t="s">
        <v>710</v>
      </c>
      <c r="N40" s="23">
        <v>25</v>
      </c>
      <c r="O40" s="23" t="s">
        <v>69</v>
      </c>
      <c r="P40" s="23">
        <v>4</v>
      </c>
      <c r="Q40" s="23">
        <v>1</v>
      </c>
      <c r="R40" s="23">
        <v>75</v>
      </c>
      <c r="S40" s="25"/>
      <c r="T40" s="23" t="s">
        <v>70</v>
      </c>
      <c r="U40" s="23" t="s">
        <v>70</v>
      </c>
      <c r="V40" s="26" t="s">
        <v>145</v>
      </c>
      <c r="W40" s="27">
        <f>IF('CRUDO MARTES'!W72="Si",$N40,)</f>
        <v>25</v>
      </c>
      <c r="X40" s="27">
        <f>IF('CRUDO MARTES'!X72="Si",$N40,)</f>
        <v>0</v>
      </c>
      <c r="Y40" s="27">
        <f>IF('CRUDO MARTES'!Y72="Si",$N40,)</f>
        <v>0</v>
      </c>
      <c r="Z40" s="27">
        <f>IF('CRUDO MARTES'!Z72="Si",$N40,)</f>
        <v>0</v>
      </c>
      <c r="AA40" s="27"/>
      <c r="AB40" s="27">
        <f>IF('CRUDO MARTES'!AA72="Si",$N40,)</f>
        <v>0</v>
      </c>
      <c r="AC40" s="27"/>
      <c r="AD40" s="28">
        <v>25</v>
      </c>
      <c r="AE40" s="28" t="s">
        <v>1233</v>
      </c>
      <c r="AF40" s="28">
        <v>0</v>
      </c>
      <c r="AG40" s="28"/>
      <c r="AH40" s="27">
        <f>IF('CRUDO MARTES'!AD72="Si",$N40,)</f>
        <v>0</v>
      </c>
      <c r="AI40" s="27"/>
      <c r="AJ40" s="27">
        <f>IF('CRUDO MARTES'!AE72="Si",$N40,)</f>
        <v>0</v>
      </c>
      <c r="AK40" s="27"/>
      <c r="AL40" s="27">
        <f>IF('CRUDO MARTES'!AF72="Si",$N40,)</f>
        <v>0</v>
      </c>
      <c r="AM40" s="27"/>
      <c r="AN40" s="27">
        <f>IF('CRUDO MARTES'!AG72="Si",$N40,)</f>
        <v>0</v>
      </c>
      <c r="AO40" s="28"/>
      <c r="AP40" s="28">
        <v>0</v>
      </c>
      <c r="AQ40" s="27"/>
      <c r="AR40" s="27">
        <f>IF('CRUDO MARTES'!AI72="Si",$N40,)</f>
        <v>0</v>
      </c>
      <c r="AS40" s="27"/>
      <c r="AT40" s="27">
        <f>IF('CRUDO MARTES'!AJ72="Si",$N40,)</f>
        <v>0</v>
      </c>
      <c r="AU40" s="27"/>
      <c r="AV40" s="27">
        <f>IF('CRUDO MARTES'!AK72="Si",$N40,)</f>
        <v>0</v>
      </c>
      <c r="AW40" s="28">
        <v>0</v>
      </c>
      <c r="AX40" s="27">
        <f>IF('CRUDO MARTES'!AM72="Si",$N40,)</f>
        <v>0</v>
      </c>
      <c r="AY40" s="27">
        <f>IF('CRUDO MARTES'!AN72="Si",$N40,)</f>
        <v>0</v>
      </c>
      <c r="AZ40" s="27">
        <f>IF('CRUDO MARTES'!AO72="Si",$N40,)</f>
        <v>0</v>
      </c>
      <c r="BA40" s="27">
        <f>IF('CRUDO MARTES'!AP72="Si",$N40,)</f>
        <v>0</v>
      </c>
      <c r="BB40" s="27"/>
      <c r="BC40" s="27">
        <f>IF('CRUDO MARTES'!AQ72="Si",$N40,)</f>
        <v>0</v>
      </c>
      <c r="BD40" s="28"/>
      <c r="BE40" s="28">
        <v>25</v>
      </c>
      <c r="BF40" s="28" t="s">
        <v>1239</v>
      </c>
      <c r="BG40" s="27">
        <f>IF('CRUDO MARTES'!AS72="Si",$N40,)</f>
        <v>0</v>
      </c>
      <c r="BH40" s="23"/>
      <c r="BI40" s="23" t="s">
        <v>1158</v>
      </c>
      <c r="BJ40" s="23" t="s">
        <v>1246</v>
      </c>
      <c r="BK40" s="23">
        <v>1</v>
      </c>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row>
    <row r="41" spans="1:115" ht="13.2" x14ac:dyDescent="0.25">
      <c r="A41" s="22">
        <v>45006.483010752316</v>
      </c>
      <c r="B41" s="23" t="s">
        <v>1159</v>
      </c>
      <c r="C41" s="23" t="s">
        <v>1160</v>
      </c>
      <c r="D41" s="29" t="s">
        <v>1155</v>
      </c>
      <c r="E41" s="23" t="s">
        <v>149</v>
      </c>
      <c r="F41" s="23" t="s">
        <v>1004</v>
      </c>
      <c r="G41" s="23" t="s">
        <v>64</v>
      </c>
      <c r="H41" s="23" t="s">
        <v>1161</v>
      </c>
      <c r="I41" s="23" t="s">
        <v>1156</v>
      </c>
      <c r="J41" s="25"/>
      <c r="K41" s="23" t="s">
        <v>1159</v>
      </c>
      <c r="L41" s="23" t="s">
        <v>656</v>
      </c>
      <c r="M41" s="23" t="s">
        <v>710</v>
      </c>
      <c r="N41" s="23">
        <v>25</v>
      </c>
      <c r="O41" s="23" t="s">
        <v>69</v>
      </c>
      <c r="P41" s="23">
        <v>4</v>
      </c>
      <c r="Q41" s="23">
        <v>1</v>
      </c>
      <c r="R41" s="23">
        <v>75</v>
      </c>
      <c r="S41" s="25"/>
      <c r="T41" s="23" t="s">
        <v>70</v>
      </c>
      <c r="U41" s="23" t="s">
        <v>70</v>
      </c>
      <c r="V41" s="26" t="s">
        <v>145</v>
      </c>
      <c r="W41" s="28">
        <v>0</v>
      </c>
      <c r="X41" s="28">
        <v>25</v>
      </c>
      <c r="Y41" s="27">
        <f>IF('CRUDO MARTES'!Y73="Si",$N41,)</f>
        <v>0</v>
      </c>
      <c r="Z41" s="28">
        <v>25</v>
      </c>
      <c r="AA41" s="28" t="s">
        <v>1227</v>
      </c>
      <c r="AB41" s="27">
        <f>IF('CRUDO MARTES'!AA73="Si",$N41,)</f>
        <v>0</v>
      </c>
      <c r="AC41" s="27"/>
      <c r="AD41" s="28">
        <v>0</v>
      </c>
      <c r="AE41" s="28"/>
      <c r="AF41" s="28">
        <v>0</v>
      </c>
      <c r="AG41" s="28"/>
      <c r="AH41" s="27">
        <f>IF('CRUDO MARTES'!AD73="Si",$N41,)</f>
        <v>0</v>
      </c>
      <c r="AI41" s="27"/>
      <c r="AJ41" s="27">
        <f>IF('CRUDO MARTES'!AE73="Si",$N41,)</f>
        <v>0</v>
      </c>
      <c r="AK41" s="27"/>
      <c r="AL41" s="27">
        <f>IF('CRUDO MARTES'!AF73="Si",$N41,)</f>
        <v>0</v>
      </c>
      <c r="AM41" s="27"/>
      <c r="AN41" s="27">
        <f>IF('CRUDO MARTES'!AG73="Si",$N41,)</f>
        <v>0</v>
      </c>
      <c r="AO41" s="28"/>
      <c r="AP41" s="28">
        <v>0</v>
      </c>
      <c r="AQ41" s="27"/>
      <c r="AR41" s="27">
        <f>IF('CRUDO MARTES'!AI73="Si",$N41,)</f>
        <v>0</v>
      </c>
      <c r="AS41" s="27"/>
      <c r="AT41" s="27">
        <f>IF('CRUDO MARTES'!AJ73="Si",$N41,)</f>
        <v>0</v>
      </c>
      <c r="AU41" s="27"/>
      <c r="AV41" s="27">
        <f>IF('CRUDO MARTES'!AK73="Si",$N41,)</f>
        <v>0</v>
      </c>
      <c r="AW41" s="28">
        <v>0</v>
      </c>
      <c r="AX41" s="27">
        <f>IF('CRUDO MARTES'!AM73="Si",$N41,)</f>
        <v>0</v>
      </c>
      <c r="AY41" s="27">
        <f>IF('CRUDO MARTES'!AN73="Si",$N41,)</f>
        <v>0</v>
      </c>
      <c r="AZ41" s="27">
        <f>IF('CRUDO MARTES'!AO73="Si",$N41,)</f>
        <v>0</v>
      </c>
      <c r="BA41" s="27">
        <f>IF('CRUDO MARTES'!AP73="Si",$N41,)</f>
        <v>0</v>
      </c>
      <c r="BB41" s="27"/>
      <c r="BC41" s="27">
        <f>IF('CRUDO MARTES'!AQ73="Si",$N41,)</f>
        <v>0</v>
      </c>
      <c r="BD41" s="28"/>
      <c r="BE41" s="28">
        <v>25</v>
      </c>
      <c r="BF41" s="28" t="s">
        <v>1234</v>
      </c>
      <c r="BG41" s="27">
        <f>IF('CRUDO MARTES'!AS73="Si",$N41,)</f>
        <v>0</v>
      </c>
      <c r="BH41" s="23"/>
      <c r="BI41" s="23" t="s">
        <v>1162</v>
      </c>
      <c r="BJ41" s="23" t="s">
        <v>1246</v>
      </c>
      <c r="BK41" s="23">
        <v>1</v>
      </c>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row>
    <row r="42" spans="1:115" ht="13.2" hidden="1" x14ac:dyDescent="0.25">
      <c r="A42" s="30">
        <v>45004.57079096065</v>
      </c>
      <c r="B42" s="31" t="s">
        <v>179</v>
      </c>
      <c r="C42" s="31" t="s">
        <v>180</v>
      </c>
      <c r="D42" s="32" t="s">
        <v>181</v>
      </c>
      <c r="E42" s="31" t="s">
        <v>62</v>
      </c>
      <c r="F42" s="31" t="s">
        <v>182</v>
      </c>
      <c r="G42" s="31" t="s">
        <v>64</v>
      </c>
      <c r="H42" s="31" t="s">
        <v>183</v>
      </c>
      <c r="I42" s="31" t="s">
        <v>184</v>
      </c>
      <c r="J42" s="31" t="s">
        <v>185</v>
      </c>
      <c r="K42" s="31" t="s">
        <v>179</v>
      </c>
      <c r="L42" s="31" t="s">
        <v>67</v>
      </c>
      <c r="M42" s="31" t="s">
        <v>161</v>
      </c>
      <c r="N42" s="31">
        <v>0</v>
      </c>
      <c r="O42" s="31" t="s">
        <v>69</v>
      </c>
      <c r="P42" s="31">
        <v>4</v>
      </c>
      <c r="Q42" s="31">
        <v>4</v>
      </c>
      <c r="R42" s="31">
        <v>15</v>
      </c>
      <c r="S42" s="33"/>
      <c r="T42" s="31" t="s">
        <v>70</v>
      </c>
      <c r="U42" s="31" t="s">
        <v>71</v>
      </c>
      <c r="V42" s="8" t="s">
        <v>145</v>
      </c>
      <c r="W42" s="35">
        <f>IF('CRUDO MARTES'!W4="Si",$N42,)</f>
        <v>0</v>
      </c>
      <c r="X42" s="35">
        <f>IF('CRUDO MARTES'!X4="Si",$N42,)</f>
        <v>0</v>
      </c>
      <c r="Y42" s="35">
        <f>IF('CRUDO MARTES'!Y4="Si",$N42,)</f>
        <v>0</v>
      </c>
      <c r="Z42" s="35">
        <f>IF('CRUDO MARTES'!Z4="Si",$N42,)</f>
        <v>0</v>
      </c>
      <c r="AA42" s="35"/>
      <c r="AB42" s="35">
        <f>IF('CRUDO MARTES'!AA4="Si",$N42,)</f>
        <v>0</v>
      </c>
      <c r="AC42" s="35"/>
      <c r="AD42" s="35">
        <f>IF('CRUDO MARTES'!AB4="Si",$N42,)</f>
        <v>0</v>
      </c>
      <c r="AE42" s="35"/>
      <c r="AF42" s="35">
        <f>IF('CRUDO MARTES'!AC4="Si",$N42,)</f>
        <v>0</v>
      </c>
      <c r="AG42" s="35"/>
      <c r="AH42" s="35">
        <f>IF('CRUDO MARTES'!AD4="Si",$N42,)</f>
        <v>0</v>
      </c>
      <c r="AI42" s="35"/>
      <c r="AJ42" s="35">
        <f>IF('CRUDO MARTES'!AE4="Si",$N42,)</f>
        <v>0</v>
      </c>
      <c r="AK42" s="35"/>
      <c r="AL42" s="35">
        <f>IF('CRUDO MARTES'!AF4="Si",$N42,)</f>
        <v>0</v>
      </c>
      <c r="AM42" s="35"/>
      <c r="AN42" s="35">
        <f>IF('CRUDO MARTES'!AG4="Si",$N42,)</f>
        <v>0</v>
      </c>
      <c r="AO42" s="35"/>
      <c r="AP42" s="35">
        <f>IF('CRUDO MARTES'!AH4="Si",$N42,)</f>
        <v>0</v>
      </c>
      <c r="AQ42" s="35"/>
      <c r="AR42" s="35">
        <f>IF('CRUDO MARTES'!AI4="Si",$N42,)</f>
        <v>0</v>
      </c>
      <c r="AS42" s="35"/>
      <c r="AT42" s="35">
        <f>IF('CRUDO MARTES'!AJ4="Si",$N42,)</f>
        <v>0</v>
      </c>
      <c r="AU42" s="35"/>
      <c r="AV42" s="35">
        <f>IF('CRUDO MARTES'!AK4="Si",$N42,)</f>
        <v>0</v>
      </c>
      <c r="AW42" s="35">
        <f>IF('CRUDO MARTES'!AL4="Si",$N42,)</f>
        <v>0</v>
      </c>
      <c r="AX42" s="35">
        <f>IF('CRUDO MARTES'!AM4="Si",$N42,)</f>
        <v>0</v>
      </c>
      <c r="AY42" s="35">
        <f>IF('CRUDO MARTES'!AN4="Si",$N42,)</f>
        <v>0</v>
      </c>
      <c r="AZ42" s="35">
        <f>IF('CRUDO MARTES'!AO4="Si",$N42,)</f>
        <v>0</v>
      </c>
      <c r="BA42" s="35">
        <f>IF('CRUDO MARTES'!AP4="Si",$N42,)</f>
        <v>0</v>
      </c>
      <c r="BB42" s="35"/>
      <c r="BC42" s="35">
        <f>IF('CRUDO MARTES'!AQ4="Si",$N42,)</f>
        <v>0</v>
      </c>
      <c r="BD42" s="35"/>
      <c r="BE42" s="35">
        <f>IF('CRUDO MARTES'!AR4="Si",$N42,)</f>
        <v>0</v>
      </c>
      <c r="BF42" s="35"/>
      <c r="BG42" s="35">
        <f>IF('CRUDO MARTES'!AS4="Si",$N42,)</f>
        <v>0</v>
      </c>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row>
    <row r="43" spans="1:115" ht="13.2" hidden="1" x14ac:dyDescent="0.25">
      <c r="A43" s="30">
        <v>45002.339845150462</v>
      </c>
      <c r="B43" s="31" t="s">
        <v>260</v>
      </c>
      <c r="C43" s="31" t="s">
        <v>268</v>
      </c>
      <c r="D43" s="32" t="s">
        <v>262</v>
      </c>
      <c r="E43" s="31" t="s">
        <v>62</v>
      </c>
      <c r="F43" s="31" t="s">
        <v>211</v>
      </c>
      <c r="G43" s="31" t="s">
        <v>64</v>
      </c>
      <c r="H43" s="31" t="s">
        <v>265</v>
      </c>
      <c r="I43" s="31" t="s">
        <v>266</v>
      </c>
      <c r="J43" s="33"/>
      <c r="K43" s="31" t="s">
        <v>260</v>
      </c>
      <c r="L43" s="31" t="s">
        <v>67</v>
      </c>
      <c r="M43" s="31" t="s">
        <v>191</v>
      </c>
      <c r="N43" s="31">
        <v>0</v>
      </c>
      <c r="O43" s="31" t="s">
        <v>69</v>
      </c>
      <c r="P43" s="31">
        <v>3</v>
      </c>
      <c r="Q43" s="31">
        <v>2</v>
      </c>
      <c r="R43" s="31">
        <v>20</v>
      </c>
      <c r="S43" s="31" t="s">
        <v>274</v>
      </c>
      <c r="T43" s="31" t="s">
        <v>70</v>
      </c>
      <c r="U43" s="31" t="s">
        <v>71</v>
      </c>
      <c r="V43" s="8" t="s">
        <v>145</v>
      </c>
      <c r="W43" s="35">
        <f>IF('CRUDO MARTES'!W9="Si",$N43,)</f>
        <v>0</v>
      </c>
      <c r="X43" s="35">
        <f>IF('CRUDO MARTES'!X9="Si",$N43,)</f>
        <v>0</v>
      </c>
      <c r="Y43" s="35">
        <f>IF('CRUDO MARTES'!Y9="Si",$N43,)</f>
        <v>0</v>
      </c>
      <c r="Z43" s="35">
        <f>IF('CRUDO MARTES'!Z9="Si",$N43,)</f>
        <v>0</v>
      </c>
      <c r="AA43" s="35"/>
      <c r="AB43" s="35">
        <f>IF('CRUDO MARTES'!AA9="Si",$N43,)</f>
        <v>0</v>
      </c>
      <c r="AC43" s="35"/>
      <c r="AD43" s="35">
        <f>IF('CRUDO MARTES'!AB9="Si",$N43,)</f>
        <v>0</v>
      </c>
      <c r="AE43" s="35"/>
      <c r="AF43" s="35">
        <f>IF('CRUDO MARTES'!AC9="Si",$N43,)</f>
        <v>0</v>
      </c>
      <c r="AG43" s="35"/>
      <c r="AH43" s="35">
        <f>IF('CRUDO MARTES'!AD9="Si",$N43,)</f>
        <v>0</v>
      </c>
      <c r="AI43" s="35"/>
      <c r="AJ43" s="35">
        <f>IF('CRUDO MARTES'!AE9="Si",$N43,)</f>
        <v>0</v>
      </c>
      <c r="AK43" s="35"/>
      <c r="AL43" s="35">
        <f>IF('CRUDO MARTES'!AF9="Si",$N43,)</f>
        <v>0</v>
      </c>
      <c r="AM43" s="35"/>
      <c r="AN43" s="35">
        <f>IF('CRUDO MARTES'!AG9="Si",$N43,)</f>
        <v>0</v>
      </c>
      <c r="AO43" s="35"/>
      <c r="AP43" s="35">
        <f>IF('CRUDO MARTES'!AH9="Si",$N43,)</f>
        <v>0</v>
      </c>
      <c r="AQ43" s="35"/>
      <c r="AR43" s="35">
        <f>IF('CRUDO MARTES'!AI9="Si",$N43,)</f>
        <v>0</v>
      </c>
      <c r="AS43" s="35"/>
      <c r="AT43" s="35">
        <f>IF('CRUDO MARTES'!AJ9="Si",$N43,)</f>
        <v>0</v>
      </c>
      <c r="AU43" s="35"/>
      <c r="AV43" s="35">
        <f>IF('CRUDO MARTES'!AK9="Si",$N43,)</f>
        <v>0</v>
      </c>
      <c r="AW43" s="35">
        <f>IF('CRUDO MARTES'!AL9="Si",$N43,)</f>
        <v>0</v>
      </c>
      <c r="AX43" s="35">
        <f>IF('CRUDO MARTES'!AM9="Si",$N43,)</f>
        <v>0</v>
      </c>
      <c r="AY43" s="35">
        <f>IF('CRUDO MARTES'!AN9="Si",$N43,)</f>
        <v>0</v>
      </c>
      <c r="AZ43" s="35">
        <f>IF('CRUDO MARTES'!AO9="Si",$N43,)</f>
        <v>0</v>
      </c>
      <c r="BA43" s="35">
        <f>IF('CRUDO MARTES'!AP9="Si",$N43,)</f>
        <v>0</v>
      </c>
      <c r="BB43" s="35"/>
      <c r="BC43" s="35">
        <f>IF('CRUDO MARTES'!AQ9="Si",$N43,)</f>
        <v>0</v>
      </c>
      <c r="BD43" s="35"/>
      <c r="BE43" s="35">
        <f>IF('CRUDO MARTES'!AR9="Si",$N43,)</f>
        <v>0</v>
      </c>
      <c r="BF43" s="35"/>
      <c r="BG43" s="35">
        <f>IF('CRUDO MARTES'!AS9="Si",$N43,)</f>
        <v>0</v>
      </c>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c r="DH43" s="33"/>
      <c r="DI43" s="33"/>
      <c r="DJ43" s="33"/>
      <c r="DK43" s="33"/>
    </row>
    <row r="44" spans="1:115" ht="13.2" hidden="1" x14ac:dyDescent="0.25">
      <c r="A44" s="30">
        <v>45001.496991921296</v>
      </c>
      <c r="B44" s="31" t="s">
        <v>260</v>
      </c>
      <c r="C44" s="31" t="s">
        <v>261</v>
      </c>
      <c r="D44" s="32" t="s">
        <v>262</v>
      </c>
      <c r="E44" s="31" t="s">
        <v>263</v>
      </c>
      <c r="F44" s="31" t="s">
        <v>264</v>
      </c>
      <c r="G44" s="31" t="s">
        <v>64</v>
      </c>
      <c r="H44" s="31" t="s">
        <v>265</v>
      </c>
      <c r="I44" s="31" t="s">
        <v>266</v>
      </c>
      <c r="J44" s="33"/>
      <c r="K44" s="31" t="s">
        <v>260</v>
      </c>
      <c r="L44" s="31" t="s">
        <v>67</v>
      </c>
      <c r="M44" s="31" t="s">
        <v>191</v>
      </c>
      <c r="N44" s="31">
        <v>0</v>
      </c>
      <c r="O44" s="31" t="s">
        <v>69</v>
      </c>
      <c r="P44" s="31">
        <v>3</v>
      </c>
      <c r="Q44" s="31">
        <v>2</v>
      </c>
      <c r="R44" s="31">
        <v>20</v>
      </c>
      <c r="S44" s="33"/>
      <c r="T44" s="31" t="s">
        <v>70</v>
      </c>
      <c r="U44" s="31" t="s">
        <v>71</v>
      </c>
      <c r="V44" s="8" t="s">
        <v>145</v>
      </c>
      <c r="W44" s="35">
        <f>IF('CRUDO MARTES'!W10="Si",$N44,)</f>
        <v>0</v>
      </c>
      <c r="X44" s="35">
        <f>IF('CRUDO MARTES'!X10="Si",$N44,)</f>
        <v>0</v>
      </c>
      <c r="Y44" s="35">
        <f>IF('CRUDO MARTES'!Y10="Si",$N44,)</f>
        <v>0</v>
      </c>
      <c r="Z44" s="35">
        <f>IF('CRUDO MARTES'!Z10="Si",$N44,)</f>
        <v>0</v>
      </c>
      <c r="AA44" s="35"/>
      <c r="AB44" s="35">
        <f>IF('CRUDO MARTES'!AA10="Si",$N44,)</f>
        <v>0</v>
      </c>
      <c r="AC44" s="35"/>
      <c r="AD44" s="35">
        <f>IF('CRUDO MARTES'!AB10="Si",$N44,)</f>
        <v>0</v>
      </c>
      <c r="AE44" s="35"/>
      <c r="AF44" s="35">
        <f>IF('CRUDO MARTES'!AC10="Si",$N44,)</f>
        <v>0</v>
      </c>
      <c r="AG44" s="35"/>
      <c r="AH44" s="35">
        <f>IF('CRUDO MARTES'!AD10="Si",$N44,)</f>
        <v>0</v>
      </c>
      <c r="AI44" s="35"/>
      <c r="AJ44" s="35">
        <f>IF('CRUDO MARTES'!AE10="Si",$N44,)</f>
        <v>0</v>
      </c>
      <c r="AK44" s="35"/>
      <c r="AL44" s="35">
        <f>IF('CRUDO MARTES'!AF10="Si",$N44,)</f>
        <v>0</v>
      </c>
      <c r="AM44" s="35"/>
      <c r="AN44" s="35">
        <f>IF('CRUDO MARTES'!AG10="Si",$N44,)</f>
        <v>0</v>
      </c>
      <c r="AO44" s="35"/>
      <c r="AP44" s="35">
        <f>IF('CRUDO MARTES'!AH10="Si",$N44,)</f>
        <v>0</v>
      </c>
      <c r="AQ44" s="35"/>
      <c r="AR44" s="35">
        <f>IF('CRUDO MARTES'!AI10="Si",$N44,)</f>
        <v>0</v>
      </c>
      <c r="AS44" s="35"/>
      <c r="AT44" s="35">
        <f>IF('CRUDO MARTES'!AJ10="Si",$N44,)</f>
        <v>0</v>
      </c>
      <c r="AU44" s="35"/>
      <c r="AV44" s="35">
        <f>IF('CRUDO MARTES'!AK10="Si",$N44,)</f>
        <v>0</v>
      </c>
      <c r="AW44" s="35">
        <f>IF('CRUDO MARTES'!AL10="Si",$N44,)</f>
        <v>0</v>
      </c>
      <c r="AX44" s="35">
        <f>IF('CRUDO MARTES'!AM10="Si",$N44,)</f>
        <v>0</v>
      </c>
      <c r="AY44" s="35">
        <f>IF('CRUDO MARTES'!AN10="Si",$N44,)</f>
        <v>0</v>
      </c>
      <c r="AZ44" s="35">
        <f>IF('CRUDO MARTES'!AO10="Si",$N44,)</f>
        <v>0</v>
      </c>
      <c r="BA44" s="35">
        <f>IF('CRUDO MARTES'!AP10="Si",$N44,)</f>
        <v>0</v>
      </c>
      <c r="BB44" s="35"/>
      <c r="BC44" s="35">
        <f>IF('CRUDO MARTES'!AQ10="Si",$N44,)</f>
        <v>0</v>
      </c>
      <c r="BD44" s="35"/>
      <c r="BE44" s="35">
        <f>IF('CRUDO MARTES'!AR10="Si",$N44,)</f>
        <v>0</v>
      </c>
      <c r="BF44" s="35"/>
      <c r="BG44" s="35">
        <f>IF('CRUDO MARTES'!AS10="Si",$N44,)</f>
        <v>0</v>
      </c>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33"/>
      <c r="DJ44" s="33"/>
      <c r="DK44" s="33"/>
    </row>
    <row r="45" spans="1:115" ht="13.2" hidden="1" x14ac:dyDescent="0.25">
      <c r="A45" s="30">
        <v>45000.670496446764</v>
      </c>
      <c r="B45" s="31" t="s">
        <v>291</v>
      </c>
      <c r="C45" s="31" t="s">
        <v>292</v>
      </c>
      <c r="D45" s="32" t="s">
        <v>293</v>
      </c>
      <c r="E45" s="31" t="s">
        <v>62</v>
      </c>
      <c r="F45" s="31" t="s">
        <v>294</v>
      </c>
      <c r="G45" s="31" t="s">
        <v>64</v>
      </c>
      <c r="H45" s="31" t="s">
        <v>295</v>
      </c>
      <c r="I45" s="31" t="s">
        <v>296</v>
      </c>
      <c r="J45" s="31" t="s">
        <v>297</v>
      </c>
      <c r="K45" s="31" t="s">
        <v>291</v>
      </c>
      <c r="L45" s="31" t="s">
        <v>67</v>
      </c>
      <c r="M45" s="31" t="s">
        <v>212</v>
      </c>
      <c r="N45" s="31">
        <v>0</v>
      </c>
      <c r="O45" s="31" t="s">
        <v>69</v>
      </c>
      <c r="P45" s="31">
        <v>4</v>
      </c>
      <c r="Q45" s="31">
        <v>4</v>
      </c>
      <c r="R45" s="31">
        <v>0</v>
      </c>
      <c r="S45" s="31" t="s">
        <v>299</v>
      </c>
      <c r="T45" s="31" t="s">
        <v>70</v>
      </c>
      <c r="U45" s="31" t="s">
        <v>71</v>
      </c>
      <c r="V45" s="8" t="s">
        <v>145</v>
      </c>
      <c r="W45" s="35">
        <f>IF('CRUDO MARTES'!W14="Si",$N45,)</f>
        <v>0</v>
      </c>
      <c r="X45" s="35">
        <f>IF('CRUDO MARTES'!X14="Si",$N45,)</f>
        <v>0</v>
      </c>
      <c r="Y45" s="35">
        <f>IF('CRUDO MARTES'!Y14="Si",$N45,)</f>
        <v>0</v>
      </c>
      <c r="Z45" s="35">
        <f>IF('CRUDO MARTES'!Z14="Si",$N45,)</f>
        <v>0</v>
      </c>
      <c r="AA45" s="35"/>
      <c r="AB45" s="35">
        <f>IF('CRUDO MARTES'!AA14="Si",$N45,)</f>
        <v>0</v>
      </c>
      <c r="AC45" s="35"/>
      <c r="AD45" s="35">
        <f>IF('CRUDO MARTES'!AB14="Si",$N45,)</f>
        <v>0</v>
      </c>
      <c r="AE45" s="35"/>
      <c r="AF45" s="35">
        <f>IF('CRUDO MARTES'!AC14="Si",$N45,)</f>
        <v>0</v>
      </c>
      <c r="AG45" s="35"/>
      <c r="AH45" s="35">
        <f>IF('CRUDO MARTES'!AD14="Si",$N45,)</f>
        <v>0</v>
      </c>
      <c r="AI45" s="35"/>
      <c r="AJ45" s="35">
        <f>IF('CRUDO MARTES'!AE14="Si",$N45,)</f>
        <v>0</v>
      </c>
      <c r="AK45" s="35"/>
      <c r="AL45" s="35">
        <f>IF('CRUDO MARTES'!AF14="Si",$N45,)</f>
        <v>0</v>
      </c>
      <c r="AM45" s="35"/>
      <c r="AN45" s="35">
        <f>IF('CRUDO MARTES'!AG14="Si",$N45,)</f>
        <v>0</v>
      </c>
      <c r="AO45" s="35"/>
      <c r="AP45" s="35">
        <f>IF('CRUDO MARTES'!AH14="Si",$N45,)</f>
        <v>0</v>
      </c>
      <c r="AQ45" s="35"/>
      <c r="AR45" s="35">
        <f>IF('CRUDO MARTES'!AI14="Si",$N45,)</f>
        <v>0</v>
      </c>
      <c r="AS45" s="35"/>
      <c r="AT45" s="35">
        <f>IF('CRUDO MARTES'!AJ14="Si",$N45,)</f>
        <v>0</v>
      </c>
      <c r="AU45" s="35"/>
      <c r="AV45" s="35">
        <f>IF('CRUDO MARTES'!AK14="Si",$N45,)</f>
        <v>0</v>
      </c>
      <c r="AW45" s="35">
        <f>IF('CRUDO MARTES'!AL14="Si",$N45,)</f>
        <v>0</v>
      </c>
      <c r="AX45" s="35">
        <f>IF('CRUDO MARTES'!AM14="Si",$N45,)</f>
        <v>0</v>
      </c>
      <c r="AY45" s="35">
        <f>IF('CRUDO MARTES'!AN14="Si",$N45,)</f>
        <v>0</v>
      </c>
      <c r="AZ45" s="35">
        <f>IF('CRUDO MARTES'!AO14="Si",$N45,)</f>
        <v>0</v>
      </c>
      <c r="BA45" s="35">
        <f>IF('CRUDO MARTES'!AP14="Si",$N45,)</f>
        <v>0</v>
      </c>
      <c r="BB45" s="35"/>
      <c r="BC45" s="35">
        <f>IF('CRUDO MARTES'!AQ14="Si",$N45,)</f>
        <v>0</v>
      </c>
      <c r="BD45" s="35"/>
      <c r="BE45" s="35">
        <f>IF('CRUDO MARTES'!AR14="Si",$N45,)</f>
        <v>0</v>
      </c>
      <c r="BF45" s="35"/>
      <c r="BG45" s="35">
        <f>IF('CRUDO MARTES'!AS14="Si",$N45,)</f>
        <v>0</v>
      </c>
      <c r="BH45" s="31"/>
      <c r="BI45" s="31" t="s">
        <v>300</v>
      </c>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row>
    <row r="46" spans="1:115" ht="13.2" hidden="1" x14ac:dyDescent="0.25">
      <c r="A46" s="30">
        <v>45002.412812291666</v>
      </c>
      <c r="B46" s="31" t="s">
        <v>332</v>
      </c>
      <c r="C46" s="31" t="s">
        <v>333</v>
      </c>
      <c r="D46" s="36" t="s">
        <v>327</v>
      </c>
      <c r="E46" s="31" t="s">
        <v>103</v>
      </c>
      <c r="F46" s="31" t="s">
        <v>334</v>
      </c>
      <c r="G46" s="31" t="s">
        <v>105</v>
      </c>
      <c r="H46" s="31" t="s">
        <v>335</v>
      </c>
      <c r="I46" s="31" t="s">
        <v>339</v>
      </c>
      <c r="J46" s="31" t="s">
        <v>340</v>
      </c>
      <c r="K46" s="31" t="s">
        <v>341</v>
      </c>
      <c r="L46" s="31" t="s">
        <v>67</v>
      </c>
      <c r="M46" s="31" t="s">
        <v>228</v>
      </c>
      <c r="N46" s="31">
        <v>0</v>
      </c>
      <c r="O46" s="31" t="s">
        <v>69</v>
      </c>
      <c r="P46" s="31">
        <v>4</v>
      </c>
      <c r="Q46" s="31">
        <v>4</v>
      </c>
      <c r="R46" s="31">
        <v>10</v>
      </c>
      <c r="S46" s="33"/>
      <c r="T46" s="31" t="s">
        <v>70</v>
      </c>
      <c r="U46" s="31" t="s">
        <v>70</v>
      </c>
      <c r="V46" s="8" t="s">
        <v>145</v>
      </c>
      <c r="W46" s="35">
        <f>IF('CRUDO MARTES'!W15="Si",$N46,)</f>
        <v>0</v>
      </c>
      <c r="X46" s="35">
        <f>IF('CRUDO MARTES'!X15="Si",$N46,)</f>
        <v>0</v>
      </c>
      <c r="Y46" s="35">
        <f>IF('CRUDO MARTES'!Y15="Si",$N46,)</f>
        <v>0</v>
      </c>
      <c r="Z46" s="35">
        <f>IF('CRUDO MARTES'!Z15="Si",$N46,)</f>
        <v>0</v>
      </c>
      <c r="AA46" s="35"/>
      <c r="AB46" s="35">
        <f>IF('CRUDO MARTES'!AA15="Si",$N46,)</f>
        <v>0</v>
      </c>
      <c r="AC46" s="35"/>
      <c r="AD46" s="35">
        <f>IF('CRUDO MARTES'!AB15="Si",$N46,)</f>
        <v>0</v>
      </c>
      <c r="AE46" s="35"/>
      <c r="AF46" s="35">
        <f>IF('CRUDO MARTES'!AC15="Si",$N46,)</f>
        <v>0</v>
      </c>
      <c r="AG46" s="35"/>
      <c r="AH46" s="35">
        <f>IF('CRUDO MARTES'!AD15="Si",$N46,)</f>
        <v>0</v>
      </c>
      <c r="AI46" s="35"/>
      <c r="AJ46" s="35">
        <f>IF('CRUDO MARTES'!AE15="Si",$N46,)</f>
        <v>0</v>
      </c>
      <c r="AK46" s="35"/>
      <c r="AL46" s="35">
        <f>IF('CRUDO MARTES'!AF15="Si",$N46,)</f>
        <v>0</v>
      </c>
      <c r="AM46" s="35"/>
      <c r="AN46" s="35">
        <f>IF('CRUDO MARTES'!AG15="Si",$N46,)</f>
        <v>0</v>
      </c>
      <c r="AO46" s="35"/>
      <c r="AP46" s="35">
        <f>IF('CRUDO MARTES'!AH15="Si",$N46,)</f>
        <v>0</v>
      </c>
      <c r="AQ46" s="35"/>
      <c r="AR46" s="35">
        <f>IF('CRUDO MARTES'!AI15="Si",$N46,)</f>
        <v>0</v>
      </c>
      <c r="AS46" s="35"/>
      <c r="AT46" s="35">
        <f>IF('CRUDO MARTES'!AJ15="Si",$N46,)</f>
        <v>0</v>
      </c>
      <c r="AU46" s="35"/>
      <c r="AV46" s="35">
        <f>IF('CRUDO MARTES'!AK15="Si",$N46,)</f>
        <v>0</v>
      </c>
      <c r="AW46" s="35">
        <f>IF('CRUDO MARTES'!AL15="Si",$N46,)</f>
        <v>0</v>
      </c>
      <c r="AX46" s="35">
        <f>IF('CRUDO MARTES'!AM15="Si",$N46,)</f>
        <v>0</v>
      </c>
      <c r="AY46" s="35">
        <f>IF('CRUDO MARTES'!AN15="Si",$N46,)</f>
        <v>0</v>
      </c>
      <c r="AZ46" s="35">
        <f>IF('CRUDO MARTES'!AO15="Si",$N46,)</f>
        <v>0</v>
      </c>
      <c r="BA46" s="35">
        <f>IF('CRUDO MARTES'!AP15="Si",$N46,)</f>
        <v>0</v>
      </c>
      <c r="BB46" s="35"/>
      <c r="BC46" s="35">
        <f>IF('CRUDO MARTES'!AQ15="Si",$N46,)</f>
        <v>0</v>
      </c>
      <c r="BD46" s="35"/>
      <c r="BE46" s="35">
        <f>IF('CRUDO MARTES'!AR15="Si",$N46,)</f>
        <v>0</v>
      </c>
      <c r="BF46" s="35"/>
      <c r="BG46" s="35">
        <f>IF('CRUDO MARTES'!AS15="Si",$N46,)</f>
        <v>0</v>
      </c>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3"/>
      <c r="DH46" s="33"/>
      <c r="DI46" s="33"/>
      <c r="DJ46" s="33"/>
      <c r="DK46" s="33"/>
    </row>
    <row r="47" spans="1:115" ht="13.2" hidden="1" x14ac:dyDescent="0.25">
      <c r="A47" s="30">
        <v>45002.35234153935</v>
      </c>
      <c r="B47" s="31" t="s">
        <v>404</v>
      </c>
      <c r="C47" s="31" t="s">
        <v>405</v>
      </c>
      <c r="D47" s="36" t="s">
        <v>406</v>
      </c>
      <c r="E47" s="31" t="s">
        <v>263</v>
      </c>
      <c r="F47" s="31" t="s">
        <v>407</v>
      </c>
      <c r="G47" s="31" t="s">
        <v>64</v>
      </c>
      <c r="H47" s="31" t="s">
        <v>408</v>
      </c>
      <c r="I47" s="31" t="s">
        <v>409</v>
      </c>
      <c r="J47" s="31" t="s">
        <v>410</v>
      </c>
      <c r="K47" s="31" t="s">
        <v>404</v>
      </c>
      <c r="L47" s="31" t="s">
        <v>67</v>
      </c>
      <c r="M47" s="31" t="s">
        <v>273</v>
      </c>
      <c r="N47" s="31">
        <v>0</v>
      </c>
      <c r="O47" s="31" t="s">
        <v>69</v>
      </c>
      <c r="P47" s="31">
        <v>4</v>
      </c>
      <c r="Q47" s="31">
        <v>5</v>
      </c>
      <c r="R47" s="31">
        <v>1</v>
      </c>
      <c r="S47" s="33"/>
      <c r="T47" s="31" t="s">
        <v>70</v>
      </c>
      <c r="U47" s="31" t="s">
        <v>71</v>
      </c>
      <c r="V47" s="8" t="s">
        <v>145</v>
      </c>
      <c r="W47" s="35">
        <f>IF('CRUDO MARTES'!W17="Si",$N47,)</f>
        <v>0</v>
      </c>
      <c r="X47" s="35">
        <f>IF('CRUDO MARTES'!X17="Si",$N47,)</f>
        <v>0</v>
      </c>
      <c r="Y47" s="35">
        <f>IF('CRUDO MARTES'!Y17="Si",$N47,)</f>
        <v>0</v>
      </c>
      <c r="Z47" s="35">
        <f>IF('CRUDO MARTES'!Z17="Si",$N47,)</f>
        <v>0</v>
      </c>
      <c r="AA47" s="35"/>
      <c r="AB47" s="35">
        <f>IF('CRUDO MARTES'!AA17="Si",$N47,)</f>
        <v>0</v>
      </c>
      <c r="AC47" s="35"/>
      <c r="AD47" s="35">
        <f>IF('CRUDO MARTES'!AB17="Si",$N47,)</f>
        <v>0</v>
      </c>
      <c r="AE47" s="35"/>
      <c r="AF47" s="35">
        <f>IF('CRUDO MARTES'!AC17="Si",$N47,)</f>
        <v>0</v>
      </c>
      <c r="AG47" s="35"/>
      <c r="AH47" s="35">
        <f>IF('CRUDO MARTES'!AD17="Si",$N47,)</f>
        <v>0</v>
      </c>
      <c r="AI47" s="35"/>
      <c r="AJ47" s="35">
        <f>IF('CRUDO MARTES'!AE17="Si",$N47,)</f>
        <v>0</v>
      </c>
      <c r="AK47" s="35"/>
      <c r="AL47" s="35">
        <f>IF('CRUDO MARTES'!AF17="Si",$N47,)</f>
        <v>0</v>
      </c>
      <c r="AM47" s="35"/>
      <c r="AN47" s="35">
        <f>IF('CRUDO MARTES'!AG17="Si",$N47,)</f>
        <v>0</v>
      </c>
      <c r="AO47" s="35"/>
      <c r="AP47" s="35">
        <f>IF('CRUDO MARTES'!AH17="Si",$N47,)</f>
        <v>0</v>
      </c>
      <c r="AQ47" s="35"/>
      <c r="AR47" s="35">
        <f>IF('CRUDO MARTES'!AI17="Si",$N47,)</f>
        <v>0</v>
      </c>
      <c r="AS47" s="35"/>
      <c r="AT47" s="35">
        <f>IF('CRUDO MARTES'!AJ17="Si",$N47,)</f>
        <v>0</v>
      </c>
      <c r="AU47" s="35"/>
      <c r="AV47" s="35">
        <f>IF('CRUDO MARTES'!AK17="Si",$N47,)</f>
        <v>0</v>
      </c>
      <c r="AW47" s="35">
        <f>IF('CRUDO MARTES'!AL17="Si",$N47,)</f>
        <v>0</v>
      </c>
      <c r="AX47" s="35">
        <f>IF('CRUDO MARTES'!AM17="Si",$N47,)</f>
        <v>0</v>
      </c>
      <c r="AY47" s="35">
        <f>IF('CRUDO MARTES'!AN17="Si",$N47,)</f>
        <v>0</v>
      </c>
      <c r="AZ47" s="35">
        <f>IF('CRUDO MARTES'!AO17="Si",$N47,)</f>
        <v>0</v>
      </c>
      <c r="BA47" s="35">
        <f>IF('CRUDO MARTES'!AP17="Si",$N47,)</f>
        <v>0</v>
      </c>
      <c r="BB47" s="35"/>
      <c r="BC47" s="35">
        <f>IF('CRUDO MARTES'!AQ17="Si",$N47,)</f>
        <v>0</v>
      </c>
      <c r="BD47" s="35"/>
      <c r="BE47" s="35">
        <f>IF('CRUDO MARTES'!AR17="Si",$N47,)</f>
        <v>0</v>
      </c>
      <c r="BF47" s="35"/>
      <c r="BG47" s="35">
        <f>IF('CRUDO MARTES'!AS17="Si",$N47,)</f>
        <v>0</v>
      </c>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c r="CW47" s="33"/>
      <c r="CX47" s="33"/>
      <c r="CY47" s="33"/>
      <c r="CZ47" s="33"/>
      <c r="DA47" s="33"/>
      <c r="DB47" s="33"/>
      <c r="DC47" s="33"/>
      <c r="DD47" s="33"/>
      <c r="DE47" s="33"/>
      <c r="DF47" s="33"/>
      <c r="DG47" s="33"/>
      <c r="DH47" s="33"/>
      <c r="DI47" s="33"/>
      <c r="DJ47" s="33"/>
      <c r="DK47" s="33"/>
    </row>
    <row r="48" spans="1:115" ht="13.2" hidden="1" x14ac:dyDescent="0.25">
      <c r="A48" s="3">
        <v>45002.001980173613</v>
      </c>
      <c r="B48" s="4" t="s">
        <v>424</v>
      </c>
      <c r="C48" s="4" t="s">
        <v>425</v>
      </c>
      <c r="D48" s="7" t="s">
        <v>426</v>
      </c>
      <c r="E48" s="4" t="s">
        <v>427</v>
      </c>
      <c r="F48" s="4" t="s">
        <v>428</v>
      </c>
      <c r="G48" s="4" t="s">
        <v>105</v>
      </c>
      <c r="H48" s="4" t="s">
        <v>429</v>
      </c>
      <c r="I48" s="4" t="s">
        <v>430</v>
      </c>
      <c r="J48" s="4" t="s">
        <v>431</v>
      </c>
      <c r="K48" s="4" t="s">
        <v>424</v>
      </c>
      <c r="L48" s="4" t="s">
        <v>67</v>
      </c>
      <c r="M48" s="4" t="s">
        <v>282</v>
      </c>
      <c r="N48" s="4">
        <v>0</v>
      </c>
      <c r="O48" s="4" t="s">
        <v>433</v>
      </c>
      <c r="P48" s="4">
        <v>4</v>
      </c>
      <c r="Q48" s="4">
        <v>2</v>
      </c>
      <c r="R48" s="4">
        <v>95</v>
      </c>
      <c r="T48" s="4" t="s">
        <v>70</v>
      </c>
      <c r="U48" s="4" t="s">
        <v>71</v>
      </c>
      <c r="V48" s="6" t="s">
        <v>145</v>
      </c>
      <c r="W48" s="37">
        <f>IF('CRUDO MARTES'!W18="Si",$N48,)</f>
        <v>0</v>
      </c>
      <c r="X48" s="37">
        <f>IF('CRUDO MARTES'!X18="Si",$N48,)</f>
        <v>0</v>
      </c>
      <c r="Y48" s="37">
        <f>IF('CRUDO MARTES'!Y18="Si",$N48,)</f>
        <v>0</v>
      </c>
      <c r="Z48" s="37">
        <f>IF('CRUDO MARTES'!Z18="Si",$N48,)</f>
        <v>0</v>
      </c>
      <c r="AA48" s="37"/>
      <c r="AB48" s="37">
        <f>IF('CRUDO MARTES'!AA18="Si",$N48,)</f>
        <v>0</v>
      </c>
      <c r="AC48" s="37"/>
      <c r="AD48" s="37">
        <f>IF('CRUDO MARTES'!AB18="Si",$N48,)</f>
        <v>0</v>
      </c>
      <c r="AE48" s="37"/>
      <c r="AF48" s="37">
        <f>IF('CRUDO MARTES'!AC18="Si",$N48,)</f>
        <v>0</v>
      </c>
      <c r="AG48" s="37"/>
      <c r="AH48" s="37">
        <f>IF('CRUDO MARTES'!AD18="Si",$N48,)</f>
        <v>0</v>
      </c>
      <c r="AI48" s="37"/>
      <c r="AJ48" s="37">
        <f>IF('CRUDO MARTES'!AE18="Si",$N48,)</f>
        <v>0</v>
      </c>
      <c r="AK48" s="37"/>
      <c r="AL48" s="37">
        <f>IF('CRUDO MARTES'!AF18="Si",$N48,)</f>
        <v>0</v>
      </c>
      <c r="AM48" s="37"/>
      <c r="AN48" s="37">
        <f>IF('CRUDO MARTES'!AG18="Si",$N48,)</f>
        <v>0</v>
      </c>
      <c r="AO48" s="37"/>
      <c r="AP48" s="37">
        <f>IF('CRUDO MARTES'!AH18="Si",$N48,)</f>
        <v>0</v>
      </c>
      <c r="AQ48" s="37"/>
      <c r="AR48" s="37">
        <f>IF('CRUDO MARTES'!AI18="Si",$N48,)</f>
        <v>0</v>
      </c>
      <c r="AS48" s="37"/>
      <c r="AT48" s="37">
        <f>IF('CRUDO MARTES'!AJ18="Si",$N48,)</f>
        <v>0</v>
      </c>
      <c r="AU48" s="37"/>
      <c r="AV48" s="37">
        <f>IF('CRUDO MARTES'!AK18="Si",$N48,)</f>
        <v>0</v>
      </c>
      <c r="AW48" s="37">
        <f>IF('CRUDO MARTES'!AL18="Si",$N48,)</f>
        <v>0</v>
      </c>
      <c r="AX48" s="37">
        <f>IF('CRUDO MARTES'!AM18="Si",$N48,)</f>
        <v>0</v>
      </c>
      <c r="AY48" s="37">
        <f>IF('CRUDO MARTES'!AN18="Si",$N48,)</f>
        <v>0</v>
      </c>
      <c r="AZ48" s="37">
        <f>IF('CRUDO MARTES'!AO18="Si",$N48,)</f>
        <v>0</v>
      </c>
      <c r="BA48" s="37">
        <f>IF('CRUDO MARTES'!AP18="Si",$N48,)</f>
        <v>0</v>
      </c>
      <c r="BB48" s="37"/>
      <c r="BC48" s="37">
        <f>IF('CRUDO MARTES'!AQ18="Si",$N48,)</f>
        <v>0</v>
      </c>
      <c r="BD48" s="37"/>
      <c r="BE48" s="37">
        <f>IF('CRUDO MARTES'!AR18="Si",$N48,)</f>
        <v>0</v>
      </c>
      <c r="BF48" s="37"/>
      <c r="BG48" s="37">
        <f>IF('CRUDO MARTES'!AS18="Si",$N48,)</f>
        <v>0</v>
      </c>
    </row>
    <row r="49" spans="1:115" ht="13.2" hidden="1" x14ac:dyDescent="0.25">
      <c r="A49" s="3">
        <v>45000.715677233791</v>
      </c>
      <c r="B49" s="4" t="s">
        <v>434</v>
      </c>
      <c r="C49" s="4" t="s">
        <v>435</v>
      </c>
      <c r="D49" s="5" t="s">
        <v>436</v>
      </c>
      <c r="E49" s="4" t="s">
        <v>103</v>
      </c>
      <c r="F49" s="4" t="s">
        <v>437</v>
      </c>
      <c r="G49" s="4" t="s">
        <v>105</v>
      </c>
      <c r="H49" s="4" t="s">
        <v>166</v>
      </c>
      <c r="I49" s="4" t="s">
        <v>438</v>
      </c>
      <c r="J49" s="4" t="s">
        <v>439</v>
      </c>
      <c r="K49" s="4" t="s">
        <v>434</v>
      </c>
      <c r="L49" s="4" t="s">
        <v>67</v>
      </c>
      <c r="M49" s="4" t="s">
        <v>228</v>
      </c>
      <c r="N49" s="4">
        <v>0</v>
      </c>
      <c r="O49" s="4" t="s">
        <v>97</v>
      </c>
      <c r="P49" s="4">
        <v>3</v>
      </c>
      <c r="Q49" s="4">
        <v>2</v>
      </c>
      <c r="R49" s="4">
        <v>30</v>
      </c>
      <c r="S49" s="4" t="s">
        <v>441</v>
      </c>
      <c r="T49" s="4" t="s">
        <v>70</v>
      </c>
      <c r="U49" s="4" t="s">
        <v>71</v>
      </c>
      <c r="V49" s="6" t="s">
        <v>145</v>
      </c>
      <c r="W49" s="37">
        <f>IF('CRUDO MARTES'!W19="Si",$N49,)</f>
        <v>0</v>
      </c>
      <c r="X49" s="37">
        <f>IF('CRUDO MARTES'!X19="Si",$N49,)</f>
        <v>0</v>
      </c>
      <c r="Y49" s="37">
        <f>IF('CRUDO MARTES'!Y19="Si",$N49,)</f>
        <v>0</v>
      </c>
      <c r="Z49" s="37">
        <f>IF('CRUDO MARTES'!Z19="Si",$N49,)</f>
        <v>0</v>
      </c>
      <c r="AA49" s="37"/>
      <c r="AB49" s="37">
        <f>IF('CRUDO MARTES'!AA19="Si",$N49,)</f>
        <v>0</v>
      </c>
      <c r="AC49" s="37"/>
      <c r="AD49" s="37">
        <f>IF('CRUDO MARTES'!AB19="Si",$N49,)</f>
        <v>0</v>
      </c>
      <c r="AE49" s="37"/>
      <c r="AF49" s="37">
        <f>IF('CRUDO MARTES'!AC19="Si",$N49,)</f>
        <v>0</v>
      </c>
      <c r="AG49" s="37"/>
      <c r="AH49" s="37">
        <f>IF('CRUDO MARTES'!AD19="Si",$N49,)</f>
        <v>0</v>
      </c>
      <c r="AI49" s="37"/>
      <c r="AJ49" s="37">
        <f>IF('CRUDO MARTES'!AE19="Si",$N49,)</f>
        <v>0</v>
      </c>
      <c r="AK49" s="37"/>
      <c r="AL49" s="37">
        <f>IF('CRUDO MARTES'!AF19="Si",$N49,)</f>
        <v>0</v>
      </c>
      <c r="AM49" s="37"/>
      <c r="AN49" s="37">
        <f>IF('CRUDO MARTES'!AG19="Si",$N49,)</f>
        <v>0</v>
      </c>
      <c r="AO49" s="37"/>
      <c r="AP49" s="37">
        <f>IF('CRUDO MARTES'!AH19="Si",$N49,)</f>
        <v>0</v>
      </c>
      <c r="AQ49" s="37"/>
      <c r="AR49" s="37">
        <f>IF('CRUDO MARTES'!AI19="Si",$N49,)</f>
        <v>0</v>
      </c>
      <c r="AS49" s="37"/>
      <c r="AT49" s="37">
        <f>IF('CRUDO MARTES'!AJ19="Si",$N49,)</f>
        <v>0</v>
      </c>
      <c r="AU49" s="37"/>
      <c r="AV49" s="37">
        <f>IF('CRUDO MARTES'!AK19="Si",$N49,)</f>
        <v>0</v>
      </c>
      <c r="AW49" s="37">
        <f>IF('CRUDO MARTES'!AL19="Si",$N49,)</f>
        <v>0</v>
      </c>
      <c r="AX49" s="37">
        <f>IF('CRUDO MARTES'!AM19="Si",$N49,)</f>
        <v>0</v>
      </c>
      <c r="AY49" s="37">
        <f>IF('CRUDO MARTES'!AN19="Si",$N49,)</f>
        <v>0</v>
      </c>
      <c r="AZ49" s="37">
        <f>IF('CRUDO MARTES'!AO19="Si",$N49,)</f>
        <v>0</v>
      </c>
      <c r="BA49" s="37">
        <f>IF('CRUDO MARTES'!AP19="Si",$N49,)</f>
        <v>0</v>
      </c>
      <c r="BB49" s="37"/>
      <c r="BC49" s="37">
        <f>IF('CRUDO MARTES'!AQ19="Si",$N49,)</f>
        <v>0</v>
      </c>
      <c r="BD49" s="37"/>
      <c r="BE49" s="37">
        <f>IF('CRUDO MARTES'!AR19="Si",$N49,)</f>
        <v>0</v>
      </c>
      <c r="BF49" s="37"/>
      <c r="BG49" s="37">
        <f>IF('CRUDO MARTES'!AS19="Si",$N49,)</f>
        <v>0</v>
      </c>
      <c r="BH49" s="4"/>
      <c r="BI49" s="4" t="s">
        <v>442</v>
      </c>
    </row>
    <row r="50" spans="1:115" ht="13.2" hidden="1" x14ac:dyDescent="0.25">
      <c r="A50" s="3">
        <v>45003.65646859954</v>
      </c>
      <c r="B50" s="4" t="s">
        <v>461</v>
      </c>
      <c r="C50" s="4" t="s">
        <v>462</v>
      </c>
      <c r="D50" s="7" t="s">
        <v>463</v>
      </c>
      <c r="E50" s="4" t="s">
        <v>103</v>
      </c>
      <c r="F50" s="4" t="s">
        <v>157</v>
      </c>
      <c r="G50" s="4" t="s">
        <v>64</v>
      </c>
      <c r="H50" s="4" t="s">
        <v>469</v>
      </c>
      <c r="I50" s="4" t="s">
        <v>466</v>
      </c>
      <c r="J50" s="4" t="s">
        <v>465</v>
      </c>
      <c r="K50" s="4" t="s">
        <v>461</v>
      </c>
      <c r="L50" s="4" t="s">
        <v>67</v>
      </c>
      <c r="M50" s="4" t="s">
        <v>298</v>
      </c>
      <c r="N50" s="4">
        <v>0</v>
      </c>
      <c r="O50" s="4" t="s">
        <v>97</v>
      </c>
      <c r="P50" s="4">
        <v>3</v>
      </c>
      <c r="Q50" s="4">
        <v>3</v>
      </c>
      <c r="R50" s="4">
        <v>30</v>
      </c>
      <c r="S50" s="4" t="s">
        <v>471</v>
      </c>
      <c r="T50" s="4" t="s">
        <v>70</v>
      </c>
      <c r="U50" s="4" t="s">
        <v>70</v>
      </c>
      <c r="V50" s="6" t="s">
        <v>145</v>
      </c>
      <c r="W50" s="37">
        <f>IF('CRUDO MARTES'!W21="Si",$N50,)</f>
        <v>0</v>
      </c>
      <c r="X50" s="37">
        <f>IF('CRUDO MARTES'!X21="Si",$N50,)</f>
        <v>0</v>
      </c>
      <c r="Y50" s="37">
        <f>IF('CRUDO MARTES'!Y21="Si",$N50,)</f>
        <v>0</v>
      </c>
      <c r="Z50" s="37">
        <f>IF('CRUDO MARTES'!Z21="Si",$N50,)</f>
        <v>0</v>
      </c>
      <c r="AA50" s="37"/>
      <c r="AB50" s="37">
        <f>IF('CRUDO MARTES'!AA21="Si",$N50,)</f>
        <v>0</v>
      </c>
      <c r="AC50" s="37"/>
      <c r="AD50" s="37">
        <f>IF('CRUDO MARTES'!AB21="Si",$N50,)</f>
        <v>0</v>
      </c>
      <c r="AE50" s="37"/>
      <c r="AF50" s="37">
        <f>IF('CRUDO MARTES'!AC21="Si",$N50,)</f>
        <v>0</v>
      </c>
      <c r="AG50" s="37"/>
      <c r="AH50" s="37">
        <f>IF('CRUDO MARTES'!AD21="Si",$N50,)</f>
        <v>0</v>
      </c>
      <c r="AI50" s="37"/>
      <c r="AJ50" s="37">
        <f>IF('CRUDO MARTES'!AE21="Si",$N50,)</f>
        <v>0</v>
      </c>
      <c r="AK50" s="37"/>
      <c r="AL50" s="37">
        <f>IF('CRUDO MARTES'!AF21="Si",$N50,)</f>
        <v>0</v>
      </c>
      <c r="AM50" s="37"/>
      <c r="AN50" s="37">
        <f>IF('CRUDO MARTES'!AG21="Si",$N50,)</f>
        <v>0</v>
      </c>
      <c r="AO50" s="37"/>
      <c r="AP50" s="37">
        <f>IF('CRUDO MARTES'!AH21="Si",$N50,)</f>
        <v>0</v>
      </c>
      <c r="AQ50" s="37"/>
      <c r="AR50" s="37">
        <f>IF('CRUDO MARTES'!AI21="Si",$N50,)</f>
        <v>0</v>
      </c>
      <c r="AS50" s="37"/>
      <c r="AT50" s="37">
        <f>IF('CRUDO MARTES'!AJ21="Si",$N50,)</f>
        <v>0</v>
      </c>
      <c r="AU50" s="37"/>
      <c r="AV50" s="37">
        <f>IF('CRUDO MARTES'!AK21="Si",$N50,)</f>
        <v>0</v>
      </c>
      <c r="AW50" s="37">
        <f>IF('CRUDO MARTES'!AL21="Si",$N50,)</f>
        <v>0</v>
      </c>
      <c r="AX50" s="37">
        <f>IF('CRUDO MARTES'!AM21="Si",$N50,)</f>
        <v>0</v>
      </c>
      <c r="AY50" s="37">
        <f>IF('CRUDO MARTES'!AN21="Si",$N50,)</f>
        <v>0</v>
      </c>
      <c r="AZ50" s="37">
        <f>IF('CRUDO MARTES'!AO21="Si",$N50,)</f>
        <v>0</v>
      </c>
      <c r="BA50" s="37">
        <f>IF('CRUDO MARTES'!AP21="Si",$N50,)</f>
        <v>0</v>
      </c>
      <c r="BB50" s="37"/>
      <c r="BC50" s="37">
        <f>IF('CRUDO MARTES'!AQ21="Si",$N50,)</f>
        <v>0</v>
      </c>
      <c r="BD50" s="37"/>
      <c r="BE50" s="37">
        <f>IF('CRUDO MARTES'!AR21="Si",$N50,)</f>
        <v>0</v>
      </c>
      <c r="BF50" s="37"/>
      <c r="BG50" s="37">
        <f>IF('CRUDO MARTES'!AS21="Si",$N50,)</f>
        <v>0</v>
      </c>
      <c r="BH50" s="4"/>
      <c r="BI50" s="4" t="s">
        <v>472</v>
      </c>
    </row>
    <row r="51" spans="1:115" ht="13.2" hidden="1" x14ac:dyDescent="0.25">
      <c r="A51" s="30">
        <v>45000.8241647338</v>
      </c>
      <c r="B51" s="31" t="s">
        <v>493</v>
      </c>
      <c r="C51" s="31" t="s">
        <v>494</v>
      </c>
      <c r="D51" s="32" t="s">
        <v>495</v>
      </c>
      <c r="E51" s="31" t="s">
        <v>103</v>
      </c>
      <c r="F51" s="31" t="s">
        <v>496</v>
      </c>
      <c r="G51" s="31" t="s">
        <v>64</v>
      </c>
      <c r="H51" s="31" t="s">
        <v>497</v>
      </c>
      <c r="I51" s="31" t="s">
        <v>498</v>
      </c>
      <c r="J51" s="33"/>
      <c r="K51" s="31" t="s">
        <v>493</v>
      </c>
      <c r="L51" s="31" t="s">
        <v>67</v>
      </c>
      <c r="M51" s="31" t="s">
        <v>322</v>
      </c>
      <c r="N51" s="31">
        <v>0</v>
      </c>
      <c r="O51" s="31" t="s">
        <v>200</v>
      </c>
      <c r="P51" s="31">
        <v>3</v>
      </c>
      <c r="Q51" s="31">
        <v>1</v>
      </c>
      <c r="R51" s="31">
        <v>15</v>
      </c>
      <c r="S51" s="33"/>
      <c r="T51" s="31" t="s">
        <v>70</v>
      </c>
      <c r="U51" s="31" t="s">
        <v>71</v>
      </c>
      <c r="V51" s="8" t="s">
        <v>145</v>
      </c>
      <c r="W51" s="35">
        <f>IF('CRUDO MARTES'!W26="Si",$N51,)</f>
        <v>0</v>
      </c>
      <c r="X51" s="35">
        <f>IF('CRUDO MARTES'!X26="Si",$N51,)</f>
        <v>0</v>
      </c>
      <c r="Y51" s="35">
        <f>IF('CRUDO MARTES'!Y26="Si",$N51,)</f>
        <v>0</v>
      </c>
      <c r="Z51" s="35">
        <f>IF('CRUDO MARTES'!Z26="Si",$N51,)</f>
        <v>0</v>
      </c>
      <c r="AA51" s="35"/>
      <c r="AB51" s="35">
        <f>IF('CRUDO MARTES'!AA26="Si",$N51,)</f>
        <v>0</v>
      </c>
      <c r="AC51" s="35"/>
      <c r="AD51" s="35">
        <f>IF('CRUDO MARTES'!AB26="Si",$N51,)</f>
        <v>0</v>
      </c>
      <c r="AE51" s="35"/>
      <c r="AF51" s="35">
        <f>IF('CRUDO MARTES'!AC26="Si",$N51,)</f>
        <v>0</v>
      </c>
      <c r="AG51" s="35"/>
      <c r="AH51" s="35">
        <f>IF('CRUDO MARTES'!AD26="Si",$N51,)</f>
        <v>0</v>
      </c>
      <c r="AI51" s="35"/>
      <c r="AJ51" s="35">
        <f>IF('CRUDO MARTES'!AE26="Si",$N51,)</f>
        <v>0</v>
      </c>
      <c r="AK51" s="35"/>
      <c r="AL51" s="35">
        <f>IF('CRUDO MARTES'!AF26="Si",$N51,)</f>
        <v>0</v>
      </c>
      <c r="AM51" s="35"/>
      <c r="AN51" s="35">
        <f>IF('CRUDO MARTES'!AG26="Si",$N51,)</f>
        <v>0</v>
      </c>
      <c r="AO51" s="35"/>
      <c r="AP51" s="35">
        <f>IF('CRUDO MARTES'!AH26="Si",$N51,)</f>
        <v>0</v>
      </c>
      <c r="AQ51" s="35"/>
      <c r="AR51" s="35">
        <f>IF('CRUDO MARTES'!AI26="Si",$N51,)</f>
        <v>0</v>
      </c>
      <c r="AS51" s="35"/>
      <c r="AT51" s="35">
        <f>IF('CRUDO MARTES'!AJ26="Si",$N51,)</f>
        <v>0</v>
      </c>
      <c r="AU51" s="35"/>
      <c r="AV51" s="35">
        <f>IF('CRUDO MARTES'!AK26="Si",$N51,)</f>
        <v>0</v>
      </c>
      <c r="AW51" s="35">
        <f>IF('CRUDO MARTES'!AL26="Si",$N51,)</f>
        <v>0</v>
      </c>
      <c r="AX51" s="35">
        <f>IF('CRUDO MARTES'!AM26="Si",$N51,)</f>
        <v>0</v>
      </c>
      <c r="AY51" s="35">
        <f>IF('CRUDO MARTES'!AN26="Si",$N51,)</f>
        <v>0</v>
      </c>
      <c r="AZ51" s="35">
        <f>IF('CRUDO MARTES'!AO26="Si",$N51,)</f>
        <v>0</v>
      </c>
      <c r="BA51" s="35">
        <f>IF('CRUDO MARTES'!AP26="Si",$N51,)</f>
        <v>0</v>
      </c>
      <c r="BB51" s="35"/>
      <c r="BC51" s="35">
        <f>IF('CRUDO MARTES'!AQ26="Si",$N51,)</f>
        <v>0</v>
      </c>
      <c r="BD51" s="35"/>
      <c r="BE51" s="35">
        <f>IF('CRUDO MARTES'!AR26="Si",$N51,)</f>
        <v>0</v>
      </c>
      <c r="BF51" s="35"/>
      <c r="BG51" s="35">
        <f>IF('CRUDO MARTES'!AS26="Si",$N51,)</f>
        <v>0</v>
      </c>
      <c r="BH51" s="31"/>
      <c r="BI51" s="31" t="s">
        <v>500</v>
      </c>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33"/>
      <c r="DB51" s="33"/>
      <c r="DC51" s="33"/>
      <c r="DD51" s="33"/>
      <c r="DE51" s="33"/>
      <c r="DF51" s="33"/>
      <c r="DG51" s="33"/>
      <c r="DH51" s="33"/>
      <c r="DI51" s="33"/>
      <c r="DJ51" s="33"/>
      <c r="DK51" s="33"/>
    </row>
    <row r="52" spans="1:115" ht="13.2" hidden="1" x14ac:dyDescent="0.25">
      <c r="A52" s="30">
        <v>45000.830641712964</v>
      </c>
      <c r="B52" s="31" t="s">
        <v>493</v>
      </c>
      <c r="C52" s="31" t="s">
        <v>494</v>
      </c>
      <c r="D52" s="32" t="s">
        <v>495</v>
      </c>
      <c r="E52" s="31" t="s">
        <v>103</v>
      </c>
      <c r="F52" s="31" t="s">
        <v>446</v>
      </c>
      <c r="G52" s="31" t="s">
        <v>64</v>
      </c>
      <c r="H52" s="31" t="s">
        <v>497</v>
      </c>
      <c r="I52" s="31" t="s">
        <v>506</v>
      </c>
      <c r="J52" s="33"/>
      <c r="K52" s="31" t="s">
        <v>493</v>
      </c>
      <c r="L52" s="31" t="s">
        <v>67</v>
      </c>
      <c r="M52" s="31" t="s">
        <v>322</v>
      </c>
      <c r="N52" s="31">
        <v>0</v>
      </c>
      <c r="O52" s="31" t="s">
        <v>200</v>
      </c>
      <c r="P52" s="31">
        <v>3</v>
      </c>
      <c r="Q52" s="31">
        <v>1</v>
      </c>
      <c r="R52" s="31">
        <v>15</v>
      </c>
      <c r="S52" s="33"/>
      <c r="T52" s="31" t="s">
        <v>70</v>
      </c>
      <c r="U52" s="31" t="s">
        <v>71</v>
      </c>
      <c r="V52" s="8" t="s">
        <v>145</v>
      </c>
      <c r="W52" s="35">
        <f>IF('CRUDO MARTES'!W27="Si",$N52,)</f>
        <v>0</v>
      </c>
      <c r="X52" s="35">
        <f>IF('CRUDO MARTES'!X27="Si",$N52,)</f>
        <v>0</v>
      </c>
      <c r="Y52" s="35">
        <f>IF('CRUDO MARTES'!Y27="Si",$N52,)</f>
        <v>0</v>
      </c>
      <c r="Z52" s="35">
        <f>IF('CRUDO MARTES'!Z27="Si",$N52,)</f>
        <v>0</v>
      </c>
      <c r="AA52" s="35"/>
      <c r="AB52" s="35">
        <f>IF('CRUDO MARTES'!AA27="Si",$N52,)</f>
        <v>0</v>
      </c>
      <c r="AC52" s="35"/>
      <c r="AD52" s="35">
        <f>IF('CRUDO MARTES'!AB27="Si",$N52,)</f>
        <v>0</v>
      </c>
      <c r="AE52" s="35"/>
      <c r="AF52" s="35">
        <f>IF('CRUDO MARTES'!AC27="Si",$N52,)</f>
        <v>0</v>
      </c>
      <c r="AG52" s="35"/>
      <c r="AH52" s="35">
        <f>IF('CRUDO MARTES'!AD27="Si",$N52,)</f>
        <v>0</v>
      </c>
      <c r="AI52" s="35"/>
      <c r="AJ52" s="35">
        <f>IF('CRUDO MARTES'!AE27="Si",$N52,)</f>
        <v>0</v>
      </c>
      <c r="AK52" s="35"/>
      <c r="AL52" s="35">
        <f>IF('CRUDO MARTES'!AF27="Si",$N52,)</f>
        <v>0</v>
      </c>
      <c r="AM52" s="35"/>
      <c r="AN52" s="35">
        <f>IF('CRUDO MARTES'!AG27="Si",$N52,)</f>
        <v>0</v>
      </c>
      <c r="AO52" s="35"/>
      <c r="AP52" s="35">
        <f>IF('CRUDO MARTES'!AH27="Si",$N52,)</f>
        <v>0</v>
      </c>
      <c r="AQ52" s="35"/>
      <c r="AR52" s="35">
        <f>IF('CRUDO MARTES'!AI27="Si",$N52,)</f>
        <v>0</v>
      </c>
      <c r="AS52" s="35"/>
      <c r="AT52" s="35">
        <f>IF('CRUDO MARTES'!AJ27="Si",$N52,)</f>
        <v>0</v>
      </c>
      <c r="AU52" s="35"/>
      <c r="AV52" s="35">
        <f>IF('CRUDO MARTES'!AK27="Si",$N52,)</f>
        <v>0</v>
      </c>
      <c r="AW52" s="35">
        <f>IF('CRUDO MARTES'!AL27="Si",$N52,)</f>
        <v>0</v>
      </c>
      <c r="AX52" s="35">
        <f>IF('CRUDO MARTES'!AM27="Si",$N52,)</f>
        <v>0</v>
      </c>
      <c r="AY52" s="35">
        <f>IF('CRUDO MARTES'!AN27="Si",$N52,)</f>
        <v>0</v>
      </c>
      <c r="AZ52" s="35">
        <f>IF('CRUDO MARTES'!AO27="Si",$N52,)</f>
        <v>0</v>
      </c>
      <c r="BA52" s="35">
        <f>IF('CRUDO MARTES'!AP27="Si",$N52,)</f>
        <v>0</v>
      </c>
      <c r="BB52" s="35"/>
      <c r="BC52" s="35">
        <f>IF('CRUDO MARTES'!AQ27="Si",$N52,)</f>
        <v>0</v>
      </c>
      <c r="BD52" s="35"/>
      <c r="BE52" s="35">
        <f>IF('CRUDO MARTES'!AR27="Si",$N52,)</f>
        <v>0</v>
      </c>
      <c r="BF52" s="35"/>
      <c r="BG52" s="35">
        <f>IF('CRUDO MARTES'!AS27="Si",$N52,)</f>
        <v>0</v>
      </c>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c r="CW52" s="33"/>
      <c r="CX52" s="33"/>
      <c r="CY52" s="33"/>
      <c r="CZ52" s="33"/>
      <c r="DA52" s="33"/>
      <c r="DB52" s="33"/>
      <c r="DC52" s="33"/>
      <c r="DD52" s="33"/>
      <c r="DE52" s="33"/>
      <c r="DF52" s="33"/>
      <c r="DG52" s="33"/>
      <c r="DH52" s="33"/>
      <c r="DI52" s="33"/>
      <c r="DJ52" s="33"/>
      <c r="DK52" s="33"/>
    </row>
    <row r="53" spans="1:115" ht="13.2" hidden="1" x14ac:dyDescent="0.25">
      <c r="A53" s="3">
        <v>45001.784191354163</v>
      </c>
      <c r="B53" s="4" t="s">
        <v>508</v>
      </c>
      <c r="C53" s="4" t="s">
        <v>509</v>
      </c>
      <c r="D53" s="7" t="s">
        <v>510</v>
      </c>
      <c r="E53" s="4" t="s">
        <v>263</v>
      </c>
      <c r="F53" s="4" t="s">
        <v>511</v>
      </c>
      <c r="G53" s="4" t="s">
        <v>64</v>
      </c>
      <c r="H53" s="4" t="s">
        <v>512</v>
      </c>
      <c r="I53" s="4" t="s">
        <v>513</v>
      </c>
      <c r="J53" s="4" t="s">
        <v>514</v>
      </c>
      <c r="K53" s="4" t="s">
        <v>508</v>
      </c>
      <c r="L53" s="4" t="s">
        <v>67</v>
      </c>
      <c r="M53" s="4" t="s">
        <v>303</v>
      </c>
      <c r="N53" s="4">
        <v>0</v>
      </c>
      <c r="O53" s="4" t="s">
        <v>97</v>
      </c>
      <c r="P53" s="4">
        <v>5</v>
      </c>
      <c r="Q53" s="4">
        <v>4</v>
      </c>
      <c r="R53" s="4">
        <v>5</v>
      </c>
      <c r="T53" s="4" t="s">
        <v>70</v>
      </c>
      <c r="U53" s="4" t="s">
        <v>71</v>
      </c>
      <c r="V53" s="6" t="s">
        <v>145</v>
      </c>
      <c r="W53" s="37">
        <f>IF('CRUDO MARTES'!W28="Si",$N53,)</f>
        <v>0</v>
      </c>
      <c r="X53" s="37">
        <f>IF('CRUDO MARTES'!X28="Si",$N53,)</f>
        <v>0</v>
      </c>
      <c r="Y53" s="37">
        <f>IF('CRUDO MARTES'!Y28="Si",$N53,)</f>
        <v>0</v>
      </c>
      <c r="Z53" s="37">
        <f>IF('CRUDO MARTES'!Z28="Si",$N53,)</f>
        <v>0</v>
      </c>
      <c r="AA53" s="37"/>
      <c r="AB53" s="37">
        <f>IF('CRUDO MARTES'!AA28="Si",$N53,)</f>
        <v>0</v>
      </c>
      <c r="AC53" s="37"/>
      <c r="AD53" s="37">
        <f>IF('CRUDO MARTES'!AB28="Si",$N53,)</f>
        <v>0</v>
      </c>
      <c r="AE53" s="37"/>
      <c r="AF53" s="37">
        <f>IF('CRUDO MARTES'!AC28="Si",$N53,)</f>
        <v>0</v>
      </c>
      <c r="AG53" s="37"/>
      <c r="AH53" s="37">
        <f>IF('CRUDO MARTES'!AD28="Si",$N53,)</f>
        <v>0</v>
      </c>
      <c r="AI53" s="37"/>
      <c r="AJ53" s="37">
        <f>IF('CRUDO MARTES'!AE28="Si",$N53,)</f>
        <v>0</v>
      </c>
      <c r="AK53" s="37"/>
      <c r="AL53" s="37">
        <f>IF('CRUDO MARTES'!AF28="Si",$N53,)</f>
        <v>0</v>
      </c>
      <c r="AM53" s="37"/>
      <c r="AN53" s="37">
        <f>IF('CRUDO MARTES'!AG28="Si",$N53,)</f>
        <v>0</v>
      </c>
      <c r="AO53" s="37"/>
      <c r="AP53" s="37">
        <f>IF('CRUDO MARTES'!AH28="Si",$N53,)</f>
        <v>0</v>
      </c>
      <c r="AQ53" s="37"/>
      <c r="AR53" s="37">
        <f>IF('CRUDO MARTES'!AI28="Si",$N53,)</f>
        <v>0</v>
      </c>
      <c r="AS53" s="37"/>
      <c r="AT53" s="37">
        <f>IF('CRUDO MARTES'!AJ28="Si",$N53,)</f>
        <v>0</v>
      </c>
      <c r="AU53" s="37"/>
      <c r="AV53" s="37">
        <f>IF('CRUDO MARTES'!AK28="Si",$N53,)</f>
        <v>0</v>
      </c>
      <c r="AW53" s="37">
        <f>IF('CRUDO MARTES'!AL28="Si",$N53,)</f>
        <v>0</v>
      </c>
      <c r="AX53" s="37">
        <f>IF('CRUDO MARTES'!AM28="Si",$N53,)</f>
        <v>0</v>
      </c>
      <c r="AY53" s="37">
        <f>IF('CRUDO MARTES'!AN28="Si",$N53,)</f>
        <v>0</v>
      </c>
      <c r="AZ53" s="37">
        <f>IF('CRUDO MARTES'!AO28="Si",$N53,)</f>
        <v>0</v>
      </c>
      <c r="BA53" s="37">
        <f>IF('CRUDO MARTES'!AP28="Si",$N53,)</f>
        <v>0</v>
      </c>
      <c r="BB53" s="37"/>
      <c r="BC53" s="37">
        <f>IF('CRUDO MARTES'!AQ28="Si",$N53,)</f>
        <v>0</v>
      </c>
      <c r="BD53" s="37"/>
      <c r="BE53" s="37">
        <f>IF('CRUDO MARTES'!AR28="Si",$N53,)</f>
        <v>0</v>
      </c>
      <c r="BF53" s="37"/>
      <c r="BG53" s="37">
        <f>IF('CRUDO MARTES'!AS28="Si",$N53,)</f>
        <v>0</v>
      </c>
    </row>
    <row r="54" spans="1:115" ht="13.2" hidden="1" x14ac:dyDescent="0.25">
      <c r="A54" s="3">
        <v>45000.700057268521</v>
      </c>
      <c r="B54" s="4" t="s">
        <v>524</v>
      </c>
      <c r="C54" s="4" t="s">
        <v>525</v>
      </c>
      <c r="D54" s="5" t="s">
        <v>526</v>
      </c>
      <c r="E54" s="4" t="s">
        <v>103</v>
      </c>
      <c r="F54" s="4" t="s">
        <v>527</v>
      </c>
      <c r="G54" s="4" t="s">
        <v>64</v>
      </c>
      <c r="H54" s="4" t="s">
        <v>528</v>
      </c>
      <c r="I54" s="4" t="s">
        <v>529</v>
      </c>
      <c r="K54" s="4" t="s">
        <v>524</v>
      </c>
      <c r="L54" s="4" t="s">
        <v>67</v>
      </c>
      <c r="M54" s="4" t="s">
        <v>68</v>
      </c>
      <c r="N54" s="4">
        <v>0</v>
      </c>
      <c r="O54" s="4" t="s">
        <v>200</v>
      </c>
      <c r="P54" s="4">
        <v>4</v>
      </c>
      <c r="Q54" s="4">
        <v>5</v>
      </c>
      <c r="R54" s="4">
        <v>0</v>
      </c>
      <c r="T54" s="4" t="s">
        <v>70</v>
      </c>
      <c r="U54" s="4" t="s">
        <v>71</v>
      </c>
      <c r="V54" s="6" t="s">
        <v>145</v>
      </c>
      <c r="W54" s="37">
        <f>IF('CRUDO MARTES'!W29="Si",$N54,)</f>
        <v>0</v>
      </c>
      <c r="X54" s="37">
        <f>IF('CRUDO MARTES'!X29="Si",$N54,)</f>
        <v>0</v>
      </c>
      <c r="Y54" s="37">
        <f>IF('CRUDO MARTES'!Y29="Si",$N54,)</f>
        <v>0</v>
      </c>
      <c r="Z54" s="37">
        <f>IF('CRUDO MARTES'!Z29="Si",$N54,)</f>
        <v>0</v>
      </c>
      <c r="AA54" s="37"/>
      <c r="AB54" s="37">
        <f>IF('CRUDO MARTES'!AA29="Si",$N54,)</f>
        <v>0</v>
      </c>
      <c r="AC54" s="37"/>
      <c r="AD54" s="37">
        <f>IF('CRUDO MARTES'!AB29="Si",$N54,)</f>
        <v>0</v>
      </c>
      <c r="AE54" s="37"/>
      <c r="AF54" s="37">
        <f>IF('CRUDO MARTES'!AC29="Si",$N54,)</f>
        <v>0</v>
      </c>
      <c r="AG54" s="37"/>
      <c r="AH54" s="37">
        <f>IF('CRUDO MARTES'!AD29="Si",$N54,)</f>
        <v>0</v>
      </c>
      <c r="AI54" s="37"/>
      <c r="AJ54" s="37">
        <f>IF('CRUDO MARTES'!AE29="Si",$N54,)</f>
        <v>0</v>
      </c>
      <c r="AK54" s="37"/>
      <c r="AL54" s="37">
        <f>IF('CRUDO MARTES'!AF29="Si",$N54,)</f>
        <v>0</v>
      </c>
      <c r="AM54" s="37"/>
      <c r="AN54" s="37">
        <f>IF('CRUDO MARTES'!AG29="Si",$N54,)</f>
        <v>0</v>
      </c>
      <c r="AO54" s="37"/>
      <c r="AP54" s="37">
        <f>IF('CRUDO MARTES'!AH29="Si",$N54,)</f>
        <v>0</v>
      </c>
      <c r="AQ54" s="37"/>
      <c r="AR54" s="37">
        <f>IF('CRUDO MARTES'!AI29="Si",$N54,)</f>
        <v>0</v>
      </c>
      <c r="AS54" s="37"/>
      <c r="AT54" s="37">
        <f>IF('CRUDO MARTES'!AJ29="Si",$N54,)</f>
        <v>0</v>
      </c>
      <c r="AU54" s="37"/>
      <c r="AV54" s="37">
        <f>IF('CRUDO MARTES'!AK29="Si",$N54,)</f>
        <v>0</v>
      </c>
      <c r="AW54" s="37">
        <f>IF('CRUDO MARTES'!AL29="Si",$N54,)</f>
        <v>0</v>
      </c>
      <c r="AX54" s="37">
        <f>IF('CRUDO MARTES'!AM29="Si",$N54,)</f>
        <v>0</v>
      </c>
      <c r="AY54" s="37">
        <f>IF('CRUDO MARTES'!AN29="Si",$N54,)</f>
        <v>0</v>
      </c>
      <c r="AZ54" s="37">
        <f>IF('CRUDO MARTES'!AO29="Si",$N54,)</f>
        <v>0</v>
      </c>
      <c r="BA54" s="37">
        <f>IF('CRUDO MARTES'!AP29="Si",$N54,)</f>
        <v>0</v>
      </c>
      <c r="BB54" s="37"/>
      <c r="BC54" s="37">
        <f>IF('CRUDO MARTES'!AQ29="Si",$N54,)</f>
        <v>0</v>
      </c>
      <c r="BD54" s="37"/>
      <c r="BE54" s="37">
        <f>IF('CRUDO MARTES'!AR29="Si",$N54,)</f>
        <v>0</v>
      </c>
      <c r="BF54" s="37"/>
      <c r="BG54" s="37">
        <f>IF('CRUDO MARTES'!AS29="Si",$N54,)</f>
        <v>0</v>
      </c>
    </row>
    <row r="55" spans="1:115" ht="13.2" hidden="1" x14ac:dyDescent="0.25">
      <c r="A55" s="3">
        <v>45001.394216238426</v>
      </c>
      <c r="B55" s="4" t="s">
        <v>535</v>
      </c>
      <c r="C55" s="4" t="s">
        <v>536</v>
      </c>
      <c r="D55" s="7" t="s">
        <v>537</v>
      </c>
      <c r="E55" s="4" t="s">
        <v>103</v>
      </c>
      <c r="F55" s="4" t="s">
        <v>538</v>
      </c>
      <c r="G55" s="4" t="s">
        <v>64</v>
      </c>
      <c r="H55" s="4" t="s">
        <v>539</v>
      </c>
      <c r="I55" s="4" t="s">
        <v>540</v>
      </c>
      <c r="K55" s="4" t="s">
        <v>535</v>
      </c>
      <c r="L55" s="4" t="s">
        <v>67</v>
      </c>
      <c r="M55" s="4" t="s">
        <v>331</v>
      </c>
      <c r="N55" s="4">
        <v>0</v>
      </c>
      <c r="O55" s="4" t="s">
        <v>200</v>
      </c>
      <c r="P55" s="4">
        <v>4</v>
      </c>
      <c r="Q55" s="4">
        <v>3</v>
      </c>
      <c r="R55" s="4">
        <v>10</v>
      </c>
      <c r="S55" s="4" t="s">
        <v>542</v>
      </c>
      <c r="T55" s="4" t="s">
        <v>70</v>
      </c>
      <c r="U55" s="4" t="s">
        <v>71</v>
      </c>
      <c r="V55" s="6" t="s">
        <v>145</v>
      </c>
      <c r="W55" s="37">
        <f>IF('CRUDO MARTES'!W30="Si",$N55,)</f>
        <v>0</v>
      </c>
      <c r="X55" s="37">
        <f>IF('CRUDO MARTES'!X30="Si",$N55,)</f>
        <v>0</v>
      </c>
      <c r="Y55" s="37">
        <f>IF('CRUDO MARTES'!Y30="Si",$N55,)</f>
        <v>0</v>
      </c>
      <c r="Z55" s="37">
        <f>IF('CRUDO MARTES'!Z30="Si",$N55,)</f>
        <v>0</v>
      </c>
      <c r="AA55" s="37"/>
      <c r="AB55" s="37">
        <f>IF('CRUDO MARTES'!AA30="Si",$N55,)</f>
        <v>0</v>
      </c>
      <c r="AC55" s="37"/>
      <c r="AD55" s="37">
        <f>IF('CRUDO MARTES'!AB30="Si",$N55,)</f>
        <v>0</v>
      </c>
      <c r="AE55" s="37"/>
      <c r="AF55" s="37">
        <f>IF('CRUDO MARTES'!AC30="Si",$N55,)</f>
        <v>0</v>
      </c>
      <c r="AG55" s="37"/>
      <c r="AH55" s="37">
        <f>IF('CRUDO MARTES'!AD30="Si",$N55,)</f>
        <v>0</v>
      </c>
      <c r="AI55" s="37"/>
      <c r="AJ55" s="37">
        <f>IF('CRUDO MARTES'!AE30="Si",$N55,)</f>
        <v>0</v>
      </c>
      <c r="AK55" s="37"/>
      <c r="AL55" s="37">
        <f>IF('CRUDO MARTES'!AF30="Si",$N55,)</f>
        <v>0</v>
      </c>
      <c r="AM55" s="37"/>
      <c r="AN55" s="37">
        <f>IF('CRUDO MARTES'!AG30="Si",$N55,)</f>
        <v>0</v>
      </c>
      <c r="AO55" s="37"/>
      <c r="AP55" s="37">
        <f>IF('CRUDO MARTES'!AH30="Si",$N55,)</f>
        <v>0</v>
      </c>
      <c r="AQ55" s="37"/>
      <c r="AR55" s="37">
        <f>IF('CRUDO MARTES'!AI30="Si",$N55,)</f>
        <v>0</v>
      </c>
      <c r="AS55" s="37"/>
      <c r="AT55" s="37">
        <f>IF('CRUDO MARTES'!AJ30="Si",$N55,)</f>
        <v>0</v>
      </c>
      <c r="AU55" s="37"/>
      <c r="AV55" s="37">
        <f>IF('CRUDO MARTES'!AK30="Si",$N55,)</f>
        <v>0</v>
      </c>
      <c r="AW55" s="37">
        <f>IF('CRUDO MARTES'!AL30="Si",$N55,)</f>
        <v>0</v>
      </c>
      <c r="AX55" s="37">
        <f>IF('CRUDO MARTES'!AM30="Si",$N55,)</f>
        <v>0</v>
      </c>
      <c r="AY55" s="37">
        <f>IF('CRUDO MARTES'!AN30="Si",$N55,)</f>
        <v>0</v>
      </c>
      <c r="AZ55" s="37">
        <f>IF('CRUDO MARTES'!AO30="Si",$N55,)</f>
        <v>0</v>
      </c>
      <c r="BA55" s="37">
        <f>IF('CRUDO MARTES'!AP30="Si",$N55,)</f>
        <v>0</v>
      </c>
      <c r="BB55" s="37"/>
      <c r="BC55" s="37">
        <f>IF('CRUDO MARTES'!AQ30="Si",$N55,)</f>
        <v>0</v>
      </c>
      <c r="BD55" s="37"/>
      <c r="BE55" s="37">
        <f>IF('CRUDO MARTES'!AR30="Si",$N55,)</f>
        <v>0</v>
      </c>
      <c r="BF55" s="37"/>
      <c r="BG55" s="37">
        <f>IF('CRUDO MARTES'!AS30="Si",$N55,)</f>
        <v>0</v>
      </c>
      <c r="BH55" s="4"/>
      <c r="BI55" s="4" t="s">
        <v>543</v>
      </c>
    </row>
    <row r="56" spans="1:115" ht="13.2" hidden="1" x14ac:dyDescent="0.25">
      <c r="A56" s="3">
        <v>45000.66579269676</v>
      </c>
      <c r="B56" s="4" t="s">
        <v>572</v>
      </c>
      <c r="C56" s="4" t="s">
        <v>580</v>
      </c>
      <c r="D56" s="5" t="s">
        <v>574</v>
      </c>
      <c r="E56" s="4" t="s">
        <v>427</v>
      </c>
      <c r="F56" s="4" t="s">
        <v>581</v>
      </c>
      <c r="G56" s="4" t="s">
        <v>64</v>
      </c>
      <c r="H56" s="4" t="s">
        <v>576</v>
      </c>
      <c r="I56" s="4" t="s">
        <v>582</v>
      </c>
      <c r="J56" s="4" t="s">
        <v>578</v>
      </c>
      <c r="K56" s="4" t="s">
        <v>572</v>
      </c>
      <c r="L56" s="4" t="s">
        <v>67</v>
      </c>
      <c r="M56" s="4" t="s">
        <v>338</v>
      </c>
      <c r="N56" s="4">
        <v>0</v>
      </c>
      <c r="O56" s="4" t="s">
        <v>97</v>
      </c>
      <c r="P56" s="4">
        <v>3</v>
      </c>
      <c r="Q56" s="4">
        <v>2</v>
      </c>
      <c r="R56" s="4">
        <v>30</v>
      </c>
      <c r="T56" s="4" t="s">
        <v>70</v>
      </c>
      <c r="U56" s="4" t="s">
        <v>71</v>
      </c>
      <c r="V56" s="6" t="s">
        <v>145</v>
      </c>
      <c r="W56" s="37">
        <f>IF('CRUDO MARTES'!W31="Si",$N56,)</f>
        <v>0</v>
      </c>
      <c r="X56" s="37">
        <f>IF('CRUDO MARTES'!X31="Si",$N56,)</f>
        <v>0</v>
      </c>
      <c r="Y56" s="37">
        <f>IF('CRUDO MARTES'!Y31="Si",$N56,)</f>
        <v>0</v>
      </c>
      <c r="Z56" s="37">
        <f>IF('CRUDO MARTES'!Z31="Si",$N56,)</f>
        <v>0</v>
      </c>
      <c r="AA56" s="37"/>
      <c r="AB56" s="37">
        <f>IF('CRUDO MARTES'!AA31="Si",$N56,)</f>
        <v>0</v>
      </c>
      <c r="AC56" s="37"/>
      <c r="AD56" s="37">
        <f>IF('CRUDO MARTES'!AB31="Si",$N56,)</f>
        <v>0</v>
      </c>
      <c r="AE56" s="37"/>
      <c r="AF56" s="37">
        <f>IF('CRUDO MARTES'!AC31="Si",$N56,)</f>
        <v>0</v>
      </c>
      <c r="AG56" s="37"/>
      <c r="AH56" s="37">
        <f>IF('CRUDO MARTES'!AD31="Si",$N56,)</f>
        <v>0</v>
      </c>
      <c r="AI56" s="37"/>
      <c r="AJ56" s="37">
        <f>IF('CRUDO MARTES'!AE31="Si",$N56,)</f>
        <v>0</v>
      </c>
      <c r="AK56" s="37"/>
      <c r="AL56" s="37">
        <f>IF('CRUDO MARTES'!AF31="Si",$N56,)</f>
        <v>0</v>
      </c>
      <c r="AM56" s="37"/>
      <c r="AN56" s="37">
        <f>IF('CRUDO MARTES'!AG31="Si",$N56,)</f>
        <v>0</v>
      </c>
      <c r="AO56" s="37"/>
      <c r="AP56" s="37">
        <f>IF('CRUDO MARTES'!AH31="Si",$N56,)</f>
        <v>0</v>
      </c>
      <c r="AQ56" s="37"/>
      <c r="AR56" s="37">
        <f>IF('CRUDO MARTES'!AI31="Si",$N56,)</f>
        <v>0</v>
      </c>
      <c r="AS56" s="37"/>
      <c r="AT56" s="37">
        <f>IF('CRUDO MARTES'!AJ31="Si",$N56,)</f>
        <v>0</v>
      </c>
      <c r="AU56" s="37"/>
      <c r="AV56" s="37">
        <f>IF('CRUDO MARTES'!AK31="Si",$N56,)</f>
        <v>0</v>
      </c>
      <c r="AW56" s="37">
        <f>IF('CRUDO MARTES'!AL31="Si",$N56,)</f>
        <v>0</v>
      </c>
      <c r="AX56" s="37">
        <f>IF('CRUDO MARTES'!AM31="Si",$N56,)</f>
        <v>0</v>
      </c>
      <c r="AY56" s="37">
        <f>IF('CRUDO MARTES'!AN31="Si",$N56,)</f>
        <v>0</v>
      </c>
      <c r="AZ56" s="37">
        <f>IF('CRUDO MARTES'!AO31="Si",$N56,)</f>
        <v>0</v>
      </c>
      <c r="BA56" s="37">
        <f>IF('CRUDO MARTES'!AP31="Si",$N56,)</f>
        <v>0</v>
      </c>
      <c r="BB56" s="37"/>
      <c r="BC56" s="37">
        <f>IF('CRUDO MARTES'!AQ31="Si",$N56,)</f>
        <v>0</v>
      </c>
      <c r="BD56" s="37"/>
      <c r="BE56" s="37">
        <f>IF('CRUDO MARTES'!AR31="Si",$N56,)</f>
        <v>0</v>
      </c>
      <c r="BF56" s="37"/>
      <c r="BG56" s="37">
        <f>IF('CRUDO MARTES'!AS31="Si",$N56,)</f>
        <v>0</v>
      </c>
    </row>
    <row r="57" spans="1:115" ht="13.2" hidden="1" x14ac:dyDescent="0.25">
      <c r="A57" s="3">
        <v>45000.66364269676</v>
      </c>
      <c r="B57" s="4" t="s">
        <v>572</v>
      </c>
      <c r="C57" s="4" t="s">
        <v>573</v>
      </c>
      <c r="D57" s="5" t="s">
        <v>574</v>
      </c>
      <c r="E57" s="4" t="s">
        <v>149</v>
      </c>
      <c r="F57" s="4" t="s">
        <v>575</v>
      </c>
      <c r="G57" s="4" t="s">
        <v>64</v>
      </c>
      <c r="H57" s="4" t="s">
        <v>576</v>
      </c>
      <c r="I57" s="4" t="s">
        <v>577</v>
      </c>
      <c r="J57" s="4" t="s">
        <v>578</v>
      </c>
      <c r="K57" s="4" t="s">
        <v>572</v>
      </c>
      <c r="L57" s="4" t="s">
        <v>67</v>
      </c>
      <c r="M57" s="4" t="s">
        <v>338</v>
      </c>
      <c r="N57" s="4">
        <v>0</v>
      </c>
      <c r="O57" s="4" t="s">
        <v>97</v>
      </c>
      <c r="P57" s="4">
        <v>4</v>
      </c>
      <c r="Q57" s="4">
        <v>3</v>
      </c>
      <c r="R57" s="4">
        <v>30</v>
      </c>
      <c r="T57" s="4" t="s">
        <v>70</v>
      </c>
      <c r="U57" s="4" t="s">
        <v>71</v>
      </c>
      <c r="V57" s="6" t="s">
        <v>145</v>
      </c>
      <c r="W57" s="37">
        <f>IF('CRUDO MARTES'!W32="Si",$N57,)</f>
        <v>0</v>
      </c>
      <c r="X57" s="37">
        <f>IF('CRUDO MARTES'!X32="Si",$N57,)</f>
        <v>0</v>
      </c>
      <c r="Y57" s="37">
        <f>IF('CRUDO MARTES'!Y32="Si",$N57,)</f>
        <v>0</v>
      </c>
      <c r="Z57" s="37">
        <f>IF('CRUDO MARTES'!Z32="Si",$N57,)</f>
        <v>0</v>
      </c>
      <c r="AA57" s="37"/>
      <c r="AB57" s="37">
        <f>IF('CRUDO MARTES'!AA32="Si",$N57,)</f>
        <v>0</v>
      </c>
      <c r="AC57" s="37"/>
      <c r="AD57" s="37">
        <f>IF('CRUDO MARTES'!AB32="Si",$N57,)</f>
        <v>0</v>
      </c>
      <c r="AE57" s="37"/>
      <c r="AF57" s="37">
        <f>IF('CRUDO MARTES'!AC32="Si",$N57,)</f>
        <v>0</v>
      </c>
      <c r="AG57" s="37"/>
      <c r="AH57" s="37">
        <f>IF('CRUDO MARTES'!AD32="Si",$N57,)</f>
        <v>0</v>
      </c>
      <c r="AI57" s="37"/>
      <c r="AJ57" s="37">
        <f>IF('CRUDO MARTES'!AE32="Si",$N57,)</f>
        <v>0</v>
      </c>
      <c r="AK57" s="37"/>
      <c r="AL57" s="37">
        <f>IF('CRUDO MARTES'!AF32="Si",$N57,)</f>
        <v>0</v>
      </c>
      <c r="AM57" s="37"/>
      <c r="AN57" s="37">
        <f>IF('CRUDO MARTES'!AG32="Si",$N57,)</f>
        <v>0</v>
      </c>
      <c r="AO57" s="37"/>
      <c r="AP57" s="37">
        <f>IF('CRUDO MARTES'!AH32="Si",$N57,)</f>
        <v>0</v>
      </c>
      <c r="AQ57" s="37"/>
      <c r="AR57" s="37">
        <f>IF('CRUDO MARTES'!AI32="Si",$N57,)</f>
        <v>0</v>
      </c>
      <c r="AS57" s="37"/>
      <c r="AT57" s="37">
        <f>IF('CRUDO MARTES'!AJ32="Si",$N57,)</f>
        <v>0</v>
      </c>
      <c r="AU57" s="37"/>
      <c r="AV57" s="37">
        <f>IF('CRUDO MARTES'!AK32="Si",$N57,)</f>
        <v>0</v>
      </c>
      <c r="AW57" s="37">
        <f>IF('CRUDO MARTES'!AL32="Si",$N57,)</f>
        <v>0</v>
      </c>
      <c r="AX57" s="37">
        <f>IF('CRUDO MARTES'!AM32="Si",$N57,)</f>
        <v>0</v>
      </c>
      <c r="AY57" s="37">
        <f>IF('CRUDO MARTES'!AN32="Si",$N57,)</f>
        <v>0</v>
      </c>
      <c r="AZ57" s="37">
        <f>IF('CRUDO MARTES'!AO32="Si",$N57,)</f>
        <v>0</v>
      </c>
      <c r="BA57" s="37">
        <f>IF('CRUDO MARTES'!AP32="Si",$N57,)</f>
        <v>0</v>
      </c>
      <c r="BB57" s="37"/>
      <c r="BC57" s="37">
        <f>IF('CRUDO MARTES'!AQ32="Si",$N57,)</f>
        <v>0</v>
      </c>
      <c r="BD57" s="37"/>
      <c r="BE57" s="37">
        <f>IF('CRUDO MARTES'!AR32="Si",$N57,)</f>
        <v>0</v>
      </c>
      <c r="BF57" s="37"/>
      <c r="BG57" s="37">
        <f>IF('CRUDO MARTES'!AS32="Si",$N57,)</f>
        <v>0</v>
      </c>
    </row>
    <row r="58" spans="1:115" ht="13.2" hidden="1" x14ac:dyDescent="0.25">
      <c r="A58" s="3">
        <v>45002.471919652773</v>
      </c>
      <c r="B58" s="4" t="s">
        <v>601</v>
      </c>
      <c r="C58" s="4" t="s">
        <v>602</v>
      </c>
      <c r="D58" s="5" t="s">
        <v>603</v>
      </c>
      <c r="E58" s="4" t="s">
        <v>604</v>
      </c>
      <c r="F58" s="4" t="s">
        <v>605</v>
      </c>
      <c r="G58" s="4" t="s">
        <v>105</v>
      </c>
      <c r="H58" s="4" t="s">
        <v>606</v>
      </c>
      <c r="I58" s="4" t="s">
        <v>607</v>
      </c>
      <c r="J58" s="4" t="s">
        <v>608</v>
      </c>
      <c r="K58" s="4" t="s">
        <v>601</v>
      </c>
      <c r="L58" s="4" t="s">
        <v>67</v>
      </c>
      <c r="M58" s="4" t="s">
        <v>136</v>
      </c>
      <c r="N58" s="4">
        <v>0</v>
      </c>
      <c r="O58" s="4" t="s">
        <v>97</v>
      </c>
      <c r="P58" s="4">
        <v>4</v>
      </c>
      <c r="Q58" s="4">
        <v>1</v>
      </c>
      <c r="R58" s="4">
        <v>90</v>
      </c>
      <c r="T58" s="4" t="s">
        <v>70</v>
      </c>
      <c r="U58" s="4" t="s">
        <v>71</v>
      </c>
      <c r="V58" s="6" t="s">
        <v>145</v>
      </c>
      <c r="W58" s="37">
        <f>IF('CRUDO MARTES'!W33="Si",$N58,)</f>
        <v>0</v>
      </c>
      <c r="X58" s="37">
        <f>IF('CRUDO MARTES'!X33="Si",$N58,)</f>
        <v>0</v>
      </c>
      <c r="Y58" s="37">
        <f>IF('CRUDO MARTES'!Y33="Si",$N58,)</f>
        <v>0</v>
      </c>
      <c r="Z58" s="37">
        <f>IF('CRUDO MARTES'!Z33="Si",$N58,)</f>
        <v>0</v>
      </c>
      <c r="AA58" s="37"/>
      <c r="AB58" s="37">
        <f>IF('CRUDO MARTES'!AA33="Si",$N58,)</f>
        <v>0</v>
      </c>
      <c r="AC58" s="37"/>
      <c r="AD58" s="37">
        <f>IF('CRUDO MARTES'!AB33="Si",$N58,)</f>
        <v>0</v>
      </c>
      <c r="AE58" s="37"/>
      <c r="AF58" s="37">
        <f>IF('CRUDO MARTES'!AC33="Si",$N58,)</f>
        <v>0</v>
      </c>
      <c r="AG58" s="37"/>
      <c r="AH58" s="37">
        <f>IF('CRUDO MARTES'!AD33="Si",$N58,)</f>
        <v>0</v>
      </c>
      <c r="AI58" s="37"/>
      <c r="AJ58" s="37">
        <f>IF('CRUDO MARTES'!AE33="Si",$N58,)</f>
        <v>0</v>
      </c>
      <c r="AK58" s="37"/>
      <c r="AL58" s="37">
        <f>IF('CRUDO MARTES'!AF33="Si",$N58,)</f>
        <v>0</v>
      </c>
      <c r="AM58" s="37"/>
      <c r="AN58" s="37">
        <f>IF('CRUDO MARTES'!AG33="Si",$N58,)</f>
        <v>0</v>
      </c>
      <c r="AO58" s="37"/>
      <c r="AP58" s="37">
        <f>IF('CRUDO MARTES'!AH33="Si",$N58,)</f>
        <v>0</v>
      </c>
      <c r="AQ58" s="37"/>
      <c r="AR58" s="37">
        <f>IF('CRUDO MARTES'!AI33="Si",$N58,)</f>
        <v>0</v>
      </c>
      <c r="AS58" s="37"/>
      <c r="AT58" s="37">
        <f>IF('CRUDO MARTES'!AJ33="Si",$N58,)</f>
        <v>0</v>
      </c>
      <c r="AU58" s="37"/>
      <c r="AV58" s="37">
        <f>IF('CRUDO MARTES'!AK33="Si",$N58,)</f>
        <v>0</v>
      </c>
      <c r="AW58" s="37">
        <f>IF('CRUDO MARTES'!AL33="Si",$N58,)</f>
        <v>0</v>
      </c>
      <c r="AX58" s="37">
        <f>IF('CRUDO MARTES'!AM33="Si",$N58,)</f>
        <v>0</v>
      </c>
      <c r="AY58" s="37">
        <f>IF('CRUDO MARTES'!AN33="Si",$N58,)</f>
        <v>0</v>
      </c>
      <c r="AZ58" s="37">
        <f>IF('CRUDO MARTES'!AO33="Si",$N58,)</f>
        <v>0</v>
      </c>
      <c r="BA58" s="37">
        <f>IF('CRUDO MARTES'!AP33="Si",$N58,)</f>
        <v>0</v>
      </c>
      <c r="BB58" s="37"/>
      <c r="BC58" s="37">
        <f>IF('CRUDO MARTES'!AQ33="Si",$N58,)</f>
        <v>0</v>
      </c>
      <c r="BD58" s="37"/>
      <c r="BE58" s="37">
        <f>IF('CRUDO MARTES'!AR33="Si",$N58,)</f>
        <v>0</v>
      </c>
      <c r="BF58" s="37"/>
      <c r="BG58" s="37">
        <f>IF('CRUDO MARTES'!AS33="Si",$N58,)</f>
        <v>0</v>
      </c>
    </row>
    <row r="59" spans="1:115" ht="13.2" hidden="1" x14ac:dyDescent="0.25">
      <c r="A59" s="30">
        <v>45004.529857268513</v>
      </c>
      <c r="B59" s="31" t="s">
        <v>632</v>
      </c>
      <c r="C59" s="31" t="s">
        <v>633</v>
      </c>
      <c r="D59" s="36" t="s">
        <v>634</v>
      </c>
      <c r="E59" s="31" t="s">
        <v>103</v>
      </c>
      <c r="F59" s="31" t="s">
        <v>635</v>
      </c>
      <c r="G59" s="31" t="s">
        <v>105</v>
      </c>
      <c r="H59" s="31" t="s">
        <v>640</v>
      </c>
      <c r="I59" s="31" t="s">
        <v>641</v>
      </c>
      <c r="J59" s="31" t="s">
        <v>642</v>
      </c>
      <c r="K59" s="31" t="s">
        <v>632</v>
      </c>
      <c r="L59" s="31" t="s">
        <v>67</v>
      </c>
      <c r="M59" s="31" t="s">
        <v>353</v>
      </c>
      <c r="N59" s="31">
        <v>0</v>
      </c>
      <c r="O59" s="31" t="s">
        <v>69</v>
      </c>
      <c r="P59" s="31">
        <v>5</v>
      </c>
      <c r="Q59" s="31">
        <v>5</v>
      </c>
      <c r="R59" s="31">
        <v>20</v>
      </c>
      <c r="S59" s="33"/>
      <c r="T59" s="31" t="s">
        <v>70</v>
      </c>
      <c r="U59" s="31" t="s">
        <v>71</v>
      </c>
      <c r="V59" s="8" t="s">
        <v>145</v>
      </c>
      <c r="W59" s="35">
        <f>IF('CRUDO MARTES'!W34="Si",$N59,)</f>
        <v>0</v>
      </c>
      <c r="X59" s="35">
        <f>IF('CRUDO MARTES'!X34="Si",$N59,)</f>
        <v>0</v>
      </c>
      <c r="Y59" s="35">
        <f>IF('CRUDO MARTES'!Y34="Si",$N59,)</f>
        <v>0</v>
      </c>
      <c r="Z59" s="35">
        <f>IF('CRUDO MARTES'!Z34="Si",$N59,)</f>
        <v>0</v>
      </c>
      <c r="AA59" s="35"/>
      <c r="AB59" s="35">
        <f>IF('CRUDO MARTES'!AA34="Si",$N59,)</f>
        <v>0</v>
      </c>
      <c r="AC59" s="35"/>
      <c r="AD59" s="35">
        <f>IF('CRUDO MARTES'!AB34="Si",$N59,)</f>
        <v>0</v>
      </c>
      <c r="AE59" s="35"/>
      <c r="AF59" s="35">
        <f>IF('CRUDO MARTES'!AC34="Si",$N59,)</f>
        <v>0</v>
      </c>
      <c r="AG59" s="35"/>
      <c r="AH59" s="35">
        <f>IF('CRUDO MARTES'!AD34="Si",$N59,)</f>
        <v>0</v>
      </c>
      <c r="AI59" s="35"/>
      <c r="AJ59" s="35">
        <f>IF('CRUDO MARTES'!AE34="Si",$N59,)</f>
        <v>0</v>
      </c>
      <c r="AK59" s="35"/>
      <c r="AL59" s="35">
        <f>IF('CRUDO MARTES'!AF34="Si",$N59,)</f>
        <v>0</v>
      </c>
      <c r="AM59" s="35"/>
      <c r="AN59" s="35">
        <f>IF('CRUDO MARTES'!AG34="Si",$N59,)</f>
        <v>0</v>
      </c>
      <c r="AO59" s="35"/>
      <c r="AP59" s="35">
        <f>IF('CRUDO MARTES'!AH34="Si",$N59,)</f>
        <v>0</v>
      </c>
      <c r="AQ59" s="35"/>
      <c r="AR59" s="35">
        <f>IF('CRUDO MARTES'!AI34="Si",$N59,)</f>
        <v>0</v>
      </c>
      <c r="AS59" s="35"/>
      <c r="AT59" s="35">
        <f>IF('CRUDO MARTES'!AJ34="Si",$N59,)</f>
        <v>0</v>
      </c>
      <c r="AU59" s="35"/>
      <c r="AV59" s="35">
        <f>IF('CRUDO MARTES'!AK34="Si",$N59,)</f>
        <v>0</v>
      </c>
      <c r="AW59" s="35">
        <f>IF('CRUDO MARTES'!AL34="Si",$N59,)</f>
        <v>0</v>
      </c>
      <c r="AX59" s="35">
        <f>IF('CRUDO MARTES'!AM34="Si",$N59,)</f>
        <v>0</v>
      </c>
      <c r="AY59" s="35">
        <f>IF('CRUDO MARTES'!AN34="Si",$N59,)</f>
        <v>0</v>
      </c>
      <c r="AZ59" s="35">
        <f>IF('CRUDO MARTES'!AO34="Si",$N59,)</f>
        <v>0</v>
      </c>
      <c r="BA59" s="35">
        <f>IF('CRUDO MARTES'!AP34="Si",$N59,)</f>
        <v>0</v>
      </c>
      <c r="BB59" s="35"/>
      <c r="BC59" s="35">
        <f>IF('CRUDO MARTES'!AQ34="Si",$N59,)</f>
        <v>0</v>
      </c>
      <c r="BD59" s="35"/>
      <c r="BE59" s="35">
        <f>IF('CRUDO MARTES'!AR34="Si",$N59,)</f>
        <v>0</v>
      </c>
      <c r="BF59" s="35"/>
      <c r="BG59" s="35">
        <f>IF('CRUDO MARTES'!AS34="Si",$N59,)</f>
        <v>0</v>
      </c>
      <c r="BH59" s="31"/>
      <c r="BI59" s="31" t="s">
        <v>644</v>
      </c>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c r="CW59" s="33"/>
      <c r="CX59" s="33"/>
      <c r="CY59" s="33"/>
      <c r="CZ59" s="33"/>
      <c r="DA59" s="33"/>
      <c r="DB59" s="33"/>
      <c r="DC59" s="33"/>
      <c r="DD59" s="33"/>
      <c r="DE59" s="33"/>
      <c r="DF59" s="33"/>
      <c r="DG59" s="33"/>
      <c r="DH59" s="33"/>
      <c r="DI59" s="33"/>
      <c r="DJ59" s="33"/>
      <c r="DK59" s="33"/>
    </row>
    <row r="60" spans="1:115" ht="13.2" hidden="1" x14ac:dyDescent="0.25">
      <c r="A60" s="3">
        <v>45002.465073136569</v>
      </c>
      <c r="B60" s="4" t="s">
        <v>682</v>
      </c>
      <c r="C60" s="4" t="s">
        <v>683</v>
      </c>
      <c r="D60" s="5" t="s">
        <v>684</v>
      </c>
      <c r="E60" s="4" t="s">
        <v>62</v>
      </c>
      <c r="F60" s="4" t="s">
        <v>685</v>
      </c>
      <c r="G60" s="4" t="s">
        <v>64</v>
      </c>
      <c r="H60" s="4" t="s">
        <v>686</v>
      </c>
      <c r="I60" s="4" t="s">
        <v>687</v>
      </c>
      <c r="J60" s="4" t="s">
        <v>688</v>
      </c>
      <c r="K60" s="4" t="s">
        <v>682</v>
      </c>
      <c r="L60" s="4" t="s">
        <v>656</v>
      </c>
      <c r="M60" s="4" t="s">
        <v>387</v>
      </c>
      <c r="N60" s="4">
        <v>0</v>
      </c>
      <c r="O60" s="4" t="s">
        <v>433</v>
      </c>
      <c r="P60" s="4">
        <v>1</v>
      </c>
      <c r="Q60" s="4">
        <v>1</v>
      </c>
      <c r="R60" s="4">
        <v>49</v>
      </c>
      <c r="T60" s="4" t="s">
        <v>70</v>
      </c>
      <c r="U60" s="4" t="s">
        <v>70</v>
      </c>
      <c r="V60" s="6" t="s">
        <v>145</v>
      </c>
      <c r="W60" s="37">
        <f>IF('CRUDO MARTES'!W35="Si",$N60,)</f>
        <v>0</v>
      </c>
      <c r="X60" s="37">
        <f>IF('CRUDO MARTES'!X35="Si",$N60,)</f>
        <v>0</v>
      </c>
      <c r="Y60" s="37">
        <f>IF('CRUDO MARTES'!Y35="Si",$N60,)</f>
        <v>0</v>
      </c>
      <c r="Z60" s="37">
        <f>IF('CRUDO MARTES'!Z35="Si",$N60,)</f>
        <v>0</v>
      </c>
      <c r="AA60" s="37"/>
      <c r="AB60" s="37">
        <f>IF('CRUDO MARTES'!AA35="Si",$N60,)</f>
        <v>0</v>
      </c>
      <c r="AC60" s="37"/>
      <c r="AD60" s="37">
        <f>IF('CRUDO MARTES'!AB35="Si",$N60,)</f>
        <v>0</v>
      </c>
      <c r="AE60" s="37"/>
      <c r="AF60" s="37">
        <f>IF('CRUDO MARTES'!AC35="Si",$N60,)</f>
        <v>0</v>
      </c>
      <c r="AG60" s="37"/>
      <c r="AH60" s="37">
        <f>IF('CRUDO MARTES'!AD35="Si",$N60,)</f>
        <v>0</v>
      </c>
      <c r="AI60" s="37"/>
      <c r="AJ60" s="37">
        <f>IF('CRUDO MARTES'!AE35="Si",$N60,)</f>
        <v>0</v>
      </c>
      <c r="AK60" s="37"/>
      <c r="AL60" s="37">
        <f>IF('CRUDO MARTES'!AF35="Si",$N60,)</f>
        <v>0</v>
      </c>
      <c r="AM60" s="37"/>
      <c r="AN60" s="37">
        <f>IF('CRUDO MARTES'!AG35="Si",$N60,)</f>
        <v>0</v>
      </c>
      <c r="AO60" s="37"/>
      <c r="AP60" s="37">
        <f>IF('CRUDO MARTES'!AH35="Si",$N60,)</f>
        <v>0</v>
      </c>
      <c r="AQ60" s="37"/>
      <c r="AR60" s="37">
        <f>IF('CRUDO MARTES'!AI35="Si",$N60,)</f>
        <v>0</v>
      </c>
      <c r="AS60" s="37"/>
      <c r="AT60" s="37">
        <f>IF('CRUDO MARTES'!AJ35="Si",$N60,)</f>
        <v>0</v>
      </c>
      <c r="AU60" s="37"/>
      <c r="AV60" s="37">
        <f>IF('CRUDO MARTES'!AK35="Si",$N60,)</f>
        <v>0</v>
      </c>
      <c r="AW60" s="37">
        <f>IF('CRUDO MARTES'!AL35="Si",$N60,)</f>
        <v>0</v>
      </c>
      <c r="AX60" s="37">
        <f>IF('CRUDO MARTES'!AM35="Si",$N60,)</f>
        <v>0</v>
      </c>
      <c r="AY60" s="37">
        <f>IF('CRUDO MARTES'!AN35="Si",$N60,)</f>
        <v>0</v>
      </c>
      <c r="AZ60" s="37">
        <f>IF('CRUDO MARTES'!AO35="Si",$N60,)</f>
        <v>0</v>
      </c>
      <c r="BA60" s="37">
        <f>IF('CRUDO MARTES'!AP35="Si",$N60,)</f>
        <v>0</v>
      </c>
      <c r="BB60" s="37"/>
      <c r="BC60" s="37">
        <f>IF('CRUDO MARTES'!AQ35="Si",$N60,)</f>
        <v>0</v>
      </c>
      <c r="BD60" s="37"/>
      <c r="BE60" s="37">
        <f>IF('CRUDO MARTES'!AR35="Si",$N60,)</f>
        <v>0</v>
      </c>
      <c r="BF60" s="37"/>
      <c r="BG60" s="37">
        <f>IF('CRUDO MARTES'!AS35="Si",$N60,)</f>
        <v>0</v>
      </c>
    </row>
    <row r="61" spans="1:115" ht="13.2" hidden="1" x14ac:dyDescent="0.25">
      <c r="A61" s="3">
        <v>45005.513914328709</v>
      </c>
      <c r="B61" s="4" t="s">
        <v>701</v>
      </c>
      <c r="C61" s="4" t="s">
        <v>702</v>
      </c>
      <c r="D61" s="7" t="s">
        <v>703</v>
      </c>
      <c r="E61" s="4" t="s">
        <v>62</v>
      </c>
      <c r="F61" s="4" t="s">
        <v>205</v>
      </c>
      <c r="G61" s="4" t="s">
        <v>64</v>
      </c>
      <c r="H61" s="4" t="s">
        <v>704</v>
      </c>
      <c r="I61" s="4" t="s">
        <v>705</v>
      </c>
      <c r="J61" s="4" t="s">
        <v>706</v>
      </c>
      <c r="K61" s="4" t="s">
        <v>707</v>
      </c>
      <c r="L61" s="4" t="s">
        <v>656</v>
      </c>
      <c r="M61" s="4" t="s">
        <v>403</v>
      </c>
      <c r="N61" s="4">
        <v>0</v>
      </c>
      <c r="O61" s="4" t="s">
        <v>97</v>
      </c>
      <c r="P61" s="4">
        <v>2</v>
      </c>
      <c r="Q61" s="4">
        <v>2</v>
      </c>
      <c r="R61" s="4">
        <v>15</v>
      </c>
      <c r="T61" s="4" t="s">
        <v>70</v>
      </c>
      <c r="U61" s="4" t="s">
        <v>71</v>
      </c>
      <c r="V61" s="6" t="s">
        <v>145</v>
      </c>
      <c r="W61" s="37">
        <f>IF('CRUDO MARTES'!W37="Si",$N61,)</f>
        <v>0</v>
      </c>
      <c r="X61" s="37">
        <f>IF('CRUDO MARTES'!X37="Si",$N61,)</f>
        <v>0</v>
      </c>
      <c r="Y61" s="37">
        <f>IF('CRUDO MARTES'!Y37="Si",$N61,)</f>
        <v>0</v>
      </c>
      <c r="Z61" s="37">
        <f>IF('CRUDO MARTES'!Z37="Si",$N61,)</f>
        <v>0</v>
      </c>
      <c r="AA61" s="37"/>
      <c r="AB61" s="37">
        <f>IF('CRUDO MARTES'!AA37="Si",$N61,)</f>
        <v>0</v>
      </c>
      <c r="AC61" s="37"/>
      <c r="AD61" s="37">
        <f>IF('CRUDO MARTES'!AB37="Si",$N61,)</f>
        <v>0</v>
      </c>
      <c r="AE61" s="37"/>
      <c r="AF61" s="37">
        <f>IF('CRUDO MARTES'!AC37="Si",$N61,)</f>
        <v>0</v>
      </c>
      <c r="AG61" s="37"/>
      <c r="AH61" s="37">
        <f>IF('CRUDO MARTES'!AD37="Si",$N61,)</f>
        <v>0</v>
      </c>
      <c r="AI61" s="37"/>
      <c r="AJ61" s="37">
        <f>IF('CRUDO MARTES'!AE37="Si",$N61,)</f>
        <v>0</v>
      </c>
      <c r="AK61" s="37"/>
      <c r="AL61" s="37">
        <f>IF('CRUDO MARTES'!AF37="Si",$N61,)</f>
        <v>0</v>
      </c>
      <c r="AM61" s="37"/>
      <c r="AN61" s="37">
        <f>IF('CRUDO MARTES'!AG37="Si",$N61,)</f>
        <v>0</v>
      </c>
      <c r="AO61" s="37"/>
      <c r="AP61" s="37">
        <f>IF('CRUDO MARTES'!AH37="Si",$N61,)</f>
        <v>0</v>
      </c>
      <c r="AQ61" s="37"/>
      <c r="AR61" s="37">
        <f>IF('CRUDO MARTES'!AI37="Si",$N61,)</f>
        <v>0</v>
      </c>
      <c r="AS61" s="37"/>
      <c r="AT61" s="37">
        <f>IF('CRUDO MARTES'!AJ37="Si",$N61,)</f>
        <v>0</v>
      </c>
      <c r="AU61" s="37"/>
      <c r="AV61" s="37">
        <f>IF('CRUDO MARTES'!AK37="Si",$N61,)</f>
        <v>0</v>
      </c>
      <c r="AW61" s="37">
        <f>IF('CRUDO MARTES'!AL37="Si",$N61,)</f>
        <v>0</v>
      </c>
      <c r="AX61" s="37">
        <f>IF('CRUDO MARTES'!AM37="Si",$N61,)</f>
        <v>0</v>
      </c>
      <c r="AY61" s="37">
        <f>IF('CRUDO MARTES'!AN37="Si",$N61,)</f>
        <v>0</v>
      </c>
      <c r="AZ61" s="37">
        <f>IF('CRUDO MARTES'!AO37="Si",$N61,)</f>
        <v>0</v>
      </c>
      <c r="BA61" s="37">
        <f>IF('CRUDO MARTES'!AP37="Si",$N61,)</f>
        <v>0</v>
      </c>
      <c r="BB61" s="37"/>
      <c r="BC61" s="37">
        <f>IF('CRUDO MARTES'!AQ37="Si",$N61,)</f>
        <v>0</v>
      </c>
      <c r="BD61" s="37"/>
      <c r="BE61" s="37">
        <f>IF('CRUDO MARTES'!AR37="Si",$N61,)</f>
        <v>0</v>
      </c>
      <c r="BF61" s="37"/>
      <c r="BG61" s="37">
        <f>IF('CRUDO MARTES'!AS37="Si",$N61,)</f>
        <v>0</v>
      </c>
    </row>
    <row r="62" spans="1:115" ht="13.2" hidden="1" x14ac:dyDescent="0.25">
      <c r="A62" s="3">
        <v>45005.516650972218</v>
      </c>
      <c r="B62" s="4" t="s">
        <v>701</v>
      </c>
      <c r="C62" s="4" t="s">
        <v>702</v>
      </c>
      <c r="D62" s="7" t="s">
        <v>703</v>
      </c>
      <c r="E62" s="4" t="s">
        <v>427</v>
      </c>
      <c r="F62" s="4" t="s">
        <v>428</v>
      </c>
      <c r="G62" s="4" t="s">
        <v>64</v>
      </c>
      <c r="H62" s="4" t="s">
        <v>709</v>
      </c>
      <c r="I62" s="4" t="s">
        <v>706</v>
      </c>
      <c r="K62" s="4" t="s">
        <v>701</v>
      </c>
      <c r="L62" s="4" t="s">
        <v>656</v>
      </c>
      <c r="M62" s="4" t="s">
        <v>411</v>
      </c>
      <c r="N62" s="4">
        <v>0</v>
      </c>
      <c r="O62" s="4" t="s">
        <v>97</v>
      </c>
      <c r="P62" s="4">
        <v>2</v>
      </c>
      <c r="Q62" s="4">
        <v>2</v>
      </c>
      <c r="R62" s="4">
        <v>15</v>
      </c>
      <c r="T62" s="4" t="s">
        <v>70</v>
      </c>
      <c r="U62" s="4" t="s">
        <v>71</v>
      </c>
      <c r="V62" s="6" t="s">
        <v>145</v>
      </c>
      <c r="W62" s="37">
        <f>IF('CRUDO MARTES'!W38="Si",$N62,)</f>
        <v>0</v>
      </c>
      <c r="X62" s="37">
        <f>IF('CRUDO MARTES'!X38="Si",$N62,)</f>
        <v>0</v>
      </c>
      <c r="Y62" s="37">
        <f>IF('CRUDO MARTES'!Y38="Si",$N62,)</f>
        <v>0</v>
      </c>
      <c r="Z62" s="37">
        <f>IF('CRUDO MARTES'!Z38="Si",$N62,)</f>
        <v>0</v>
      </c>
      <c r="AA62" s="37"/>
      <c r="AB62" s="37">
        <f>IF('CRUDO MARTES'!AA38="Si",$N62,)</f>
        <v>0</v>
      </c>
      <c r="AC62" s="37"/>
      <c r="AD62" s="37">
        <f>IF('CRUDO MARTES'!AB38="Si",$N62,)</f>
        <v>0</v>
      </c>
      <c r="AE62" s="37"/>
      <c r="AF62" s="37">
        <f>IF('CRUDO MARTES'!AC38="Si",$N62,)</f>
        <v>0</v>
      </c>
      <c r="AG62" s="37"/>
      <c r="AH62" s="37">
        <f>IF('CRUDO MARTES'!AD38="Si",$N62,)</f>
        <v>0</v>
      </c>
      <c r="AI62" s="37"/>
      <c r="AJ62" s="37">
        <f>IF('CRUDO MARTES'!AE38="Si",$N62,)</f>
        <v>0</v>
      </c>
      <c r="AK62" s="37"/>
      <c r="AL62" s="37">
        <f>IF('CRUDO MARTES'!AF38="Si",$N62,)</f>
        <v>0</v>
      </c>
      <c r="AM62" s="37"/>
      <c r="AN62" s="37">
        <f>IF('CRUDO MARTES'!AG38="Si",$N62,)</f>
        <v>0</v>
      </c>
      <c r="AO62" s="37"/>
      <c r="AP62" s="37">
        <f>IF('CRUDO MARTES'!AH38="Si",$N62,)</f>
        <v>0</v>
      </c>
      <c r="AQ62" s="37"/>
      <c r="AR62" s="37">
        <f>IF('CRUDO MARTES'!AI38="Si",$N62,)</f>
        <v>0</v>
      </c>
      <c r="AS62" s="37"/>
      <c r="AT62" s="37">
        <f>IF('CRUDO MARTES'!AJ38="Si",$N62,)</f>
        <v>0</v>
      </c>
      <c r="AU62" s="37"/>
      <c r="AV62" s="37">
        <f>IF('CRUDO MARTES'!AK38="Si",$N62,)</f>
        <v>0</v>
      </c>
      <c r="AW62" s="37">
        <f>IF('CRUDO MARTES'!AL38="Si",$N62,)</f>
        <v>0</v>
      </c>
      <c r="AX62" s="37">
        <f>IF('CRUDO MARTES'!AM38="Si",$N62,)</f>
        <v>0</v>
      </c>
      <c r="AY62" s="37">
        <f>IF('CRUDO MARTES'!AN38="Si",$N62,)</f>
        <v>0</v>
      </c>
      <c r="AZ62" s="37">
        <f>IF('CRUDO MARTES'!AO38="Si",$N62,)</f>
        <v>0</v>
      </c>
      <c r="BA62" s="37">
        <f>IF('CRUDO MARTES'!AP38="Si",$N62,)</f>
        <v>0</v>
      </c>
      <c r="BB62" s="37"/>
      <c r="BC62" s="37">
        <f>IF('CRUDO MARTES'!AQ38="Si",$N62,)</f>
        <v>0</v>
      </c>
      <c r="BD62" s="37"/>
      <c r="BE62" s="37">
        <f>IF('CRUDO MARTES'!AR38="Si",$N62,)</f>
        <v>0</v>
      </c>
      <c r="BF62" s="37"/>
      <c r="BG62" s="37">
        <f>IF('CRUDO MARTES'!AS38="Si",$N62,)</f>
        <v>0</v>
      </c>
      <c r="BH62" s="4"/>
      <c r="BI62" s="4" t="s">
        <v>711</v>
      </c>
    </row>
    <row r="63" spans="1:115" ht="13.2" hidden="1" x14ac:dyDescent="0.25">
      <c r="A63" s="3">
        <v>45001.666592256945</v>
      </c>
      <c r="B63" s="4" t="s">
        <v>736</v>
      </c>
      <c r="C63" s="4" t="s">
        <v>737</v>
      </c>
      <c r="D63" s="5" t="s">
        <v>738</v>
      </c>
      <c r="E63" s="4" t="s">
        <v>103</v>
      </c>
      <c r="F63" s="4" t="s">
        <v>739</v>
      </c>
      <c r="G63" s="4" t="s">
        <v>64</v>
      </c>
      <c r="H63" s="4" t="s">
        <v>740</v>
      </c>
      <c r="I63" s="4" t="s">
        <v>741</v>
      </c>
      <c r="J63" s="4" t="s">
        <v>742</v>
      </c>
      <c r="K63" s="4" t="s">
        <v>736</v>
      </c>
      <c r="L63" s="4" t="s">
        <v>656</v>
      </c>
      <c r="M63" s="4" t="s">
        <v>432</v>
      </c>
      <c r="N63" s="4">
        <v>0</v>
      </c>
      <c r="O63" s="4" t="s">
        <v>97</v>
      </c>
      <c r="P63" s="4">
        <v>5</v>
      </c>
      <c r="Q63" s="4">
        <v>5</v>
      </c>
      <c r="R63" s="4">
        <v>0</v>
      </c>
      <c r="T63" s="4" t="s">
        <v>70</v>
      </c>
      <c r="U63" s="4" t="s">
        <v>70</v>
      </c>
      <c r="V63" s="6" t="s">
        <v>145</v>
      </c>
      <c r="W63" s="37">
        <f>IF('CRUDO MARTES'!W39="Si",$N63,)</f>
        <v>0</v>
      </c>
      <c r="X63" s="37">
        <f>IF('CRUDO MARTES'!X39="Si",$N63,)</f>
        <v>0</v>
      </c>
      <c r="Y63" s="37">
        <f>IF('CRUDO MARTES'!Y39="Si",$N63,)</f>
        <v>0</v>
      </c>
      <c r="Z63" s="37">
        <f>IF('CRUDO MARTES'!Z39="Si",$N63,)</f>
        <v>0</v>
      </c>
      <c r="AA63" s="37"/>
      <c r="AB63" s="37">
        <f>IF('CRUDO MARTES'!AA39="Si",$N63,)</f>
        <v>0</v>
      </c>
      <c r="AC63" s="37"/>
      <c r="AD63" s="37">
        <f>IF('CRUDO MARTES'!AB39="Si",$N63,)</f>
        <v>0</v>
      </c>
      <c r="AE63" s="37"/>
      <c r="AF63" s="37">
        <f>IF('CRUDO MARTES'!AC39="Si",$N63,)</f>
        <v>0</v>
      </c>
      <c r="AG63" s="37"/>
      <c r="AH63" s="37">
        <f>IF('CRUDO MARTES'!AD39="Si",$N63,)</f>
        <v>0</v>
      </c>
      <c r="AI63" s="37"/>
      <c r="AJ63" s="37">
        <f>IF('CRUDO MARTES'!AE39="Si",$N63,)</f>
        <v>0</v>
      </c>
      <c r="AK63" s="37"/>
      <c r="AL63" s="37">
        <f>IF('CRUDO MARTES'!AF39="Si",$N63,)</f>
        <v>0</v>
      </c>
      <c r="AM63" s="37"/>
      <c r="AN63" s="37">
        <f>IF('CRUDO MARTES'!AG39="Si",$N63,)</f>
        <v>0</v>
      </c>
      <c r="AO63" s="37"/>
      <c r="AP63" s="37">
        <f>IF('CRUDO MARTES'!AH39="Si",$N63,)</f>
        <v>0</v>
      </c>
      <c r="AQ63" s="37"/>
      <c r="AR63" s="37">
        <f>IF('CRUDO MARTES'!AI39="Si",$N63,)</f>
        <v>0</v>
      </c>
      <c r="AS63" s="37"/>
      <c r="AT63" s="37">
        <f>IF('CRUDO MARTES'!AJ39="Si",$N63,)</f>
        <v>0</v>
      </c>
      <c r="AU63" s="37"/>
      <c r="AV63" s="37">
        <f>IF('CRUDO MARTES'!AK39="Si",$N63,)</f>
        <v>0</v>
      </c>
      <c r="AW63" s="37">
        <f>IF('CRUDO MARTES'!AL39="Si",$N63,)</f>
        <v>0</v>
      </c>
      <c r="AX63" s="37">
        <f>IF('CRUDO MARTES'!AM39="Si",$N63,)</f>
        <v>0</v>
      </c>
      <c r="AY63" s="37">
        <f>IF('CRUDO MARTES'!AN39="Si",$N63,)</f>
        <v>0</v>
      </c>
      <c r="AZ63" s="37">
        <f>IF('CRUDO MARTES'!AO39="Si",$N63,)</f>
        <v>0</v>
      </c>
      <c r="BA63" s="37">
        <f>IF('CRUDO MARTES'!AP39="Si",$N63,)</f>
        <v>0</v>
      </c>
      <c r="BB63" s="37"/>
      <c r="BC63" s="37">
        <f>IF('CRUDO MARTES'!AQ39="Si",$N63,)</f>
        <v>0</v>
      </c>
      <c r="BD63" s="37"/>
      <c r="BE63" s="37">
        <f>IF('CRUDO MARTES'!AR39="Si",$N63,)</f>
        <v>0</v>
      </c>
      <c r="BF63" s="37"/>
      <c r="BG63" s="37">
        <f>IF('CRUDO MARTES'!AS39="Si",$N63,)</f>
        <v>0</v>
      </c>
    </row>
    <row r="64" spans="1:115" ht="13.2" hidden="1" x14ac:dyDescent="0.25">
      <c r="A64" s="3">
        <v>45005.58600412037</v>
      </c>
      <c r="B64" s="4" t="s">
        <v>748</v>
      </c>
      <c r="C64" s="4" t="s">
        <v>749</v>
      </c>
      <c r="D64" s="5" t="s">
        <v>750</v>
      </c>
      <c r="E64" s="4" t="s">
        <v>149</v>
      </c>
      <c r="F64" s="4" t="s">
        <v>205</v>
      </c>
      <c r="G64" s="4" t="s">
        <v>105</v>
      </c>
      <c r="H64" s="4" t="s">
        <v>751</v>
      </c>
      <c r="I64" s="4" t="s">
        <v>752</v>
      </c>
      <c r="K64" s="4" t="s">
        <v>748</v>
      </c>
      <c r="L64" s="4" t="s">
        <v>656</v>
      </c>
      <c r="M64" s="4" t="s">
        <v>361</v>
      </c>
      <c r="N64" s="4">
        <v>0</v>
      </c>
      <c r="O64" s="4" t="s">
        <v>200</v>
      </c>
      <c r="P64" s="4">
        <v>4</v>
      </c>
      <c r="Q64" s="4">
        <v>4</v>
      </c>
      <c r="R64" s="4">
        <v>60</v>
      </c>
      <c r="S64" s="4" t="s">
        <v>753</v>
      </c>
      <c r="T64" s="4" t="s">
        <v>70</v>
      </c>
      <c r="U64" s="4" t="s">
        <v>71</v>
      </c>
      <c r="V64" s="6" t="s">
        <v>145</v>
      </c>
      <c r="W64" s="37">
        <f>IF('CRUDO MARTES'!W41="Si",$N64,)</f>
        <v>0</v>
      </c>
      <c r="X64" s="37">
        <f>IF('CRUDO MARTES'!X41="Si",$N64,)</f>
        <v>0</v>
      </c>
      <c r="Y64" s="37">
        <f>IF('CRUDO MARTES'!Y41="Si",$N64,)</f>
        <v>0</v>
      </c>
      <c r="Z64" s="37">
        <f>IF('CRUDO MARTES'!Z41="Si",$N64,)</f>
        <v>0</v>
      </c>
      <c r="AA64" s="37"/>
      <c r="AB64" s="37">
        <f>IF('CRUDO MARTES'!AA41="Si",$N64,)</f>
        <v>0</v>
      </c>
      <c r="AC64" s="37"/>
      <c r="AD64" s="37">
        <f>IF('CRUDO MARTES'!AB41="Si",$N64,)</f>
        <v>0</v>
      </c>
      <c r="AE64" s="37"/>
      <c r="AF64" s="37">
        <f>IF('CRUDO MARTES'!AC41="Si",$N64,)</f>
        <v>0</v>
      </c>
      <c r="AG64" s="37"/>
      <c r="AH64" s="37">
        <f>IF('CRUDO MARTES'!AD41="Si",$N64,)</f>
        <v>0</v>
      </c>
      <c r="AI64" s="37"/>
      <c r="AJ64" s="37">
        <f>IF('CRUDO MARTES'!AE41="Si",$N64,)</f>
        <v>0</v>
      </c>
      <c r="AK64" s="37"/>
      <c r="AL64" s="37">
        <f>IF('CRUDO MARTES'!AF41="Si",$N64,)</f>
        <v>0</v>
      </c>
      <c r="AM64" s="37"/>
      <c r="AN64" s="37">
        <f>IF('CRUDO MARTES'!AG41="Si",$N64,)</f>
        <v>0</v>
      </c>
      <c r="AO64" s="37"/>
      <c r="AP64" s="37">
        <f>IF('CRUDO MARTES'!AH41="Si",$N64,)</f>
        <v>0</v>
      </c>
      <c r="AQ64" s="37"/>
      <c r="AR64" s="37">
        <f>IF('CRUDO MARTES'!AI41="Si",$N64,)</f>
        <v>0</v>
      </c>
      <c r="AS64" s="37"/>
      <c r="AT64" s="37">
        <f>IF('CRUDO MARTES'!AJ41="Si",$N64,)</f>
        <v>0</v>
      </c>
      <c r="AU64" s="37"/>
      <c r="AV64" s="37">
        <f>IF('CRUDO MARTES'!AK41="Si",$N64,)</f>
        <v>0</v>
      </c>
      <c r="AW64" s="37">
        <f>IF('CRUDO MARTES'!AL41="Si",$N64,)</f>
        <v>0</v>
      </c>
      <c r="AX64" s="37">
        <f>IF('CRUDO MARTES'!AM41="Si",$N64,)</f>
        <v>0</v>
      </c>
      <c r="AY64" s="37">
        <f>IF('CRUDO MARTES'!AN41="Si",$N64,)</f>
        <v>0</v>
      </c>
      <c r="AZ64" s="37">
        <f>IF('CRUDO MARTES'!AO41="Si",$N64,)</f>
        <v>0</v>
      </c>
      <c r="BA64" s="37">
        <f>IF('CRUDO MARTES'!AP41="Si",$N64,)</f>
        <v>0</v>
      </c>
      <c r="BB64" s="37"/>
      <c r="BC64" s="37">
        <f>IF('CRUDO MARTES'!AQ41="Si",$N64,)</f>
        <v>0</v>
      </c>
      <c r="BD64" s="37"/>
      <c r="BE64" s="37">
        <f>IF('CRUDO MARTES'!AR41="Si",$N64,)</f>
        <v>0</v>
      </c>
      <c r="BF64" s="37"/>
      <c r="BG64" s="37">
        <f>IF('CRUDO MARTES'!AS41="Si",$N64,)</f>
        <v>0</v>
      </c>
    </row>
    <row r="65" spans="1:115" ht="13.2" hidden="1" x14ac:dyDescent="0.25">
      <c r="A65" s="3">
        <v>45005.590766817128</v>
      </c>
      <c r="B65" s="4" t="s">
        <v>754</v>
      </c>
      <c r="C65" s="4" t="s">
        <v>749</v>
      </c>
      <c r="D65" s="5" t="s">
        <v>750</v>
      </c>
      <c r="E65" s="4" t="s">
        <v>149</v>
      </c>
      <c r="F65" s="4" t="s">
        <v>205</v>
      </c>
      <c r="G65" s="4" t="s">
        <v>105</v>
      </c>
      <c r="H65" s="4" t="s">
        <v>755</v>
      </c>
      <c r="I65" s="4" t="s">
        <v>756</v>
      </c>
      <c r="K65" s="4" t="s">
        <v>748</v>
      </c>
      <c r="L65" s="4" t="s">
        <v>656</v>
      </c>
      <c r="M65" s="4" t="s">
        <v>361</v>
      </c>
      <c r="N65" s="4">
        <v>0</v>
      </c>
      <c r="O65" s="4" t="s">
        <v>200</v>
      </c>
      <c r="P65" s="4">
        <v>4</v>
      </c>
      <c r="Q65" s="4">
        <v>4</v>
      </c>
      <c r="R65" s="4">
        <v>60</v>
      </c>
      <c r="S65" s="4" t="s">
        <v>757</v>
      </c>
      <c r="T65" s="4" t="s">
        <v>70</v>
      </c>
      <c r="U65" s="4" t="s">
        <v>71</v>
      </c>
      <c r="V65" s="6" t="s">
        <v>145</v>
      </c>
      <c r="W65" s="37">
        <f>IF('CRUDO MARTES'!W42="Si",$N65,)</f>
        <v>0</v>
      </c>
      <c r="X65" s="37">
        <f>IF('CRUDO MARTES'!X42="Si",$N65,)</f>
        <v>0</v>
      </c>
      <c r="Y65" s="37">
        <f>IF('CRUDO MARTES'!Y42="Si",$N65,)</f>
        <v>0</v>
      </c>
      <c r="Z65" s="37">
        <f>IF('CRUDO MARTES'!Z42="Si",$N65,)</f>
        <v>0</v>
      </c>
      <c r="AA65" s="37"/>
      <c r="AB65" s="37">
        <f>IF('CRUDO MARTES'!AA42="Si",$N65,)</f>
        <v>0</v>
      </c>
      <c r="AC65" s="37"/>
      <c r="AD65" s="37">
        <f>IF('CRUDO MARTES'!AB42="Si",$N65,)</f>
        <v>0</v>
      </c>
      <c r="AE65" s="37"/>
      <c r="AF65" s="37">
        <f>IF('CRUDO MARTES'!AC42="Si",$N65,)</f>
        <v>0</v>
      </c>
      <c r="AG65" s="37"/>
      <c r="AH65" s="37">
        <f>IF('CRUDO MARTES'!AD42="Si",$N65,)</f>
        <v>0</v>
      </c>
      <c r="AI65" s="37"/>
      <c r="AJ65" s="37">
        <f>IF('CRUDO MARTES'!AE42="Si",$N65,)</f>
        <v>0</v>
      </c>
      <c r="AK65" s="37"/>
      <c r="AL65" s="37">
        <f>IF('CRUDO MARTES'!AF42="Si",$N65,)</f>
        <v>0</v>
      </c>
      <c r="AM65" s="37"/>
      <c r="AN65" s="37">
        <f>IF('CRUDO MARTES'!AG42="Si",$N65,)</f>
        <v>0</v>
      </c>
      <c r="AO65" s="37"/>
      <c r="AP65" s="37">
        <f>IF('CRUDO MARTES'!AH42="Si",$N65,)</f>
        <v>0</v>
      </c>
      <c r="AQ65" s="37"/>
      <c r="AR65" s="37">
        <f>IF('CRUDO MARTES'!AI42="Si",$N65,)</f>
        <v>0</v>
      </c>
      <c r="AS65" s="37"/>
      <c r="AT65" s="37">
        <f>IF('CRUDO MARTES'!AJ42="Si",$N65,)</f>
        <v>0</v>
      </c>
      <c r="AU65" s="37"/>
      <c r="AV65" s="37">
        <f>IF('CRUDO MARTES'!AK42="Si",$N65,)</f>
        <v>0</v>
      </c>
      <c r="AW65" s="37">
        <f>IF('CRUDO MARTES'!AL42="Si",$N65,)</f>
        <v>0</v>
      </c>
      <c r="AX65" s="37">
        <f>IF('CRUDO MARTES'!AM42="Si",$N65,)</f>
        <v>0</v>
      </c>
      <c r="AY65" s="37">
        <f>IF('CRUDO MARTES'!AN42="Si",$N65,)</f>
        <v>0</v>
      </c>
      <c r="AZ65" s="37">
        <f>IF('CRUDO MARTES'!AO42="Si",$N65,)</f>
        <v>0</v>
      </c>
      <c r="BA65" s="37">
        <f>IF('CRUDO MARTES'!AP42="Si",$N65,)</f>
        <v>0</v>
      </c>
      <c r="BB65" s="37"/>
      <c r="BC65" s="37">
        <f>IF('CRUDO MARTES'!AQ42="Si",$N65,)</f>
        <v>0</v>
      </c>
      <c r="BD65" s="37"/>
      <c r="BE65" s="37">
        <f>IF('CRUDO MARTES'!AR42="Si",$N65,)</f>
        <v>0</v>
      </c>
      <c r="BF65" s="37"/>
      <c r="BG65" s="37">
        <f>IF('CRUDO MARTES'!AS42="Si",$N65,)</f>
        <v>0</v>
      </c>
      <c r="BH65" s="4"/>
      <c r="BI65" s="4" t="s">
        <v>758</v>
      </c>
    </row>
    <row r="66" spans="1:115" ht="13.2" hidden="1" x14ac:dyDescent="0.25">
      <c r="A66" s="3">
        <v>45001.535564270831</v>
      </c>
      <c r="B66" s="4" t="s">
        <v>776</v>
      </c>
      <c r="C66" s="4" t="s">
        <v>777</v>
      </c>
      <c r="D66" s="7" t="s">
        <v>778</v>
      </c>
      <c r="E66" s="4" t="s">
        <v>103</v>
      </c>
      <c r="F66" s="4" t="s">
        <v>779</v>
      </c>
      <c r="G66" s="4" t="s">
        <v>64</v>
      </c>
      <c r="H66" s="4" t="s">
        <v>785</v>
      </c>
      <c r="I66" s="4" t="s">
        <v>786</v>
      </c>
      <c r="J66" s="4" t="s">
        <v>782</v>
      </c>
      <c r="K66" s="4" t="s">
        <v>776</v>
      </c>
      <c r="L66" s="4" t="s">
        <v>656</v>
      </c>
      <c r="M66" s="4" t="s">
        <v>467</v>
      </c>
      <c r="N66" s="4">
        <v>0</v>
      </c>
      <c r="O66" s="4" t="s">
        <v>433</v>
      </c>
      <c r="P66" s="4">
        <v>4</v>
      </c>
      <c r="Q66" s="4">
        <v>4</v>
      </c>
      <c r="R66" s="4">
        <v>1</v>
      </c>
      <c r="T66" s="4" t="s">
        <v>70</v>
      </c>
      <c r="U66" s="4" t="s">
        <v>71</v>
      </c>
      <c r="V66" s="6" t="s">
        <v>145</v>
      </c>
      <c r="W66" s="37">
        <f>IF('CRUDO MARTES'!W47="Si",$N66,)</f>
        <v>0</v>
      </c>
      <c r="X66" s="37">
        <f>IF('CRUDO MARTES'!X47="Si",$N66,)</f>
        <v>0</v>
      </c>
      <c r="Y66" s="37">
        <f>IF('CRUDO MARTES'!Y47="Si",$N66,)</f>
        <v>0</v>
      </c>
      <c r="Z66" s="37">
        <f>IF('CRUDO MARTES'!Z47="Si",$N66,)</f>
        <v>0</v>
      </c>
      <c r="AA66" s="37"/>
      <c r="AB66" s="37">
        <f>IF('CRUDO MARTES'!AA47="Si",$N66,)</f>
        <v>0</v>
      </c>
      <c r="AC66" s="37"/>
      <c r="AD66" s="37">
        <f>IF('CRUDO MARTES'!AB47="Si",$N66,)</f>
        <v>0</v>
      </c>
      <c r="AE66" s="37"/>
      <c r="AF66" s="37">
        <f>IF('CRUDO MARTES'!AC47="Si",$N66,)</f>
        <v>0</v>
      </c>
      <c r="AG66" s="37"/>
      <c r="AH66" s="37">
        <f>IF('CRUDO MARTES'!AD47="Si",$N66,)</f>
        <v>0</v>
      </c>
      <c r="AI66" s="37"/>
      <c r="AJ66" s="37">
        <f>IF('CRUDO MARTES'!AE47="Si",$N66,)</f>
        <v>0</v>
      </c>
      <c r="AK66" s="37"/>
      <c r="AL66" s="37">
        <f>IF('CRUDO MARTES'!AF47="Si",$N66,)</f>
        <v>0</v>
      </c>
      <c r="AM66" s="37"/>
      <c r="AN66" s="37">
        <f>IF('CRUDO MARTES'!AG47="Si",$N66,)</f>
        <v>0</v>
      </c>
      <c r="AO66" s="37"/>
      <c r="AP66" s="37">
        <f>IF('CRUDO MARTES'!AH47="Si",$N66,)</f>
        <v>0</v>
      </c>
      <c r="AQ66" s="37"/>
      <c r="AR66" s="37">
        <f>IF('CRUDO MARTES'!AI47="Si",$N66,)</f>
        <v>0</v>
      </c>
      <c r="AS66" s="37"/>
      <c r="AT66" s="37">
        <f>IF('CRUDO MARTES'!AJ47="Si",$N66,)</f>
        <v>0</v>
      </c>
      <c r="AU66" s="37"/>
      <c r="AV66" s="37">
        <f>IF('CRUDO MARTES'!AK47="Si",$N66,)</f>
        <v>0</v>
      </c>
      <c r="AW66" s="37">
        <f>IF('CRUDO MARTES'!AL47="Si",$N66,)</f>
        <v>0</v>
      </c>
      <c r="AX66" s="37">
        <f>IF('CRUDO MARTES'!AM47="Si",$N66,)</f>
        <v>0</v>
      </c>
      <c r="AY66" s="37">
        <f>IF('CRUDO MARTES'!AN47="Si",$N66,)</f>
        <v>0</v>
      </c>
      <c r="AZ66" s="37">
        <f>IF('CRUDO MARTES'!AO47="Si",$N66,)</f>
        <v>0</v>
      </c>
      <c r="BA66" s="37">
        <f>IF('CRUDO MARTES'!AP47="Si",$N66,)</f>
        <v>0</v>
      </c>
      <c r="BB66" s="37"/>
      <c r="BC66" s="37">
        <f>IF('CRUDO MARTES'!AQ47="Si",$N66,)</f>
        <v>0</v>
      </c>
      <c r="BD66" s="37"/>
      <c r="BE66" s="37">
        <f>IF('CRUDO MARTES'!AR47="Si",$N66,)</f>
        <v>0</v>
      </c>
      <c r="BF66" s="37"/>
      <c r="BG66" s="37">
        <f>IF('CRUDO MARTES'!AS47="Si",$N66,)</f>
        <v>0</v>
      </c>
    </row>
    <row r="67" spans="1:115" ht="13.2" hidden="1" x14ac:dyDescent="0.25">
      <c r="A67" s="3">
        <v>45001.552058356479</v>
      </c>
      <c r="B67" s="4" t="s">
        <v>776</v>
      </c>
      <c r="C67" s="4" t="s">
        <v>788</v>
      </c>
      <c r="D67" s="7" t="s">
        <v>778</v>
      </c>
      <c r="E67" s="4" t="s">
        <v>103</v>
      </c>
      <c r="F67" s="4" t="s">
        <v>779</v>
      </c>
      <c r="G67" s="4" t="s">
        <v>64</v>
      </c>
      <c r="H67" s="4" t="s">
        <v>785</v>
      </c>
      <c r="I67" s="4" t="s">
        <v>789</v>
      </c>
      <c r="J67" s="4" t="s">
        <v>782</v>
      </c>
      <c r="K67" s="4" t="s">
        <v>776</v>
      </c>
      <c r="L67" s="4" t="s">
        <v>656</v>
      </c>
      <c r="M67" s="4" t="s">
        <v>470</v>
      </c>
      <c r="N67" s="4">
        <v>0</v>
      </c>
      <c r="O67" s="4" t="s">
        <v>433</v>
      </c>
      <c r="P67" s="4">
        <v>4</v>
      </c>
      <c r="Q67" s="4">
        <v>4</v>
      </c>
      <c r="R67" s="4">
        <v>0</v>
      </c>
      <c r="T67" s="4" t="s">
        <v>70</v>
      </c>
      <c r="U67" s="4" t="s">
        <v>71</v>
      </c>
      <c r="V67" s="6" t="s">
        <v>145</v>
      </c>
      <c r="W67" s="37">
        <f>IF('CRUDO MARTES'!W48="Si",$N67,)</f>
        <v>0</v>
      </c>
      <c r="X67" s="37">
        <f>IF('CRUDO MARTES'!X48="Si",$N67,)</f>
        <v>0</v>
      </c>
      <c r="Y67" s="37">
        <f>IF('CRUDO MARTES'!Y48="Si",$N67,)</f>
        <v>0</v>
      </c>
      <c r="Z67" s="37">
        <f>IF('CRUDO MARTES'!Z48="Si",$N67,)</f>
        <v>0</v>
      </c>
      <c r="AA67" s="37"/>
      <c r="AB67" s="37">
        <f>IF('CRUDO MARTES'!AA48="Si",$N67,)</f>
        <v>0</v>
      </c>
      <c r="AC67" s="37"/>
      <c r="AD67" s="37">
        <f>IF('CRUDO MARTES'!AB48="Si",$N67,)</f>
        <v>0</v>
      </c>
      <c r="AE67" s="37"/>
      <c r="AF67" s="37">
        <f>IF('CRUDO MARTES'!AC48="Si",$N67,)</f>
        <v>0</v>
      </c>
      <c r="AG67" s="37"/>
      <c r="AH67" s="37">
        <f>IF('CRUDO MARTES'!AD48="Si",$N67,)</f>
        <v>0</v>
      </c>
      <c r="AI67" s="37"/>
      <c r="AJ67" s="37">
        <f>IF('CRUDO MARTES'!AE48="Si",$N67,)</f>
        <v>0</v>
      </c>
      <c r="AK67" s="37"/>
      <c r="AL67" s="37">
        <f>IF('CRUDO MARTES'!AF48="Si",$N67,)</f>
        <v>0</v>
      </c>
      <c r="AM67" s="37"/>
      <c r="AN67" s="37">
        <f>IF('CRUDO MARTES'!AG48="Si",$N67,)</f>
        <v>0</v>
      </c>
      <c r="AO67" s="37"/>
      <c r="AP67" s="37">
        <f>IF('CRUDO MARTES'!AH48="Si",$N67,)</f>
        <v>0</v>
      </c>
      <c r="AQ67" s="37"/>
      <c r="AR67" s="37">
        <f>IF('CRUDO MARTES'!AI48="Si",$N67,)</f>
        <v>0</v>
      </c>
      <c r="AS67" s="37"/>
      <c r="AT67" s="37">
        <f>IF('CRUDO MARTES'!AJ48="Si",$N67,)</f>
        <v>0</v>
      </c>
      <c r="AU67" s="37"/>
      <c r="AV67" s="37">
        <f>IF('CRUDO MARTES'!AK48="Si",$N67,)</f>
        <v>0</v>
      </c>
      <c r="AW67" s="37">
        <f>IF('CRUDO MARTES'!AL48="Si",$N67,)</f>
        <v>0</v>
      </c>
      <c r="AX67" s="37">
        <f>IF('CRUDO MARTES'!AM48="Si",$N67,)</f>
        <v>0</v>
      </c>
      <c r="AY67" s="37">
        <f>IF('CRUDO MARTES'!AN48="Si",$N67,)</f>
        <v>0</v>
      </c>
      <c r="AZ67" s="37">
        <f>IF('CRUDO MARTES'!AO48="Si",$N67,)</f>
        <v>0</v>
      </c>
      <c r="BA67" s="37">
        <f>IF('CRUDO MARTES'!AP48="Si",$N67,)</f>
        <v>0</v>
      </c>
      <c r="BB67" s="37"/>
      <c r="BC67" s="37">
        <f>IF('CRUDO MARTES'!AQ48="Si",$N67,)</f>
        <v>0</v>
      </c>
      <c r="BD67" s="37"/>
      <c r="BE67" s="37">
        <f>IF('CRUDO MARTES'!AR48="Si",$N67,)</f>
        <v>0</v>
      </c>
      <c r="BF67" s="37"/>
      <c r="BG67" s="37">
        <f>IF('CRUDO MARTES'!AS48="Si",$N67,)</f>
        <v>0</v>
      </c>
    </row>
    <row r="68" spans="1:115" ht="13.2" hidden="1" x14ac:dyDescent="0.25">
      <c r="A68" s="3">
        <v>45001.560459155095</v>
      </c>
      <c r="B68" s="4" t="s">
        <v>776</v>
      </c>
      <c r="C68" s="4" t="s">
        <v>777</v>
      </c>
      <c r="D68" s="7" t="s">
        <v>778</v>
      </c>
      <c r="E68" s="4" t="s">
        <v>140</v>
      </c>
      <c r="F68" s="4" t="s">
        <v>779</v>
      </c>
      <c r="G68" s="4" t="s">
        <v>64</v>
      </c>
      <c r="H68" s="4" t="s">
        <v>785</v>
      </c>
      <c r="I68" s="4" t="s">
        <v>789</v>
      </c>
      <c r="J68" s="4" t="s">
        <v>782</v>
      </c>
      <c r="K68" s="4" t="s">
        <v>776</v>
      </c>
      <c r="L68" s="4" t="s">
        <v>656</v>
      </c>
      <c r="M68" s="4" t="s">
        <v>470</v>
      </c>
      <c r="N68" s="4">
        <v>0</v>
      </c>
      <c r="O68" s="4" t="s">
        <v>433</v>
      </c>
      <c r="P68" s="4">
        <v>4</v>
      </c>
      <c r="Q68" s="4">
        <v>4</v>
      </c>
      <c r="R68" s="4">
        <v>0</v>
      </c>
      <c r="T68" s="4" t="s">
        <v>70</v>
      </c>
      <c r="U68" s="4" t="s">
        <v>71</v>
      </c>
      <c r="V68" s="6" t="s">
        <v>145</v>
      </c>
      <c r="W68" s="37">
        <f>IF('CRUDO MARTES'!W49="Si",$N68,)</f>
        <v>0</v>
      </c>
      <c r="X68" s="37">
        <f>IF('CRUDO MARTES'!X49="Si",$N68,)</f>
        <v>0</v>
      </c>
      <c r="Y68" s="37">
        <f>IF('CRUDO MARTES'!Y49="Si",$N68,)</f>
        <v>0</v>
      </c>
      <c r="Z68" s="37">
        <f>IF('CRUDO MARTES'!Z49="Si",$N68,)</f>
        <v>0</v>
      </c>
      <c r="AA68" s="37"/>
      <c r="AB68" s="37">
        <f>IF('CRUDO MARTES'!AA49="Si",$N68,)</f>
        <v>0</v>
      </c>
      <c r="AC68" s="37"/>
      <c r="AD68" s="37">
        <f>IF('CRUDO MARTES'!AB49="Si",$N68,)</f>
        <v>0</v>
      </c>
      <c r="AE68" s="37"/>
      <c r="AF68" s="37">
        <f>IF('CRUDO MARTES'!AC49="Si",$N68,)</f>
        <v>0</v>
      </c>
      <c r="AG68" s="37"/>
      <c r="AH68" s="37">
        <f>IF('CRUDO MARTES'!AD49="Si",$N68,)</f>
        <v>0</v>
      </c>
      <c r="AI68" s="37"/>
      <c r="AJ68" s="37">
        <f>IF('CRUDO MARTES'!AE49="Si",$N68,)</f>
        <v>0</v>
      </c>
      <c r="AK68" s="37"/>
      <c r="AL68" s="37">
        <f>IF('CRUDO MARTES'!AF49="Si",$N68,)</f>
        <v>0</v>
      </c>
      <c r="AM68" s="37"/>
      <c r="AN68" s="37">
        <f>IF('CRUDO MARTES'!AG49="Si",$N68,)</f>
        <v>0</v>
      </c>
      <c r="AO68" s="37"/>
      <c r="AP68" s="37">
        <f>IF('CRUDO MARTES'!AH49="Si",$N68,)</f>
        <v>0</v>
      </c>
      <c r="AQ68" s="37"/>
      <c r="AR68" s="37">
        <f>IF('CRUDO MARTES'!AI49="Si",$N68,)</f>
        <v>0</v>
      </c>
      <c r="AS68" s="37"/>
      <c r="AT68" s="37">
        <f>IF('CRUDO MARTES'!AJ49="Si",$N68,)</f>
        <v>0</v>
      </c>
      <c r="AU68" s="37"/>
      <c r="AV68" s="37">
        <f>IF('CRUDO MARTES'!AK49="Si",$N68,)</f>
        <v>0</v>
      </c>
      <c r="AW68" s="37">
        <f>IF('CRUDO MARTES'!AL49="Si",$N68,)</f>
        <v>0</v>
      </c>
      <c r="AX68" s="37">
        <f>IF('CRUDO MARTES'!AM49="Si",$N68,)</f>
        <v>0</v>
      </c>
      <c r="AY68" s="37">
        <f>IF('CRUDO MARTES'!AN49="Si",$N68,)</f>
        <v>0</v>
      </c>
      <c r="AZ68" s="37">
        <f>IF('CRUDO MARTES'!AO49="Si",$N68,)</f>
        <v>0</v>
      </c>
      <c r="BA68" s="37">
        <f>IF('CRUDO MARTES'!AP49="Si",$N68,)</f>
        <v>0</v>
      </c>
      <c r="BB68" s="37"/>
      <c r="BC68" s="37">
        <f>IF('CRUDO MARTES'!AQ49="Si",$N68,)</f>
        <v>0</v>
      </c>
      <c r="BD68" s="37"/>
      <c r="BE68" s="37">
        <f>IF('CRUDO MARTES'!AR49="Si",$N68,)</f>
        <v>0</v>
      </c>
      <c r="BF68" s="37"/>
      <c r="BG68" s="37">
        <f>IF('CRUDO MARTES'!AS49="Si",$N68,)</f>
        <v>0</v>
      </c>
    </row>
    <row r="69" spans="1:115" ht="13.2" hidden="1" x14ac:dyDescent="0.25">
      <c r="A69" s="30">
        <v>45005.502667476852</v>
      </c>
      <c r="B69" s="31" t="s">
        <v>796</v>
      </c>
      <c r="C69" s="31" t="s">
        <v>797</v>
      </c>
      <c r="D69" s="36" t="s">
        <v>798</v>
      </c>
      <c r="E69" s="31" t="s">
        <v>149</v>
      </c>
      <c r="F69" s="31" t="s">
        <v>799</v>
      </c>
      <c r="G69" s="31" t="s">
        <v>64</v>
      </c>
      <c r="H69" s="31" t="s">
        <v>804</v>
      </c>
      <c r="I69" s="31" t="s">
        <v>802</v>
      </c>
      <c r="J69" s="31" t="s">
        <v>805</v>
      </c>
      <c r="K69" s="31" t="s">
        <v>796</v>
      </c>
      <c r="L69" s="31" t="s">
        <v>656</v>
      </c>
      <c r="M69" s="31" t="s">
        <v>490</v>
      </c>
      <c r="N69" s="31">
        <v>0</v>
      </c>
      <c r="O69" s="31" t="s">
        <v>69</v>
      </c>
      <c r="P69" s="31">
        <v>1</v>
      </c>
      <c r="Q69" s="31">
        <v>3</v>
      </c>
      <c r="R69" s="31">
        <v>20</v>
      </c>
      <c r="S69" s="33"/>
      <c r="T69" s="31" t="s">
        <v>70</v>
      </c>
      <c r="U69" s="31" t="s">
        <v>71</v>
      </c>
      <c r="V69" s="8" t="s">
        <v>145</v>
      </c>
      <c r="W69" s="35">
        <f>IF('CRUDO MARTES'!W52="Si",$N69,)</f>
        <v>0</v>
      </c>
      <c r="X69" s="35">
        <f>IF('CRUDO MARTES'!X52="Si",$N69,)</f>
        <v>0</v>
      </c>
      <c r="Y69" s="35">
        <f>IF('CRUDO MARTES'!Y52="Si",$N69,)</f>
        <v>0</v>
      </c>
      <c r="Z69" s="35">
        <f>IF('CRUDO MARTES'!Z52="Si",$N69,)</f>
        <v>0</v>
      </c>
      <c r="AA69" s="35"/>
      <c r="AB69" s="35">
        <f>IF('CRUDO MARTES'!AA52="Si",$N69,)</f>
        <v>0</v>
      </c>
      <c r="AC69" s="35"/>
      <c r="AD69" s="35">
        <f>IF('CRUDO MARTES'!AB52="Si",$N69,)</f>
        <v>0</v>
      </c>
      <c r="AE69" s="35"/>
      <c r="AF69" s="35">
        <f>IF('CRUDO MARTES'!AC52="Si",$N69,)</f>
        <v>0</v>
      </c>
      <c r="AG69" s="35"/>
      <c r="AH69" s="35">
        <f>IF('CRUDO MARTES'!AD52="Si",$N69,)</f>
        <v>0</v>
      </c>
      <c r="AI69" s="35"/>
      <c r="AJ69" s="35">
        <f>IF('CRUDO MARTES'!AE52="Si",$N69,)</f>
        <v>0</v>
      </c>
      <c r="AK69" s="35"/>
      <c r="AL69" s="35">
        <f>IF('CRUDO MARTES'!AF52="Si",$N69,)</f>
        <v>0</v>
      </c>
      <c r="AM69" s="35"/>
      <c r="AN69" s="35">
        <f>IF('CRUDO MARTES'!AG52="Si",$N69,)</f>
        <v>0</v>
      </c>
      <c r="AO69" s="35"/>
      <c r="AP69" s="35">
        <f>IF('CRUDO MARTES'!AH52="Si",$N69,)</f>
        <v>0</v>
      </c>
      <c r="AQ69" s="35"/>
      <c r="AR69" s="35">
        <f>IF('CRUDO MARTES'!AI52="Si",$N69,)</f>
        <v>0</v>
      </c>
      <c r="AS69" s="35"/>
      <c r="AT69" s="35">
        <f>IF('CRUDO MARTES'!AJ52="Si",$N69,)</f>
        <v>0</v>
      </c>
      <c r="AU69" s="35"/>
      <c r="AV69" s="35">
        <f>IF('CRUDO MARTES'!AK52="Si",$N69,)</f>
        <v>0</v>
      </c>
      <c r="AW69" s="35">
        <f>IF('CRUDO MARTES'!AL52="Si",$N69,)</f>
        <v>0</v>
      </c>
      <c r="AX69" s="35">
        <f>IF('CRUDO MARTES'!AM52="Si",$N69,)</f>
        <v>0</v>
      </c>
      <c r="AY69" s="35">
        <f>IF('CRUDO MARTES'!AN52="Si",$N69,)</f>
        <v>0</v>
      </c>
      <c r="AZ69" s="35">
        <f>IF('CRUDO MARTES'!AO52="Si",$N69,)</f>
        <v>0</v>
      </c>
      <c r="BA69" s="35">
        <f>IF('CRUDO MARTES'!AP52="Si",$N69,)</f>
        <v>0</v>
      </c>
      <c r="BB69" s="35"/>
      <c r="BC69" s="35">
        <f>IF('CRUDO MARTES'!AQ52="Si",$N69,)</f>
        <v>0</v>
      </c>
      <c r="BD69" s="35"/>
      <c r="BE69" s="35">
        <f>IF('CRUDO MARTES'!AR52="Si",$N69,)</f>
        <v>0</v>
      </c>
      <c r="BF69" s="35"/>
      <c r="BG69" s="35">
        <f>IF('CRUDO MARTES'!AS52="Si",$N69,)</f>
        <v>0</v>
      </c>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row>
    <row r="70" spans="1:115" ht="13.2" x14ac:dyDescent="0.25">
      <c r="A70" s="22">
        <v>45001.582880046291</v>
      </c>
      <c r="B70" s="23" t="s">
        <v>806</v>
      </c>
      <c r="C70" s="38" t="s">
        <v>807</v>
      </c>
      <c r="D70" s="29" t="s">
        <v>808</v>
      </c>
      <c r="E70" s="23" t="s">
        <v>263</v>
      </c>
      <c r="F70" s="23" t="s">
        <v>809</v>
      </c>
      <c r="G70" s="23" t="s">
        <v>105</v>
      </c>
      <c r="H70" s="23" t="s">
        <v>810</v>
      </c>
      <c r="I70" s="23" t="s">
        <v>811</v>
      </c>
      <c r="J70" s="23" t="s">
        <v>812</v>
      </c>
      <c r="K70" s="23" t="s">
        <v>806</v>
      </c>
      <c r="L70" s="23" t="s">
        <v>665</v>
      </c>
      <c r="M70" s="23" t="s">
        <v>492</v>
      </c>
      <c r="N70" s="23">
        <v>35</v>
      </c>
      <c r="O70" s="10" t="s">
        <v>433</v>
      </c>
      <c r="P70" s="23">
        <v>2</v>
      </c>
      <c r="Q70" s="23">
        <v>1</v>
      </c>
      <c r="R70" s="23">
        <v>90</v>
      </c>
      <c r="S70" s="23" t="s">
        <v>813</v>
      </c>
      <c r="T70" s="23" t="s">
        <v>70</v>
      </c>
      <c r="U70" s="23" t="s">
        <v>70</v>
      </c>
      <c r="V70" s="26" t="s">
        <v>145</v>
      </c>
      <c r="W70" s="27">
        <f>IF('CRUDO MARTES'!W53="Si",$N70,)</f>
        <v>35</v>
      </c>
      <c r="X70" s="27">
        <f>IF('CRUDO MARTES'!X53="Si",$N70,)</f>
        <v>0</v>
      </c>
      <c r="Y70" s="27">
        <f>IF('CRUDO MARTES'!Y53="Si",$N70,)</f>
        <v>0</v>
      </c>
      <c r="Z70" s="27">
        <f>IF('CRUDO MARTES'!Z53="Si",$N70,)</f>
        <v>0</v>
      </c>
      <c r="AA70" s="27"/>
      <c r="AB70" s="28">
        <v>35</v>
      </c>
      <c r="AC70" s="28" t="s">
        <v>1233</v>
      </c>
      <c r="AD70" s="28">
        <v>0</v>
      </c>
      <c r="AE70" s="28"/>
      <c r="AF70" s="28">
        <v>0</v>
      </c>
      <c r="AG70" s="28"/>
      <c r="AH70" s="27">
        <f>IF('CRUDO MARTES'!AD53="Si",$N70,)</f>
        <v>35</v>
      </c>
      <c r="AI70" s="28" t="s">
        <v>1227</v>
      </c>
      <c r="AJ70" s="28">
        <v>0</v>
      </c>
      <c r="AK70" s="28"/>
      <c r="AL70" s="27">
        <f>IF('CRUDO MARTES'!AF53="Si",$N70,)</f>
        <v>0</v>
      </c>
      <c r="AM70" s="27"/>
      <c r="AN70" s="27">
        <f>IF('CRUDO MARTES'!AG53="Si",$N70,)</f>
        <v>0</v>
      </c>
      <c r="AO70" s="28"/>
      <c r="AP70" s="28">
        <v>0</v>
      </c>
      <c r="AQ70" s="27"/>
      <c r="AR70" s="27">
        <f>IF('CRUDO MARTES'!AI53="Si",$N70,)</f>
        <v>0</v>
      </c>
      <c r="AS70" s="27"/>
      <c r="AT70" s="27">
        <f>IF('CRUDO MARTES'!AJ53="Si",$N70,)</f>
        <v>0</v>
      </c>
      <c r="AU70" s="27"/>
      <c r="AV70" s="27">
        <f>IF('CRUDO MARTES'!AK53="Si",$N70,)</f>
        <v>0</v>
      </c>
      <c r="AW70" s="28">
        <v>0</v>
      </c>
      <c r="AX70" s="27">
        <f>IF('CRUDO MARTES'!AM53="Si",$N70,)</f>
        <v>0</v>
      </c>
      <c r="AY70" s="28">
        <v>0</v>
      </c>
      <c r="AZ70" s="27">
        <f>IF('CRUDO MARTES'!AO53="Si",$N70,)</f>
        <v>35</v>
      </c>
      <c r="BA70" s="27">
        <f>IF('CRUDO MARTES'!AP53="Si",$N70,)</f>
        <v>0</v>
      </c>
      <c r="BB70" s="28"/>
      <c r="BC70" s="28">
        <v>35</v>
      </c>
      <c r="BD70" s="28" t="s">
        <v>1239</v>
      </c>
      <c r="BE70" s="28">
        <v>0</v>
      </c>
      <c r="BF70" s="27"/>
      <c r="BG70" s="27">
        <f>IF('CRUDO MARTES'!AS53="Si",$N70,)</f>
        <v>0</v>
      </c>
      <c r="BH70" s="23"/>
      <c r="BI70" s="23" t="s">
        <v>814</v>
      </c>
      <c r="BJ70" s="23" t="s">
        <v>1237</v>
      </c>
      <c r="BK70" s="23">
        <v>1</v>
      </c>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row>
    <row r="71" spans="1:115" ht="13.2" hidden="1" x14ac:dyDescent="0.25">
      <c r="A71" s="30">
        <v>45001.624717766201</v>
      </c>
      <c r="B71" s="31" t="s">
        <v>906</v>
      </c>
      <c r="C71" s="31" t="s">
        <v>907</v>
      </c>
      <c r="D71" s="32" t="s">
        <v>908</v>
      </c>
      <c r="E71" s="31" t="s">
        <v>103</v>
      </c>
      <c r="F71" s="31" t="s">
        <v>909</v>
      </c>
      <c r="G71" s="31" t="s">
        <v>64</v>
      </c>
      <c r="H71" s="31" t="s">
        <v>910</v>
      </c>
      <c r="I71" s="31" t="s">
        <v>911</v>
      </c>
      <c r="J71" s="33"/>
      <c r="K71" s="31" t="s">
        <v>906</v>
      </c>
      <c r="L71" s="31" t="s">
        <v>656</v>
      </c>
      <c r="M71" s="31" t="s">
        <v>552</v>
      </c>
      <c r="N71" s="31">
        <v>0</v>
      </c>
      <c r="O71" s="31" t="s">
        <v>69</v>
      </c>
      <c r="P71" s="31">
        <v>5</v>
      </c>
      <c r="Q71" s="31">
        <v>4</v>
      </c>
      <c r="R71" s="31">
        <v>2</v>
      </c>
      <c r="S71" s="33"/>
      <c r="T71" s="31" t="s">
        <v>70</v>
      </c>
      <c r="U71" s="31" t="s">
        <v>71</v>
      </c>
      <c r="V71" s="8" t="s">
        <v>145</v>
      </c>
      <c r="W71" s="35">
        <f>IF('CRUDO MARTES'!W57="Si",$N71,)</f>
        <v>0</v>
      </c>
      <c r="X71" s="35">
        <f>IF('CRUDO MARTES'!X57="Si",$N71,)</f>
        <v>0</v>
      </c>
      <c r="Y71" s="35">
        <f>IF('CRUDO MARTES'!Y57="Si",$N71,)</f>
        <v>0</v>
      </c>
      <c r="Z71" s="35">
        <f>IF('CRUDO MARTES'!Z57="Si",$N71,)</f>
        <v>0</v>
      </c>
      <c r="AA71" s="35"/>
      <c r="AB71" s="35">
        <f>IF('CRUDO MARTES'!AA57="Si",$N71,)</f>
        <v>0</v>
      </c>
      <c r="AC71" s="35"/>
      <c r="AD71" s="35">
        <f>IF('CRUDO MARTES'!AB57="Si",$N71,)</f>
        <v>0</v>
      </c>
      <c r="AE71" s="35"/>
      <c r="AF71" s="35">
        <f>IF('CRUDO MARTES'!AC57="Si",$N71,)</f>
        <v>0</v>
      </c>
      <c r="AG71" s="35"/>
      <c r="AH71" s="35">
        <f>IF('CRUDO MARTES'!AD57="Si",$N71,)</f>
        <v>0</v>
      </c>
      <c r="AI71" s="35"/>
      <c r="AJ71" s="35">
        <f>IF('CRUDO MARTES'!AE57="Si",$N71,)</f>
        <v>0</v>
      </c>
      <c r="AK71" s="35"/>
      <c r="AL71" s="35">
        <f>IF('CRUDO MARTES'!AF57="Si",$N71,)</f>
        <v>0</v>
      </c>
      <c r="AM71" s="35"/>
      <c r="AN71" s="35">
        <f>IF('CRUDO MARTES'!AG57="Si",$N71,)</f>
        <v>0</v>
      </c>
      <c r="AO71" s="35"/>
      <c r="AP71" s="35">
        <f>IF('CRUDO MARTES'!AH57="Si",$N71,)</f>
        <v>0</v>
      </c>
      <c r="AQ71" s="35"/>
      <c r="AR71" s="35">
        <f>IF('CRUDO MARTES'!AI57="Si",$N71,)</f>
        <v>0</v>
      </c>
      <c r="AS71" s="35"/>
      <c r="AT71" s="35">
        <f>IF('CRUDO MARTES'!AJ57="Si",$N71,)</f>
        <v>0</v>
      </c>
      <c r="AU71" s="35"/>
      <c r="AV71" s="35">
        <f>IF('CRUDO MARTES'!AK57="Si",$N71,)</f>
        <v>0</v>
      </c>
      <c r="AW71" s="35">
        <f>IF('CRUDO MARTES'!AL57="Si",$N71,)</f>
        <v>0</v>
      </c>
      <c r="AX71" s="35">
        <f>IF('CRUDO MARTES'!AM57="Si",$N71,)</f>
        <v>0</v>
      </c>
      <c r="AY71" s="35">
        <f>IF('CRUDO MARTES'!AN57="Si",$N71,)</f>
        <v>0</v>
      </c>
      <c r="AZ71" s="35">
        <f>IF('CRUDO MARTES'!AO57="Si",$N71,)</f>
        <v>0</v>
      </c>
      <c r="BA71" s="35">
        <f>IF('CRUDO MARTES'!AP57="Si",$N71,)</f>
        <v>0</v>
      </c>
      <c r="BB71" s="35"/>
      <c r="BC71" s="35">
        <f>IF('CRUDO MARTES'!AQ57="Si",$N71,)</f>
        <v>0</v>
      </c>
      <c r="BD71" s="35"/>
      <c r="BE71" s="35">
        <f>IF('CRUDO MARTES'!AR57="Si",$N71,)</f>
        <v>0</v>
      </c>
      <c r="BF71" s="35"/>
      <c r="BG71" s="35">
        <f>IF('CRUDO MARTES'!AS57="Si",$N71,)</f>
        <v>0</v>
      </c>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c r="CW71" s="33"/>
      <c r="CX71" s="33"/>
      <c r="CY71" s="33"/>
      <c r="CZ71" s="33"/>
      <c r="DA71" s="33"/>
      <c r="DB71" s="33"/>
      <c r="DC71" s="33"/>
      <c r="DD71" s="33"/>
      <c r="DE71" s="33"/>
      <c r="DF71" s="33"/>
      <c r="DG71" s="33"/>
      <c r="DH71" s="33"/>
      <c r="DI71" s="33"/>
      <c r="DJ71" s="33"/>
      <c r="DK71" s="33"/>
    </row>
    <row r="72" spans="1:115" ht="13.2" hidden="1" x14ac:dyDescent="0.25">
      <c r="A72" s="3">
        <v>45005.646885740745</v>
      </c>
      <c r="B72" s="4" t="s">
        <v>943</v>
      </c>
      <c r="C72" s="4" t="s">
        <v>944</v>
      </c>
      <c r="D72" s="6" t="s">
        <v>945</v>
      </c>
      <c r="E72" s="4" t="s">
        <v>103</v>
      </c>
      <c r="F72" s="4" t="s">
        <v>723</v>
      </c>
      <c r="G72" s="4" t="s">
        <v>105</v>
      </c>
      <c r="H72" s="4" t="s">
        <v>946</v>
      </c>
      <c r="I72" s="4" t="s">
        <v>947</v>
      </c>
      <c r="J72" s="4" t="s">
        <v>948</v>
      </c>
      <c r="K72" s="4" t="s">
        <v>943</v>
      </c>
      <c r="L72" s="4" t="s">
        <v>656</v>
      </c>
      <c r="M72" s="4" t="s">
        <v>558</v>
      </c>
      <c r="N72" s="4">
        <v>0</v>
      </c>
      <c r="O72" s="4" t="s">
        <v>433</v>
      </c>
      <c r="P72" s="4">
        <v>2</v>
      </c>
      <c r="Q72" s="4">
        <v>3</v>
      </c>
      <c r="R72" s="4">
        <v>85</v>
      </c>
      <c r="S72" s="4" t="s">
        <v>949</v>
      </c>
      <c r="T72" s="4" t="s">
        <v>70</v>
      </c>
      <c r="U72" s="4" t="s">
        <v>71</v>
      </c>
      <c r="V72" s="6" t="s">
        <v>145</v>
      </c>
      <c r="W72" s="37">
        <f>IF('CRUDO MARTES'!W62="Si",$N72,)</f>
        <v>0</v>
      </c>
      <c r="X72" s="37">
        <f>IF('CRUDO MARTES'!X62="Si",$N72,)</f>
        <v>0</v>
      </c>
      <c r="Y72" s="37">
        <f>IF('CRUDO MARTES'!Y62="Si",$N72,)</f>
        <v>0</v>
      </c>
      <c r="Z72" s="37">
        <f>IF('CRUDO MARTES'!Z62="Si",$N72,)</f>
        <v>0</v>
      </c>
      <c r="AA72" s="37"/>
      <c r="AB72" s="37">
        <f>IF('CRUDO MARTES'!AA62="Si",$N72,)</f>
        <v>0</v>
      </c>
      <c r="AC72" s="37"/>
      <c r="AD72" s="37">
        <f>IF('CRUDO MARTES'!AB62="Si",$N72,)</f>
        <v>0</v>
      </c>
      <c r="AE72" s="37"/>
      <c r="AF72" s="37">
        <f>IF('CRUDO MARTES'!AC62="Si",$N72,)</f>
        <v>0</v>
      </c>
      <c r="AG72" s="37"/>
      <c r="AH72" s="37">
        <f>IF('CRUDO MARTES'!AD62="Si",$N72,)</f>
        <v>0</v>
      </c>
      <c r="AI72" s="37"/>
      <c r="AJ72" s="37">
        <f>IF('CRUDO MARTES'!AE62="Si",$N72,)</f>
        <v>0</v>
      </c>
      <c r="AK72" s="37"/>
      <c r="AL72" s="37">
        <f>IF('CRUDO MARTES'!AF62="Si",$N72,)</f>
        <v>0</v>
      </c>
      <c r="AM72" s="37"/>
      <c r="AN72" s="37">
        <f>IF('CRUDO MARTES'!AG62="Si",$N72,)</f>
        <v>0</v>
      </c>
      <c r="AO72" s="37"/>
      <c r="AP72" s="37">
        <f>IF('CRUDO MARTES'!AH62="Si",$N72,)</f>
        <v>0</v>
      </c>
      <c r="AQ72" s="37"/>
      <c r="AR72" s="37">
        <f>IF('CRUDO MARTES'!AI62="Si",$N72,)</f>
        <v>0</v>
      </c>
      <c r="AS72" s="37"/>
      <c r="AT72" s="37">
        <f>IF('CRUDO MARTES'!AJ62="Si",$N72,)</f>
        <v>0</v>
      </c>
      <c r="AU72" s="37"/>
      <c r="AV72" s="37">
        <f>IF('CRUDO MARTES'!AK62="Si",$N72,)</f>
        <v>0</v>
      </c>
      <c r="AW72" s="37">
        <f>IF('CRUDO MARTES'!AL62="Si",$N72,)</f>
        <v>0</v>
      </c>
      <c r="AX72" s="37">
        <f>IF('CRUDO MARTES'!AM62="Si",$N72,)</f>
        <v>0</v>
      </c>
      <c r="AY72" s="37">
        <f>IF('CRUDO MARTES'!AN62="Si",$N72,)</f>
        <v>0</v>
      </c>
      <c r="AZ72" s="37">
        <f>IF('CRUDO MARTES'!AO62="Si",$N72,)</f>
        <v>0</v>
      </c>
      <c r="BA72" s="37">
        <f>IF('CRUDO MARTES'!AP62="Si",$N72,)</f>
        <v>0</v>
      </c>
      <c r="BB72" s="37"/>
      <c r="BC72" s="37">
        <f>IF('CRUDO MARTES'!AQ62="Si",$N72,)</f>
        <v>0</v>
      </c>
      <c r="BD72" s="37"/>
      <c r="BE72" s="37">
        <f>IF('CRUDO MARTES'!AR62="Si",$N72,)</f>
        <v>0</v>
      </c>
      <c r="BF72" s="37"/>
      <c r="BG72" s="37">
        <f>IF('CRUDO MARTES'!AS62="Si",$N72,)</f>
        <v>0</v>
      </c>
      <c r="BH72" s="4"/>
      <c r="BI72" s="4" t="s">
        <v>950</v>
      </c>
    </row>
    <row r="73" spans="1:115" ht="13.2" hidden="1" x14ac:dyDescent="0.25">
      <c r="A73" s="30">
        <v>45000.751942002316</v>
      </c>
      <c r="B73" s="31" t="s">
        <v>1035</v>
      </c>
      <c r="C73" s="31" t="s">
        <v>1036</v>
      </c>
      <c r="D73" s="36" t="s">
        <v>1037</v>
      </c>
      <c r="E73" s="31" t="s">
        <v>103</v>
      </c>
      <c r="F73" s="31" t="s">
        <v>104</v>
      </c>
      <c r="G73" s="31" t="s">
        <v>64</v>
      </c>
      <c r="H73" s="31" t="s">
        <v>1038</v>
      </c>
      <c r="I73" s="31" t="s">
        <v>1041</v>
      </c>
      <c r="J73" s="31" t="s">
        <v>1042</v>
      </c>
      <c r="K73" s="31" t="s">
        <v>1035</v>
      </c>
      <c r="L73" s="31" t="s">
        <v>656</v>
      </c>
      <c r="M73" s="31" t="s">
        <v>639</v>
      </c>
      <c r="N73" s="31">
        <v>0</v>
      </c>
      <c r="O73" s="31" t="s">
        <v>97</v>
      </c>
      <c r="P73" s="31">
        <v>5</v>
      </c>
      <c r="Q73" s="31">
        <v>1</v>
      </c>
      <c r="R73" s="31">
        <v>20</v>
      </c>
      <c r="S73" s="33"/>
      <c r="T73" s="31" t="s">
        <v>70</v>
      </c>
      <c r="U73" s="31" t="s">
        <v>71</v>
      </c>
      <c r="V73" s="8" t="s">
        <v>145</v>
      </c>
      <c r="W73" s="35">
        <f>IF('CRUDO MARTES'!W68="Si",$N73,)</f>
        <v>0</v>
      </c>
      <c r="X73" s="35">
        <f>IF('CRUDO MARTES'!X68="Si",$N73,)</f>
        <v>0</v>
      </c>
      <c r="Y73" s="35">
        <f>IF('CRUDO MARTES'!Y68="Si",$N73,)</f>
        <v>0</v>
      </c>
      <c r="Z73" s="35">
        <f>IF('CRUDO MARTES'!Z68="Si",$N73,)</f>
        <v>0</v>
      </c>
      <c r="AA73" s="35"/>
      <c r="AB73" s="35">
        <f>IF('CRUDO MARTES'!AA68="Si",$N73,)</f>
        <v>0</v>
      </c>
      <c r="AC73" s="35"/>
      <c r="AD73" s="35">
        <f>IF('CRUDO MARTES'!AB68="Si",$N73,)</f>
        <v>0</v>
      </c>
      <c r="AE73" s="35"/>
      <c r="AF73" s="35">
        <f>IF('CRUDO MARTES'!AC68="Si",$N73,)</f>
        <v>0</v>
      </c>
      <c r="AG73" s="35"/>
      <c r="AH73" s="35">
        <f>IF('CRUDO MARTES'!AD68="Si",$N73,)</f>
        <v>0</v>
      </c>
      <c r="AI73" s="35"/>
      <c r="AJ73" s="35">
        <f>IF('CRUDO MARTES'!AE68="Si",$N73,)</f>
        <v>0</v>
      </c>
      <c r="AK73" s="35"/>
      <c r="AL73" s="35">
        <f>IF('CRUDO MARTES'!AF68="Si",$N73,)</f>
        <v>0</v>
      </c>
      <c r="AM73" s="35"/>
      <c r="AN73" s="35">
        <f>IF('CRUDO MARTES'!AG68="Si",$N73,)</f>
        <v>0</v>
      </c>
      <c r="AO73" s="35"/>
      <c r="AP73" s="35">
        <f>IF('CRUDO MARTES'!AH68="Si",$N73,)</f>
        <v>0</v>
      </c>
      <c r="AQ73" s="35"/>
      <c r="AR73" s="35">
        <f>IF('CRUDO MARTES'!AI68="Si",$N73,)</f>
        <v>0</v>
      </c>
      <c r="AS73" s="35"/>
      <c r="AT73" s="35">
        <f>IF('CRUDO MARTES'!AJ68="Si",$N73,)</f>
        <v>0</v>
      </c>
      <c r="AU73" s="35"/>
      <c r="AV73" s="35">
        <f>IF('CRUDO MARTES'!AK68="Si",$N73,)</f>
        <v>0</v>
      </c>
      <c r="AW73" s="35">
        <f>IF('CRUDO MARTES'!AL68="Si",$N73,)</f>
        <v>0</v>
      </c>
      <c r="AX73" s="35">
        <f>IF('CRUDO MARTES'!AM68="Si",$N73,)</f>
        <v>0</v>
      </c>
      <c r="AY73" s="35">
        <f>IF('CRUDO MARTES'!AN68="Si",$N73,)</f>
        <v>0</v>
      </c>
      <c r="AZ73" s="35">
        <f>IF('CRUDO MARTES'!AO68="Si",$N73,)</f>
        <v>0</v>
      </c>
      <c r="BA73" s="35">
        <f>IF('CRUDO MARTES'!AP68="Si",$N73,)</f>
        <v>0</v>
      </c>
      <c r="BB73" s="35"/>
      <c r="BC73" s="35">
        <f>IF('CRUDO MARTES'!AQ68="Si",$N73,)</f>
        <v>0</v>
      </c>
      <c r="BD73" s="35"/>
      <c r="BE73" s="35">
        <f>IF('CRUDO MARTES'!AR68="Si",$N73,)</f>
        <v>0</v>
      </c>
      <c r="BF73" s="35"/>
      <c r="BG73" s="35">
        <f>IF('CRUDO MARTES'!AS68="Si",$N73,)</f>
        <v>0</v>
      </c>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c r="DK73" s="33"/>
    </row>
    <row r="74" spans="1:115" ht="13.2" hidden="1" x14ac:dyDescent="0.25">
      <c r="A74" s="3">
        <v>45005.626857986106</v>
      </c>
      <c r="B74" s="4" t="s">
        <v>1106</v>
      </c>
      <c r="C74" s="4" t="s">
        <v>1107</v>
      </c>
      <c r="D74" s="5" t="s">
        <v>1108</v>
      </c>
      <c r="E74" s="4" t="s">
        <v>62</v>
      </c>
      <c r="F74" s="4" t="s">
        <v>1109</v>
      </c>
      <c r="G74" s="4" t="s">
        <v>105</v>
      </c>
      <c r="H74" s="4" t="s">
        <v>1110</v>
      </c>
      <c r="I74" s="4" t="s">
        <v>1111</v>
      </c>
      <c r="J74" s="4" t="s">
        <v>1112</v>
      </c>
      <c r="K74" s="4" t="s">
        <v>1106</v>
      </c>
      <c r="L74" s="4" t="s">
        <v>656</v>
      </c>
      <c r="M74" s="4" t="s">
        <v>680</v>
      </c>
      <c r="N74" s="4">
        <v>0</v>
      </c>
      <c r="O74" s="4" t="s">
        <v>200</v>
      </c>
      <c r="P74" s="4">
        <v>4</v>
      </c>
      <c r="Q74" s="4">
        <v>1</v>
      </c>
      <c r="R74" s="4">
        <v>80</v>
      </c>
      <c r="T74" s="4" t="s">
        <v>70</v>
      </c>
      <c r="U74" s="4" t="s">
        <v>70</v>
      </c>
      <c r="V74" s="6" t="s">
        <v>145</v>
      </c>
      <c r="W74" s="37">
        <f>IF('CRUDO MARTES'!W70="Si",$N74,)</f>
        <v>0</v>
      </c>
      <c r="X74" s="37">
        <f>IF('CRUDO MARTES'!X70="Si",$N74,)</f>
        <v>0</v>
      </c>
      <c r="Y74" s="37">
        <f>IF('CRUDO MARTES'!Y70="Si",$N74,)</f>
        <v>0</v>
      </c>
      <c r="Z74" s="37">
        <f>IF('CRUDO MARTES'!Z70="Si",$N74,)</f>
        <v>0</v>
      </c>
      <c r="AA74" s="37"/>
      <c r="AB74" s="37">
        <f>IF('CRUDO MARTES'!AA70="Si",$N74,)</f>
        <v>0</v>
      </c>
      <c r="AC74" s="37"/>
      <c r="AD74" s="37">
        <f>IF('CRUDO MARTES'!AB70="Si",$N74,)</f>
        <v>0</v>
      </c>
      <c r="AE74" s="37"/>
      <c r="AF74" s="37">
        <f>IF('CRUDO MARTES'!AC70="Si",$N74,)</f>
        <v>0</v>
      </c>
      <c r="AG74" s="37"/>
      <c r="AH74" s="37">
        <f>IF('CRUDO MARTES'!AD70="Si",$N74,)</f>
        <v>0</v>
      </c>
      <c r="AI74" s="37"/>
      <c r="AJ74" s="37">
        <f>IF('CRUDO MARTES'!AE70="Si",$N74,)</f>
        <v>0</v>
      </c>
      <c r="AK74" s="37"/>
      <c r="AL74" s="37">
        <f>IF('CRUDO MARTES'!AF70="Si",$N74,)</f>
        <v>0</v>
      </c>
      <c r="AM74" s="37"/>
      <c r="AN74" s="37">
        <f>IF('CRUDO MARTES'!AG70="Si",$N74,)</f>
        <v>0</v>
      </c>
      <c r="AO74" s="37"/>
      <c r="AP74" s="37">
        <f>IF('CRUDO MARTES'!AH70="Si",$N74,)</f>
        <v>0</v>
      </c>
      <c r="AQ74" s="37"/>
      <c r="AR74" s="37">
        <f>IF('CRUDO MARTES'!AI70="Si",$N74,)</f>
        <v>0</v>
      </c>
      <c r="AS74" s="37"/>
      <c r="AT74" s="37">
        <f>IF('CRUDO MARTES'!AJ70="Si",$N74,)</f>
        <v>0</v>
      </c>
      <c r="AU74" s="37"/>
      <c r="AV74" s="37">
        <f>IF('CRUDO MARTES'!AK70="Si",$N74,)</f>
        <v>0</v>
      </c>
      <c r="AW74" s="37">
        <f>IF('CRUDO MARTES'!AL70="Si",$N74,)</f>
        <v>0</v>
      </c>
      <c r="AX74" s="37">
        <f>IF('CRUDO MARTES'!AM70="Si",$N74,)</f>
        <v>0</v>
      </c>
      <c r="AY74" s="37">
        <f>IF('CRUDO MARTES'!AN70="Si",$N74,)</f>
        <v>0</v>
      </c>
      <c r="AZ74" s="37">
        <f>IF('CRUDO MARTES'!AO70="Si",$N74,)</f>
        <v>0</v>
      </c>
      <c r="BA74" s="37">
        <f>IF('CRUDO MARTES'!AP70="Si",$N74,)</f>
        <v>0</v>
      </c>
      <c r="BB74" s="37"/>
      <c r="BC74" s="37">
        <f>IF('CRUDO MARTES'!AQ70="Si",$N74,)</f>
        <v>0</v>
      </c>
      <c r="BD74" s="37"/>
      <c r="BE74" s="37">
        <f>IF('CRUDO MARTES'!AR70="Si",$N74,)</f>
        <v>0</v>
      </c>
      <c r="BF74" s="37"/>
      <c r="BG74" s="37">
        <f>IF('CRUDO MARTES'!AS70="Si",$N74,)</f>
        <v>0</v>
      </c>
    </row>
    <row r="75" spans="1:115" ht="13.2" hidden="1" x14ac:dyDescent="0.25">
      <c r="A75" s="30">
        <v>45005.953918101848</v>
      </c>
      <c r="B75" s="31" t="s">
        <v>1163</v>
      </c>
      <c r="C75" s="31" t="s">
        <v>1164</v>
      </c>
      <c r="D75" s="32" t="s">
        <v>1165</v>
      </c>
      <c r="E75" s="31" t="s">
        <v>103</v>
      </c>
      <c r="F75" s="31" t="s">
        <v>1166</v>
      </c>
      <c r="G75" s="31" t="s">
        <v>105</v>
      </c>
      <c r="H75" s="31" t="s">
        <v>1167</v>
      </c>
      <c r="I75" s="31" t="s">
        <v>1168</v>
      </c>
      <c r="J75" s="31" t="s">
        <v>1169</v>
      </c>
      <c r="K75" s="31" t="s">
        <v>1163</v>
      </c>
      <c r="L75" s="31" t="s">
        <v>665</v>
      </c>
      <c r="M75" s="31" t="s">
        <v>719</v>
      </c>
      <c r="N75" s="31">
        <v>0</v>
      </c>
      <c r="O75" s="31" t="s">
        <v>433</v>
      </c>
      <c r="P75" s="31">
        <v>5</v>
      </c>
      <c r="Q75" s="31">
        <v>5</v>
      </c>
      <c r="R75" s="31">
        <v>10</v>
      </c>
      <c r="S75" s="31" t="s">
        <v>1170</v>
      </c>
      <c r="T75" s="31" t="s">
        <v>70</v>
      </c>
      <c r="U75" s="31" t="s">
        <v>71</v>
      </c>
      <c r="V75" s="8" t="s">
        <v>145</v>
      </c>
      <c r="W75" s="35">
        <f>IF('CRUDO MARTES'!W74="Si",$N75,)</f>
        <v>0</v>
      </c>
      <c r="X75" s="35">
        <f>IF('CRUDO MARTES'!X74="Si",$N75,)</f>
        <v>0</v>
      </c>
      <c r="Y75" s="35">
        <f>IF('CRUDO MARTES'!Y74="Si",$N75,)</f>
        <v>0</v>
      </c>
      <c r="Z75" s="35">
        <f>IF('CRUDO MARTES'!Z74="Si",$N75,)</f>
        <v>0</v>
      </c>
      <c r="AA75" s="35"/>
      <c r="AB75" s="35">
        <f>IF('CRUDO MARTES'!AA74="Si",$N75,)</f>
        <v>0</v>
      </c>
      <c r="AC75" s="35"/>
      <c r="AD75" s="35">
        <f>IF('CRUDO MARTES'!AB74="Si",$N75,)</f>
        <v>0</v>
      </c>
      <c r="AE75" s="35"/>
      <c r="AF75" s="35">
        <f>IF('CRUDO MARTES'!AC74="Si",$N75,)</f>
        <v>0</v>
      </c>
      <c r="AG75" s="35"/>
      <c r="AH75" s="35">
        <f>IF('CRUDO MARTES'!AD74="Si",$N75,)</f>
        <v>0</v>
      </c>
      <c r="AI75" s="35"/>
      <c r="AJ75" s="35">
        <f>IF('CRUDO MARTES'!AE74="Si",$N75,)</f>
        <v>0</v>
      </c>
      <c r="AK75" s="35"/>
      <c r="AL75" s="35">
        <f>IF('CRUDO MARTES'!AF74="Si",$N75,)</f>
        <v>0</v>
      </c>
      <c r="AM75" s="35"/>
      <c r="AN75" s="35">
        <f>IF('CRUDO MARTES'!AG74="Si",$N75,)</f>
        <v>0</v>
      </c>
      <c r="AO75" s="35"/>
      <c r="AP75" s="35">
        <f>IF('CRUDO MARTES'!AH74="Si",$N75,)</f>
        <v>0</v>
      </c>
      <c r="AQ75" s="35"/>
      <c r="AR75" s="35">
        <f>IF('CRUDO MARTES'!AI74="Si",$N75,)</f>
        <v>0</v>
      </c>
      <c r="AS75" s="35"/>
      <c r="AT75" s="35">
        <f>IF('CRUDO MARTES'!AJ74="Si",$N75,)</f>
        <v>0</v>
      </c>
      <c r="AU75" s="35"/>
      <c r="AV75" s="35">
        <f>IF('CRUDO MARTES'!AK74="Si",$N75,)</f>
        <v>0</v>
      </c>
      <c r="AW75" s="35">
        <f>IF('CRUDO MARTES'!AL74="Si",$N75,)</f>
        <v>0</v>
      </c>
      <c r="AX75" s="35">
        <f>IF('CRUDO MARTES'!AM74="Si",$N75,)</f>
        <v>0</v>
      </c>
      <c r="AY75" s="35">
        <f>IF('CRUDO MARTES'!AN74="Si",$N75,)</f>
        <v>0</v>
      </c>
      <c r="AZ75" s="35">
        <f>IF('CRUDO MARTES'!AO74="Si",$N75,)</f>
        <v>0</v>
      </c>
      <c r="BA75" s="35">
        <f>IF('CRUDO MARTES'!AP74="Si",$N75,)</f>
        <v>0</v>
      </c>
      <c r="BB75" s="35"/>
      <c r="BC75" s="35">
        <f>IF('CRUDO MARTES'!AQ74="Si",$N75,)</f>
        <v>0</v>
      </c>
      <c r="BD75" s="35"/>
      <c r="BE75" s="35">
        <f>IF('CRUDO MARTES'!AR74="Si",$N75,)</f>
        <v>0</v>
      </c>
      <c r="BF75" s="35"/>
      <c r="BG75" s="35">
        <f>IF('CRUDO MARTES'!AS74="Si",$N75,)</f>
        <v>0</v>
      </c>
      <c r="BH75" s="31"/>
      <c r="BI75" s="31" t="s">
        <v>1171</v>
      </c>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row>
    <row r="76" spans="1:115" ht="13.2" hidden="1" x14ac:dyDescent="0.25">
      <c r="A76" s="30">
        <v>45005.956144710653</v>
      </c>
      <c r="B76" s="31" t="s">
        <v>1163</v>
      </c>
      <c r="C76" s="31" t="s">
        <v>1164</v>
      </c>
      <c r="D76" s="32" t="s">
        <v>1165</v>
      </c>
      <c r="E76" s="31" t="s">
        <v>103</v>
      </c>
      <c r="F76" s="31" t="s">
        <v>1172</v>
      </c>
      <c r="G76" s="31" t="s">
        <v>105</v>
      </c>
      <c r="H76" s="31" t="s">
        <v>1167</v>
      </c>
      <c r="I76" s="31" t="s">
        <v>1168</v>
      </c>
      <c r="J76" s="31" t="s">
        <v>1169</v>
      </c>
      <c r="K76" s="31" t="s">
        <v>1163</v>
      </c>
      <c r="L76" s="31" t="s">
        <v>665</v>
      </c>
      <c r="M76" s="31" t="s">
        <v>719</v>
      </c>
      <c r="N76" s="31">
        <v>0</v>
      </c>
      <c r="O76" s="31" t="s">
        <v>433</v>
      </c>
      <c r="P76" s="31">
        <v>5</v>
      </c>
      <c r="Q76" s="31">
        <v>5</v>
      </c>
      <c r="R76" s="31">
        <v>10</v>
      </c>
      <c r="S76" s="31" t="s">
        <v>1173</v>
      </c>
      <c r="T76" s="31" t="s">
        <v>70</v>
      </c>
      <c r="U76" s="31" t="s">
        <v>71</v>
      </c>
      <c r="V76" s="8" t="s">
        <v>145</v>
      </c>
      <c r="W76" s="35">
        <f>IF('CRUDO MARTES'!W75="Si",$N76,)</f>
        <v>0</v>
      </c>
      <c r="X76" s="35">
        <f>IF('CRUDO MARTES'!X75="Si",$N76,)</f>
        <v>0</v>
      </c>
      <c r="Y76" s="35">
        <f>IF('CRUDO MARTES'!Y75="Si",$N76,)</f>
        <v>0</v>
      </c>
      <c r="Z76" s="35">
        <f>IF('CRUDO MARTES'!Z75="Si",$N76,)</f>
        <v>0</v>
      </c>
      <c r="AA76" s="35"/>
      <c r="AB76" s="35">
        <f>IF('CRUDO MARTES'!AA75="Si",$N76,)</f>
        <v>0</v>
      </c>
      <c r="AC76" s="35"/>
      <c r="AD76" s="35">
        <f>IF('CRUDO MARTES'!AB75="Si",$N76,)</f>
        <v>0</v>
      </c>
      <c r="AE76" s="35"/>
      <c r="AF76" s="35">
        <f>IF('CRUDO MARTES'!AC75="Si",$N76,)</f>
        <v>0</v>
      </c>
      <c r="AG76" s="35"/>
      <c r="AH76" s="35">
        <f>IF('CRUDO MARTES'!AD75="Si",$N76,)</f>
        <v>0</v>
      </c>
      <c r="AI76" s="35"/>
      <c r="AJ76" s="35">
        <f>IF('CRUDO MARTES'!AE75="Si",$N76,)</f>
        <v>0</v>
      </c>
      <c r="AK76" s="35"/>
      <c r="AL76" s="35">
        <f>IF('CRUDO MARTES'!AF75="Si",$N76,)</f>
        <v>0</v>
      </c>
      <c r="AM76" s="35"/>
      <c r="AN76" s="35">
        <f>IF('CRUDO MARTES'!AG75="Si",$N76,)</f>
        <v>0</v>
      </c>
      <c r="AO76" s="35"/>
      <c r="AP76" s="35">
        <f>IF('CRUDO MARTES'!AH75="Si",$N76,)</f>
        <v>0</v>
      </c>
      <c r="AQ76" s="35"/>
      <c r="AR76" s="35">
        <f>IF('CRUDO MARTES'!AI75="Si",$N76,)</f>
        <v>0</v>
      </c>
      <c r="AS76" s="35"/>
      <c r="AT76" s="35">
        <f>IF('CRUDO MARTES'!AJ75="Si",$N76,)</f>
        <v>0</v>
      </c>
      <c r="AU76" s="35"/>
      <c r="AV76" s="35">
        <f>IF('CRUDO MARTES'!AK75="Si",$N76,)</f>
        <v>0</v>
      </c>
      <c r="AW76" s="35">
        <f>IF('CRUDO MARTES'!AL75="Si",$N76,)</f>
        <v>0</v>
      </c>
      <c r="AX76" s="35">
        <f>IF('CRUDO MARTES'!AM75="Si",$N76,)</f>
        <v>0</v>
      </c>
      <c r="AY76" s="35">
        <f>IF('CRUDO MARTES'!AN75="Si",$N76,)</f>
        <v>0</v>
      </c>
      <c r="AZ76" s="35">
        <f>IF('CRUDO MARTES'!AO75="Si",$N76,)</f>
        <v>0</v>
      </c>
      <c r="BA76" s="35">
        <f>IF('CRUDO MARTES'!AP75="Si",$N76,)</f>
        <v>0</v>
      </c>
      <c r="BB76" s="35"/>
      <c r="BC76" s="35">
        <f>IF('CRUDO MARTES'!AQ75="Si",$N76,)</f>
        <v>0</v>
      </c>
      <c r="BD76" s="35"/>
      <c r="BE76" s="35">
        <f>IF('CRUDO MARTES'!AR75="Si",$N76,)</f>
        <v>0</v>
      </c>
      <c r="BF76" s="35"/>
      <c r="BG76" s="35">
        <f>IF('CRUDO MARTES'!AS75="Si",$N76,)</f>
        <v>0</v>
      </c>
      <c r="BH76" s="31"/>
      <c r="BI76" s="31" t="s">
        <v>1174</v>
      </c>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row>
    <row r="77" spans="1:115" ht="13.2" hidden="1" x14ac:dyDescent="0.25"/>
    <row r="78" spans="1:115" ht="13.2" x14ac:dyDescent="0.25">
      <c r="A78" s="22">
        <v>45002.35234153935</v>
      </c>
      <c r="B78" s="23" t="s">
        <v>404</v>
      </c>
      <c r="C78" s="23" t="s">
        <v>405</v>
      </c>
      <c r="D78" s="24" t="s">
        <v>406</v>
      </c>
      <c r="E78" s="23" t="s">
        <v>263</v>
      </c>
      <c r="F78" s="23" t="s">
        <v>407</v>
      </c>
      <c r="G78" s="23" t="s">
        <v>64</v>
      </c>
      <c r="H78" s="23" t="s">
        <v>408</v>
      </c>
      <c r="I78" s="23" t="s">
        <v>409</v>
      </c>
      <c r="J78" s="23" t="s">
        <v>410</v>
      </c>
      <c r="K78" s="23" t="s">
        <v>404</v>
      </c>
      <c r="L78" s="23" t="s">
        <v>67</v>
      </c>
      <c r="M78" s="23" t="s">
        <v>273</v>
      </c>
      <c r="N78" s="23">
        <v>26</v>
      </c>
      <c r="O78" s="23" t="s">
        <v>69</v>
      </c>
      <c r="P78" s="25"/>
      <c r="Q78" s="25"/>
      <c r="R78" s="25"/>
      <c r="S78" s="25"/>
      <c r="T78" s="23" t="s">
        <v>71</v>
      </c>
      <c r="U78" s="23" t="s">
        <v>1247</v>
      </c>
      <c r="V78" s="25"/>
      <c r="W78" s="25"/>
      <c r="X78" s="25"/>
      <c r="Y78" s="23">
        <v>26</v>
      </c>
      <c r="Z78" s="25"/>
      <c r="AA78" s="25"/>
      <c r="AB78" s="25"/>
      <c r="AC78" s="25"/>
      <c r="AD78" s="25"/>
      <c r="AE78" s="25"/>
      <c r="AF78" s="25"/>
      <c r="AG78" s="25"/>
      <c r="AH78" s="25"/>
      <c r="AI78" s="25"/>
      <c r="AJ78" s="23">
        <v>26</v>
      </c>
      <c r="AK78" s="23" t="s">
        <v>1233</v>
      </c>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3" t="s">
        <v>1248</v>
      </c>
      <c r="BK78" s="23">
        <v>1</v>
      </c>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row>
    <row r="79" spans="1:115" ht="13.2" x14ac:dyDescent="0.25">
      <c r="A79" s="22">
        <v>45002.35234153935</v>
      </c>
      <c r="B79" s="23" t="s">
        <v>1249</v>
      </c>
      <c r="C79" s="23" t="s">
        <v>1250</v>
      </c>
      <c r="D79" s="23">
        <v>61215500</v>
      </c>
      <c r="E79" s="23" t="s">
        <v>62</v>
      </c>
      <c r="F79" s="25"/>
      <c r="G79" s="25"/>
      <c r="H79" s="23" t="s">
        <v>1251</v>
      </c>
      <c r="I79" s="25"/>
      <c r="J79" s="25"/>
      <c r="K79" s="23" t="s">
        <v>1249</v>
      </c>
      <c r="L79" s="25"/>
      <c r="M79" s="23" t="s">
        <v>1252</v>
      </c>
      <c r="N79" s="23">
        <v>32</v>
      </c>
      <c r="O79" s="23" t="s">
        <v>69</v>
      </c>
      <c r="P79" s="25"/>
      <c r="Q79" s="25"/>
      <c r="R79" s="25"/>
      <c r="S79" s="25"/>
      <c r="T79" s="23" t="s">
        <v>71</v>
      </c>
      <c r="U79" s="23" t="s">
        <v>1247</v>
      </c>
      <c r="V79" s="25"/>
      <c r="W79" s="25"/>
      <c r="X79" s="25"/>
      <c r="Y79" s="23">
        <v>32</v>
      </c>
      <c r="Z79" s="25"/>
      <c r="AA79" s="25"/>
      <c r="AB79" s="25"/>
      <c r="AC79" s="25"/>
      <c r="AD79" s="25"/>
      <c r="AE79" s="25"/>
      <c r="AF79" s="25"/>
      <c r="AG79" s="25"/>
      <c r="AH79" s="25"/>
      <c r="AI79" s="25"/>
      <c r="AJ79" s="23">
        <v>32</v>
      </c>
      <c r="AK79" s="23" t="s">
        <v>1233</v>
      </c>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3" t="s">
        <v>1248</v>
      </c>
      <c r="BK79" s="23">
        <v>1</v>
      </c>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row>
    <row r="80" spans="1:115" ht="13.2" x14ac:dyDescent="0.25">
      <c r="A80" s="25"/>
      <c r="B80" s="23" t="s">
        <v>1253</v>
      </c>
      <c r="C80" s="23" t="s">
        <v>1254</v>
      </c>
      <c r="D80" s="23">
        <v>60676600</v>
      </c>
      <c r="E80" s="23" t="s">
        <v>103</v>
      </c>
      <c r="F80" s="23" t="s">
        <v>1255</v>
      </c>
      <c r="G80" s="25"/>
      <c r="H80" s="23" t="s">
        <v>1256</v>
      </c>
      <c r="I80" s="25"/>
      <c r="J80" s="25"/>
      <c r="K80" s="23" t="s">
        <v>1253</v>
      </c>
      <c r="L80" s="25"/>
      <c r="M80" s="23" t="s">
        <v>1257</v>
      </c>
      <c r="N80" s="23">
        <v>50</v>
      </c>
      <c r="O80" s="23" t="s">
        <v>69</v>
      </c>
      <c r="P80" s="25"/>
      <c r="Q80" s="25"/>
      <c r="R80" s="25"/>
      <c r="S80" s="25"/>
      <c r="T80" s="23" t="s">
        <v>71</v>
      </c>
      <c r="U80" s="23" t="s">
        <v>1247</v>
      </c>
      <c r="V80" s="25"/>
      <c r="W80" s="25"/>
      <c r="X80" s="25"/>
      <c r="Y80" s="23">
        <v>50</v>
      </c>
      <c r="Z80" s="25"/>
      <c r="AA80" s="25"/>
      <c r="AB80" s="25"/>
      <c r="AC80" s="25"/>
      <c r="AD80" s="25"/>
      <c r="AE80" s="25"/>
      <c r="AF80" s="25"/>
      <c r="AG80" s="25"/>
      <c r="AH80" s="25"/>
      <c r="AI80" s="25"/>
      <c r="AJ80" s="23">
        <v>50</v>
      </c>
      <c r="AK80" s="23" t="s">
        <v>1227</v>
      </c>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3" t="s">
        <v>1248</v>
      </c>
      <c r="BK80" s="23">
        <v>1</v>
      </c>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row>
    <row r="81" spans="1:115" ht="13.2" x14ac:dyDescent="0.25">
      <c r="A81" s="25"/>
      <c r="B81" s="23" t="s">
        <v>1258</v>
      </c>
      <c r="C81" s="23" t="s">
        <v>1259</v>
      </c>
      <c r="D81" s="23">
        <v>20148200</v>
      </c>
      <c r="E81" s="23" t="s">
        <v>62</v>
      </c>
      <c r="F81" s="23" t="s">
        <v>211</v>
      </c>
      <c r="G81" s="25"/>
      <c r="H81" s="23" t="s">
        <v>1260</v>
      </c>
      <c r="I81" s="25"/>
      <c r="J81" s="25"/>
      <c r="K81" s="23" t="s">
        <v>1258</v>
      </c>
      <c r="L81" s="25"/>
      <c r="M81" s="23" t="s">
        <v>312</v>
      </c>
      <c r="N81" s="23">
        <v>51</v>
      </c>
      <c r="O81" s="23" t="s">
        <v>69</v>
      </c>
      <c r="P81" s="25"/>
      <c r="Q81" s="25"/>
      <c r="R81" s="25"/>
      <c r="S81" s="25"/>
      <c r="T81" s="23" t="s">
        <v>1247</v>
      </c>
      <c r="U81" s="23" t="s">
        <v>71</v>
      </c>
      <c r="V81" s="25"/>
      <c r="W81" s="25"/>
      <c r="X81" s="23">
        <v>51</v>
      </c>
      <c r="Y81" s="23"/>
      <c r="Z81" s="23">
        <v>51</v>
      </c>
      <c r="AA81" s="23" t="s">
        <v>1233</v>
      </c>
      <c r="AB81" s="23">
        <v>51</v>
      </c>
      <c r="AC81" s="23" t="s">
        <v>1227</v>
      </c>
      <c r="AD81" s="25"/>
      <c r="AE81" s="25"/>
      <c r="AF81" s="25"/>
      <c r="AG81" s="25"/>
      <c r="AH81" s="25"/>
      <c r="AI81" s="25"/>
      <c r="AJ81" s="23"/>
      <c r="AK81" s="23"/>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3" t="s">
        <v>1231</v>
      </c>
      <c r="BK81" s="23">
        <v>1</v>
      </c>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row>
    <row r="82" spans="1:115" ht="13.2" x14ac:dyDescent="0.25">
      <c r="A82" s="25"/>
      <c r="B82" s="25"/>
      <c r="C82" s="25"/>
      <c r="D82" s="25"/>
      <c r="E82" s="25"/>
      <c r="F82" s="25"/>
      <c r="G82" s="25"/>
      <c r="H82" s="25"/>
      <c r="I82" s="25"/>
      <c r="J82" s="25"/>
      <c r="K82" s="25"/>
      <c r="L82" s="25"/>
      <c r="M82" s="25"/>
      <c r="N82" s="25"/>
      <c r="O82" s="25"/>
      <c r="P82" s="25"/>
      <c r="Q82" s="25"/>
      <c r="R82" s="25"/>
      <c r="S82" s="25"/>
      <c r="T82" s="25"/>
      <c r="U82" s="25"/>
      <c r="V82" s="25"/>
      <c r="W82" s="25">
        <f>SUM(W2:W76)</f>
        <v>443</v>
      </c>
      <c r="X82" s="25">
        <f>SUM(X3:X81)</f>
        <v>392</v>
      </c>
      <c r="Y82" s="25">
        <f>SUM(Y2:Y80)</f>
        <v>319</v>
      </c>
      <c r="Z82" s="25">
        <f>SUM(Z2:Z81)</f>
        <v>224</v>
      </c>
      <c r="AA82" s="25"/>
      <c r="AB82" s="25">
        <f>SUM(AB2:AB81)</f>
        <v>300</v>
      </c>
      <c r="AC82" s="25"/>
      <c r="AD82" s="25">
        <f>SUM(AD2:AD77)</f>
        <v>257</v>
      </c>
      <c r="AE82" s="25"/>
      <c r="AF82" s="25">
        <f>SUM(AF2:AF77)</f>
        <v>286</v>
      </c>
      <c r="AG82" s="25"/>
      <c r="AH82" s="25">
        <f>SUM(AH2:AH77)</f>
        <v>35</v>
      </c>
      <c r="AI82" s="25"/>
      <c r="AJ82" s="25">
        <f>SUM(AJ2:AJ80)</f>
        <v>253</v>
      </c>
      <c r="AK82" s="25"/>
      <c r="AL82" s="25">
        <f>SUM(AL2:AL77)</f>
        <v>70</v>
      </c>
      <c r="AM82" s="25"/>
      <c r="AN82" s="25">
        <f>SUM(AN2:AN77)</f>
        <v>205</v>
      </c>
      <c r="AO82" s="25"/>
      <c r="AP82" s="25">
        <f>SUM(AP2:AP77)</f>
        <v>54</v>
      </c>
      <c r="AQ82" s="25"/>
      <c r="AR82" s="25">
        <f>SUM(AR2:AR77)</f>
        <v>70</v>
      </c>
      <c r="AS82" s="25"/>
      <c r="AT82" s="25">
        <f>SUM(AT2:AT77)</f>
        <v>17</v>
      </c>
      <c r="AU82" s="25"/>
      <c r="AV82" s="25">
        <f t="shared" ref="AV82:BA82" si="0">SUM(AV2:AV77)</f>
        <v>28</v>
      </c>
      <c r="AW82" s="25">
        <f t="shared" si="0"/>
        <v>31</v>
      </c>
      <c r="AX82" s="25">
        <f t="shared" si="0"/>
        <v>35</v>
      </c>
      <c r="AY82" s="25">
        <f t="shared" si="0"/>
        <v>35</v>
      </c>
      <c r="AZ82" s="25">
        <f t="shared" si="0"/>
        <v>35</v>
      </c>
      <c r="BA82" s="25">
        <f t="shared" si="0"/>
        <v>113</v>
      </c>
      <c r="BB82" s="25"/>
      <c r="BC82" s="25">
        <f>SUM(BC2:BC77)</f>
        <v>95</v>
      </c>
      <c r="BD82" s="25"/>
      <c r="BE82" s="25">
        <f>SUM(BE2:BE77)</f>
        <v>88</v>
      </c>
      <c r="BF82" s="25"/>
      <c r="BG82" s="25">
        <f>SUM(BG2:BG77)</f>
        <v>87</v>
      </c>
      <c r="BH82" s="25"/>
      <c r="BI82" s="25"/>
      <c r="BJ82" s="25"/>
      <c r="BK82" s="23">
        <v>1</v>
      </c>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row>
    <row r="83" spans="1:115" ht="13.2" x14ac:dyDescent="0.25">
      <c r="N83" s="14">
        <f>SUM(N1:N76)</f>
        <v>923</v>
      </c>
      <c r="W83" s="4">
        <v>400</v>
      </c>
      <c r="X83" s="4">
        <v>400</v>
      </c>
      <c r="Y83" s="4">
        <v>400</v>
      </c>
      <c r="Z83" s="4">
        <v>250</v>
      </c>
      <c r="AA83" s="4"/>
      <c r="AB83" s="4">
        <v>250</v>
      </c>
      <c r="AC83" s="4"/>
      <c r="AD83" s="4">
        <v>250</v>
      </c>
      <c r="AE83" s="4"/>
      <c r="AF83" s="4">
        <v>250</v>
      </c>
      <c r="AG83" s="4"/>
      <c r="AH83" s="4">
        <v>250</v>
      </c>
      <c r="AI83" s="4"/>
      <c r="AJ83" s="4">
        <v>250</v>
      </c>
      <c r="AK83" s="4"/>
      <c r="AL83" s="4">
        <v>60</v>
      </c>
      <c r="AM83" s="4"/>
      <c r="AN83" s="4">
        <v>60</v>
      </c>
      <c r="AO83" s="4"/>
      <c r="AP83" s="4">
        <v>60</v>
      </c>
      <c r="AQ83" s="4"/>
      <c r="AR83" s="4">
        <v>60</v>
      </c>
      <c r="AS83" s="4"/>
      <c r="AT83" s="4">
        <v>30</v>
      </c>
      <c r="AU83" s="4"/>
      <c r="AV83" s="4">
        <v>30</v>
      </c>
      <c r="AW83" s="4">
        <v>30</v>
      </c>
      <c r="AX83" s="4">
        <v>30</v>
      </c>
      <c r="AY83" s="4">
        <v>30</v>
      </c>
      <c r="AZ83" s="4">
        <v>30</v>
      </c>
      <c r="BA83" s="4">
        <v>90</v>
      </c>
      <c r="BB83" s="4"/>
      <c r="BC83" s="4">
        <v>90</v>
      </c>
      <c r="BD83" s="4"/>
      <c r="BE83" s="4">
        <v>90</v>
      </c>
      <c r="BF83" s="4"/>
      <c r="BG83" s="4">
        <v>90</v>
      </c>
      <c r="BK83" s="23"/>
    </row>
    <row r="84" spans="1:115" ht="13.2" x14ac:dyDescent="0.25">
      <c r="W84" s="14">
        <f t="shared" ref="W84:Z84" si="1">W83-W82</f>
        <v>-43</v>
      </c>
      <c r="X84" s="14">
        <f t="shared" si="1"/>
        <v>8</v>
      </c>
      <c r="Y84" s="14">
        <f t="shared" si="1"/>
        <v>81</v>
      </c>
      <c r="Z84" s="14">
        <f t="shared" si="1"/>
        <v>26</v>
      </c>
      <c r="AB84" s="14">
        <f>AB83-AB82</f>
        <v>-50</v>
      </c>
      <c r="AD84" s="14">
        <f>AD83-AD82</f>
        <v>-7</v>
      </c>
      <c r="AF84" s="14">
        <f>AF83-AF82</f>
        <v>-36</v>
      </c>
      <c r="AH84" s="14">
        <f>AH83-AH82</f>
        <v>215</v>
      </c>
      <c r="AJ84" s="14">
        <f>AJ83-AJ82</f>
        <v>-3</v>
      </c>
      <c r="AL84" s="14">
        <f>AL83-AL82</f>
        <v>-10</v>
      </c>
      <c r="AN84" s="14">
        <f>AN83-AN82</f>
        <v>-145</v>
      </c>
      <c r="AP84" s="14">
        <f>AP83-AP82</f>
        <v>6</v>
      </c>
      <c r="AR84" s="14">
        <f>AR83-AR82</f>
        <v>-10</v>
      </c>
      <c r="AT84" s="14">
        <f>AT83-AT82</f>
        <v>13</v>
      </c>
      <c r="AV84" s="14">
        <f t="shared" ref="AV84:BA84" si="2">AV83-AV82</f>
        <v>2</v>
      </c>
      <c r="AW84" s="14">
        <f t="shared" si="2"/>
        <v>-1</v>
      </c>
      <c r="AX84" s="14">
        <f t="shared" si="2"/>
        <v>-5</v>
      </c>
      <c r="AY84" s="14">
        <f t="shared" si="2"/>
        <v>-5</v>
      </c>
      <c r="AZ84" s="14">
        <f t="shared" si="2"/>
        <v>-5</v>
      </c>
      <c r="BA84" s="14">
        <f t="shared" si="2"/>
        <v>-23</v>
      </c>
      <c r="BC84" s="14">
        <f>BC83-BC82</f>
        <v>-5</v>
      </c>
      <c r="BE84" s="14">
        <f>BE83-BE82</f>
        <v>2</v>
      </c>
      <c r="BG84" s="14">
        <f>BG83-BG82</f>
        <v>3</v>
      </c>
      <c r="BK84" s="23"/>
    </row>
    <row r="85" spans="1:115" ht="13.2" x14ac:dyDescent="0.25">
      <c r="N85" s="39"/>
      <c r="BK85" s="23"/>
    </row>
    <row r="86" spans="1:115" ht="13.2" x14ac:dyDescent="0.25">
      <c r="N86" s="39"/>
      <c r="AM86" s="4"/>
      <c r="AN86" s="4" t="s">
        <v>1261</v>
      </c>
      <c r="AO86" s="4"/>
      <c r="AP86" s="4" t="s">
        <v>1261</v>
      </c>
      <c r="BK86" s="23"/>
    </row>
    <row r="87" spans="1:115" ht="13.2" x14ac:dyDescent="0.25">
      <c r="N87" s="39"/>
    </row>
    <row r="88" spans="1:115" ht="13.2" x14ac:dyDescent="0.25">
      <c r="N88" s="39"/>
    </row>
    <row r="89" spans="1:115" ht="13.2" x14ac:dyDescent="0.25">
      <c r="N89" s="39"/>
    </row>
    <row r="90" spans="1:115" ht="13.2" x14ac:dyDescent="0.25">
      <c r="N90" s="39"/>
    </row>
    <row r="91" spans="1:115" ht="13.2" x14ac:dyDescent="0.25">
      <c r="N91" s="39"/>
    </row>
    <row r="92" spans="1:115" ht="13.2" x14ac:dyDescent="0.25">
      <c r="N92" s="39"/>
    </row>
    <row r="93" spans="1:115" ht="13.2" x14ac:dyDescent="0.25">
      <c r="N93" s="39"/>
    </row>
    <row r="94" spans="1:115" ht="13.2" x14ac:dyDescent="0.25">
      <c r="N94" s="39"/>
    </row>
    <row r="95" spans="1:115" ht="13.2" x14ac:dyDescent="0.25">
      <c r="N95" s="39"/>
    </row>
    <row r="96" spans="1:115" ht="13.2" x14ac:dyDescent="0.25">
      <c r="N96" s="39"/>
    </row>
    <row r="97" spans="14:14" ht="13.2" x14ac:dyDescent="0.25">
      <c r="N97" s="39"/>
    </row>
    <row r="98" spans="14:14" ht="13.2" x14ac:dyDescent="0.25">
      <c r="N98" s="39"/>
    </row>
    <row r="99" spans="14:14" ht="13.2" x14ac:dyDescent="0.25">
      <c r="N99" s="39"/>
    </row>
    <row r="100" spans="14:14" ht="13.2" x14ac:dyDescent="0.25">
      <c r="N100" s="39"/>
    </row>
    <row r="101" spans="14:14" ht="13.2" x14ac:dyDescent="0.25">
      <c r="N101" s="39"/>
    </row>
    <row r="102" spans="14:14" ht="13.2" x14ac:dyDescent="0.25">
      <c r="N102" s="39"/>
    </row>
    <row r="103" spans="14:14" ht="13.2" x14ac:dyDescent="0.25">
      <c r="N103" s="39"/>
    </row>
    <row r="104" spans="14:14" ht="13.2" x14ac:dyDescent="0.25">
      <c r="N104" s="39"/>
    </row>
    <row r="105" spans="14:14" ht="13.2" x14ac:dyDescent="0.25">
      <c r="N105" s="39"/>
    </row>
    <row r="106" spans="14:14" ht="13.2" x14ac:dyDescent="0.25">
      <c r="N106" s="39"/>
    </row>
    <row r="107" spans="14:14" ht="13.2" x14ac:dyDescent="0.25">
      <c r="N107" s="39"/>
    </row>
    <row r="108" spans="14:14" ht="13.2" x14ac:dyDescent="0.25">
      <c r="N108" s="39"/>
    </row>
    <row r="109" spans="14:14" ht="13.2" x14ac:dyDescent="0.25">
      <c r="N109" s="39"/>
    </row>
    <row r="110" spans="14:14" ht="13.2" x14ac:dyDescent="0.25">
      <c r="N110" s="39"/>
    </row>
    <row r="111" spans="14:14" ht="13.2" x14ac:dyDescent="0.25">
      <c r="N111" s="39"/>
    </row>
    <row r="112" spans="14:14" ht="13.2" x14ac:dyDescent="0.25">
      <c r="N112" s="39"/>
    </row>
    <row r="113" spans="14:14" ht="13.2" x14ac:dyDescent="0.25">
      <c r="N113" s="39"/>
    </row>
    <row r="114" spans="14:14" ht="13.2" x14ac:dyDescent="0.25">
      <c r="N114" s="39"/>
    </row>
    <row r="115" spans="14:14" ht="13.2" x14ac:dyDescent="0.25">
      <c r="N115" s="39"/>
    </row>
    <row r="116" spans="14:14" ht="13.2" x14ac:dyDescent="0.25">
      <c r="N116" s="39"/>
    </row>
    <row r="117" spans="14:14" ht="13.2" x14ac:dyDescent="0.25">
      <c r="N117" s="39"/>
    </row>
    <row r="118" spans="14:14" ht="13.2" x14ac:dyDescent="0.25">
      <c r="N118" s="39"/>
    </row>
    <row r="119" spans="14:14" ht="13.2" x14ac:dyDescent="0.25">
      <c r="N119" s="39"/>
    </row>
    <row r="120" spans="14:14" ht="13.2" x14ac:dyDescent="0.25">
      <c r="N120" s="39"/>
    </row>
    <row r="121" spans="14:14" ht="13.2" x14ac:dyDescent="0.25">
      <c r="N121" s="39"/>
    </row>
    <row r="122" spans="14:14" ht="13.2" x14ac:dyDescent="0.25">
      <c r="N122" s="39"/>
    </row>
    <row r="123" spans="14:14" ht="13.2" x14ac:dyDescent="0.25">
      <c r="N123" s="39"/>
    </row>
    <row r="124" spans="14:14" ht="13.2" x14ac:dyDescent="0.25">
      <c r="N124" s="39"/>
    </row>
    <row r="125" spans="14:14" ht="13.2" x14ac:dyDescent="0.25">
      <c r="N125" s="39"/>
    </row>
    <row r="126" spans="14:14" ht="13.2" x14ac:dyDescent="0.25">
      <c r="N126" s="40"/>
    </row>
    <row r="127" spans="14:14" ht="13.2" x14ac:dyDescent="0.25">
      <c r="N127" s="40"/>
    </row>
  </sheetData>
  <autoFilter ref="A1:DK82">
    <filterColumn colId="2">
      <colorFilter dxfId="2"/>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V58"/>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1" max="1" width="12.6640625" hidden="1"/>
    <col min="3" max="3" width="24.44140625" customWidth="1"/>
    <col min="9" max="12" width="12.6640625" hidden="1"/>
  </cols>
  <sheetData>
    <row r="1" spans="1:100" ht="113.25" customHeight="1" x14ac:dyDescent="0.25">
      <c r="A1" s="19" t="s">
        <v>0</v>
      </c>
      <c r="B1" s="19" t="s">
        <v>1</v>
      </c>
      <c r="C1" s="19" t="s">
        <v>2</v>
      </c>
      <c r="D1" s="19" t="s">
        <v>1198</v>
      </c>
      <c r="E1" s="19" t="s">
        <v>1199</v>
      </c>
      <c r="F1" s="19" t="s">
        <v>5</v>
      </c>
      <c r="G1" s="19" t="s">
        <v>6</v>
      </c>
      <c r="H1" s="19" t="s">
        <v>7</v>
      </c>
      <c r="I1" s="19" t="s">
        <v>8</v>
      </c>
      <c r="J1" s="19" t="s">
        <v>9</v>
      </c>
      <c r="K1" s="19" t="s">
        <v>10</v>
      </c>
      <c r="L1" s="19" t="s">
        <v>1200</v>
      </c>
      <c r="M1" s="19" t="s">
        <v>12</v>
      </c>
      <c r="N1" s="19" t="s">
        <v>1201</v>
      </c>
      <c r="O1" s="19" t="s">
        <v>1202</v>
      </c>
      <c r="P1" s="19" t="s">
        <v>15</v>
      </c>
      <c r="Q1" s="19" t="s">
        <v>16</v>
      </c>
      <c r="R1" s="19" t="s">
        <v>1203</v>
      </c>
      <c r="S1" s="19" t="s">
        <v>18</v>
      </c>
      <c r="T1" s="19" t="s">
        <v>19</v>
      </c>
      <c r="U1" s="19" t="s">
        <v>20</v>
      </c>
      <c r="V1" s="19" t="s">
        <v>1204</v>
      </c>
      <c r="W1" s="19" t="s">
        <v>23</v>
      </c>
      <c r="X1" s="19" t="s">
        <v>24</v>
      </c>
      <c r="Y1" s="19" t="s">
        <v>25</v>
      </c>
      <c r="Z1" s="19" t="s">
        <v>26</v>
      </c>
      <c r="AA1" s="19" t="s">
        <v>27</v>
      </c>
      <c r="AB1" s="19" t="s">
        <v>28</v>
      </c>
      <c r="AC1" s="19" t="s">
        <v>29</v>
      </c>
      <c r="AD1" s="19" t="s">
        <v>30</v>
      </c>
      <c r="AE1" s="19" t="s">
        <v>31</v>
      </c>
      <c r="AF1" s="19" t="s">
        <v>32</v>
      </c>
      <c r="AG1" s="19" t="s">
        <v>33</v>
      </c>
      <c r="AH1" s="19" t="s">
        <v>34</v>
      </c>
      <c r="AI1" s="19" t="s">
        <v>35</v>
      </c>
      <c r="AJ1" s="19" t="s">
        <v>36</v>
      </c>
      <c r="AK1" s="19" t="s">
        <v>37</v>
      </c>
      <c r="AL1" s="19" t="s">
        <v>38</v>
      </c>
      <c r="AM1" s="19" t="s">
        <v>39</v>
      </c>
      <c r="AN1" s="19" t="s">
        <v>40</v>
      </c>
      <c r="AO1" s="19" t="s">
        <v>41</v>
      </c>
      <c r="AP1" s="19" t="s">
        <v>42</v>
      </c>
      <c r="AQ1" s="19" t="s">
        <v>43</v>
      </c>
      <c r="AR1" s="19" t="s">
        <v>44</v>
      </c>
      <c r="AS1" s="19" t="s">
        <v>45</v>
      </c>
      <c r="AT1" s="19" t="s">
        <v>46</v>
      </c>
      <c r="AU1" s="19" t="s">
        <v>47</v>
      </c>
      <c r="AV1" s="19" t="s">
        <v>48</v>
      </c>
      <c r="AW1" s="19" t="s">
        <v>49</v>
      </c>
      <c r="AX1" s="19" t="s">
        <v>26</v>
      </c>
      <c r="AY1" s="19" t="s">
        <v>27</v>
      </c>
      <c r="AZ1" s="19" t="s">
        <v>28</v>
      </c>
      <c r="BA1" s="19" t="s">
        <v>29</v>
      </c>
      <c r="BB1" s="19" t="s">
        <v>30</v>
      </c>
      <c r="BC1" s="19" t="s">
        <v>31</v>
      </c>
      <c r="BD1" s="19" t="s">
        <v>50</v>
      </c>
      <c r="BE1" s="19" t="s">
        <v>33</v>
      </c>
      <c r="BF1" s="19" t="s">
        <v>34</v>
      </c>
      <c r="BG1" s="19" t="s">
        <v>35</v>
      </c>
      <c r="BH1" s="19" t="s">
        <v>36</v>
      </c>
      <c r="BI1" s="19" t="s">
        <v>37</v>
      </c>
      <c r="BJ1" s="19" t="s">
        <v>38</v>
      </c>
      <c r="BK1" s="19" t="s">
        <v>39</v>
      </c>
      <c r="BL1" s="19" t="s">
        <v>40</v>
      </c>
      <c r="BM1" s="19" t="s">
        <v>41</v>
      </c>
      <c r="BN1" s="19" t="s">
        <v>51</v>
      </c>
      <c r="BO1" s="19" t="s">
        <v>52</v>
      </c>
      <c r="BP1" s="19" t="s">
        <v>53</v>
      </c>
      <c r="BQ1" s="19" t="s">
        <v>54</v>
      </c>
      <c r="BR1" s="19" t="s">
        <v>46</v>
      </c>
      <c r="BS1" s="19" t="s">
        <v>55</v>
      </c>
      <c r="BT1" s="19" t="s">
        <v>56</v>
      </c>
      <c r="BU1" s="19" t="s">
        <v>57</v>
      </c>
      <c r="BV1" s="19" t="s">
        <v>26</v>
      </c>
      <c r="BW1" s="19" t="s">
        <v>27</v>
      </c>
      <c r="BX1" s="19" t="s">
        <v>28</v>
      </c>
      <c r="BY1" s="19" t="s">
        <v>29</v>
      </c>
      <c r="BZ1" s="19" t="s">
        <v>30</v>
      </c>
      <c r="CA1" s="19" t="s">
        <v>31</v>
      </c>
      <c r="CB1" s="19" t="s">
        <v>32</v>
      </c>
      <c r="CC1" s="19" t="s">
        <v>58</v>
      </c>
      <c r="CD1" s="19" t="s">
        <v>34</v>
      </c>
      <c r="CE1" s="19" t="s">
        <v>35</v>
      </c>
      <c r="CF1" s="19" t="s">
        <v>36</v>
      </c>
      <c r="CG1" s="19" t="s">
        <v>37</v>
      </c>
      <c r="CH1" s="19" t="s">
        <v>38</v>
      </c>
      <c r="CI1" s="19" t="s">
        <v>39</v>
      </c>
      <c r="CJ1" s="19" t="s">
        <v>40</v>
      </c>
      <c r="CK1" s="19" t="s">
        <v>41</v>
      </c>
      <c r="CL1" s="19" t="s">
        <v>51</v>
      </c>
      <c r="CM1" s="19" t="s">
        <v>52</v>
      </c>
      <c r="CN1" s="19" t="s">
        <v>53</v>
      </c>
      <c r="CO1" s="19" t="s">
        <v>54</v>
      </c>
      <c r="CP1" s="19" t="s">
        <v>46</v>
      </c>
      <c r="CQ1" s="21"/>
      <c r="CR1" s="21"/>
      <c r="CS1" s="21"/>
      <c r="CT1" s="21"/>
      <c r="CU1" s="21"/>
      <c r="CV1" s="21"/>
    </row>
    <row r="2" spans="1:100" ht="13.2" x14ac:dyDescent="0.25">
      <c r="A2" s="3">
        <v>45000.677367638884</v>
      </c>
      <c r="B2" s="4" t="s">
        <v>100</v>
      </c>
      <c r="C2" s="4" t="s">
        <v>101</v>
      </c>
      <c r="D2" s="7" t="s">
        <v>102</v>
      </c>
      <c r="E2" s="4" t="s">
        <v>103</v>
      </c>
      <c r="F2" s="4" t="s">
        <v>104</v>
      </c>
      <c r="G2" s="4" t="s">
        <v>105</v>
      </c>
      <c r="H2" s="4" t="s">
        <v>106</v>
      </c>
      <c r="I2" s="4" t="s">
        <v>107</v>
      </c>
      <c r="K2" s="4" t="s">
        <v>100</v>
      </c>
      <c r="L2" s="4" t="s">
        <v>67</v>
      </c>
      <c r="M2" s="4" t="s">
        <v>96</v>
      </c>
      <c r="N2" s="4">
        <v>25</v>
      </c>
      <c r="O2" s="4" t="s">
        <v>97</v>
      </c>
      <c r="P2" s="4">
        <v>3</v>
      </c>
      <c r="Q2" s="4">
        <v>3</v>
      </c>
      <c r="R2" s="4">
        <v>80</v>
      </c>
      <c r="T2" s="4" t="s">
        <v>70</v>
      </c>
      <c r="U2" s="4" t="s">
        <v>71</v>
      </c>
      <c r="V2" s="6" t="s">
        <v>99</v>
      </c>
      <c r="AU2" s="4" t="s">
        <v>71</v>
      </c>
      <c r="AV2" s="4" t="s">
        <v>70</v>
      </c>
      <c r="AW2" s="4" t="s">
        <v>71</v>
      </c>
      <c r="AX2" s="4" t="s">
        <v>71</v>
      </c>
      <c r="AY2" s="4" t="s">
        <v>71</v>
      </c>
      <c r="AZ2" s="4" t="s">
        <v>71</v>
      </c>
      <c r="BA2" s="4" t="s">
        <v>70</v>
      </c>
      <c r="BB2" s="4" t="s">
        <v>71</v>
      </c>
      <c r="BC2" s="4" t="s">
        <v>71</v>
      </c>
    </row>
    <row r="3" spans="1:100" ht="13.2" x14ac:dyDescent="0.25">
      <c r="A3" s="3">
        <v>45000.679748055554</v>
      </c>
      <c r="B3" s="4" t="s">
        <v>100</v>
      </c>
      <c r="C3" s="4" t="s">
        <v>109</v>
      </c>
      <c r="D3" s="7" t="s">
        <v>102</v>
      </c>
      <c r="E3" s="4" t="s">
        <v>103</v>
      </c>
      <c r="F3" s="4" t="s">
        <v>110</v>
      </c>
      <c r="G3" s="4" t="s">
        <v>105</v>
      </c>
      <c r="H3" s="4" t="s">
        <v>111</v>
      </c>
      <c r="I3" s="4" t="s">
        <v>112</v>
      </c>
      <c r="J3" s="4" t="s">
        <v>113</v>
      </c>
      <c r="K3" s="4" t="s">
        <v>100</v>
      </c>
      <c r="L3" s="4" t="s">
        <v>67</v>
      </c>
      <c r="M3" s="4" t="s">
        <v>96</v>
      </c>
      <c r="N3" s="4">
        <v>25</v>
      </c>
      <c r="O3" s="4" t="s">
        <v>97</v>
      </c>
      <c r="P3" s="4">
        <v>3</v>
      </c>
      <c r="Q3" s="4">
        <v>3</v>
      </c>
      <c r="R3" s="4">
        <v>80</v>
      </c>
      <c r="T3" s="4" t="s">
        <v>71</v>
      </c>
      <c r="U3" s="4" t="s">
        <v>70</v>
      </c>
      <c r="V3" s="6" t="s">
        <v>99</v>
      </c>
      <c r="AU3" s="4" t="s">
        <v>71</v>
      </c>
      <c r="AV3" s="4" t="s">
        <v>71</v>
      </c>
      <c r="AW3" s="4" t="s">
        <v>70</v>
      </c>
      <c r="AX3" s="4" t="s">
        <v>71</v>
      </c>
      <c r="AY3" s="4" t="s">
        <v>71</v>
      </c>
      <c r="AZ3" s="4" t="s">
        <v>71</v>
      </c>
      <c r="BA3" s="4" t="s">
        <v>71</v>
      </c>
      <c r="BB3" s="4" t="s">
        <v>71</v>
      </c>
      <c r="BC3" s="4" t="s">
        <v>70</v>
      </c>
    </row>
    <row r="4" spans="1:100" ht="13.2" x14ac:dyDescent="0.25">
      <c r="A4" s="3">
        <v>45000.685528321759</v>
      </c>
      <c r="B4" s="4" t="s">
        <v>790</v>
      </c>
      <c r="C4" s="4" t="s">
        <v>791</v>
      </c>
      <c r="D4" s="5" t="s">
        <v>792</v>
      </c>
      <c r="E4" s="4" t="s">
        <v>103</v>
      </c>
      <c r="F4" s="4" t="s">
        <v>384</v>
      </c>
      <c r="G4" s="4" t="s">
        <v>105</v>
      </c>
      <c r="H4" s="4" t="s">
        <v>793</v>
      </c>
      <c r="I4" s="4" t="s">
        <v>794</v>
      </c>
      <c r="J4" s="4" t="s">
        <v>795</v>
      </c>
      <c r="K4" s="4" t="s">
        <v>790</v>
      </c>
      <c r="L4" s="4" t="s">
        <v>656</v>
      </c>
      <c r="M4" s="4" t="s">
        <v>480</v>
      </c>
      <c r="N4" s="4">
        <v>34</v>
      </c>
      <c r="O4" s="4" t="s">
        <v>69</v>
      </c>
      <c r="P4" s="4">
        <v>2</v>
      </c>
      <c r="Q4" s="4">
        <v>2</v>
      </c>
      <c r="R4" s="4">
        <v>75</v>
      </c>
      <c r="T4" s="4" t="s">
        <v>70</v>
      </c>
      <c r="U4" s="4" t="s">
        <v>71</v>
      </c>
      <c r="V4" s="6" t="s">
        <v>99</v>
      </c>
      <c r="AU4" s="4" t="s">
        <v>70</v>
      </c>
      <c r="AV4" s="4" t="s">
        <v>70</v>
      </c>
      <c r="AW4" s="4" t="s">
        <v>70</v>
      </c>
      <c r="AX4" s="4" t="s">
        <v>70</v>
      </c>
      <c r="AY4" s="4" t="s">
        <v>70</v>
      </c>
      <c r="AZ4" s="4" t="s">
        <v>70</v>
      </c>
      <c r="BA4" s="4" t="s">
        <v>70</v>
      </c>
      <c r="BB4" s="4" t="s">
        <v>70</v>
      </c>
      <c r="BC4" s="4" t="s">
        <v>71</v>
      </c>
      <c r="BD4" s="4" t="s">
        <v>70</v>
      </c>
      <c r="BE4" s="4" t="s">
        <v>70</v>
      </c>
      <c r="BF4" s="4" t="s">
        <v>70</v>
      </c>
      <c r="BG4" s="4" t="s">
        <v>70</v>
      </c>
      <c r="BI4" s="4" t="s">
        <v>70</v>
      </c>
      <c r="BJ4" s="4" t="s">
        <v>70</v>
      </c>
      <c r="BK4" s="4" t="s">
        <v>70</v>
      </c>
      <c r="BL4" s="4" t="s">
        <v>70</v>
      </c>
      <c r="BN4" s="4" t="s">
        <v>70</v>
      </c>
      <c r="BO4" s="4" t="s">
        <v>70</v>
      </c>
      <c r="BP4" s="4" t="s">
        <v>70</v>
      </c>
    </row>
    <row r="5" spans="1:100" ht="13.2" x14ac:dyDescent="0.25">
      <c r="A5" s="3">
        <v>45000.705323576389</v>
      </c>
      <c r="B5" s="4" t="s">
        <v>416</v>
      </c>
      <c r="C5" s="4" t="s">
        <v>417</v>
      </c>
      <c r="D5" s="7" t="s">
        <v>418</v>
      </c>
      <c r="E5" s="4" t="s">
        <v>62</v>
      </c>
      <c r="F5" s="4" t="s">
        <v>211</v>
      </c>
      <c r="G5" s="4" t="s">
        <v>64</v>
      </c>
      <c r="H5" s="4" t="s">
        <v>419</v>
      </c>
      <c r="I5" s="4" t="s">
        <v>420</v>
      </c>
      <c r="J5" s="4" t="s">
        <v>421</v>
      </c>
      <c r="K5" s="4" t="s">
        <v>416</v>
      </c>
      <c r="L5" s="4" t="s">
        <v>67</v>
      </c>
      <c r="M5" s="4" t="s">
        <v>280</v>
      </c>
      <c r="N5" s="4">
        <v>30</v>
      </c>
      <c r="O5" s="4" t="s">
        <v>69</v>
      </c>
      <c r="P5" s="4">
        <v>2</v>
      </c>
      <c r="Q5" s="4">
        <v>1</v>
      </c>
      <c r="R5" s="4">
        <v>40</v>
      </c>
      <c r="T5" s="4" t="s">
        <v>70</v>
      </c>
      <c r="U5" s="4" t="s">
        <v>71</v>
      </c>
      <c r="V5" s="6" t="s">
        <v>99</v>
      </c>
      <c r="AU5" s="4" t="s">
        <v>70</v>
      </c>
      <c r="AV5" s="4" t="s">
        <v>71</v>
      </c>
      <c r="AW5" s="4" t="s">
        <v>71</v>
      </c>
      <c r="AX5" s="4" t="s">
        <v>71</v>
      </c>
      <c r="AY5" s="4" t="s">
        <v>70</v>
      </c>
      <c r="AZ5" s="4" t="s">
        <v>71</v>
      </c>
      <c r="BA5" s="4" t="s">
        <v>71</v>
      </c>
      <c r="BB5" s="4" t="s">
        <v>71</v>
      </c>
      <c r="BC5" s="4" t="s">
        <v>71</v>
      </c>
      <c r="BD5" s="4" t="s">
        <v>71</v>
      </c>
      <c r="BE5" s="4" t="s">
        <v>71</v>
      </c>
      <c r="BF5" s="4" t="s">
        <v>71</v>
      </c>
      <c r="BG5" s="4" t="s">
        <v>71</v>
      </c>
      <c r="BH5" s="4" t="s">
        <v>71</v>
      </c>
      <c r="BI5" s="4" t="s">
        <v>71</v>
      </c>
      <c r="BJ5" s="4" t="s">
        <v>71</v>
      </c>
      <c r="BK5" s="4" t="s">
        <v>70</v>
      </c>
      <c r="BL5" s="4" t="s">
        <v>71</v>
      </c>
      <c r="BM5" s="4" t="s">
        <v>71</v>
      </c>
      <c r="BN5" s="4" t="s">
        <v>71</v>
      </c>
      <c r="BO5" s="4" t="s">
        <v>71</v>
      </c>
      <c r="BP5" s="4" t="s">
        <v>71</v>
      </c>
      <c r="BQ5" s="4" t="s">
        <v>71</v>
      </c>
    </row>
    <row r="6" spans="1:100" ht="13.2" x14ac:dyDescent="0.25">
      <c r="A6" s="3">
        <v>45000.707809884261</v>
      </c>
      <c r="B6" s="4" t="s">
        <v>416</v>
      </c>
      <c r="C6" s="4" t="s">
        <v>417</v>
      </c>
      <c r="D6" s="7" t="s">
        <v>418</v>
      </c>
      <c r="E6" s="4" t="s">
        <v>149</v>
      </c>
      <c r="F6" s="4" t="s">
        <v>150</v>
      </c>
      <c r="G6" s="4" t="s">
        <v>64</v>
      </c>
      <c r="H6" s="4" t="s">
        <v>419</v>
      </c>
      <c r="I6" s="4" t="s">
        <v>420</v>
      </c>
      <c r="J6" s="4" t="s">
        <v>421</v>
      </c>
      <c r="K6" s="4" t="s">
        <v>416</v>
      </c>
      <c r="L6" s="4" t="s">
        <v>67</v>
      </c>
      <c r="M6" s="4" t="s">
        <v>280</v>
      </c>
      <c r="N6" s="4">
        <v>30</v>
      </c>
      <c r="O6" s="4" t="s">
        <v>69</v>
      </c>
      <c r="P6" s="4">
        <v>2</v>
      </c>
      <c r="Q6" s="4">
        <v>1</v>
      </c>
      <c r="R6" s="4">
        <v>40</v>
      </c>
      <c r="T6" s="4" t="s">
        <v>70</v>
      </c>
      <c r="U6" s="4" t="s">
        <v>71</v>
      </c>
      <c r="V6" s="6" t="s">
        <v>99</v>
      </c>
      <c r="AU6" s="4" t="s">
        <v>70</v>
      </c>
      <c r="AV6" s="4" t="s">
        <v>71</v>
      </c>
      <c r="AW6" s="4" t="s">
        <v>71</v>
      </c>
      <c r="AX6" s="4" t="s">
        <v>71</v>
      </c>
      <c r="AY6" s="4" t="s">
        <v>70</v>
      </c>
      <c r="AZ6" s="4" t="s">
        <v>71</v>
      </c>
      <c r="BA6" s="4" t="s">
        <v>71</v>
      </c>
      <c r="BB6" s="4" t="s">
        <v>71</v>
      </c>
      <c r="BC6" s="4" t="s">
        <v>71</v>
      </c>
      <c r="BD6" s="4" t="s">
        <v>71</v>
      </c>
      <c r="BE6" s="4" t="s">
        <v>71</v>
      </c>
      <c r="BF6" s="4" t="s">
        <v>71</v>
      </c>
      <c r="BG6" s="4" t="s">
        <v>71</v>
      </c>
      <c r="BH6" s="4" t="s">
        <v>71</v>
      </c>
      <c r="BI6" s="4" t="s">
        <v>71</v>
      </c>
      <c r="BJ6" s="4" t="s">
        <v>71</v>
      </c>
      <c r="BK6" s="4" t="s">
        <v>70</v>
      </c>
      <c r="BL6" s="4" t="s">
        <v>71</v>
      </c>
      <c r="BM6" s="4" t="s">
        <v>71</v>
      </c>
      <c r="BN6" s="4" t="s">
        <v>71</v>
      </c>
      <c r="BO6" s="4" t="s">
        <v>71</v>
      </c>
      <c r="BP6" s="4" t="s">
        <v>71</v>
      </c>
      <c r="BQ6" s="4" t="s">
        <v>71</v>
      </c>
    </row>
    <row r="7" spans="1:100" ht="13.2" x14ac:dyDescent="0.25">
      <c r="A7" s="3">
        <v>45000.728338472225</v>
      </c>
      <c r="B7" s="4" t="s">
        <v>388</v>
      </c>
      <c r="C7" s="4" t="s">
        <v>389</v>
      </c>
      <c r="D7" s="5" t="s">
        <v>390</v>
      </c>
      <c r="E7" s="4" t="s">
        <v>62</v>
      </c>
      <c r="F7" s="4" t="s">
        <v>391</v>
      </c>
      <c r="G7" s="4" t="s">
        <v>64</v>
      </c>
      <c r="H7" s="4" t="s">
        <v>166</v>
      </c>
      <c r="I7" s="4" t="s">
        <v>392</v>
      </c>
      <c r="J7" s="4" t="s">
        <v>393</v>
      </c>
      <c r="K7" s="4" t="s">
        <v>388</v>
      </c>
      <c r="L7" s="4" t="s">
        <v>67</v>
      </c>
      <c r="M7" s="4" t="s">
        <v>272</v>
      </c>
      <c r="N7" s="4">
        <v>32</v>
      </c>
      <c r="O7" s="4" t="s">
        <v>69</v>
      </c>
      <c r="P7" s="4">
        <v>4</v>
      </c>
      <c r="Q7" s="4">
        <v>1</v>
      </c>
      <c r="R7" s="4">
        <v>0</v>
      </c>
      <c r="S7" s="4" t="s">
        <v>395</v>
      </c>
      <c r="T7" s="4" t="s">
        <v>70</v>
      </c>
      <c r="U7" s="4" t="s">
        <v>71</v>
      </c>
      <c r="V7" s="6" t="s">
        <v>99</v>
      </c>
      <c r="AU7" s="4" t="s">
        <v>71</v>
      </c>
      <c r="AV7" s="4" t="s">
        <v>70</v>
      </c>
      <c r="AW7" s="4" t="s">
        <v>71</v>
      </c>
      <c r="AX7" s="4" t="s">
        <v>70</v>
      </c>
      <c r="AY7" s="4" t="s">
        <v>71</v>
      </c>
      <c r="AZ7" s="4" t="s">
        <v>71</v>
      </c>
      <c r="BA7" s="4" t="s">
        <v>71</v>
      </c>
      <c r="BB7" s="4" t="s">
        <v>71</v>
      </c>
      <c r="BC7" s="4" t="s">
        <v>71</v>
      </c>
      <c r="BD7" s="4" t="s">
        <v>70</v>
      </c>
      <c r="BE7" s="4" t="s">
        <v>70</v>
      </c>
      <c r="BF7" s="4" t="s">
        <v>70</v>
      </c>
      <c r="BG7" s="4" t="s">
        <v>71</v>
      </c>
      <c r="BH7" s="4" t="s">
        <v>71</v>
      </c>
      <c r="BI7" s="4" t="s">
        <v>70</v>
      </c>
      <c r="BJ7" s="4" t="s">
        <v>70</v>
      </c>
      <c r="BK7" s="4" t="s">
        <v>70</v>
      </c>
      <c r="BL7" s="4" t="s">
        <v>70</v>
      </c>
      <c r="BM7" s="4" t="s">
        <v>70</v>
      </c>
      <c r="BN7" s="4" t="s">
        <v>71</v>
      </c>
      <c r="BO7" s="4" t="s">
        <v>71</v>
      </c>
      <c r="BP7" s="4" t="s">
        <v>71</v>
      </c>
      <c r="BQ7" s="4" t="s">
        <v>71</v>
      </c>
    </row>
    <row r="8" spans="1:100" ht="13.2" x14ac:dyDescent="0.25">
      <c r="A8" s="3">
        <v>45000.763265381946</v>
      </c>
      <c r="B8" s="4" t="s">
        <v>1007</v>
      </c>
      <c r="C8" s="4" t="s">
        <v>1008</v>
      </c>
      <c r="D8" s="5" t="s">
        <v>1009</v>
      </c>
      <c r="E8" s="4" t="s">
        <v>149</v>
      </c>
      <c r="F8" s="4" t="s">
        <v>1010</v>
      </c>
      <c r="G8" s="4" t="s">
        <v>64</v>
      </c>
      <c r="H8" s="4" t="s">
        <v>1011</v>
      </c>
      <c r="I8" s="4" t="s">
        <v>1012</v>
      </c>
      <c r="K8" s="4" t="s">
        <v>1007</v>
      </c>
      <c r="L8" s="4" t="s">
        <v>656</v>
      </c>
      <c r="M8" s="4" t="s">
        <v>609</v>
      </c>
      <c r="N8" s="4">
        <v>35</v>
      </c>
      <c r="O8" s="4" t="s">
        <v>69</v>
      </c>
      <c r="P8" s="4">
        <v>5</v>
      </c>
      <c r="Q8" s="4">
        <v>3</v>
      </c>
      <c r="R8" s="4">
        <v>10</v>
      </c>
      <c r="T8" s="4" t="s">
        <v>70</v>
      </c>
      <c r="U8" s="4" t="s">
        <v>71</v>
      </c>
      <c r="V8" s="6" t="s">
        <v>99</v>
      </c>
      <c r="AU8" s="4" t="s">
        <v>70</v>
      </c>
      <c r="AV8" s="4" t="s">
        <v>70</v>
      </c>
      <c r="AW8" s="4" t="s">
        <v>71</v>
      </c>
      <c r="AX8" s="4" t="s">
        <v>70</v>
      </c>
      <c r="AY8" s="4" t="s">
        <v>70</v>
      </c>
      <c r="AZ8" s="4" t="s">
        <v>70</v>
      </c>
      <c r="BA8" s="4" t="s">
        <v>70</v>
      </c>
      <c r="BB8" s="4" t="s">
        <v>71</v>
      </c>
      <c r="BC8" s="4" t="s">
        <v>71</v>
      </c>
      <c r="BD8" s="4" t="s">
        <v>70</v>
      </c>
      <c r="BE8" s="4" t="s">
        <v>70</v>
      </c>
      <c r="BF8" s="4" t="s">
        <v>70</v>
      </c>
      <c r="BG8" s="4" t="s">
        <v>71</v>
      </c>
      <c r="BH8" s="4" t="s">
        <v>71</v>
      </c>
      <c r="BI8" s="4" t="s">
        <v>70</v>
      </c>
      <c r="BJ8" s="4" t="s">
        <v>70</v>
      </c>
      <c r="BK8" s="4" t="s">
        <v>70</v>
      </c>
      <c r="BL8" s="4" t="s">
        <v>71</v>
      </c>
      <c r="BM8" s="4" t="s">
        <v>71</v>
      </c>
      <c r="BN8" s="4" t="s">
        <v>70</v>
      </c>
      <c r="BO8" s="4" t="s">
        <v>70</v>
      </c>
      <c r="BP8" s="4" t="s">
        <v>71</v>
      </c>
      <c r="BQ8" s="4" t="s">
        <v>71</v>
      </c>
      <c r="BR8" s="4" t="s">
        <v>1013</v>
      </c>
    </row>
    <row r="9" spans="1:100" ht="13.2" x14ac:dyDescent="0.25">
      <c r="A9" s="3">
        <v>45000.818411458335</v>
      </c>
      <c r="B9" s="4" t="s">
        <v>516</v>
      </c>
      <c r="C9" s="4" t="s">
        <v>517</v>
      </c>
      <c r="D9" s="7" t="s">
        <v>518</v>
      </c>
      <c r="E9" s="4" t="s">
        <v>149</v>
      </c>
      <c r="F9" s="4" t="s">
        <v>519</v>
      </c>
      <c r="G9" s="4" t="s">
        <v>105</v>
      </c>
      <c r="H9" s="4" t="s">
        <v>520</v>
      </c>
      <c r="I9" s="4" t="s">
        <v>521</v>
      </c>
      <c r="J9" s="4" t="s">
        <v>522</v>
      </c>
      <c r="K9" s="4" t="s">
        <v>516</v>
      </c>
      <c r="L9" s="4" t="s">
        <v>67</v>
      </c>
      <c r="M9" s="4" t="s">
        <v>324</v>
      </c>
      <c r="N9" s="4">
        <v>35</v>
      </c>
      <c r="O9" s="4" t="s">
        <v>200</v>
      </c>
      <c r="P9" s="4">
        <v>3</v>
      </c>
      <c r="Q9" s="4">
        <v>3</v>
      </c>
      <c r="R9" s="4">
        <v>30</v>
      </c>
      <c r="T9" s="4" t="s">
        <v>70</v>
      </c>
      <c r="U9" s="4" t="s">
        <v>71</v>
      </c>
      <c r="V9" s="6" t="s">
        <v>99</v>
      </c>
      <c r="AU9" s="4" t="s">
        <v>70</v>
      </c>
      <c r="AV9" s="4" t="s">
        <v>70</v>
      </c>
      <c r="AW9" s="4" t="s">
        <v>71</v>
      </c>
      <c r="AX9" s="4" t="s">
        <v>70</v>
      </c>
      <c r="AY9" s="4" t="s">
        <v>70</v>
      </c>
      <c r="AZ9" s="4" t="s">
        <v>70</v>
      </c>
      <c r="BA9" s="4" t="s">
        <v>71</v>
      </c>
      <c r="BB9" s="4" t="s">
        <v>71</v>
      </c>
      <c r="BC9" s="4" t="s">
        <v>71</v>
      </c>
      <c r="BD9" s="4" t="s">
        <v>70</v>
      </c>
      <c r="BE9" s="4" t="s">
        <v>70</v>
      </c>
      <c r="BF9" s="4" t="s">
        <v>70</v>
      </c>
      <c r="BG9" s="4" t="s">
        <v>71</v>
      </c>
      <c r="BH9" s="4" t="s">
        <v>71</v>
      </c>
      <c r="BI9" s="4" t="s">
        <v>70</v>
      </c>
      <c r="BJ9" s="4" t="s">
        <v>70</v>
      </c>
      <c r="BK9" s="4" t="s">
        <v>70</v>
      </c>
      <c r="BL9" s="4" t="s">
        <v>71</v>
      </c>
      <c r="BM9" s="4" t="s">
        <v>71</v>
      </c>
      <c r="BN9" s="4" t="s">
        <v>70</v>
      </c>
      <c r="BO9" s="4" t="s">
        <v>70</v>
      </c>
      <c r="BP9" s="4" t="s">
        <v>71</v>
      </c>
      <c r="BQ9" s="4" t="s">
        <v>71</v>
      </c>
    </row>
    <row r="10" spans="1:100" ht="13.2" x14ac:dyDescent="0.25">
      <c r="A10" s="3">
        <v>45000.827784085646</v>
      </c>
      <c r="B10" s="4" t="s">
        <v>493</v>
      </c>
      <c r="C10" s="4" t="s">
        <v>494</v>
      </c>
      <c r="D10" s="5" t="s">
        <v>495</v>
      </c>
      <c r="E10" s="4" t="s">
        <v>103</v>
      </c>
      <c r="F10" s="4" t="s">
        <v>501</v>
      </c>
      <c r="G10" s="4" t="s">
        <v>64</v>
      </c>
      <c r="H10" s="4" t="s">
        <v>502</v>
      </c>
      <c r="I10" s="4" t="s">
        <v>503</v>
      </c>
      <c r="K10" s="4" t="s">
        <v>493</v>
      </c>
      <c r="L10" s="4" t="s">
        <v>67</v>
      </c>
      <c r="M10" s="4" t="s">
        <v>322</v>
      </c>
      <c r="N10" s="4">
        <v>30</v>
      </c>
      <c r="O10" s="4" t="s">
        <v>69</v>
      </c>
      <c r="P10" s="4">
        <v>3</v>
      </c>
      <c r="Q10" s="4">
        <v>1</v>
      </c>
      <c r="R10" s="4">
        <v>10</v>
      </c>
      <c r="T10" s="4" t="s">
        <v>70</v>
      </c>
      <c r="U10" s="4" t="s">
        <v>71</v>
      </c>
      <c r="V10" s="6" t="s">
        <v>99</v>
      </c>
      <c r="AU10" s="4" t="s">
        <v>71</v>
      </c>
      <c r="AV10" s="4" t="s">
        <v>70</v>
      </c>
      <c r="AW10" s="4" t="s">
        <v>71</v>
      </c>
      <c r="AX10" s="4" t="s">
        <v>71</v>
      </c>
      <c r="AY10" s="4" t="s">
        <v>71</v>
      </c>
      <c r="AZ10" s="4" t="s">
        <v>71</v>
      </c>
      <c r="BA10" s="4" t="s">
        <v>71</v>
      </c>
      <c r="BB10" s="4" t="s">
        <v>71</v>
      </c>
      <c r="BC10" s="4" t="s">
        <v>71</v>
      </c>
      <c r="BD10" s="4" t="s">
        <v>70</v>
      </c>
      <c r="BI10" s="4" t="s">
        <v>71</v>
      </c>
      <c r="BJ10" s="4" t="s">
        <v>71</v>
      </c>
      <c r="BK10" s="4" t="s">
        <v>71</v>
      </c>
      <c r="BL10" s="4" t="s">
        <v>71</v>
      </c>
      <c r="BM10" s="4" t="s">
        <v>71</v>
      </c>
      <c r="BN10" s="4" t="s">
        <v>70</v>
      </c>
      <c r="BO10" s="4" t="s">
        <v>71</v>
      </c>
      <c r="BP10" s="4" t="s">
        <v>71</v>
      </c>
      <c r="BQ10" s="4" t="s">
        <v>71</v>
      </c>
      <c r="BR10" s="4" t="s">
        <v>505</v>
      </c>
    </row>
    <row r="11" spans="1:100" ht="13.2" x14ac:dyDescent="0.25">
      <c r="A11" s="3">
        <v>45000.836320347225</v>
      </c>
      <c r="B11" s="4" t="s">
        <v>1127</v>
      </c>
      <c r="C11" s="4" t="s">
        <v>1128</v>
      </c>
      <c r="D11" s="5" t="s">
        <v>1129</v>
      </c>
      <c r="E11" s="4" t="s">
        <v>103</v>
      </c>
      <c r="F11" s="4" t="s">
        <v>1130</v>
      </c>
      <c r="G11" s="4" t="s">
        <v>64</v>
      </c>
      <c r="H11" s="4" t="s">
        <v>1131</v>
      </c>
      <c r="I11" s="4" t="s">
        <v>1132</v>
      </c>
      <c r="J11" s="4" t="s">
        <v>1133</v>
      </c>
      <c r="K11" s="4" t="s">
        <v>1127</v>
      </c>
      <c r="L11" s="4" t="s">
        <v>656</v>
      </c>
      <c r="M11" s="4" t="s">
        <v>693</v>
      </c>
      <c r="N11" s="4">
        <v>35</v>
      </c>
      <c r="O11" s="4" t="s">
        <v>200</v>
      </c>
      <c r="P11" s="4">
        <v>5</v>
      </c>
      <c r="Q11" s="4">
        <v>4</v>
      </c>
      <c r="R11" s="4">
        <v>0</v>
      </c>
      <c r="T11" s="4" t="s">
        <v>70</v>
      </c>
      <c r="U11" s="4" t="s">
        <v>70</v>
      </c>
      <c r="V11" s="6" t="s">
        <v>99</v>
      </c>
      <c r="AU11" s="4" t="s">
        <v>71</v>
      </c>
      <c r="AV11" s="4" t="s">
        <v>70</v>
      </c>
      <c r="AW11" s="4" t="s">
        <v>71</v>
      </c>
      <c r="AX11" s="4" t="s">
        <v>71</v>
      </c>
      <c r="AY11" s="4" t="s">
        <v>71</v>
      </c>
      <c r="AZ11" s="4" t="s">
        <v>70</v>
      </c>
      <c r="BA11" s="4" t="s">
        <v>71</v>
      </c>
      <c r="BB11" s="4" t="s">
        <v>71</v>
      </c>
      <c r="BC11" s="4" t="s">
        <v>71</v>
      </c>
      <c r="BD11" s="4" t="s">
        <v>71</v>
      </c>
      <c r="BE11" s="4" t="s">
        <v>71</v>
      </c>
      <c r="BF11" s="4" t="s">
        <v>70</v>
      </c>
      <c r="BG11" s="4" t="s">
        <v>71</v>
      </c>
      <c r="BH11" s="4" t="s">
        <v>71</v>
      </c>
      <c r="BI11" s="4" t="s">
        <v>71</v>
      </c>
      <c r="BJ11" s="4" t="s">
        <v>71</v>
      </c>
      <c r="BK11" s="4" t="s">
        <v>71</v>
      </c>
      <c r="BL11" s="4" t="s">
        <v>71</v>
      </c>
      <c r="BM11" s="4" t="s">
        <v>71</v>
      </c>
      <c r="BN11" s="4" t="s">
        <v>71</v>
      </c>
      <c r="BO11" s="4" t="s">
        <v>70</v>
      </c>
      <c r="BP11" s="4" t="s">
        <v>71</v>
      </c>
      <c r="BQ11" s="4" t="s">
        <v>71</v>
      </c>
    </row>
    <row r="12" spans="1:100" ht="13.2" x14ac:dyDescent="0.25">
      <c r="A12" s="3">
        <v>45000.841201817129</v>
      </c>
      <c r="B12" s="4" t="s">
        <v>1127</v>
      </c>
      <c r="C12" s="4" t="s">
        <v>1128</v>
      </c>
      <c r="D12" s="5" t="s">
        <v>1129</v>
      </c>
      <c r="E12" s="4" t="s">
        <v>103</v>
      </c>
      <c r="F12" s="4" t="s">
        <v>1130</v>
      </c>
      <c r="G12" s="4" t="s">
        <v>64</v>
      </c>
      <c r="H12" s="4" t="s">
        <v>1131</v>
      </c>
      <c r="I12" s="4" t="s">
        <v>1132</v>
      </c>
      <c r="J12" s="4" t="s">
        <v>1134</v>
      </c>
      <c r="K12" s="4" t="s">
        <v>1127</v>
      </c>
      <c r="L12" s="4" t="s">
        <v>656</v>
      </c>
      <c r="M12" s="4" t="s">
        <v>693</v>
      </c>
      <c r="N12" s="4">
        <v>35</v>
      </c>
      <c r="O12" s="4" t="s">
        <v>200</v>
      </c>
      <c r="P12" s="4">
        <v>5</v>
      </c>
      <c r="Q12" s="4">
        <v>4</v>
      </c>
      <c r="R12" s="4">
        <v>0</v>
      </c>
      <c r="T12" s="4" t="s">
        <v>70</v>
      </c>
      <c r="U12" s="4" t="s">
        <v>70</v>
      </c>
      <c r="V12" s="6" t="s">
        <v>99</v>
      </c>
      <c r="AU12" s="4" t="s">
        <v>71</v>
      </c>
      <c r="AV12" s="4" t="s">
        <v>70</v>
      </c>
      <c r="AW12" s="4" t="s">
        <v>71</v>
      </c>
      <c r="AX12" s="4" t="s">
        <v>70</v>
      </c>
      <c r="AY12" s="4" t="s">
        <v>71</v>
      </c>
      <c r="AZ12" s="4" t="s">
        <v>70</v>
      </c>
      <c r="BA12" s="4" t="s">
        <v>71</v>
      </c>
      <c r="BB12" s="4" t="s">
        <v>71</v>
      </c>
      <c r="BC12" s="4" t="s">
        <v>71</v>
      </c>
      <c r="BD12" s="4" t="s">
        <v>71</v>
      </c>
      <c r="BE12" s="4" t="s">
        <v>71</v>
      </c>
      <c r="BF12" s="4" t="s">
        <v>70</v>
      </c>
      <c r="BG12" s="4" t="s">
        <v>71</v>
      </c>
      <c r="BH12" s="4" t="s">
        <v>71</v>
      </c>
      <c r="BJ12" s="4" t="s">
        <v>71</v>
      </c>
      <c r="BK12" s="4" t="s">
        <v>70</v>
      </c>
      <c r="BL12" s="4" t="s">
        <v>71</v>
      </c>
      <c r="BM12" s="4" t="s">
        <v>71</v>
      </c>
      <c r="BN12" s="4" t="s">
        <v>71</v>
      </c>
      <c r="BO12" s="4" t="s">
        <v>70</v>
      </c>
      <c r="BQ12" s="4" t="s">
        <v>71</v>
      </c>
    </row>
    <row r="13" spans="1:100" ht="13.2" x14ac:dyDescent="0.25">
      <c r="A13" s="3">
        <v>45000.843717060183</v>
      </c>
      <c r="B13" s="4" t="s">
        <v>1127</v>
      </c>
      <c r="C13" s="4" t="s">
        <v>1128</v>
      </c>
      <c r="D13" s="5" t="s">
        <v>1129</v>
      </c>
      <c r="E13" s="4" t="s">
        <v>103</v>
      </c>
      <c r="F13" s="4" t="s">
        <v>1135</v>
      </c>
      <c r="G13" s="4" t="s">
        <v>64</v>
      </c>
      <c r="H13" s="4" t="s">
        <v>1136</v>
      </c>
      <c r="I13" s="4" t="s">
        <v>1132</v>
      </c>
      <c r="J13" s="4" t="s">
        <v>1134</v>
      </c>
      <c r="K13" s="4" t="s">
        <v>1127</v>
      </c>
      <c r="L13" s="4" t="s">
        <v>656</v>
      </c>
      <c r="M13" s="4" t="s">
        <v>700</v>
      </c>
      <c r="N13" s="4">
        <v>35</v>
      </c>
      <c r="O13" s="4" t="s">
        <v>200</v>
      </c>
      <c r="P13" s="4">
        <v>5</v>
      </c>
      <c r="Q13" s="4">
        <v>4</v>
      </c>
      <c r="R13" s="4">
        <v>0</v>
      </c>
      <c r="T13" s="4" t="s">
        <v>70</v>
      </c>
      <c r="U13" s="4" t="s">
        <v>70</v>
      </c>
      <c r="V13" s="6" t="s">
        <v>99</v>
      </c>
      <c r="AU13" s="4" t="s">
        <v>71</v>
      </c>
      <c r="AV13" s="4" t="s">
        <v>70</v>
      </c>
      <c r="AW13" s="4" t="s">
        <v>71</v>
      </c>
      <c r="AX13" s="4" t="s">
        <v>71</v>
      </c>
      <c r="AY13" s="4" t="s">
        <v>71</v>
      </c>
      <c r="AZ13" s="4" t="s">
        <v>71</v>
      </c>
      <c r="BA13" s="4" t="s">
        <v>70</v>
      </c>
      <c r="BB13" s="4" t="s">
        <v>71</v>
      </c>
      <c r="BC13" s="4" t="s">
        <v>71</v>
      </c>
      <c r="BD13" s="4" t="s">
        <v>71</v>
      </c>
      <c r="BE13" s="4" t="s">
        <v>71</v>
      </c>
      <c r="BF13" s="4" t="s">
        <v>70</v>
      </c>
      <c r="BG13" s="4" t="s">
        <v>71</v>
      </c>
      <c r="BH13" s="4" t="s">
        <v>71</v>
      </c>
      <c r="BI13" s="4" t="s">
        <v>71</v>
      </c>
      <c r="BJ13" s="4" t="s">
        <v>71</v>
      </c>
      <c r="BK13" s="4" t="s">
        <v>70</v>
      </c>
      <c r="BL13" s="4" t="s">
        <v>71</v>
      </c>
      <c r="BM13" s="4" t="s">
        <v>71</v>
      </c>
      <c r="BN13" s="4" t="s">
        <v>71</v>
      </c>
      <c r="BO13" s="4" t="s">
        <v>70</v>
      </c>
      <c r="BP13" s="4" t="s">
        <v>71</v>
      </c>
      <c r="BQ13" s="4" t="s">
        <v>71</v>
      </c>
    </row>
    <row r="14" spans="1:100" ht="13.2" x14ac:dyDescent="0.25">
      <c r="A14" s="3">
        <v>45000.968363298613</v>
      </c>
      <c r="B14" s="4" t="s">
        <v>443</v>
      </c>
      <c r="C14" s="4" t="s">
        <v>444</v>
      </c>
      <c r="D14" s="7" t="s">
        <v>445</v>
      </c>
      <c r="E14" s="4" t="s">
        <v>103</v>
      </c>
      <c r="F14" s="4" t="s">
        <v>446</v>
      </c>
      <c r="G14" s="4" t="s">
        <v>105</v>
      </c>
      <c r="H14" s="4" t="s">
        <v>447</v>
      </c>
      <c r="I14" s="4" t="s">
        <v>448</v>
      </c>
      <c r="J14" s="4" t="s">
        <v>449</v>
      </c>
      <c r="K14" s="4" t="s">
        <v>443</v>
      </c>
      <c r="L14" s="4" t="s">
        <v>67</v>
      </c>
      <c r="M14" s="4" t="s">
        <v>290</v>
      </c>
      <c r="N14" s="4">
        <v>28</v>
      </c>
      <c r="O14" s="4" t="s">
        <v>97</v>
      </c>
      <c r="P14" s="4">
        <v>5</v>
      </c>
      <c r="Q14" s="4">
        <v>5</v>
      </c>
      <c r="R14" s="4">
        <v>7</v>
      </c>
      <c r="S14" s="4" t="s">
        <v>449</v>
      </c>
      <c r="T14" s="4" t="s">
        <v>70</v>
      </c>
      <c r="U14" s="4" t="s">
        <v>71</v>
      </c>
      <c r="V14" s="6" t="s">
        <v>99</v>
      </c>
      <c r="AU14" s="4" t="s">
        <v>70</v>
      </c>
      <c r="AV14" s="4" t="s">
        <v>71</v>
      </c>
      <c r="AW14" s="4" t="s">
        <v>71</v>
      </c>
      <c r="AX14" s="4" t="s">
        <v>71</v>
      </c>
      <c r="AY14" s="4" t="s">
        <v>71</v>
      </c>
      <c r="AZ14" s="4" t="s">
        <v>70</v>
      </c>
      <c r="BA14" s="4" t="s">
        <v>71</v>
      </c>
      <c r="BB14" s="4" t="s">
        <v>71</v>
      </c>
      <c r="BC14" s="4" t="s">
        <v>71</v>
      </c>
      <c r="BD14" s="4" t="s">
        <v>71</v>
      </c>
      <c r="BE14" s="4" t="s">
        <v>70</v>
      </c>
      <c r="BF14" s="4" t="s">
        <v>71</v>
      </c>
      <c r="BG14" s="4" t="s">
        <v>71</v>
      </c>
      <c r="BH14" s="4" t="s">
        <v>71</v>
      </c>
      <c r="BI14" s="4" t="s">
        <v>71</v>
      </c>
      <c r="BJ14" s="4" t="s">
        <v>71</v>
      </c>
      <c r="BK14" s="4" t="s">
        <v>70</v>
      </c>
      <c r="BL14" s="4" t="s">
        <v>71</v>
      </c>
      <c r="BM14" s="4" t="s">
        <v>71</v>
      </c>
      <c r="BN14" s="4" t="s">
        <v>71</v>
      </c>
      <c r="BO14" s="4" t="s">
        <v>71</v>
      </c>
      <c r="BP14" s="4" t="s">
        <v>71</v>
      </c>
      <c r="BQ14" s="4" t="s">
        <v>71</v>
      </c>
    </row>
    <row r="15" spans="1:100" ht="13.2" x14ac:dyDescent="0.25">
      <c r="A15" s="3">
        <v>45001.39929001157</v>
      </c>
      <c r="B15" s="4" t="s">
        <v>544</v>
      </c>
      <c r="C15" s="4" t="s">
        <v>545</v>
      </c>
      <c r="D15" s="7" t="s">
        <v>537</v>
      </c>
      <c r="E15" s="4" t="s">
        <v>103</v>
      </c>
      <c r="F15" s="4" t="s">
        <v>546</v>
      </c>
      <c r="G15" s="4" t="s">
        <v>64</v>
      </c>
      <c r="H15" s="4" t="s">
        <v>539</v>
      </c>
      <c r="I15" s="4" t="s">
        <v>540</v>
      </c>
      <c r="K15" s="4" t="s">
        <v>535</v>
      </c>
      <c r="L15" s="4" t="s">
        <v>67</v>
      </c>
      <c r="M15" s="4" t="s">
        <v>331</v>
      </c>
      <c r="N15" s="4">
        <v>37</v>
      </c>
      <c r="O15" s="4" t="s">
        <v>200</v>
      </c>
      <c r="P15" s="4">
        <v>4</v>
      </c>
      <c r="Q15" s="4">
        <v>3</v>
      </c>
      <c r="R15" s="4">
        <v>10</v>
      </c>
      <c r="S15" s="4" t="s">
        <v>548</v>
      </c>
      <c r="T15" s="4" t="s">
        <v>70</v>
      </c>
      <c r="U15" s="4" t="s">
        <v>71</v>
      </c>
      <c r="V15" s="6" t="s">
        <v>99</v>
      </c>
      <c r="AU15" s="4" t="s">
        <v>70</v>
      </c>
      <c r="AV15" s="4" t="s">
        <v>70</v>
      </c>
      <c r="AW15" s="4" t="s">
        <v>71</v>
      </c>
      <c r="AX15" s="4" t="s">
        <v>70</v>
      </c>
      <c r="AY15" s="4" t="s">
        <v>70</v>
      </c>
      <c r="AZ15" s="4" t="s">
        <v>70</v>
      </c>
      <c r="BA15" s="4" t="s">
        <v>71</v>
      </c>
      <c r="BB15" s="4" t="s">
        <v>71</v>
      </c>
      <c r="BC15" s="4" t="s">
        <v>71</v>
      </c>
      <c r="BD15" s="4" t="s">
        <v>70</v>
      </c>
      <c r="BE15" s="4" t="s">
        <v>70</v>
      </c>
      <c r="BF15" s="4" t="s">
        <v>70</v>
      </c>
      <c r="BG15" s="4" t="s">
        <v>71</v>
      </c>
      <c r="BH15" s="4" t="s">
        <v>71</v>
      </c>
      <c r="BI15" s="4" t="s">
        <v>70</v>
      </c>
      <c r="BJ15" s="4" t="s">
        <v>70</v>
      </c>
      <c r="BK15" s="4" t="s">
        <v>70</v>
      </c>
      <c r="BL15" s="4" t="s">
        <v>71</v>
      </c>
      <c r="BM15" s="4" t="s">
        <v>71</v>
      </c>
      <c r="BN15" s="4" t="s">
        <v>70</v>
      </c>
      <c r="BO15" s="4" t="s">
        <v>70</v>
      </c>
      <c r="BP15" s="4" t="s">
        <v>71</v>
      </c>
      <c r="BQ15" s="4" t="s">
        <v>71</v>
      </c>
      <c r="BR15" s="4" t="s">
        <v>549</v>
      </c>
    </row>
    <row r="16" spans="1:100" ht="13.2" x14ac:dyDescent="0.25">
      <c r="A16" s="3">
        <v>45001.411839351851</v>
      </c>
      <c r="B16" s="4" t="s">
        <v>535</v>
      </c>
      <c r="C16" s="4" t="s">
        <v>536</v>
      </c>
      <c r="D16" s="7" t="s">
        <v>537</v>
      </c>
      <c r="E16" s="4" t="s">
        <v>103</v>
      </c>
      <c r="F16" s="4" t="s">
        <v>546</v>
      </c>
      <c r="G16" s="4" t="s">
        <v>64</v>
      </c>
      <c r="H16" s="4" t="s">
        <v>539</v>
      </c>
      <c r="I16" s="4" t="s">
        <v>540</v>
      </c>
      <c r="K16" s="4" t="s">
        <v>535</v>
      </c>
      <c r="L16" s="4" t="s">
        <v>67</v>
      </c>
      <c r="M16" s="4" t="s">
        <v>331</v>
      </c>
      <c r="N16" s="4">
        <v>37</v>
      </c>
      <c r="O16" s="4" t="s">
        <v>200</v>
      </c>
      <c r="P16" s="4">
        <v>4</v>
      </c>
      <c r="Q16" s="4">
        <v>3</v>
      </c>
      <c r="R16" s="4">
        <v>10</v>
      </c>
      <c r="S16" s="4" t="s">
        <v>548</v>
      </c>
      <c r="T16" s="4" t="s">
        <v>70</v>
      </c>
      <c r="U16" s="4" t="s">
        <v>70</v>
      </c>
      <c r="V16" s="6" t="s">
        <v>99</v>
      </c>
      <c r="AU16" s="4" t="s">
        <v>70</v>
      </c>
      <c r="AV16" s="4" t="s">
        <v>70</v>
      </c>
      <c r="AW16" s="4" t="s">
        <v>71</v>
      </c>
      <c r="AX16" s="4" t="s">
        <v>70</v>
      </c>
      <c r="AY16" s="4" t="s">
        <v>70</v>
      </c>
      <c r="AZ16" s="4" t="s">
        <v>70</v>
      </c>
      <c r="BA16" s="4" t="s">
        <v>71</v>
      </c>
      <c r="BB16" s="4" t="s">
        <v>71</v>
      </c>
      <c r="BC16" s="4" t="s">
        <v>71</v>
      </c>
      <c r="BD16" s="4" t="s">
        <v>70</v>
      </c>
      <c r="BE16" s="4" t="s">
        <v>70</v>
      </c>
      <c r="BF16" s="4" t="s">
        <v>70</v>
      </c>
      <c r="BG16" s="4" t="s">
        <v>71</v>
      </c>
      <c r="BH16" s="4" t="s">
        <v>71</v>
      </c>
      <c r="BI16" s="4" t="s">
        <v>70</v>
      </c>
      <c r="BJ16" s="4" t="s">
        <v>70</v>
      </c>
      <c r="BK16" s="4" t="s">
        <v>70</v>
      </c>
      <c r="BL16" s="4" t="s">
        <v>71</v>
      </c>
      <c r="BM16" s="4" t="s">
        <v>71</v>
      </c>
      <c r="BN16" s="4" t="s">
        <v>70</v>
      </c>
      <c r="BO16" s="4" t="s">
        <v>70</v>
      </c>
      <c r="BP16" s="4" t="s">
        <v>71</v>
      </c>
      <c r="BQ16" s="4" t="s">
        <v>71</v>
      </c>
      <c r="BR16" s="4" t="s">
        <v>551</v>
      </c>
    </row>
    <row r="17" spans="1:70" ht="13.2" x14ac:dyDescent="0.25">
      <c r="A17" s="3">
        <v>45001.422946469909</v>
      </c>
      <c r="B17" s="4" t="s">
        <v>535</v>
      </c>
      <c r="C17" s="4" t="s">
        <v>536</v>
      </c>
      <c r="D17" s="7" t="s">
        <v>537</v>
      </c>
      <c r="E17" s="4" t="s">
        <v>103</v>
      </c>
      <c r="F17" s="4" t="s">
        <v>546</v>
      </c>
      <c r="G17" s="4" t="s">
        <v>64</v>
      </c>
      <c r="H17" s="4" t="s">
        <v>539</v>
      </c>
      <c r="I17" s="4" t="s">
        <v>540</v>
      </c>
      <c r="K17" s="4" t="s">
        <v>535</v>
      </c>
      <c r="L17" s="4" t="s">
        <v>67</v>
      </c>
      <c r="M17" s="4" t="s">
        <v>331</v>
      </c>
      <c r="N17" s="4">
        <v>30</v>
      </c>
      <c r="O17" s="4" t="s">
        <v>200</v>
      </c>
      <c r="P17" s="4">
        <v>4</v>
      </c>
      <c r="Q17" s="4">
        <v>3</v>
      </c>
      <c r="R17" s="4">
        <v>10</v>
      </c>
      <c r="S17" s="4" t="s">
        <v>553</v>
      </c>
      <c r="T17" s="4" t="s">
        <v>71</v>
      </c>
      <c r="U17" s="4" t="s">
        <v>70</v>
      </c>
      <c r="V17" s="6" t="s">
        <v>99</v>
      </c>
      <c r="AU17" s="4" t="s">
        <v>71</v>
      </c>
      <c r="AV17" s="4" t="s">
        <v>71</v>
      </c>
      <c r="AW17" s="4" t="s">
        <v>70</v>
      </c>
      <c r="AX17" s="4" t="s">
        <v>71</v>
      </c>
      <c r="AY17" s="4" t="s">
        <v>71</v>
      </c>
      <c r="AZ17" s="4" t="s">
        <v>71</v>
      </c>
      <c r="BA17" s="4" t="s">
        <v>71</v>
      </c>
      <c r="BB17" s="4" t="s">
        <v>70</v>
      </c>
      <c r="BC17" s="4" t="s">
        <v>70</v>
      </c>
      <c r="BD17" s="4" t="s">
        <v>71</v>
      </c>
      <c r="BE17" s="4" t="s">
        <v>71</v>
      </c>
      <c r="BF17" s="4" t="s">
        <v>71</v>
      </c>
      <c r="BG17" s="4" t="s">
        <v>70</v>
      </c>
      <c r="BH17" s="4" t="s">
        <v>70</v>
      </c>
      <c r="BI17" s="4" t="s">
        <v>71</v>
      </c>
      <c r="BJ17" s="4" t="s">
        <v>71</v>
      </c>
      <c r="BK17" s="4" t="s">
        <v>71</v>
      </c>
      <c r="BL17" s="4" t="s">
        <v>70</v>
      </c>
      <c r="BM17" s="4" t="s">
        <v>70</v>
      </c>
      <c r="BN17" s="4" t="s">
        <v>71</v>
      </c>
      <c r="BO17" s="4" t="s">
        <v>71</v>
      </c>
      <c r="BP17" s="4" t="s">
        <v>70</v>
      </c>
      <c r="BQ17" s="4" t="s">
        <v>70</v>
      </c>
      <c r="BR17" s="4" t="s">
        <v>554</v>
      </c>
    </row>
    <row r="18" spans="1:70" ht="13.2" x14ac:dyDescent="0.25">
      <c r="A18" s="3">
        <v>45001.532389988424</v>
      </c>
      <c r="B18" s="4" t="s">
        <v>776</v>
      </c>
      <c r="C18" s="4" t="s">
        <v>777</v>
      </c>
      <c r="D18" s="7" t="s">
        <v>778</v>
      </c>
      <c r="E18" s="4" t="s">
        <v>103</v>
      </c>
      <c r="F18" s="4" t="s">
        <v>779</v>
      </c>
      <c r="G18" s="4" t="s">
        <v>64</v>
      </c>
      <c r="H18" s="4" t="s">
        <v>780</v>
      </c>
      <c r="I18" s="4" t="s">
        <v>781</v>
      </c>
      <c r="J18" s="4" t="s">
        <v>782</v>
      </c>
      <c r="K18" s="4" t="s">
        <v>776</v>
      </c>
      <c r="L18" s="4" t="s">
        <v>656</v>
      </c>
      <c r="M18" s="4" t="s">
        <v>467</v>
      </c>
      <c r="N18" s="4">
        <v>31</v>
      </c>
      <c r="O18" s="4" t="s">
        <v>783</v>
      </c>
      <c r="P18" s="4">
        <v>4</v>
      </c>
      <c r="Q18" s="4">
        <v>4</v>
      </c>
      <c r="R18" s="4">
        <v>1</v>
      </c>
      <c r="S18" s="4" t="s">
        <v>784</v>
      </c>
      <c r="T18" s="4" t="s">
        <v>70</v>
      </c>
      <c r="U18" s="4" t="s">
        <v>71</v>
      </c>
      <c r="V18" s="6" t="s">
        <v>99</v>
      </c>
      <c r="AU18" s="4" t="s">
        <v>70</v>
      </c>
      <c r="AV18" s="4" t="s">
        <v>70</v>
      </c>
      <c r="AW18" s="4" t="s">
        <v>71</v>
      </c>
      <c r="AX18" s="4" t="s">
        <v>71</v>
      </c>
      <c r="AY18" s="4" t="s">
        <v>70</v>
      </c>
      <c r="AZ18" s="4" t="s">
        <v>71</v>
      </c>
      <c r="BA18" s="4" t="s">
        <v>71</v>
      </c>
      <c r="BB18" s="4" t="s">
        <v>71</v>
      </c>
      <c r="BC18" s="4" t="s">
        <v>71</v>
      </c>
      <c r="BE18" s="4" t="s">
        <v>70</v>
      </c>
      <c r="BJ18" s="4" t="s">
        <v>70</v>
      </c>
    </row>
    <row r="19" spans="1:70" ht="13.2" x14ac:dyDescent="0.25">
      <c r="A19" s="3">
        <v>45001.548670243057</v>
      </c>
      <c r="B19" s="4" t="s">
        <v>776</v>
      </c>
      <c r="C19" s="4" t="s">
        <v>777</v>
      </c>
      <c r="D19" s="7" t="s">
        <v>778</v>
      </c>
      <c r="E19" s="4" t="s">
        <v>103</v>
      </c>
      <c r="F19" s="4" t="s">
        <v>779</v>
      </c>
      <c r="G19" s="4" t="s">
        <v>64</v>
      </c>
      <c r="H19" s="4" t="s">
        <v>780</v>
      </c>
      <c r="I19" s="4" t="s">
        <v>781</v>
      </c>
      <c r="J19" s="4" t="s">
        <v>782</v>
      </c>
      <c r="K19" s="4" t="s">
        <v>776</v>
      </c>
      <c r="L19" s="4" t="s">
        <v>656</v>
      </c>
      <c r="M19" s="4" t="s">
        <v>470</v>
      </c>
      <c r="N19" s="4">
        <v>30</v>
      </c>
      <c r="O19" s="4" t="s">
        <v>783</v>
      </c>
      <c r="P19" s="4">
        <v>4</v>
      </c>
      <c r="Q19" s="4">
        <v>4</v>
      </c>
      <c r="R19" s="4">
        <v>1</v>
      </c>
      <c r="T19" s="4" t="s">
        <v>70</v>
      </c>
      <c r="U19" s="4" t="s">
        <v>71</v>
      </c>
      <c r="V19" s="6" t="s">
        <v>99</v>
      </c>
      <c r="AU19" s="4" t="s">
        <v>70</v>
      </c>
      <c r="AV19" s="4" t="s">
        <v>70</v>
      </c>
      <c r="AW19" s="4" t="s">
        <v>71</v>
      </c>
      <c r="AX19" s="4" t="s">
        <v>71</v>
      </c>
      <c r="AY19" s="4" t="s">
        <v>70</v>
      </c>
      <c r="AZ19" s="4" t="s">
        <v>71</v>
      </c>
      <c r="BA19" s="4" t="s">
        <v>71</v>
      </c>
      <c r="BB19" s="4" t="s">
        <v>71</v>
      </c>
      <c r="BC19" s="4" t="s">
        <v>71</v>
      </c>
    </row>
    <row r="20" spans="1:70" ht="13.2" x14ac:dyDescent="0.25">
      <c r="A20" s="3">
        <v>45001.550165972221</v>
      </c>
      <c r="B20" s="4" t="s">
        <v>776</v>
      </c>
      <c r="C20" s="4" t="s">
        <v>787</v>
      </c>
      <c r="D20" s="7" t="s">
        <v>778</v>
      </c>
      <c r="E20" s="4" t="s">
        <v>103</v>
      </c>
      <c r="F20" s="4" t="s">
        <v>779</v>
      </c>
      <c r="G20" s="4" t="s">
        <v>64</v>
      </c>
      <c r="H20" s="4" t="s">
        <v>785</v>
      </c>
      <c r="I20" s="4" t="s">
        <v>781</v>
      </c>
      <c r="J20" s="4" t="s">
        <v>782</v>
      </c>
      <c r="K20" s="4" t="s">
        <v>776</v>
      </c>
      <c r="L20" s="4" t="s">
        <v>656</v>
      </c>
      <c r="M20" s="4" t="s">
        <v>470</v>
      </c>
      <c r="N20" s="4">
        <v>30</v>
      </c>
      <c r="O20" s="4" t="s">
        <v>783</v>
      </c>
      <c r="P20" s="4">
        <v>4</v>
      </c>
      <c r="Q20" s="4">
        <v>4</v>
      </c>
      <c r="R20" s="4">
        <v>1</v>
      </c>
      <c r="T20" s="4" t="s">
        <v>70</v>
      </c>
      <c r="U20" s="4" t="s">
        <v>71</v>
      </c>
      <c r="V20" s="6" t="s">
        <v>99</v>
      </c>
      <c r="AU20" s="4" t="s">
        <v>70</v>
      </c>
      <c r="AV20" s="4" t="s">
        <v>70</v>
      </c>
      <c r="AW20" s="4" t="s">
        <v>71</v>
      </c>
      <c r="AX20" s="4" t="s">
        <v>71</v>
      </c>
      <c r="AY20" s="4" t="s">
        <v>70</v>
      </c>
      <c r="AZ20" s="4" t="s">
        <v>71</v>
      </c>
      <c r="BA20" s="4" t="s">
        <v>71</v>
      </c>
      <c r="BB20" s="4" t="s">
        <v>71</v>
      </c>
      <c r="BC20" s="4" t="s">
        <v>71</v>
      </c>
    </row>
    <row r="21" spans="1:70" ht="13.2" x14ac:dyDescent="0.25">
      <c r="A21" s="3">
        <v>45001.569512662041</v>
      </c>
      <c r="B21" s="4" t="s">
        <v>1062</v>
      </c>
      <c r="C21" s="4" t="s">
        <v>1063</v>
      </c>
      <c r="D21" s="5" t="s">
        <v>1064</v>
      </c>
      <c r="E21" s="4" t="s">
        <v>427</v>
      </c>
      <c r="F21" s="4" t="s">
        <v>428</v>
      </c>
      <c r="G21" s="4" t="s">
        <v>105</v>
      </c>
      <c r="H21" s="4" t="s">
        <v>1065</v>
      </c>
      <c r="I21" s="4" t="s">
        <v>1066</v>
      </c>
      <c r="J21" s="4" t="s">
        <v>1067</v>
      </c>
      <c r="K21" s="4" t="s">
        <v>1062</v>
      </c>
      <c r="L21" s="4" t="s">
        <v>656</v>
      </c>
      <c r="M21" s="4" t="s">
        <v>657</v>
      </c>
      <c r="N21" s="4">
        <v>35</v>
      </c>
      <c r="O21" s="4" t="s">
        <v>69</v>
      </c>
      <c r="P21" s="4">
        <v>2</v>
      </c>
      <c r="Q21" s="4">
        <v>1</v>
      </c>
      <c r="R21" s="4">
        <v>90</v>
      </c>
      <c r="S21" s="4" t="s">
        <v>1068</v>
      </c>
      <c r="T21" s="4" t="s">
        <v>70</v>
      </c>
      <c r="U21" s="4" t="s">
        <v>70</v>
      </c>
      <c r="V21" s="6" t="s">
        <v>99</v>
      </c>
      <c r="AU21" s="4" t="s">
        <v>70</v>
      </c>
      <c r="AV21" s="4" t="s">
        <v>70</v>
      </c>
      <c r="AW21" s="4" t="s">
        <v>70</v>
      </c>
      <c r="AX21" s="4" t="s">
        <v>70</v>
      </c>
      <c r="AY21" s="4" t="s">
        <v>70</v>
      </c>
      <c r="AZ21" s="4" t="s">
        <v>71</v>
      </c>
      <c r="BA21" s="4" t="s">
        <v>70</v>
      </c>
      <c r="BB21" s="4" t="s">
        <v>71</v>
      </c>
      <c r="BC21" s="4" t="s">
        <v>70</v>
      </c>
      <c r="BD21" s="4" t="s">
        <v>71</v>
      </c>
      <c r="BE21" s="4" t="s">
        <v>70</v>
      </c>
      <c r="BF21" s="4" t="s">
        <v>70</v>
      </c>
      <c r="BG21" s="4" t="s">
        <v>70</v>
      </c>
      <c r="BH21" s="4" t="s">
        <v>70</v>
      </c>
      <c r="BI21" s="4" t="s">
        <v>70</v>
      </c>
      <c r="BJ21" s="4" t="s">
        <v>70</v>
      </c>
      <c r="BK21" s="4" t="s">
        <v>70</v>
      </c>
      <c r="BL21" s="4" t="s">
        <v>70</v>
      </c>
      <c r="BM21" s="4" t="s">
        <v>70</v>
      </c>
      <c r="BN21" s="4" t="s">
        <v>70</v>
      </c>
      <c r="BO21" s="4" t="s">
        <v>71</v>
      </c>
      <c r="BP21" s="4" t="s">
        <v>71</v>
      </c>
      <c r="BQ21" s="4" t="s">
        <v>70</v>
      </c>
      <c r="BR21" s="4" t="s">
        <v>1069</v>
      </c>
    </row>
    <row r="22" spans="1:70" ht="13.2" x14ac:dyDescent="0.25">
      <c r="A22" s="3">
        <v>45001.578125590277</v>
      </c>
      <c r="B22" s="4" t="s">
        <v>1020</v>
      </c>
      <c r="C22" s="4" t="s">
        <v>1021</v>
      </c>
      <c r="D22" s="7" t="s">
        <v>1022</v>
      </c>
      <c r="E22" s="4" t="s">
        <v>103</v>
      </c>
      <c r="F22" s="4" t="s">
        <v>1004</v>
      </c>
      <c r="G22" s="4" t="s">
        <v>64</v>
      </c>
      <c r="H22" s="4" t="s">
        <v>1023</v>
      </c>
      <c r="I22" s="4" t="s">
        <v>1024</v>
      </c>
      <c r="J22" s="4" t="s">
        <v>1025</v>
      </c>
      <c r="K22" s="4" t="s">
        <v>1020</v>
      </c>
      <c r="L22" s="4" t="s">
        <v>656</v>
      </c>
      <c r="M22" s="4" t="s">
        <v>625</v>
      </c>
      <c r="N22" s="4">
        <v>28</v>
      </c>
      <c r="O22" s="4" t="s">
        <v>69</v>
      </c>
      <c r="P22" s="4">
        <v>5</v>
      </c>
      <c r="Q22" s="4">
        <v>3</v>
      </c>
      <c r="R22" s="4">
        <v>0</v>
      </c>
      <c r="T22" s="4" t="s">
        <v>70</v>
      </c>
      <c r="U22" s="4" t="s">
        <v>71</v>
      </c>
      <c r="V22" s="6" t="s">
        <v>99</v>
      </c>
      <c r="AU22" s="4" t="s">
        <v>70</v>
      </c>
      <c r="AV22" s="4" t="s">
        <v>71</v>
      </c>
      <c r="AW22" s="4" t="s">
        <v>71</v>
      </c>
      <c r="AX22" s="4" t="s">
        <v>71</v>
      </c>
      <c r="AY22" s="4" t="s">
        <v>71</v>
      </c>
      <c r="AZ22" s="4" t="s">
        <v>70</v>
      </c>
      <c r="BA22" s="4" t="s">
        <v>71</v>
      </c>
      <c r="BB22" s="4" t="s">
        <v>71</v>
      </c>
      <c r="BC22" s="4" t="s">
        <v>71</v>
      </c>
      <c r="BD22" s="4" t="s">
        <v>71</v>
      </c>
      <c r="BE22" s="4" t="s">
        <v>71</v>
      </c>
      <c r="BF22" s="4" t="s">
        <v>71</v>
      </c>
      <c r="BG22" s="4" t="s">
        <v>71</v>
      </c>
      <c r="BH22" s="4" t="s">
        <v>71</v>
      </c>
      <c r="BI22" s="4" t="s">
        <v>71</v>
      </c>
      <c r="BJ22" s="4" t="s">
        <v>70</v>
      </c>
      <c r="BK22" s="4" t="s">
        <v>71</v>
      </c>
      <c r="BL22" s="4" t="s">
        <v>71</v>
      </c>
      <c r="BM22" s="4" t="s">
        <v>71</v>
      </c>
      <c r="BN22" s="4" t="s">
        <v>71</v>
      </c>
      <c r="BO22" s="4" t="s">
        <v>71</v>
      </c>
      <c r="BP22" s="4" t="s">
        <v>71</v>
      </c>
      <c r="BQ22" s="4" t="s">
        <v>71</v>
      </c>
    </row>
    <row r="23" spans="1:70" ht="13.2" x14ac:dyDescent="0.25">
      <c r="A23" s="3">
        <v>45001.750830023149</v>
      </c>
      <c r="B23" s="4" t="s">
        <v>221</v>
      </c>
      <c r="C23" s="4" t="s">
        <v>222</v>
      </c>
      <c r="D23" s="7" t="s">
        <v>223</v>
      </c>
      <c r="E23" s="4" t="s">
        <v>103</v>
      </c>
      <c r="F23" s="4" t="s">
        <v>224</v>
      </c>
      <c r="G23" s="4" t="s">
        <v>105</v>
      </c>
      <c r="H23" s="4" t="s">
        <v>225</v>
      </c>
      <c r="I23" s="4" t="s">
        <v>226</v>
      </c>
      <c r="J23" s="4" t="s">
        <v>227</v>
      </c>
      <c r="K23" s="4" t="s">
        <v>221</v>
      </c>
      <c r="L23" s="4" t="s">
        <v>67</v>
      </c>
      <c r="M23" s="4" t="s">
        <v>77</v>
      </c>
      <c r="N23" s="4">
        <v>27</v>
      </c>
      <c r="O23" s="4" t="s">
        <v>69</v>
      </c>
      <c r="P23" s="4">
        <v>4</v>
      </c>
      <c r="Q23" s="4">
        <v>3</v>
      </c>
      <c r="R23" s="4">
        <v>60</v>
      </c>
      <c r="T23" s="4" t="s">
        <v>70</v>
      </c>
      <c r="U23" s="4" t="s">
        <v>71</v>
      </c>
      <c r="V23" s="6" t="s">
        <v>99</v>
      </c>
      <c r="AU23" s="4" t="s">
        <v>70</v>
      </c>
      <c r="AV23" s="4" t="s">
        <v>71</v>
      </c>
      <c r="AW23" s="4" t="s">
        <v>71</v>
      </c>
      <c r="AX23" s="4" t="s">
        <v>71</v>
      </c>
      <c r="AY23" s="4" t="s">
        <v>70</v>
      </c>
      <c r="AZ23" s="4" t="s">
        <v>71</v>
      </c>
      <c r="BA23" s="4" t="s">
        <v>71</v>
      </c>
      <c r="BB23" s="4" t="s">
        <v>71</v>
      </c>
      <c r="BC23" s="4" t="s">
        <v>71</v>
      </c>
      <c r="BD23" s="4" t="s">
        <v>71</v>
      </c>
      <c r="BE23" s="4" t="s">
        <v>71</v>
      </c>
      <c r="BF23" s="4" t="s">
        <v>70</v>
      </c>
      <c r="BG23" s="4" t="s">
        <v>71</v>
      </c>
      <c r="BH23" s="4" t="s">
        <v>71</v>
      </c>
      <c r="BI23" s="4" t="s">
        <v>71</v>
      </c>
      <c r="BJ23" s="4" t="s">
        <v>71</v>
      </c>
      <c r="BK23" s="4" t="s">
        <v>70</v>
      </c>
      <c r="BL23" s="4" t="s">
        <v>71</v>
      </c>
      <c r="BM23" s="4" t="s">
        <v>71</v>
      </c>
      <c r="BN23" s="4" t="s">
        <v>71</v>
      </c>
      <c r="BO23" s="4" t="s">
        <v>71</v>
      </c>
      <c r="BP23" s="4" t="s">
        <v>71</v>
      </c>
      <c r="BQ23" s="4" t="s">
        <v>71</v>
      </c>
    </row>
    <row r="24" spans="1:70" ht="13.2" x14ac:dyDescent="0.25">
      <c r="A24" s="3">
        <v>45001.840379687499</v>
      </c>
      <c r="B24" s="4" t="s">
        <v>965</v>
      </c>
      <c r="C24" s="4" t="s">
        <v>966</v>
      </c>
      <c r="D24" s="7" t="s">
        <v>967</v>
      </c>
      <c r="E24" s="4" t="s">
        <v>103</v>
      </c>
      <c r="F24" s="4" t="s">
        <v>671</v>
      </c>
      <c r="G24" s="4" t="s">
        <v>64</v>
      </c>
      <c r="H24" s="4" t="s">
        <v>968</v>
      </c>
      <c r="I24" s="4" t="s">
        <v>969</v>
      </c>
      <c r="J24" s="4" t="s">
        <v>970</v>
      </c>
      <c r="K24" s="4" t="s">
        <v>965</v>
      </c>
      <c r="L24" s="4" t="s">
        <v>656</v>
      </c>
      <c r="M24" s="4" t="s">
        <v>571</v>
      </c>
      <c r="N24" s="4">
        <v>20</v>
      </c>
      <c r="O24" s="4" t="s">
        <v>69</v>
      </c>
      <c r="P24" s="4">
        <v>4</v>
      </c>
      <c r="Q24" s="4">
        <v>3</v>
      </c>
      <c r="R24" s="4">
        <v>50</v>
      </c>
      <c r="T24" s="4" t="s">
        <v>70</v>
      </c>
      <c r="U24" s="4" t="s">
        <v>71</v>
      </c>
      <c r="V24" s="6" t="s">
        <v>99</v>
      </c>
      <c r="AU24" s="4" t="s">
        <v>70</v>
      </c>
      <c r="AV24" s="4" t="s">
        <v>70</v>
      </c>
      <c r="AW24" s="4" t="s">
        <v>70</v>
      </c>
      <c r="AX24" s="4" t="s">
        <v>71</v>
      </c>
      <c r="AY24" s="4" t="s">
        <v>70</v>
      </c>
      <c r="AZ24" s="4" t="s">
        <v>71</v>
      </c>
      <c r="BA24" s="4" t="s">
        <v>70</v>
      </c>
      <c r="BB24" s="4" t="s">
        <v>71</v>
      </c>
      <c r="BC24" s="4" t="s">
        <v>71</v>
      </c>
      <c r="BD24" s="4" t="s">
        <v>71</v>
      </c>
      <c r="BE24" s="4" t="s">
        <v>70</v>
      </c>
      <c r="BF24" s="4" t="s">
        <v>70</v>
      </c>
      <c r="BG24" s="4" t="s">
        <v>71</v>
      </c>
      <c r="BH24" s="4" t="s">
        <v>71</v>
      </c>
      <c r="BJ24" s="4" t="s">
        <v>70</v>
      </c>
      <c r="BK24" s="4" t="s">
        <v>70</v>
      </c>
      <c r="BN24" s="4" t="s">
        <v>70</v>
      </c>
      <c r="BO24" s="4" t="s">
        <v>70</v>
      </c>
    </row>
    <row r="25" spans="1:70" ht="13.2" x14ac:dyDescent="0.25">
      <c r="A25" s="3">
        <v>45002.425666840281</v>
      </c>
      <c r="B25" s="4" t="s">
        <v>883</v>
      </c>
      <c r="C25" s="4" t="s">
        <v>884</v>
      </c>
      <c r="D25" s="5" t="s">
        <v>885</v>
      </c>
      <c r="E25" s="4" t="s">
        <v>103</v>
      </c>
      <c r="F25" s="4" t="s">
        <v>886</v>
      </c>
      <c r="G25" s="4" t="s">
        <v>64</v>
      </c>
      <c r="H25" s="4" t="s">
        <v>887</v>
      </c>
      <c r="I25" s="4" t="s">
        <v>888</v>
      </c>
      <c r="J25" s="4" t="s">
        <v>889</v>
      </c>
      <c r="K25" s="4" t="s">
        <v>890</v>
      </c>
      <c r="L25" s="4" t="s">
        <v>665</v>
      </c>
      <c r="M25" s="4" t="s">
        <v>541</v>
      </c>
      <c r="N25" s="4">
        <v>20</v>
      </c>
      <c r="O25" s="4" t="s">
        <v>200</v>
      </c>
      <c r="P25" s="4">
        <v>3</v>
      </c>
      <c r="Q25" s="4">
        <v>3</v>
      </c>
      <c r="R25" s="4">
        <v>40</v>
      </c>
      <c r="T25" s="4" t="s">
        <v>70</v>
      </c>
      <c r="U25" s="4" t="s">
        <v>70</v>
      </c>
      <c r="V25" s="6" t="s">
        <v>99</v>
      </c>
      <c r="AU25" s="4" t="s">
        <v>70</v>
      </c>
      <c r="AV25" s="4" t="s">
        <v>70</v>
      </c>
      <c r="AW25" s="4" t="s">
        <v>70</v>
      </c>
      <c r="AX25" s="4" t="s">
        <v>70</v>
      </c>
      <c r="AY25" s="4" t="s">
        <v>70</v>
      </c>
      <c r="AZ25" s="4" t="s">
        <v>70</v>
      </c>
      <c r="BA25" s="4" t="s">
        <v>70</v>
      </c>
      <c r="BB25" s="4" t="s">
        <v>70</v>
      </c>
      <c r="BC25" s="4" t="s">
        <v>70</v>
      </c>
      <c r="BD25" s="4" t="s">
        <v>70</v>
      </c>
      <c r="BE25" s="4" t="s">
        <v>70</v>
      </c>
      <c r="BF25" s="4" t="s">
        <v>70</v>
      </c>
      <c r="BG25" s="4" t="s">
        <v>70</v>
      </c>
      <c r="BH25" s="4" t="s">
        <v>70</v>
      </c>
      <c r="BI25" s="4" t="s">
        <v>70</v>
      </c>
      <c r="BJ25" s="4" t="s">
        <v>70</v>
      </c>
      <c r="BK25" s="4" t="s">
        <v>70</v>
      </c>
      <c r="BL25" s="4" t="s">
        <v>70</v>
      </c>
      <c r="BM25" s="4" t="s">
        <v>70</v>
      </c>
      <c r="BN25" s="4" t="s">
        <v>70</v>
      </c>
      <c r="BO25" s="4" t="s">
        <v>70</v>
      </c>
      <c r="BP25" s="4" t="s">
        <v>70</v>
      </c>
      <c r="BQ25" s="4" t="s">
        <v>70</v>
      </c>
    </row>
    <row r="26" spans="1:70" ht="13.2" x14ac:dyDescent="0.25">
      <c r="A26" s="3">
        <v>45002.493809849533</v>
      </c>
      <c r="B26" s="4" t="s">
        <v>404</v>
      </c>
      <c r="C26" s="4" t="s">
        <v>405</v>
      </c>
      <c r="D26" s="5" t="s">
        <v>406</v>
      </c>
      <c r="E26" s="4" t="s">
        <v>149</v>
      </c>
      <c r="F26" s="4" t="s">
        <v>412</v>
      </c>
      <c r="G26" s="4" t="s">
        <v>64</v>
      </c>
      <c r="H26" s="4" t="s">
        <v>408</v>
      </c>
      <c r="I26" s="4" t="s">
        <v>413</v>
      </c>
      <c r="J26" s="4" t="s">
        <v>414</v>
      </c>
      <c r="K26" s="4" t="s">
        <v>404</v>
      </c>
      <c r="L26" s="4" t="s">
        <v>67</v>
      </c>
      <c r="M26" s="4" t="s">
        <v>273</v>
      </c>
      <c r="N26" s="4">
        <v>18</v>
      </c>
      <c r="O26" s="4" t="s">
        <v>69</v>
      </c>
      <c r="P26" s="4">
        <v>4</v>
      </c>
      <c r="Q26" s="4">
        <v>5</v>
      </c>
      <c r="R26" s="4">
        <v>1</v>
      </c>
      <c r="T26" s="4" t="s">
        <v>70</v>
      </c>
      <c r="U26" s="4" t="s">
        <v>71</v>
      </c>
      <c r="V26" s="6" t="s">
        <v>99</v>
      </c>
      <c r="AU26" s="4" t="s">
        <v>71</v>
      </c>
      <c r="AV26" s="4" t="s">
        <v>70</v>
      </c>
      <c r="AW26" s="4" t="s">
        <v>71</v>
      </c>
      <c r="AX26" s="4" t="s">
        <v>71</v>
      </c>
      <c r="AY26" s="4" t="s">
        <v>70</v>
      </c>
      <c r="AZ26" s="4" t="s">
        <v>71</v>
      </c>
      <c r="BA26" s="4" t="s">
        <v>71</v>
      </c>
      <c r="BB26" s="4" t="s">
        <v>71</v>
      </c>
      <c r="BC26" s="4" t="s">
        <v>71</v>
      </c>
      <c r="BD26" s="4" t="s">
        <v>70</v>
      </c>
      <c r="BE26" s="4" t="s">
        <v>71</v>
      </c>
      <c r="BF26" s="4" t="s">
        <v>71</v>
      </c>
      <c r="BG26" s="4" t="s">
        <v>71</v>
      </c>
      <c r="BH26" s="4" t="s">
        <v>71</v>
      </c>
    </row>
    <row r="27" spans="1:70" ht="13.2" x14ac:dyDescent="0.25">
      <c r="A27" s="3">
        <v>45002.56798975695</v>
      </c>
      <c r="B27" s="4" t="s">
        <v>561</v>
      </c>
      <c r="C27" s="4" t="s">
        <v>562</v>
      </c>
      <c r="D27" s="7" t="s">
        <v>563</v>
      </c>
      <c r="E27" s="4" t="s">
        <v>140</v>
      </c>
      <c r="F27" s="4" t="s">
        <v>564</v>
      </c>
      <c r="G27" s="4" t="s">
        <v>64</v>
      </c>
      <c r="H27" s="4" t="s">
        <v>565</v>
      </c>
      <c r="I27" s="4" t="s">
        <v>566</v>
      </c>
      <c r="K27" s="4" t="s">
        <v>561</v>
      </c>
      <c r="L27" s="4" t="s">
        <v>67</v>
      </c>
      <c r="M27" s="4" t="s">
        <v>338</v>
      </c>
      <c r="N27" s="4">
        <v>35</v>
      </c>
      <c r="O27" s="4" t="s">
        <v>97</v>
      </c>
      <c r="P27" s="4">
        <v>5</v>
      </c>
      <c r="Q27" s="4">
        <v>5</v>
      </c>
      <c r="R27" s="4">
        <v>30</v>
      </c>
      <c r="S27" s="4" t="s">
        <v>568</v>
      </c>
      <c r="T27" s="4" t="s">
        <v>70</v>
      </c>
      <c r="U27" s="4" t="s">
        <v>71</v>
      </c>
      <c r="V27" s="6" t="s">
        <v>99</v>
      </c>
      <c r="AU27" s="4" t="s">
        <v>71</v>
      </c>
      <c r="AV27" s="4" t="s">
        <v>70</v>
      </c>
      <c r="AW27" s="4" t="s">
        <v>71</v>
      </c>
      <c r="AX27" s="4" t="s">
        <v>70</v>
      </c>
      <c r="AY27" s="4" t="s">
        <v>70</v>
      </c>
      <c r="AZ27" s="4" t="s">
        <v>70</v>
      </c>
      <c r="BA27" s="4" t="s">
        <v>71</v>
      </c>
      <c r="BB27" s="4" t="s">
        <v>71</v>
      </c>
      <c r="BC27" s="4" t="s">
        <v>71</v>
      </c>
      <c r="BD27" s="4" t="s">
        <v>70</v>
      </c>
      <c r="BE27" s="4" t="s">
        <v>70</v>
      </c>
      <c r="BF27" s="4" t="s">
        <v>70</v>
      </c>
      <c r="BG27" s="4" t="s">
        <v>71</v>
      </c>
      <c r="BH27" s="4" t="s">
        <v>71</v>
      </c>
      <c r="BI27" s="4" t="s">
        <v>70</v>
      </c>
      <c r="BJ27" s="4" t="s">
        <v>70</v>
      </c>
      <c r="BK27" s="4" t="s">
        <v>70</v>
      </c>
      <c r="BL27" s="4" t="s">
        <v>71</v>
      </c>
      <c r="BM27" s="4" t="s">
        <v>71</v>
      </c>
      <c r="BN27" s="4" t="s">
        <v>71</v>
      </c>
      <c r="BO27" s="4" t="s">
        <v>71</v>
      </c>
      <c r="BP27" s="4" t="s">
        <v>71</v>
      </c>
      <c r="BQ27" s="4" t="s">
        <v>71</v>
      </c>
    </row>
    <row r="28" spans="1:70" ht="13.2" x14ac:dyDescent="0.25">
      <c r="A28" s="3">
        <v>45002.570582789354</v>
      </c>
      <c r="B28" s="4" t="s">
        <v>561</v>
      </c>
      <c r="C28" s="4" t="s">
        <v>562</v>
      </c>
      <c r="D28" s="7" t="s">
        <v>563</v>
      </c>
      <c r="E28" s="4" t="s">
        <v>149</v>
      </c>
      <c r="F28" s="4" t="s">
        <v>564</v>
      </c>
      <c r="G28" s="4" t="s">
        <v>64</v>
      </c>
      <c r="H28" s="4" t="s">
        <v>569</v>
      </c>
      <c r="I28" s="4" t="s">
        <v>570</v>
      </c>
      <c r="K28" s="4" t="s">
        <v>561</v>
      </c>
      <c r="L28" s="4" t="s">
        <v>67</v>
      </c>
      <c r="M28" s="4" t="s">
        <v>338</v>
      </c>
      <c r="N28" s="4">
        <v>35</v>
      </c>
      <c r="O28" s="4" t="s">
        <v>69</v>
      </c>
      <c r="P28" s="4">
        <v>5</v>
      </c>
      <c r="Q28" s="4">
        <v>5</v>
      </c>
      <c r="R28" s="4">
        <v>30</v>
      </c>
      <c r="S28" s="4" t="s">
        <v>568</v>
      </c>
      <c r="T28" s="4" t="s">
        <v>70</v>
      </c>
      <c r="U28" s="4" t="s">
        <v>71</v>
      </c>
      <c r="V28" s="6" t="s">
        <v>99</v>
      </c>
      <c r="AU28" s="4" t="s">
        <v>71</v>
      </c>
      <c r="AV28" s="4" t="s">
        <v>70</v>
      </c>
      <c r="AW28" s="4" t="s">
        <v>71</v>
      </c>
      <c r="AX28" s="4" t="s">
        <v>70</v>
      </c>
      <c r="AY28" s="4" t="s">
        <v>70</v>
      </c>
      <c r="AZ28" s="4" t="s">
        <v>70</v>
      </c>
      <c r="BA28" s="4" t="s">
        <v>71</v>
      </c>
      <c r="BB28" s="4" t="s">
        <v>71</v>
      </c>
      <c r="BC28" s="4" t="s">
        <v>71</v>
      </c>
      <c r="BD28" s="4" t="s">
        <v>70</v>
      </c>
      <c r="BE28" s="4" t="s">
        <v>70</v>
      </c>
      <c r="BF28" s="4" t="s">
        <v>70</v>
      </c>
      <c r="BG28" s="4" t="s">
        <v>71</v>
      </c>
      <c r="BH28" s="4" t="s">
        <v>71</v>
      </c>
      <c r="BI28" s="4" t="s">
        <v>70</v>
      </c>
      <c r="BJ28" s="4" t="s">
        <v>70</v>
      </c>
      <c r="BK28" s="4" t="s">
        <v>70</v>
      </c>
      <c r="BL28" s="4" t="s">
        <v>71</v>
      </c>
      <c r="BM28" s="4" t="s">
        <v>71</v>
      </c>
      <c r="BN28" s="4" t="s">
        <v>71</v>
      </c>
      <c r="BO28" s="4" t="s">
        <v>71</v>
      </c>
      <c r="BP28" s="4" t="s">
        <v>71</v>
      </c>
      <c r="BQ28" s="4" t="s">
        <v>71</v>
      </c>
    </row>
    <row r="29" spans="1:70" ht="13.2" x14ac:dyDescent="0.25">
      <c r="A29" s="3">
        <v>45002.592762280095</v>
      </c>
      <c r="B29" s="4" t="s">
        <v>891</v>
      </c>
      <c r="C29" s="4" t="s">
        <v>884</v>
      </c>
      <c r="D29" s="5" t="s">
        <v>885</v>
      </c>
      <c r="E29" s="4" t="s">
        <v>149</v>
      </c>
      <c r="F29" s="4" t="s">
        <v>892</v>
      </c>
      <c r="G29" s="4" t="s">
        <v>64</v>
      </c>
      <c r="H29" s="4" t="s">
        <v>893</v>
      </c>
      <c r="I29" s="4" t="s">
        <v>894</v>
      </c>
      <c r="J29" s="4" t="s">
        <v>895</v>
      </c>
      <c r="K29" s="4" t="s">
        <v>891</v>
      </c>
      <c r="L29" s="4" t="s">
        <v>656</v>
      </c>
      <c r="M29" s="4" t="s">
        <v>547</v>
      </c>
      <c r="N29" s="4">
        <v>17</v>
      </c>
      <c r="O29" s="4" t="s">
        <v>200</v>
      </c>
      <c r="P29" s="4">
        <v>2</v>
      </c>
      <c r="Q29" s="4">
        <v>1</v>
      </c>
      <c r="R29" s="4">
        <v>70</v>
      </c>
      <c r="S29" s="4" t="s">
        <v>896</v>
      </c>
      <c r="T29" s="4" t="s">
        <v>70</v>
      </c>
      <c r="U29" s="4" t="s">
        <v>70</v>
      </c>
      <c r="V29" s="6" t="s">
        <v>99</v>
      </c>
      <c r="AU29" s="4" t="s">
        <v>70</v>
      </c>
      <c r="AV29" s="4" t="s">
        <v>70</v>
      </c>
      <c r="AW29" s="4" t="s">
        <v>70</v>
      </c>
      <c r="AX29" s="4" t="s">
        <v>71</v>
      </c>
      <c r="AY29" s="4" t="s">
        <v>70</v>
      </c>
      <c r="AZ29" s="4" t="s">
        <v>71</v>
      </c>
      <c r="BA29" s="4" t="s">
        <v>70</v>
      </c>
      <c r="BB29" s="4" t="s">
        <v>71</v>
      </c>
      <c r="BC29" s="4" t="s">
        <v>70</v>
      </c>
      <c r="BD29" s="4" t="s">
        <v>70</v>
      </c>
      <c r="BE29" s="4" t="s">
        <v>70</v>
      </c>
      <c r="BF29" s="4" t="s">
        <v>70</v>
      </c>
      <c r="BG29" s="4" t="s">
        <v>70</v>
      </c>
      <c r="BH29" s="4" t="s">
        <v>70</v>
      </c>
      <c r="BI29" s="4" t="s">
        <v>71</v>
      </c>
      <c r="BJ29" s="4" t="s">
        <v>70</v>
      </c>
      <c r="BK29" s="4" t="s">
        <v>71</v>
      </c>
      <c r="BL29" s="4" t="s">
        <v>70</v>
      </c>
      <c r="BM29" s="4" t="s">
        <v>71</v>
      </c>
      <c r="BN29" s="4" t="s">
        <v>71</v>
      </c>
      <c r="BO29" s="4" t="s">
        <v>70</v>
      </c>
      <c r="BP29" s="4" t="s">
        <v>70</v>
      </c>
      <c r="BQ29" s="4" t="s">
        <v>71</v>
      </c>
      <c r="BR29" s="4" t="s">
        <v>896</v>
      </c>
    </row>
    <row r="30" spans="1:70" ht="13.2" x14ac:dyDescent="0.25">
      <c r="A30" s="3">
        <v>45002.606205682867</v>
      </c>
      <c r="B30" s="4" t="s">
        <v>956</v>
      </c>
      <c r="C30" s="4" t="s">
        <v>957</v>
      </c>
      <c r="D30" s="5" t="s">
        <v>958</v>
      </c>
      <c r="E30" s="4" t="s">
        <v>62</v>
      </c>
      <c r="F30" s="4" t="s">
        <v>959</v>
      </c>
      <c r="G30" s="4" t="s">
        <v>64</v>
      </c>
      <c r="H30" s="4" t="s">
        <v>960</v>
      </c>
      <c r="I30" s="4" t="s">
        <v>961</v>
      </c>
      <c r="J30" s="4" t="s">
        <v>962</v>
      </c>
      <c r="K30" s="4" t="s">
        <v>956</v>
      </c>
      <c r="L30" s="4" t="s">
        <v>656</v>
      </c>
      <c r="M30" s="4" t="s">
        <v>567</v>
      </c>
      <c r="N30" s="4">
        <v>32</v>
      </c>
      <c r="O30" s="4" t="s">
        <v>69</v>
      </c>
      <c r="P30" s="4">
        <v>5</v>
      </c>
      <c r="Q30" s="4">
        <v>4</v>
      </c>
      <c r="R30" s="4">
        <v>0</v>
      </c>
      <c r="T30" s="4" t="s">
        <v>70</v>
      </c>
      <c r="U30" s="4" t="s">
        <v>71</v>
      </c>
      <c r="V30" s="6" t="s">
        <v>99</v>
      </c>
      <c r="AU30" s="4" t="s">
        <v>70</v>
      </c>
      <c r="AV30" s="4" t="s">
        <v>71</v>
      </c>
      <c r="AW30" s="4" t="s">
        <v>71</v>
      </c>
      <c r="AX30" s="4" t="s">
        <v>71</v>
      </c>
      <c r="AY30" s="4" t="s">
        <v>70</v>
      </c>
      <c r="AZ30" s="4" t="s">
        <v>70</v>
      </c>
      <c r="BA30" s="4" t="s">
        <v>71</v>
      </c>
      <c r="BB30" s="4" t="s">
        <v>71</v>
      </c>
      <c r="BC30" s="4" t="s">
        <v>71</v>
      </c>
      <c r="BD30" s="4" t="s">
        <v>71</v>
      </c>
      <c r="BE30" s="4" t="s">
        <v>70</v>
      </c>
      <c r="BF30" s="4" t="s">
        <v>70</v>
      </c>
      <c r="BG30" s="4" t="s">
        <v>71</v>
      </c>
      <c r="BH30" s="4" t="s">
        <v>71</v>
      </c>
      <c r="BI30" s="4" t="s">
        <v>71</v>
      </c>
      <c r="BJ30" s="4" t="s">
        <v>70</v>
      </c>
      <c r="BK30" s="4" t="s">
        <v>70</v>
      </c>
      <c r="BL30" s="4" t="s">
        <v>71</v>
      </c>
      <c r="BM30" s="4" t="s">
        <v>71</v>
      </c>
      <c r="BN30" s="4" t="s">
        <v>71</v>
      </c>
      <c r="BO30" s="4" t="s">
        <v>71</v>
      </c>
      <c r="BP30" s="4" t="s">
        <v>71</v>
      </c>
      <c r="BQ30" s="4" t="s">
        <v>71</v>
      </c>
    </row>
    <row r="31" spans="1:70" ht="13.2" x14ac:dyDescent="0.25">
      <c r="A31" s="3">
        <v>45002.614078391205</v>
      </c>
      <c r="B31" s="4" t="s">
        <v>956</v>
      </c>
      <c r="C31" s="4" t="s">
        <v>957</v>
      </c>
      <c r="D31" s="5" t="s">
        <v>958</v>
      </c>
      <c r="E31" s="4" t="s">
        <v>62</v>
      </c>
      <c r="F31" s="4" t="s">
        <v>959</v>
      </c>
      <c r="G31" s="4" t="s">
        <v>64</v>
      </c>
      <c r="H31" s="4" t="s">
        <v>962</v>
      </c>
      <c r="I31" s="4" t="s">
        <v>963</v>
      </c>
      <c r="J31" s="4" t="s">
        <v>964</v>
      </c>
      <c r="K31" s="4" t="s">
        <v>956</v>
      </c>
      <c r="L31" s="4" t="s">
        <v>656</v>
      </c>
      <c r="M31" s="4" t="s">
        <v>567</v>
      </c>
      <c r="N31" s="4">
        <v>35</v>
      </c>
      <c r="O31" s="4" t="s">
        <v>97</v>
      </c>
      <c r="P31" s="4">
        <v>5</v>
      </c>
      <c r="Q31" s="4">
        <v>4</v>
      </c>
      <c r="R31" s="4">
        <v>0</v>
      </c>
      <c r="T31" s="4" t="s">
        <v>70</v>
      </c>
      <c r="U31" s="4" t="s">
        <v>71</v>
      </c>
      <c r="V31" s="6" t="s">
        <v>99</v>
      </c>
      <c r="AU31" s="4" t="s">
        <v>70</v>
      </c>
      <c r="AV31" s="4" t="s">
        <v>71</v>
      </c>
      <c r="AW31" s="4" t="s">
        <v>71</v>
      </c>
      <c r="AX31" s="4" t="s">
        <v>71</v>
      </c>
      <c r="AY31" s="4" t="s">
        <v>70</v>
      </c>
      <c r="AZ31" s="4" t="s">
        <v>70</v>
      </c>
      <c r="BA31" s="4" t="s">
        <v>71</v>
      </c>
      <c r="BB31" s="4" t="s">
        <v>71</v>
      </c>
      <c r="BC31" s="4" t="s">
        <v>71</v>
      </c>
      <c r="BD31" s="4" t="s">
        <v>71</v>
      </c>
      <c r="BE31" s="4" t="s">
        <v>70</v>
      </c>
      <c r="BF31" s="4" t="s">
        <v>70</v>
      </c>
      <c r="BG31" s="4" t="s">
        <v>71</v>
      </c>
      <c r="BH31" s="4" t="s">
        <v>71</v>
      </c>
      <c r="BI31" s="4" t="s">
        <v>71</v>
      </c>
      <c r="BJ31" s="4" t="s">
        <v>70</v>
      </c>
      <c r="BK31" s="4" t="s">
        <v>70</v>
      </c>
      <c r="BL31" s="4" t="s">
        <v>71</v>
      </c>
      <c r="BM31" s="4" t="s">
        <v>71</v>
      </c>
      <c r="BN31" s="4" t="s">
        <v>71</v>
      </c>
      <c r="BO31" s="4" t="s">
        <v>71</v>
      </c>
      <c r="BP31" s="4" t="s">
        <v>71</v>
      </c>
      <c r="BQ31" s="4" t="s">
        <v>71</v>
      </c>
    </row>
    <row r="32" spans="1:70" ht="13.2" x14ac:dyDescent="0.25">
      <c r="A32" s="3">
        <v>45002.629163229169</v>
      </c>
      <c r="B32" s="4" t="s">
        <v>891</v>
      </c>
      <c r="C32" s="4" t="s">
        <v>884</v>
      </c>
      <c r="D32" s="5" t="s">
        <v>885</v>
      </c>
      <c r="E32" s="4" t="s">
        <v>149</v>
      </c>
      <c r="F32" s="4" t="s">
        <v>892</v>
      </c>
      <c r="G32" s="4" t="s">
        <v>64</v>
      </c>
      <c r="H32" s="4" t="s">
        <v>894</v>
      </c>
      <c r="I32" s="4" t="s">
        <v>897</v>
      </c>
      <c r="J32" s="4" t="s">
        <v>898</v>
      </c>
      <c r="K32" s="4" t="s">
        <v>891</v>
      </c>
      <c r="L32" s="4" t="s">
        <v>656</v>
      </c>
      <c r="M32" s="4" t="s">
        <v>547</v>
      </c>
      <c r="N32" s="4">
        <v>17</v>
      </c>
      <c r="O32" s="4" t="s">
        <v>200</v>
      </c>
      <c r="P32" s="4">
        <v>2</v>
      </c>
      <c r="Q32" s="4">
        <v>1</v>
      </c>
      <c r="R32" s="4">
        <v>70</v>
      </c>
      <c r="S32" s="4" t="s">
        <v>896</v>
      </c>
      <c r="T32" s="4" t="s">
        <v>70</v>
      </c>
      <c r="U32" s="4" t="s">
        <v>70</v>
      </c>
      <c r="V32" s="6" t="s">
        <v>99</v>
      </c>
      <c r="AU32" s="4" t="s">
        <v>70</v>
      </c>
      <c r="AV32" s="4" t="s">
        <v>70</v>
      </c>
      <c r="AW32" s="4" t="s">
        <v>70</v>
      </c>
      <c r="AX32" s="4" t="s">
        <v>70</v>
      </c>
      <c r="AY32" s="4" t="s">
        <v>70</v>
      </c>
      <c r="AZ32" s="4" t="s">
        <v>70</v>
      </c>
      <c r="BA32" s="4" t="s">
        <v>70</v>
      </c>
      <c r="BB32" s="4" t="s">
        <v>71</v>
      </c>
      <c r="BC32" s="4" t="s">
        <v>70</v>
      </c>
      <c r="BD32" s="4" t="s">
        <v>70</v>
      </c>
      <c r="BE32" s="4" t="s">
        <v>70</v>
      </c>
      <c r="BF32" s="4" t="s">
        <v>70</v>
      </c>
      <c r="BG32" s="4" t="s">
        <v>70</v>
      </c>
      <c r="BH32" s="4" t="s">
        <v>70</v>
      </c>
      <c r="BI32" s="4" t="s">
        <v>70</v>
      </c>
      <c r="BJ32" s="4" t="s">
        <v>70</v>
      </c>
      <c r="BK32" s="4" t="s">
        <v>70</v>
      </c>
      <c r="BL32" s="4" t="s">
        <v>70</v>
      </c>
      <c r="BM32" s="4" t="s">
        <v>70</v>
      </c>
      <c r="BN32" s="4" t="s">
        <v>70</v>
      </c>
      <c r="BO32" s="4" t="s">
        <v>70</v>
      </c>
      <c r="BP32" s="4" t="s">
        <v>70</v>
      </c>
      <c r="BQ32" s="4" t="s">
        <v>71</v>
      </c>
      <c r="BR32" s="4" t="s">
        <v>896</v>
      </c>
    </row>
    <row r="33" spans="1:70" ht="13.2" x14ac:dyDescent="0.25">
      <c r="A33" s="3">
        <v>45002.650011770835</v>
      </c>
      <c r="B33" s="4" t="s">
        <v>852</v>
      </c>
      <c r="C33" s="4" t="s">
        <v>853</v>
      </c>
      <c r="D33" s="5" t="s">
        <v>854</v>
      </c>
      <c r="E33" s="4" t="s">
        <v>140</v>
      </c>
      <c r="F33" s="4" t="s">
        <v>855</v>
      </c>
      <c r="G33" s="4" t="s">
        <v>105</v>
      </c>
      <c r="H33" s="4" t="s">
        <v>856</v>
      </c>
      <c r="I33" s="4" t="s">
        <v>857</v>
      </c>
      <c r="K33" s="4" t="s">
        <v>852</v>
      </c>
      <c r="L33" s="4" t="s">
        <v>656</v>
      </c>
      <c r="M33" s="4" t="s">
        <v>523</v>
      </c>
      <c r="N33" s="4">
        <v>18</v>
      </c>
      <c r="O33" s="4" t="s">
        <v>69</v>
      </c>
      <c r="P33" s="4">
        <v>4</v>
      </c>
      <c r="Q33" s="4">
        <v>2</v>
      </c>
      <c r="R33" s="4">
        <v>40</v>
      </c>
      <c r="T33" s="4" t="s">
        <v>71</v>
      </c>
      <c r="U33" s="4" t="s">
        <v>70</v>
      </c>
      <c r="V33" s="6" t="s">
        <v>99</v>
      </c>
      <c r="AU33" s="4" t="s">
        <v>71</v>
      </c>
      <c r="AV33" s="4" t="s">
        <v>71</v>
      </c>
      <c r="AW33" s="4" t="s">
        <v>70</v>
      </c>
      <c r="AX33" s="4" t="s">
        <v>71</v>
      </c>
      <c r="AY33" s="4" t="s">
        <v>71</v>
      </c>
      <c r="AZ33" s="4" t="s">
        <v>71</v>
      </c>
      <c r="BA33" s="4" t="s">
        <v>70</v>
      </c>
      <c r="BB33" s="4" t="s">
        <v>71</v>
      </c>
      <c r="BC33" s="4" t="s">
        <v>71</v>
      </c>
      <c r="BD33" s="4" t="s">
        <v>71</v>
      </c>
      <c r="BE33" s="4" t="s">
        <v>71</v>
      </c>
      <c r="BF33" s="4" t="s">
        <v>70</v>
      </c>
      <c r="BG33" s="4" t="s">
        <v>71</v>
      </c>
      <c r="BH33" s="4" t="s">
        <v>71</v>
      </c>
      <c r="BI33" s="4" t="s">
        <v>71</v>
      </c>
      <c r="BJ33" s="4" t="s">
        <v>71</v>
      </c>
      <c r="BK33" s="4" t="s">
        <v>71</v>
      </c>
      <c r="BL33" s="4" t="s">
        <v>71</v>
      </c>
      <c r="BM33" s="4" t="s">
        <v>70</v>
      </c>
      <c r="BN33" s="4" t="s">
        <v>71</v>
      </c>
      <c r="BO33" s="4" t="s">
        <v>71</v>
      </c>
      <c r="BP33" s="4" t="s">
        <v>71</v>
      </c>
      <c r="BQ33" s="4" t="s">
        <v>70</v>
      </c>
    </row>
    <row r="34" spans="1:70" ht="13.2" x14ac:dyDescent="0.25">
      <c r="A34" s="3">
        <v>45003.550294120374</v>
      </c>
      <c r="B34" s="4" t="s">
        <v>315</v>
      </c>
      <c r="C34" s="4" t="s">
        <v>316</v>
      </c>
      <c r="D34" s="5" t="s">
        <v>317</v>
      </c>
      <c r="E34" s="4" t="s">
        <v>149</v>
      </c>
      <c r="F34" s="4" t="s">
        <v>318</v>
      </c>
      <c r="G34" s="4" t="s">
        <v>64</v>
      </c>
      <c r="H34" s="4" t="s">
        <v>319</v>
      </c>
      <c r="I34" s="4" t="s">
        <v>320</v>
      </c>
      <c r="J34" s="4" t="s">
        <v>321</v>
      </c>
      <c r="K34" s="4" t="s">
        <v>315</v>
      </c>
      <c r="L34" s="4" t="s">
        <v>67</v>
      </c>
      <c r="M34" s="4" t="s">
        <v>96</v>
      </c>
      <c r="N34" s="4">
        <v>30</v>
      </c>
      <c r="O34" s="4" t="s">
        <v>69</v>
      </c>
      <c r="P34" s="4">
        <v>3</v>
      </c>
      <c r="Q34" s="4">
        <v>2</v>
      </c>
      <c r="R34" s="4">
        <v>5</v>
      </c>
      <c r="T34" s="4" t="s">
        <v>71</v>
      </c>
      <c r="U34" s="4" t="s">
        <v>70</v>
      </c>
      <c r="V34" s="6" t="s">
        <v>99</v>
      </c>
      <c r="AU34" s="4" t="s">
        <v>71</v>
      </c>
      <c r="AV34" s="4" t="s">
        <v>71</v>
      </c>
      <c r="AW34" s="4" t="s">
        <v>70</v>
      </c>
      <c r="AX34" s="4" t="s">
        <v>71</v>
      </c>
      <c r="AY34" s="4" t="s">
        <v>71</v>
      </c>
      <c r="AZ34" s="4" t="s">
        <v>71</v>
      </c>
      <c r="BA34" s="4" t="s">
        <v>70</v>
      </c>
      <c r="BB34" s="4" t="s">
        <v>71</v>
      </c>
      <c r="BC34" s="4" t="s">
        <v>70</v>
      </c>
      <c r="BD34" s="4" t="s">
        <v>71</v>
      </c>
      <c r="BE34" s="4" t="s">
        <v>71</v>
      </c>
      <c r="BF34" s="4" t="s">
        <v>71</v>
      </c>
      <c r="BG34" s="4" t="s">
        <v>71</v>
      </c>
      <c r="BH34" s="4" t="s">
        <v>70</v>
      </c>
      <c r="BI34" s="4" t="s">
        <v>71</v>
      </c>
      <c r="BJ34" s="4" t="s">
        <v>71</v>
      </c>
      <c r="BK34" s="4" t="s">
        <v>71</v>
      </c>
      <c r="BL34" s="4" t="s">
        <v>71</v>
      </c>
      <c r="BM34" s="4" t="s">
        <v>71</v>
      </c>
      <c r="BN34" s="4" t="s">
        <v>71</v>
      </c>
      <c r="BO34" s="4" t="s">
        <v>71</v>
      </c>
      <c r="BQ34" s="4" t="s">
        <v>71</v>
      </c>
    </row>
    <row r="35" spans="1:70" ht="13.2" x14ac:dyDescent="0.25">
      <c r="A35" s="3">
        <v>45003.552630219907</v>
      </c>
      <c r="B35" s="4" t="s">
        <v>315</v>
      </c>
      <c r="C35" s="4" t="s">
        <v>316</v>
      </c>
      <c r="D35" s="5" t="s">
        <v>317</v>
      </c>
      <c r="E35" s="4" t="s">
        <v>149</v>
      </c>
      <c r="F35" s="4" t="s">
        <v>318</v>
      </c>
      <c r="G35" s="4" t="s">
        <v>64</v>
      </c>
      <c r="H35" s="4" t="s">
        <v>320</v>
      </c>
      <c r="I35" s="4" t="s">
        <v>323</v>
      </c>
      <c r="J35" s="4" t="s">
        <v>321</v>
      </c>
      <c r="K35" s="4" t="s">
        <v>315</v>
      </c>
      <c r="L35" s="4" t="s">
        <v>67</v>
      </c>
      <c r="M35" s="4" t="s">
        <v>96</v>
      </c>
      <c r="N35" s="4">
        <v>28</v>
      </c>
      <c r="O35" s="4" t="s">
        <v>69</v>
      </c>
      <c r="P35" s="4">
        <v>3</v>
      </c>
      <c r="Q35" s="4">
        <v>2</v>
      </c>
      <c r="R35" s="4">
        <v>5</v>
      </c>
      <c r="T35" s="4" t="s">
        <v>71</v>
      </c>
      <c r="U35" s="4" t="s">
        <v>70</v>
      </c>
      <c r="V35" s="6" t="s">
        <v>99</v>
      </c>
      <c r="AU35" s="4" t="s">
        <v>71</v>
      </c>
      <c r="AV35" s="4" t="s">
        <v>71</v>
      </c>
      <c r="AW35" s="4" t="s">
        <v>70</v>
      </c>
      <c r="AX35" s="4" t="s">
        <v>71</v>
      </c>
      <c r="AY35" s="4" t="s">
        <v>71</v>
      </c>
      <c r="AZ35" s="4" t="s">
        <v>71</v>
      </c>
      <c r="BA35" s="4" t="s">
        <v>70</v>
      </c>
      <c r="BB35" s="4" t="s">
        <v>71</v>
      </c>
      <c r="BC35" s="4" t="s">
        <v>70</v>
      </c>
      <c r="BD35" s="4" t="s">
        <v>71</v>
      </c>
      <c r="BE35" s="4" t="s">
        <v>71</v>
      </c>
      <c r="BF35" s="4" t="s">
        <v>71</v>
      </c>
      <c r="BG35" s="4" t="s">
        <v>71</v>
      </c>
      <c r="BH35" s="4" t="s">
        <v>70</v>
      </c>
      <c r="BI35" s="4" t="s">
        <v>71</v>
      </c>
      <c r="BJ35" s="4" t="s">
        <v>71</v>
      </c>
      <c r="BK35" s="4" t="s">
        <v>71</v>
      </c>
      <c r="BL35" s="4" t="s">
        <v>71</v>
      </c>
      <c r="BM35" s="4" t="s">
        <v>71</v>
      </c>
      <c r="BN35" s="4" t="s">
        <v>71</v>
      </c>
      <c r="BO35" s="4" t="s">
        <v>71</v>
      </c>
      <c r="BP35" s="4" t="s">
        <v>71</v>
      </c>
      <c r="BQ35" s="4" t="s">
        <v>71</v>
      </c>
    </row>
    <row r="36" spans="1:70" ht="13.2" x14ac:dyDescent="0.25">
      <c r="A36" s="3">
        <v>45004.016620925926</v>
      </c>
      <c r="B36" s="4" t="s">
        <v>1070</v>
      </c>
      <c r="C36" s="4" t="s">
        <v>1071</v>
      </c>
      <c r="D36" s="5" t="s">
        <v>1072</v>
      </c>
      <c r="E36" s="4" t="s">
        <v>103</v>
      </c>
      <c r="F36" s="4" t="s">
        <v>384</v>
      </c>
      <c r="G36" s="4" t="s">
        <v>105</v>
      </c>
      <c r="H36" s="4" t="s">
        <v>1073</v>
      </c>
      <c r="I36" s="4" t="s">
        <v>1074</v>
      </c>
      <c r="J36" s="4" t="s">
        <v>1075</v>
      </c>
      <c r="K36" s="4" t="s">
        <v>1070</v>
      </c>
      <c r="L36" s="4" t="s">
        <v>656</v>
      </c>
      <c r="M36" s="4" t="s">
        <v>666</v>
      </c>
      <c r="N36" s="4">
        <v>35</v>
      </c>
      <c r="O36" s="4" t="s">
        <v>69</v>
      </c>
      <c r="P36" s="4">
        <v>2</v>
      </c>
      <c r="Q36" s="4">
        <v>2</v>
      </c>
      <c r="R36" s="4">
        <v>90</v>
      </c>
      <c r="S36" s="4" t="s">
        <v>1076</v>
      </c>
      <c r="T36" s="4" t="s">
        <v>70</v>
      </c>
      <c r="U36" s="4" t="s">
        <v>71</v>
      </c>
      <c r="V36" s="6" t="s">
        <v>99</v>
      </c>
      <c r="AU36" s="4" t="s">
        <v>71</v>
      </c>
      <c r="AV36" s="4" t="s">
        <v>70</v>
      </c>
      <c r="AW36" s="4" t="s">
        <v>71</v>
      </c>
      <c r="AX36" s="4" t="s">
        <v>71</v>
      </c>
      <c r="AY36" s="4" t="s">
        <v>70</v>
      </c>
      <c r="AZ36" s="4" t="s">
        <v>71</v>
      </c>
      <c r="BA36" s="4" t="s">
        <v>71</v>
      </c>
      <c r="BB36" s="4" t="s">
        <v>71</v>
      </c>
      <c r="BC36" s="4" t="s">
        <v>71</v>
      </c>
      <c r="BD36" s="4" t="s">
        <v>70</v>
      </c>
      <c r="BE36" s="4" t="s">
        <v>71</v>
      </c>
      <c r="BF36" s="4" t="s">
        <v>71</v>
      </c>
      <c r="BG36" s="4" t="s">
        <v>71</v>
      </c>
      <c r="BH36" s="4" t="s">
        <v>71</v>
      </c>
      <c r="BI36" s="4" t="s">
        <v>70</v>
      </c>
      <c r="BJ36" s="4" t="s">
        <v>71</v>
      </c>
      <c r="BK36" s="4" t="s">
        <v>71</v>
      </c>
      <c r="BL36" s="4" t="s">
        <v>71</v>
      </c>
      <c r="BM36" s="4" t="s">
        <v>71</v>
      </c>
      <c r="BN36" s="4" t="s">
        <v>71</v>
      </c>
      <c r="BO36" s="4" t="s">
        <v>71</v>
      </c>
      <c r="BP36" s="4" t="s">
        <v>71</v>
      </c>
      <c r="BQ36" s="4" t="s">
        <v>71</v>
      </c>
      <c r="BR36" s="4" t="s">
        <v>1077</v>
      </c>
    </row>
    <row r="37" spans="1:70" ht="13.2" x14ac:dyDescent="0.25">
      <c r="A37" s="3">
        <v>45004.534473506945</v>
      </c>
      <c r="B37" s="4" t="s">
        <v>632</v>
      </c>
      <c r="C37" s="4" t="s">
        <v>633</v>
      </c>
      <c r="D37" s="7" t="s">
        <v>634</v>
      </c>
      <c r="E37" s="4" t="s">
        <v>103</v>
      </c>
      <c r="F37" s="4" t="s">
        <v>635</v>
      </c>
      <c r="G37" s="4" t="s">
        <v>105</v>
      </c>
      <c r="H37" s="4" t="s">
        <v>645</v>
      </c>
      <c r="I37" s="4" t="s">
        <v>646</v>
      </c>
      <c r="J37" s="4" t="s">
        <v>647</v>
      </c>
      <c r="K37" s="4" t="s">
        <v>632</v>
      </c>
      <c r="L37" s="4" t="s">
        <v>67</v>
      </c>
      <c r="M37" s="4" t="s">
        <v>353</v>
      </c>
      <c r="N37" s="4">
        <v>40</v>
      </c>
      <c r="O37" s="4" t="s">
        <v>69</v>
      </c>
      <c r="P37" s="4">
        <v>5</v>
      </c>
      <c r="Q37" s="4">
        <v>5</v>
      </c>
      <c r="R37" s="4">
        <v>20</v>
      </c>
      <c r="T37" s="4" t="s">
        <v>70</v>
      </c>
      <c r="U37" s="4" t="s">
        <v>71</v>
      </c>
      <c r="V37" s="6" t="s">
        <v>99</v>
      </c>
      <c r="AU37" s="4" t="s">
        <v>70</v>
      </c>
      <c r="AV37" s="4" t="s">
        <v>70</v>
      </c>
      <c r="AW37" s="4" t="s">
        <v>71</v>
      </c>
      <c r="AX37" s="4" t="s">
        <v>70</v>
      </c>
      <c r="AY37" s="4" t="s">
        <v>70</v>
      </c>
      <c r="AZ37" s="4" t="s">
        <v>70</v>
      </c>
      <c r="BA37" s="4" t="s">
        <v>71</v>
      </c>
      <c r="BB37" s="4" t="s">
        <v>71</v>
      </c>
      <c r="BC37" s="4" t="s">
        <v>71</v>
      </c>
      <c r="BD37" s="4" t="s">
        <v>70</v>
      </c>
      <c r="BE37" s="4" t="s">
        <v>70</v>
      </c>
      <c r="BF37" s="4" t="s">
        <v>70</v>
      </c>
      <c r="BG37" s="4" t="s">
        <v>71</v>
      </c>
      <c r="BH37" s="4" t="s">
        <v>71</v>
      </c>
      <c r="BI37" s="4" t="s">
        <v>70</v>
      </c>
      <c r="BJ37" s="4" t="s">
        <v>70</v>
      </c>
      <c r="BK37" s="4" t="s">
        <v>70</v>
      </c>
      <c r="BL37" s="4" t="s">
        <v>71</v>
      </c>
      <c r="BM37" s="4" t="s">
        <v>71</v>
      </c>
      <c r="BN37" s="4" t="s">
        <v>70</v>
      </c>
      <c r="BO37" s="4" t="s">
        <v>70</v>
      </c>
      <c r="BP37" s="4" t="s">
        <v>71</v>
      </c>
      <c r="BQ37" s="4" t="s">
        <v>71</v>
      </c>
    </row>
    <row r="38" spans="1:70" ht="13.2" x14ac:dyDescent="0.25">
      <c r="A38" s="3">
        <v>45005.327248923611</v>
      </c>
      <c r="B38" s="4" t="s">
        <v>843</v>
      </c>
      <c r="C38" s="4" t="s">
        <v>844</v>
      </c>
      <c r="D38" s="7" t="s">
        <v>845</v>
      </c>
      <c r="E38" s="4" t="s">
        <v>91</v>
      </c>
      <c r="F38" s="4" t="s">
        <v>846</v>
      </c>
      <c r="G38" s="4" t="s">
        <v>105</v>
      </c>
      <c r="H38" s="4" t="s">
        <v>847</v>
      </c>
      <c r="I38" s="4" t="s">
        <v>848</v>
      </c>
      <c r="J38" s="4" t="s">
        <v>849</v>
      </c>
      <c r="K38" s="4" t="s">
        <v>843</v>
      </c>
      <c r="L38" s="4" t="s">
        <v>656</v>
      </c>
      <c r="M38" s="4" t="s">
        <v>515</v>
      </c>
      <c r="N38" s="4">
        <v>30</v>
      </c>
      <c r="O38" s="4" t="s">
        <v>850</v>
      </c>
      <c r="P38" s="4">
        <v>1</v>
      </c>
      <c r="Q38" s="4">
        <v>2</v>
      </c>
      <c r="R38" s="4">
        <v>50</v>
      </c>
      <c r="T38" s="4" t="s">
        <v>70</v>
      </c>
      <c r="U38" s="4" t="s">
        <v>70</v>
      </c>
      <c r="V38" s="6" t="s">
        <v>99</v>
      </c>
      <c r="AU38" s="4" t="s">
        <v>70</v>
      </c>
      <c r="AV38" s="4" t="s">
        <v>70</v>
      </c>
      <c r="AW38" s="4" t="s">
        <v>70</v>
      </c>
      <c r="AX38" s="4" t="s">
        <v>70</v>
      </c>
      <c r="AY38" s="4" t="s">
        <v>70</v>
      </c>
      <c r="AZ38" s="4" t="s">
        <v>70</v>
      </c>
      <c r="BA38" s="4" t="s">
        <v>70</v>
      </c>
      <c r="BB38" s="4" t="s">
        <v>70</v>
      </c>
      <c r="BC38" s="4" t="s">
        <v>70</v>
      </c>
      <c r="BG38" s="4" t="s">
        <v>70</v>
      </c>
      <c r="BM38" s="4" t="s">
        <v>70</v>
      </c>
      <c r="BN38" s="4" t="s">
        <v>70</v>
      </c>
      <c r="BR38" s="4" t="s">
        <v>851</v>
      </c>
    </row>
    <row r="39" spans="1:70" ht="13.2" x14ac:dyDescent="0.25">
      <c r="A39" s="3">
        <v>45005.547353912036</v>
      </c>
      <c r="B39" s="4" t="s">
        <v>88</v>
      </c>
      <c r="C39" s="4" t="s">
        <v>89</v>
      </c>
      <c r="D39" s="5" t="s">
        <v>90</v>
      </c>
      <c r="E39" s="4" t="s">
        <v>91</v>
      </c>
      <c r="F39" s="4" t="s">
        <v>92</v>
      </c>
      <c r="G39" s="4" t="s">
        <v>64</v>
      </c>
      <c r="H39" s="4" t="s">
        <v>93</v>
      </c>
      <c r="I39" s="4" t="s">
        <v>94</v>
      </c>
      <c r="J39" s="4" t="s">
        <v>95</v>
      </c>
      <c r="K39" s="4" t="s">
        <v>88</v>
      </c>
      <c r="L39" s="4" t="s">
        <v>67</v>
      </c>
      <c r="M39" s="4" t="s">
        <v>85</v>
      </c>
      <c r="N39" s="4">
        <v>31</v>
      </c>
      <c r="O39" s="4" t="s">
        <v>69</v>
      </c>
      <c r="P39" s="4">
        <v>5</v>
      </c>
      <c r="Q39" s="4">
        <v>4</v>
      </c>
      <c r="R39" s="4">
        <v>0</v>
      </c>
      <c r="T39" s="4" t="s">
        <v>70</v>
      </c>
      <c r="U39" s="4" t="s">
        <v>71</v>
      </c>
      <c r="V39" s="6" t="s">
        <v>99</v>
      </c>
      <c r="AU39" s="4" t="s">
        <v>71</v>
      </c>
      <c r="AV39" s="4" t="s">
        <v>70</v>
      </c>
      <c r="AW39" s="4" t="s">
        <v>71</v>
      </c>
      <c r="AX39" s="4" t="s">
        <v>71</v>
      </c>
      <c r="AY39" s="4" t="s">
        <v>70</v>
      </c>
      <c r="AZ39" s="4" t="s">
        <v>71</v>
      </c>
      <c r="BA39" s="4" t="s">
        <v>71</v>
      </c>
      <c r="BB39" s="4" t="s">
        <v>71</v>
      </c>
      <c r="BC39" s="4" t="s">
        <v>71</v>
      </c>
      <c r="BD39" s="4" t="s">
        <v>70</v>
      </c>
      <c r="BE39" s="4" t="s">
        <v>71</v>
      </c>
      <c r="BF39" s="4" t="s">
        <v>71</v>
      </c>
      <c r="BG39" s="4" t="s">
        <v>71</v>
      </c>
      <c r="BH39" s="4" t="s">
        <v>71</v>
      </c>
      <c r="BI39" s="4" t="s">
        <v>71</v>
      </c>
      <c r="BJ39" s="4" t="s">
        <v>71</v>
      </c>
      <c r="BK39" s="4" t="s">
        <v>71</v>
      </c>
      <c r="BL39" s="4" t="s">
        <v>71</v>
      </c>
      <c r="BM39" s="4" t="s">
        <v>71</v>
      </c>
      <c r="BN39" s="4" t="s">
        <v>71</v>
      </c>
      <c r="BO39" s="4" t="s">
        <v>71</v>
      </c>
      <c r="BP39" s="4" t="s">
        <v>71</v>
      </c>
      <c r="BQ39" s="4" t="s">
        <v>71</v>
      </c>
    </row>
    <row r="40" spans="1:70" ht="13.2" x14ac:dyDescent="0.25">
      <c r="A40" s="3">
        <v>45005.566541111111</v>
      </c>
      <c r="B40" s="4" t="s">
        <v>369</v>
      </c>
      <c r="C40" s="4" t="s">
        <v>370</v>
      </c>
      <c r="D40" s="5" t="s">
        <v>371</v>
      </c>
      <c r="E40" s="4" t="s">
        <v>103</v>
      </c>
      <c r="F40" s="4" t="s">
        <v>124</v>
      </c>
      <c r="G40" s="4" t="s">
        <v>105</v>
      </c>
      <c r="H40" s="4" t="s">
        <v>372</v>
      </c>
      <c r="I40" s="4" t="s">
        <v>373</v>
      </c>
      <c r="J40" s="4" t="s">
        <v>374</v>
      </c>
      <c r="K40" s="4" t="s">
        <v>369</v>
      </c>
      <c r="L40" s="4" t="s">
        <v>67</v>
      </c>
      <c r="M40" s="4" t="s">
        <v>259</v>
      </c>
      <c r="N40" s="4">
        <v>35</v>
      </c>
      <c r="O40" s="4" t="s">
        <v>97</v>
      </c>
      <c r="P40" s="4">
        <v>4</v>
      </c>
      <c r="Q40" s="4">
        <v>3</v>
      </c>
      <c r="R40" s="4">
        <v>40</v>
      </c>
      <c r="T40" s="4" t="s">
        <v>70</v>
      </c>
      <c r="U40" s="4" t="s">
        <v>71</v>
      </c>
      <c r="V40" s="6" t="s">
        <v>99</v>
      </c>
      <c r="AU40" s="4" t="s">
        <v>70</v>
      </c>
      <c r="AV40" s="4" t="s">
        <v>71</v>
      </c>
      <c r="AW40" s="4" t="s">
        <v>71</v>
      </c>
      <c r="AX40" s="4" t="s">
        <v>70</v>
      </c>
      <c r="AY40" s="4" t="s">
        <v>70</v>
      </c>
      <c r="AZ40" s="4" t="s">
        <v>70</v>
      </c>
      <c r="BA40" s="4" t="s">
        <v>71</v>
      </c>
      <c r="BB40" s="4" t="s">
        <v>71</v>
      </c>
      <c r="BC40" s="4" t="s">
        <v>71</v>
      </c>
      <c r="BD40" s="4" t="s">
        <v>70</v>
      </c>
      <c r="BE40" s="4" t="s">
        <v>70</v>
      </c>
      <c r="BF40" s="4" t="s">
        <v>70</v>
      </c>
      <c r="BG40" s="4" t="s">
        <v>71</v>
      </c>
      <c r="BH40" s="4" t="s">
        <v>71</v>
      </c>
      <c r="BI40" s="4" t="s">
        <v>70</v>
      </c>
      <c r="BJ40" s="4" t="s">
        <v>70</v>
      </c>
      <c r="BK40" s="4" t="s">
        <v>70</v>
      </c>
      <c r="BL40" s="4" t="s">
        <v>71</v>
      </c>
      <c r="BM40" s="4" t="s">
        <v>71</v>
      </c>
      <c r="BN40" s="4" t="s">
        <v>70</v>
      </c>
      <c r="BO40" s="4" t="s">
        <v>70</v>
      </c>
      <c r="BP40" s="4" t="s">
        <v>71</v>
      </c>
      <c r="BQ40" s="4" t="s">
        <v>71</v>
      </c>
    </row>
    <row r="41" spans="1:70" ht="13.2" x14ac:dyDescent="0.25">
      <c r="A41" s="3">
        <v>45005.569103969909</v>
      </c>
      <c r="B41" s="4" t="s">
        <v>376</v>
      </c>
      <c r="C41" s="4" t="s">
        <v>377</v>
      </c>
      <c r="D41" s="5" t="s">
        <v>371</v>
      </c>
      <c r="E41" s="4" t="s">
        <v>103</v>
      </c>
      <c r="F41" s="4" t="s">
        <v>378</v>
      </c>
      <c r="G41" s="4" t="s">
        <v>105</v>
      </c>
      <c r="H41" s="4" t="s">
        <v>373</v>
      </c>
      <c r="I41" s="4" t="s">
        <v>374</v>
      </c>
      <c r="J41" s="4" t="s">
        <v>379</v>
      </c>
      <c r="K41" s="4" t="s">
        <v>376</v>
      </c>
      <c r="L41" s="4" t="s">
        <v>67</v>
      </c>
      <c r="M41" s="4" t="s">
        <v>267</v>
      </c>
      <c r="N41" s="4">
        <v>35</v>
      </c>
      <c r="O41" s="4" t="s">
        <v>97</v>
      </c>
      <c r="P41" s="4">
        <v>3</v>
      </c>
      <c r="Q41" s="4">
        <v>3</v>
      </c>
      <c r="R41" s="4">
        <v>40</v>
      </c>
      <c r="T41" s="4" t="s">
        <v>70</v>
      </c>
      <c r="U41" s="4" t="s">
        <v>71</v>
      </c>
      <c r="V41" s="6" t="s">
        <v>99</v>
      </c>
      <c r="AU41" s="4" t="s">
        <v>70</v>
      </c>
      <c r="AV41" s="4" t="s">
        <v>71</v>
      </c>
      <c r="AW41" s="4" t="s">
        <v>71</v>
      </c>
      <c r="AX41" s="4" t="s">
        <v>70</v>
      </c>
      <c r="AY41" s="4" t="s">
        <v>70</v>
      </c>
      <c r="AZ41" s="4" t="s">
        <v>70</v>
      </c>
      <c r="BA41" s="4" t="s">
        <v>71</v>
      </c>
      <c r="BB41" s="4" t="s">
        <v>71</v>
      </c>
      <c r="BC41" s="4" t="s">
        <v>71</v>
      </c>
      <c r="BD41" s="4" t="s">
        <v>70</v>
      </c>
      <c r="BE41" s="4" t="s">
        <v>70</v>
      </c>
      <c r="BF41" s="4" t="s">
        <v>70</v>
      </c>
      <c r="BG41" s="4" t="s">
        <v>71</v>
      </c>
      <c r="BH41" s="4" t="s">
        <v>71</v>
      </c>
      <c r="BI41" s="4" t="s">
        <v>70</v>
      </c>
      <c r="BJ41" s="4" t="s">
        <v>70</v>
      </c>
      <c r="BK41" s="4" t="s">
        <v>70</v>
      </c>
      <c r="BL41" s="4" t="s">
        <v>71</v>
      </c>
      <c r="BM41" s="4" t="s">
        <v>71</v>
      </c>
      <c r="BN41" s="4" t="s">
        <v>70</v>
      </c>
      <c r="BO41" s="4" t="s">
        <v>70</v>
      </c>
      <c r="BP41" s="4" t="s">
        <v>71</v>
      </c>
      <c r="BQ41" s="4" t="s">
        <v>71</v>
      </c>
    </row>
    <row r="42" spans="1:70" ht="13.2" x14ac:dyDescent="0.25">
      <c r="A42" s="3">
        <v>45005.634511053242</v>
      </c>
      <c r="B42" s="4" t="s">
        <v>610</v>
      </c>
      <c r="C42" s="4" t="s">
        <v>611</v>
      </c>
      <c r="D42" s="7" t="s">
        <v>612</v>
      </c>
      <c r="E42" s="4" t="s">
        <v>149</v>
      </c>
      <c r="F42" s="4" t="s">
        <v>613</v>
      </c>
      <c r="G42" s="4" t="s">
        <v>64</v>
      </c>
      <c r="H42" s="4" t="s">
        <v>614</v>
      </c>
      <c r="I42" s="4" t="s">
        <v>615</v>
      </c>
      <c r="J42" s="4" t="s">
        <v>616</v>
      </c>
      <c r="K42" s="4" t="s">
        <v>610</v>
      </c>
      <c r="L42" s="4" t="s">
        <v>67</v>
      </c>
      <c r="M42" s="4" t="s">
        <v>342</v>
      </c>
      <c r="N42" s="4">
        <v>20</v>
      </c>
      <c r="O42" s="4" t="s">
        <v>69</v>
      </c>
      <c r="P42" s="4">
        <v>5</v>
      </c>
      <c r="Q42" s="4">
        <v>3</v>
      </c>
      <c r="R42" s="4">
        <v>5</v>
      </c>
      <c r="T42" s="4" t="s">
        <v>70</v>
      </c>
      <c r="U42" s="4" t="s">
        <v>70</v>
      </c>
      <c r="V42" s="6" t="s">
        <v>99</v>
      </c>
      <c r="AU42" s="4" t="s">
        <v>70</v>
      </c>
      <c r="AV42" s="4" t="s">
        <v>70</v>
      </c>
      <c r="AW42" s="4" t="s">
        <v>70</v>
      </c>
      <c r="AX42" s="4" t="s">
        <v>70</v>
      </c>
      <c r="AY42" s="4" t="s">
        <v>70</v>
      </c>
      <c r="AZ42" s="4" t="s">
        <v>70</v>
      </c>
      <c r="BA42" s="4" t="s">
        <v>70</v>
      </c>
      <c r="BB42" s="4" t="s">
        <v>70</v>
      </c>
      <c r="BC42" s="4" t="s">
        <v>70</v>
      </c>
      <c r="BD42" s="4" t="s">
        <v>70</v>
      </c>
      <c r="BE42" s="4" t="s">
        <v>70</v>
      </c>
      <c r="BF42" s="4" t="s">
        <v>70</v>
      </c>
      <c r="BG42" s="4" t="s">
        <v>70</v>
      </c>
      <c r="BH42" s="4" t="s">
        <v>70</v>
      </c>
      <c r="BI42" s="4" t="s">
        <v>70</v>
      </c>
      <c r="BJ42" s="4" t="s">
        <v>70</v>
      </c>
      <c r="BK42" s="4" t="s">
        <v>70</v>
      </c>
      <c r="BL42" s="4" t="s">
        <v>70</v>
      </c>
      <c r="BM42" s="4" t="s">
        <v>70</v>
      </c>
      <c r="BN42" s="4" t="s">
        <v>70</v>
      </c>
      <c r="BO42" s="4" t="s">
        <v>70</v>
      </c>
      <c r="BP42" s="4" t="s">
        <v>70</v>
      </c>
      <c r="BQ42" s="4" t="s">
        <v>70</v>
      </c>
      <c r="BR42" s="4" t="s">
        <v>618</v>
      </c>
    </row>
    <row r="43" spans="1:70" ht="13.2" x14ac:dyDescent="0.25">
      <c r="A43" s="3">
        <v>45005.70891346065</v>
      </c>
      <c r="B43" s="4" t="s">
        <v>1120</v>
      </c>
      <c r="C43" s="4" t="s">
        <v>1121</v>
      </c>
      <c r="D43" s="6" t="s">
        <v>1122</v>
      </c>
      <c r="E43" s="4" t="s">
        <v>263</v>
      </c>
      <c r="F43" s="4" t="s">
        <v>1123</v>
      </c>
      <c r="G43" s="4" t="s">
        <v>105</v>
      </c>
      <c r="H43" s="4" t="s">
        <v>1124</v>
      </c>
      <c r="I43" s="4" t="s">
        <v>1125</v>
      </c>
      <c r="J43" s="4" t="s">
        <v>1126</v>
      </c>
      <c r="K43" s="4" t="s">
        <v>1120</v>
      </c>
      <c r="L43" s="4" t="s">
        <v>656</v>
      </c>
      <c r="M43" s="4" t="s">
        <v>689</v>
      </c>
      <c r="N43" s="4">
        <v>35</v>
      </c>
      <c r="O43" s="4" t="s">
        <v>69</v>
      </c>
      <c r="P43" s="4">
        <v>3</v>
      </c>
      <c r="Q43" s="4">
        <v>1</v>
      </c>
      <c r="R43" s="4">
        <v>90</v>
      </c>
      <c r="T43" s="4" t="s">
        <v>70</v>
      </c>
      <c r="U43" s="4" t="s">
        <v>70</v>
      </c>
      <c r="V43" s="6" t="s">
        <v>99</v>
      </c>
      <c r="AU43" s="4" t="s">
        <v>70</v>
      </c>
      <c r="AV43" s="4" t="s">
        <v>70</v>
      </c>
      <c r="AW43" s="4" t="s">
        <v>71</v>
      </c>
      <c r="AX43" s="4" t="s">
        <v>71</v>
      </c>
      <c r="AY43" s="4" t="s">
        <v>70</v>
      </c>
      <c r="AZ43" s="4" t="s">
        <v>71</v>
      </c>
      <c r="BA43" s="4" t="s">
        <v>71</v>
      </c>
      <c r="BB43" s="4" t="s">
        <v>71</v>
      </c>
      <c r="BC43" s="4" t="s">
        <v>71</v>
      </c>
      <c r="BD43" s="4" t="s">
        <v>71</v>
      </c>
      <c r="BE43" s="4" t="s">
        <v>71</v>
      </c>
      <c r="BF43" s="4" t="s">
        <v>71</v>
      </c>
      <c r="BG43" s="4" t="s">
        <v>70</v>
      </c>
      <c r="BH43" s="4" t="s">
        <v>71</v>
      </c>
      <c r="BI43" s="4" t="s">
        <v>71</v>
      </c>
      <c r="BJ43" s="4" t="s">
        <v>71</v>
      </c>
      <c r="BK43" s="4" t="s">
        <v>71</v>
      </c>
      <c r="BL43" s="4" t="s">
        <v>71</v>
      </c>
      <c r="BM43" s="4" t="s">
        <v>70</v>
      </c>
      <c r="BN43" s="4" t="s">
        <v>71</v>
      </c>
      <c r="BO43" s="4" t="s">
        <v>71</v>
      </c>
      <c r="BP43" s="4" t="s">
        <v>71</v>
      </c>
      <c r="BQ43" s="4" t="s">
        <v>71</v>
      </c>
    </row>
    <row r="44" spans="1:70" ht="13.2" x14ac:dyDescent="0.25">
      <c r="A44" s="3">
        <v>45005.71080148148</v>
      </c>
      <c r="B44" s="4" t="s">
        <v>524</v>
      </c>
      <c r="C44" s="4" t="s">
        <v>525</v>
      </c>
      <c r="D44" s="6" t="s">
        <v>526</v>
      </c>
      <c r="E44" s="4" t="s">
        <v>103</v>
      </c>
      <c r="F44" s="4" t="s">
        <v>531</v>
      </c>
      <c r="G44" s="4" t="s">
        <v>64</v>
      </c>
      <c r="H44" s="4" t="s">
        <v>532</v>
      </c>
      <c r="I44" s="4" t="s">
        <v>533</v>
      </c>
      <c r="K44" s="4" t="s">
        <v>524</v>
      </c>
      <c r="L44" s="4" t="s">
        <v>67</v>
      </c>
      <c r="M44" s="4" t="s">
        <v>68</v>
      </c>
      <c r="N44" s="4">
        <v>24</v>
      </c>
      <c r="O44" s="4" t="s">
        <v>200</v>
      </c>
      <c r="P44" s="4">
        <v>5</v>
      </c>
      <c r="Q44" s="4">
        <v>5</v>
      </c>
      <c r="R44" s="4">
        <v>0</v>
      </c>
      <c r="T44" s="4" t="s">
        <v>70</v>
      </c>
      <c r="U44" s="4" t="s">
        <v>71</v>
      </c>
      <c r="V44" s="6" t="s">
        <v>99</v>
      </c>
      <c r="AU44" s="4" t="s">
        <v>70</v>
      </c>
      <c r="AV44" s="4" t="s">
        <v>70</v>
      </c>
      <c r="AW44" s="4" t="s">
        <v>71</v>
      </c>
      <c r="AX44" s="4" t="s">
        <v>70</v>
      </c>
      <c r="AY44" s="4" t="s">
        <v>70</v>
      </c>
      <c r="AZ44" s="4" t="s">
        <v>70</v>
      </c>
      <c r="BA44" s="4" t="s">
        <v>71</v>
      </c>
      <c r="BB44" s="4" t="s">
        <v>71</v>
      </c>
      <c r="BC44" s="4" t="s">
        <v>71</v>
      </c>
      <c r="BD44" s="4" t="s">
        <v>70</v>
      </c>
      <c r="BE44" s="4" t="s">
        <v>70</v>
      </c>
      <c r="BF44" s="4" t="s">
        <v>70</v>
      </c>
      <c r="BG44" s="4" t="s">
        <v>71</v>
      </c>
      <c r="BH44" s="4" t="s">
        <v>71</v>
      </c>
      <c r="BI44" s="4" t="s">
        <v>70</v>
      </c>
      <c r="BJ44" s="4" t="s">
        <v>70</v>
      </c>
      <c r="BK44" s="4" t="s">
        <v>70</v>
      </c>
      <c r="BL44" s="4" t="s">
        <v>71</v>
      </c>
      <c r="BM44" s="4" t="s">
        <v>71</v>
      </c>
      <c r="BN44" s="4" t="s">
        <v>70</v>
      </c>
      <c r="BO44" s="4" t="s">
        <v>70</v>
      </c>
      <c r="BP44" s="4" t="s">
        <v>71</v>
      </c>
      <c r="BQ44" s="4" t="s">
        <v>71</v>
      </c>
    </row>
    <row r="45" spans="1:70" ht="13.2" x14ac:dyDescent="0.25">
      <c r="A45" s="3">
        <v>45005.723544733795</v>
      </c>
      <c r="B45" s="4" t="s">
        <v>1113</v>
      </c>
      <c r="C45" s="4" t="s">
        <v>1114</v>
      </c>
      <c r="D45" s="6" t="s">
        <v>1115</v>
      </c>
      <c r="E45" s="4" t="s">
        <v>1116</v>
      </c>
      <c r="F45" s="4" t="s">
        <v>581</v>
      </c>
      <c r="G45" s="4" t="s">
        <v>105</v>
      </c>
      <c r="H45" s="4" t="s">
        <v>1117</v>
      </c>
      <c r="I45" s="4" t="s">
        <v>1118</v>
      </c>
      <c r="J45" s="4" t="s">
        <v>1119</v>
      </c>
      <c r="K45" s="4" t="s">
        <v>1113</v>
      </c>
      <c r="L45" s="4" t="s">
        <v>665</v>
      </c>
      <c r="M45" s="4" t="s">
        <v>681</v>
      </c>
      <c r="N45" s="4">
        <v>20</v>
      </c>
      <c r="O45" s="4" t="s">
        <v>69</v>
      </c>
      <c r="P45" s="4">
        <v>3</v>
      </c>
      <c r="Q45" s="4">
        <v>2</v>
      </c>
      <c r="R45" s="4">
        <v>100</v>
      </c>
      <c r="T45" s="4" t="s">
        <v>70</v>
      </c>
      <c r="U45" s="4" t="s">
        <v>70</v>
      </c>
      <c r="V45" s="6" t="s">
        <v>99</v>
      </c>
      <c r="AU45" s="4" t="s">
        <v>71</v>
      </c>
      <c r="AV45" s="4" t="s">
        <v>71</v>
      </c>
      <c r="AW45" s="4" t="s">
        <v>70</v>
      </c>
      <c r="AX45" s="4" t="s">
        <v>71</v>
      </c>
      <c r="AY45" s="4" t="s">
        <v>70</v>
      </c>
      <c r="AZ45" s="4" t="s">
        <v>71</v>
      </c>
      <c r="BA45" s="4" t="s">
        <v>70</v>
      </c>
      <c r="BB45" s="4" t="s">
        <v>71</v>
      </c>
      <c r="BC45" s="4" t="s">
        <v>71</v>
      </c>
      <c r="BK45" s="4" t="s">
        <v>70</v>
      </c>
    </row>
    <row r="46" spans="1:70" ht="13.2" x14ac:dyDescent="0.25">
      <c r="A46" s="3">
        <v>45005.834669247684</v>
      </c>
      <c r="B46" s="4" t="s">
        <v>867</v>
      </c>
      <c r="C46" s="4" t="s">
        <v>868</v>
      </c>
      <c r="D46" s="7" t="s">
        <v>869</v>
      </c>
      <c r="E46" s="4" t="s">
        <v>103</v>
      </c>
      <c r="F46" s="4" t="s">
        <v>870</v>
      </c>
      <c r="G46" s="4" t="s">
        <v>105</v>
      </c>
      <c r="H46" s="4" t="s">
        <v>871</v>
      </c>
      <c r="I46" s="4" t="s">
        <v>872</v>
      </c>
      <c r="K46" s="4" t="s">
        <v>867</v>
      </c>
      <c r="L46" s="4" t="s">
        <v>656</v>
      </c>
      <c r="M46" s="4" t="s">
        <v>411</v>
      </c>
      <c r="N46" s="4">
        <v>35</v>
      </c>
      <c r="O46" s="4" t="s">
        <v>69</v>
      </c>
      <c r="P46" s="4">
        <v>4</v>
      </c>
      <c r="Q46" s="4">
        <v>5</v>
      </c>
      <c r="R46" s="4">
        <v>30</v>
      </c>
      <c r="T46" s="4" t="s">
        <v>70</v>
      </c>
      <c r="U46" s="4" t="s">
        <v>70</v>
      </c>
      <c r="V46" s="6" t="s">
        <v>99</v>
      </c>
      <c r="AU46" s="4" t="s">
        <v>71</v>
      </c>
      <c r="AV46" s="4" t="s">
        <v>70</v>
      </c>
      <c r="AW46" s="4" t="s">
        <v>71</v>
      </c>
      <c r="AX46" s="4" t="s">
        <v>70</v>
      </c>
      <c r="AY46" s="4" t="s">
        <v>71</v>
      </c>
      <c r="AZ46" s="4" t="s">
        <v>71</v>
      </c>
      <c r="BA46" s="4" t="s">
        <v>71</v>
      </c>
      <c r="BB46" s="4" t="s">
        <v>71</v>
      </c>
      <c r="BC46" s="4" t="s">
        <v>71</v>
      </c>
      <c r="BD46" s="4" t="s">
        <v>71</v>
      </c>
      <c r="BE46" s="4" t="s">
        <v>70</v>
      </c>
      <c r="BF46" s="4" t="s">
        <v>70</v>
      </c>
      <c r="BG46" s="4" t="s">
        <v>71</v>
      </c>
      <c r="BH46" s="4" t="s">
        <v>71</v>
      </c>
      <c r="BL46" s="4" t="s">
        <v>70</v>
      </c>
      <c r="BQ46" s="4" t="s">
        <v>70</v>
      </c>
      <c r="BR46" s="4" t="s">
        <v>873</v>
      </c>
    </row>
    <row r="47" spans="1:70" ht="13.2" x14ac:dyDescent="0.25">
      <c r="A47" s="3">
        <v>45005.865266979163</v>
      </c>
      <c r="B47" s="4" t="s">
        <v>121</v>
      </c>
      <c r="C47" s="4" t="s">
        <v>122</v>
      </c>
      <c r="D47" s="5" t="s">
        <v>123</v>
      </c>
      <c r="E47" s="4" t="s">
        <v>62</v>
      </c>
      <c r="F47" s="4" t="s">
        <v>124</v>
      </c>
      <c r="G47" s="4" t="s">
        <v>105</v>
      </c>
      <c r="H47" s="4" t="s">
        <v>125</v>
      </c>
      <c r="I47" s="4" t="s">
        <v>126</v>
      </c>
      <c r="K47" s="4" t="s">
        <v>121</v>
      </c>
      <c r="L47" s="4" t="s">
        <v>67</v>
      </c>
      <c r="M47" s="4" t="s">
        <v>108</v>
      </c>
      <c r="N47" s="4">
        <v>20</v>
      </c>
      <c r="O47" s="4" t="s">
        <v>69</v>
      </c>
      <c r="P47" s="4">
        <v>4</v>
      </c>
      <c r="Q47" s="4">
        <v>2</v>
      </c>
      <c r="R47" s="4">
        <v>40</v>
      </c>
      <c r="T47" s="4" t="s">
        <v>70</v>
      </c>
      <c r="U47" s="4" t="s">
        <v>71</v>
      </c>
      <c r="V47" s="6" t="s">
        <v>99</v>
      </c>
      <c r="AU47" s="4" t="s">
        <v>70</v>
      </c>
      <c r="AV47" s="4" t="s">
        <v>70</v>
      </c>
      <c r="AW47" s="4" t="s">
        <v>71</v>
      </c>
      <c r="AX47" s="4" t="s">
        <v>70</v>
      </c>
      <c r="AY47" s="4" t="s">
        <v>70</v>
      </c>
      <c r="AZ47" s="4" t="s">
        <v>70</v>
      </c>
      <c r="BA47" s="4" t="s">
        <v>71</v>
      </c>
      <c r="BB47" s="4" t="s">
        <v>71</v>
      </c>
      <c r="BC47" s="4" t="s">
        <v>71</v>
      </c>
      <c r="BD47" s="4" t="s">
        <v>70</v>
      </c>
      <c r="BE47" s="4" t="s">
        <v>70</v>
      </c>
      <c r="BF47" s="4" t="s">
        <v>70</v>
      </c>
      <c r="BG47" s="4" t="s">
        <v>71</v>
      </c>
      <c r="BH47" s="4" t="s">
        <v>71</v>
      </c>
      <c r="BI47" s="4" t="s">
        <v>71</v>
      </c>
      <c r="BJ47" s="4" t="s">
        <v>71</v>
      </c>
      <c r="BK47" s="4" t="s">
        <v>71</v>
      </c>
      <c r="BL47" s="4" t="s">
        <v>71</v>
      </c>
      <c r="BM47" s="4" t="s">
        <v>71</v>
      </c>
      <c r="BN47" s="4" t="s">
        <v>70</v>
      </c>
      <c r="BO47" s="4" t="s">
        <v>70</v>
      </c>
      <c r="BR47" s="4" t="s">
        <v>128</v>
      </c>
    </row>
    <row r="48" spans="1:70" ht="13.2" x14ac:dyDescent="0.25">
      <c r="A48" s="3">
        <v>45005.88972579861</v>
      </c>
      <c r="B48" s="4" t="s">
        <v>1001</v>
      </c>
      <c r="C48" s="4" t="s">
        <v>1002</v>
      </c>
      <c r="D48" s="5" t="s">
        <v>1003</v>
      </c>
      <c r="E48" s="4" t="s">
        <v>149</v>
      </c>
      <c r="F48" s="4" t="s">
        <v>1004</v>
      </c>
      <c r="G48" s="4" t="s">
        <v>64</v>
      </c>
      <c r="H48" s="4" t="s">
        <v>745</v>
      </c>
      <c r="I48" s="4" t="s">
        <v>836</v>
      </c>
      <c r="K48" s="4" t="s">
        <v>1001</v>
      </c>
      <c r="L48" s="4" t="s">
        <v>656</v>
      </c>
      <c r="M48" s="4" t="s">
        <v>550</v>
      </c>
      <c r="N48" s="4">
        <v>35</v>
      </c>
      <c r="O48" s="4" t="s">
        <v>97</v>
      </c>
      <c r="P48" s="4">
        <v>4</v>
      </c>
      <c r="Q48" s="4">
        <v>4</v>
      </c>
      <c r="R48" s="4">
        <v>20</v>
      </c>
      <c r="T48" s="4" t="s">
        <v>70</v>
      </c>
      <c r="U48" s="4" t="s">
        <v>70</v>
      </c>
      <c r="V48" s="6" t="s">
        <v>99</v>
      </c>
      <c r="AU48" s="4" t="s">
        <v>71</v>
      </c>
      <c r="AV48" s="4" t="s">
        <v>70</v>
      </c>
      <c r="AW48" s="4" t="s">
        <v>70</v>
      </c>
      <c r="AX48" s="4" t="s">
        <v>70</v>
      </c>
      <c r="AY48" s="4" t="s">
        <v>70</v>
      </c>
      <c r="AZ48" s="4" t="s">
        <v>71</v>
      </c>
      <c r="BA48" s="4" t="s">
        <v>71</v>
      </c>
      <c r="BB48" s="4" t="s">
        <v>70</v>
      </c>
      <c r="BC48" s="4" t="s">
        <v>70</v>
      </c>
      <c r="BE48" s="4" t="s">
        <v>70</v>
      </c>
      <c r="BH48" s="4" t="s">
        <v>70</v>
      </c>
      <c r="BJ48" s="4" t="s">
        <v>70</v>
      </c>
      <c r="BL48" s="4" t="s">
        <v>70</v>
      </c>
      <c r="BM48" s="4" t="s">
        <v>70</v>
      </c>
      <c r="BO48" s="4" t="s">
        <v>70</v>
      </c>
      <c r="BQ48" s="4" t="s">
        <v>70</v>
      </c>
      <c r="BR48" s="4" t="s">
        <v>1005</v>
      </c>
    </row>
    <row r="49" spans="1:70" ht="13.2" x14ac:dyDescent="0.25">
      <c r="A49" s="3">
        <v>45005.919205266204</v>
      </c>
      <c r="B49" s="4" t="s">
        <v>1026</v>
      </c>
      <c r="C49" s="4" t="s">
        <v>1027</v>
      </c>
      <c r="D49" s="7" t="s">
        <v>1028</v>
      </c>
      <c r="E49" s="4" t="s">
        <v>103</v>
      </c>
      <c r="F49" s="4" t="s">
        <v>294</v>
      </c>
      <c r="G49" s="4" t="s">
        <v>64</v>
      </c>
      <c r="H49" s="4" t="s">
        <v>1029</v>
      </c>
      <c r="I49" s="4" t="s">
        <v>1030</v>
      </c>
      <c r="J49" s="4" t="s">
        <v>1031</v>
      </c>
      <c r="K49" s="4" t="s">
        <v>1026</v>
      </c>
      <c r="L49" s="4" t="s">
        <v>67</v>
      </c>
      <c r="M49" s="4" t="s">
        <v>631</v>
      </c>
      <c r="N49" s="4">
        <v>29</v>
      </c>
      <c r="O49" s="4" t="s">
        <v>69</v>
      </c>
      <c r="P49" s="4">
        <v>4</v>
      </c>
      <c r="Q49" s="4">
        <v>4</v>
      </c>
      <c r="R49" s="4">
        <v>5</v>
      </c>
      <c r="T49" s="4" t="s">
        <v>70</v>
      </c>
      <c r="U49" s="4" t="s">
        <v>71</v>
      </c>
      <c r="V49" s="6" t="s">
        <v>99</v>
      </c>
      <c r="AU49" s="4" t="s">
        <v>70</v>
      </c>
      <c r="AV49" s="4" t="s">
        <v>70</v>
      </c>
      <c r="AW49" s="4" t="s">
        <v>71</v>
      </c>
      <c r="AX49" s="4" t="s">
        <v>71</v>
      </c>
      <c r="AY49" s="4" t="s">
        <v>70</v>
      </c>
      <c r="AZ49" s="4" t="s">
        <v>71</v>
      </c>
      <c r="BA49" s="4" t="s">
        <v>71</v>
      </c>
      <c r="BB49" s="4" t="s">
        <v>71</v>
      </c>
      <c r="BC49" s="4" t="s">
        <v>71</v>
      </c>
      <c r="BD49" s="4" t="s">
        <v>71</v>
      </c>
      <c r="BE49" s="4" t="s">
        <v>71</v>
      </c>
      <c r="BF49" s="4" t="s">
        <v>71</v>
      </c>
      <c r="BG49" s="4" t="s">
        <v>70</v>
      </c>
      <c r="BH49" s="4" t="s">
        <v>71</v>
      </c>
      <c r="BI49" s="4" t="s">
        <v>71</v>
      </c>
      <c r="BJ49" s="4" t="s">
        <v>71</v>
      </c>
      <c r="BK49" s="4" t="s">
        <v>71</v>
      </c>
      <c r="BL49" s="4" t="s">
        <v>71</v>
      </c>
      <c r="BM49" s="4" t="s">
        <v>70</v>
      </c>
      <c r="BN49" s="4" t="s">
        <v>70</v>
      </c>
      <c r="BO49" s="4" t="s">
        <v>71</v>
      </c>
      <c r="BP49" s="4" t="s">
        <v>71</v>
      </c>
      <c r="BQ49" s="4" t="s">
        <v>71</v>
      </c>
      <c r="BR49" s="4" t="s">
        <v>1032</v>
      </c>
    </row>
    <row r="50" spans="1:70" ht="13.2" x14ac:dyDescent="0.25">
      <c r="A50" s="3">
        <v>45005.923207025466</v>
      </c>
      <c r="B50" s="4" t="s">
        <v>1026</v>
      </c>
      <c r="C50" s="4" t="s">
        <v>1033</v>
      </c>
      <c r="D50" s="7" t="s">
        <v>1028</v>
      </c>
      <c r="E50" s="4" t="s">
        <v>149</v>
      </c>
      <c r="F50" s="4" t="s">
        <v>205</v>
      </c>
      <c r="G50" s="4" t="s">
        <v>64</v>
      </c>
      <c r="H50" s="4" t="s">
        <v>1030</v>
      </c>
      <c r="I50" s="4" t="s">
        <v>1029</v>
      </c>
      <c r="J50" s="4" t="s">
        <v>1031</v>
      </c>
      <c r="K50" s="4" t="s">
        <v>1026</v>
      </c>
      <c r="L50" s="4" t="s">
        <v>67</v>
      </c>
      <c r="M50" s="4" t="s">
        <v>631</v>
      </c>
      <c r="N50" s="4">
        <v>30</v>
      </c>
      <c r="O50" s="4" t="s">
        <v>69</v>
      </c>
      <c r="P50" s="4">
        <v>4</v>
      </c>
      <c r="Q50" s="4">
        <v>4</v>
      </c>
      <c r="R50" s="4">
        <v>5</v>
      </c>
      <c r="T50" s="4" t="s">
        <v>70</v>
      </c>
      <c r="U50" s="4" t="s">
        <v>71</v>
      </c>
      <c r="V50" s="6" t="s">
        <v>99</v>
      </c>
      <c r="AU50" s="4" t="s">
        <v>71</v>
      </c>
      <c r="AV50" s="4" t="s">
        <v>70</v>
      </c>
      <c r="AW50" s="4" t="s">
        <v>71</v>
      </c>
      <c r="AX50" s="4" t="s">
        <v>71</v>
      </c>
      <c r="AY50" s="4" t="s">
        <v>71</v>
      </c>
      <c r="AZ50" s="4" t="s">
        <v>70</v>
      </c>
      <c r="BA50" s="4" t="s">
        <v>71</v>
      </c>
      <c r="BB50" s="4" t="s">
        <v>71</v>
      </c>
      <c r="BC50" s="4" t="s">
        <v>71</v>
      </c>
      <c r="BD50" s="4" t="s">
        <v>71</v>
      </c>
      <c r="BE50" s="4" t="s">
        <v>71</v>
      </c>
      <c r="BF50" s="4" t="s">
        <v>71</v>
      </c>
      <c r="BG50" s="4" t="s">
        <v>70</v>
      </c>
      <c r="BH50" s="4" t="s">
        <v>71</v>
      </c>
      <c r="BI50" s="4" t="s">
        <v>70</v>
      </c>
      <c r="BJ50" s="4" t="s">
        <v>71</v>
      </c>
      <c r="BK50" s="4" t="s">
        <v>71</v>
      </c>
      <c r="BL50" s="4" t="s">
        <v>71</v>
      </c>
      <c r="BM50" s="4" t="s">
        <v>71</v>
      </c>
      <c r="BN50" s="4" t="s">
        <v>70</v>
      </c>
      <c r="BR50" s="4" t="s">
        <v>1034</v>
      </c>
    </row>
    <row r="51" spans="1:70" ht="13.2" x14ac:dyDescent="0.25">
      <c r="A51" s="3">
        <v>45005.958572719908</v>
      </c>
      <c r="B51" s="4" t="s">
        <v>1163</v>
      </c>
      <c r="C51" s="4" t="s">
        <v>1164</v>
      </c>
      <c r="D51" s="5" t="s">
        <v>1165</v>
      </c>
      <c r="E51" s="4" t="s">
        <v>103</v>
      </c>
      <c r="F51" s="4" t="s">
        <v>1166</v>
      </c>
      <c r="G51" s="4" t="s">
        <v>105</v>
      </c>
      <c r="H51" s="4" t="s">
        <v>1167</v>
      </c>
      <c r="I51" s="4" t="s">
        <v>1168</v>
      </c>
      <c r="J51" s="4" t="s">
        <v>1175</v>
      </c>
      <c r="K51" s="4" t="s">
        <v>1163</v>
      </c>
      <c r="L51" s="4" t="s">
        <v>665</v>
      </c>
      <c r="M51" s="4" t="s">
        <v>719</v>
      </c>
      <c r="N51" s="4">
        <v>35</v>
      </c>
      <c r="O51" s="4" t="s">
        <v>433</v>
      </c>
      <c r="P51" s="4">
        <v>5</v>
      </c>
      <c r="Q51" s="4">
        <v>5</v>
      </c>
      <c r="R51" s="4">
        <v>10</v>
      </c>
      <c r="S51" s="4" t="s">
        <v>1176</v>
      </c>
      <c r="T51" s="4" t="s">
        <v>71</v>
      </c>
      <c r="U51" s="4" t="s">
        <v>70</v>
      </c>
      <c r="V51" s="6" t="s">
        <v>99</v>
      </c>
      <c r="AU51" s="4" t="s">
        <v>70</v>
      </c>
      <c r="AV51" s="4" t="s">
        <v>70</v>
      </c>
      <c r="AW51" s="4" t="s">
        <v>71</v>
      </c>
      <c r="AX51" s="4" t="s">
        <v>71</v>
      </c>
      <c r="AY51" s="4" t="s">
        <v>71</v>
      </c>
      <c r="AZ51" s="4" t="s">
        <v>71</v>
      </c>
      <c r="BA51" s="4" t="s">
        <v>70</v>
      </c>
      <c r="BB51" s="4" t="s">
        <v>70</v>
      </c>
      <c r="BC51" s="4" t="s">
        <v>70</v>
      </c>
      <c r="BD51" s="4" t="s">
        <v>71</v>
      </c>
      <c r="BE51" s="4" t="s">
        <v>71</v>
      </c>
      <c r="BF51" s="4" t="s">
        <v>71</v>
      </c>
      <c r="BG51" s="4" t="s">
        <v>70</v>
      </c>
      <c r="BH51" s="4" t="s">
        <v>70</v>
      </c>
      <c r="BI51" s="4" t="s">
        <v>71</v>
      </c>
      <c r="BJ51" s="4" t="s">
        <v>71</v>
      </c>
      <c r="BK51" s="4" t="s">
        <v>71</v>
      </c>
      <c r="BL51" s="4" t="s">
        <v>70</v>
      </c>
      <c r="BM51" s="4" t="s">
        <v>70</v>
      </c>
      <c r="BN51" s="4" t="s">
        <v>71</v>
      </c>
      <c r="BO51" s="4" t="s">
        <v>71</v>
      </c>
      <c r="BP51" s="4" t="s">
        <v>70</v>
      </c>
      <c r="BR51" s="4" t="s">
        <v>1177</v>
      </c>
    </row>
    <row r="52" spans="1:70" ht="13.2" x14ac:dyDescent="0.25">
      <c r="A52" s="3">
        <v>45005.960503078706</v>
      </c>
      <c r="B52" s="4" t="s">
        <v>1163</v>
      </c>
      <c r="C52" s="4" t="s">
        <v>1164</v>
      </c>
      <c r="D52" s="5" t="s">
        <v>1165</v>
      </c>
      <c r="E52" s="4" t="s">
        <v>103</v>
      </c>
      <c r="F52" s="4" t="s">
        <v>1166</v>
      </c>
      <c r="G52" s="4" t="s">
        <v>105</v>
      </c>
      <c r="H52" s="4" t="s">
        <v>1167</v>
      </c>
      <c r="I52" s="4" t="s">
        <v>1175</v>
      </c>
      <c r="J52" s="4" t="s">
        <v>1178</v>
      </c>
      <c r="K52" s="4" t="s">
        <v>1163</v>
      </c>
      <c r="L52" s="4" t="s">
        <v>665</v>
      </c>
      <c r="M52" s="4" t="s">
        <v>719</v>
      </c>
      <c r="N52" s="4">
        <v>35</v>
      </c>
      <c r="O52" s="4" t="s">
        <v>433</v>
      </c>
      <c r="P52" s="4">
        <v>5</v>
      </c>
      <c r="Q52" s="4">
        <v>5</v>
      </c>
      <c r="R52" s="4">
        <v>10</v>
      </c>
      <c r="S52" s="4" t="s">
        <v>1179</v>
      </c>
      <c r="T52" s="4" t="s">
        <v>71</v>
      </c>
      <c r="U52" s="4" t="s">
        <v>70</v>
      </c>
      <c r="V52" s="6" t="s">
        <v>99</v>
      </c>
      <c r="AU52" s="4" t="s">
        <v>71</v>
      </c>
      <c r="AV52" s="4" t="s">
        <v>71</v>
      </c>
      <c r="AW52" s="4" t="s">
        <v>70</v>
      </c>
      <c r="AX52" s="4" t="s">
        <v>71</v>
      </c>
      <c r="AY52" s="4" t="s">
        <v>71</v>
      </c>
      <c r="AZ52" s="4" t="s">
        <v>71</v>
      </c>
      <c r="BA52" s="4" t="s">
        <v>70</v>
      </c>
      <c r="BB52" s="4" t="s">
        <v>70</v>
      </c>
      <c r="BC52" s="4" t="s">
        <v>70</v>
      </c>
      <c r="BD52" s="4" t="s">
        <v>71</v>
      </c>
      <c r="BE52" s="4" t="s">
        <v>71</v>
      </c>
      <c r="BF52" s="4" t="s">
        <v>71</v>
      </c>
      <c r="BG52" s="4" t="s">
        <v>70</v>
      </c>
      <c r="BH52" s="4" t="s">
        <v>70</v>
      </c>
      <c r="BI52" s="4" t="s">
        <v>71</v>
      </c>
      <c r="BJ52" s="4" t="s">
        <v>71</v>
      </c>
      <c r="BK52" s="4" t="s">
        <v>71</v>
      </c>
      <c r="BL52" s="4" t="s">
        <v>70</v>
      </c>
      <c r="BM52" s="4" t="s">
        <v>70</v>
      </c>
      <c r="BN52" s="4" t="s">
        <v>71</v>
      </c>
      <c r="BO52" s="4" t="s">
        <v>71</v>
      </c>
      <c r="BP52" s="4" t="s">
        <v>70</v>
      </c>
      <c r="BR52" s="4" t="s">
        <v>1180</v>
      </c>
    </row>
    <row r="53" spans="1:70" ht="13.2" x14ac:dyDescent="0.25">
      <c r="A53" s="3">
        <v>45005.964537025458</v>
      </c>
      <c r="B53" s="4" t="s">
        <v>867</v>
      </c>
      <c r="C53" s="4" t="s">
        <v>874</v>
      </c>
      <c r="D53" s="5" t="s">
        <v>869</v>
      </c>
      <c r="E53" s="4" t="s">
        <v>103</v>
      </c>
      <c r="F53" s="4" t="s">
        <v>840</v>
      </c>
      <c r="G53" s="4" t="s">
        <v>105</v>
      </c>
      <c r="H53" s="4" t="s">
        <v>871</v>
      </c>
      <c r="I53" s="4" t="s">
        <v>875</v>
      </c>
      <c r="K53" s="4" t="s">
        <v>867</v>
      </c>
      <c r="L53" s="4" t="s">
        <v>656</v>
      </c>
      <c r="M53" s="4" t="s">
        <v>411</v>
      </c>
      <c r="N53" s="4">
        <v>25</v>
      </c>
      <c r="O53" s="4" t="s">
        <v>69</v>
      </c>
      <c r="P53" s="4">
        <v>4</v>
      </c>
      <c r="Q53" s="4">
        <v>5</v>
      </c>
      <c r="R53" s="4">
        <v>30</v>
      </c>
      <c r="T53" s="4" t="s">
        <v>70</v>
      </c>
      <c r="U53" s="4" t="s">
        <v>70</v>
      </c>
      <c r="V53" s="6" t="s">
        <v>99</v>
      </c>
      <c r="AU53" s="4" t="s">
        <v>71</v>
      </c>
      <c r="AV53" s="4" t="s">
        <v>70</v>
      </c>
      <c r="AW53" s="4" t="s">
        <v>71</v>
      </c>
      <c r="AX53" s="4" t="s">
        <v>70</v>
      </c>
      <c r="AY53" s="4" t="s">
        <v>71</v>
      </c>
      <c r="AZ53" s="4" t="s">
        <v>71</v>
      </c>
      <c r="BA53" s="4" t="s">
        <v>71</v>
      </c>
      <c r="BB53" s="4" t="s">
        <v>71</v>
      </c>
      <c r="BC53" s="4" t="s">
        <v>71</v>
      </c>
      <c r="BD53" s="4" t="s">
        <v>71</v>
      </c>
      <c r="BE53" s="4" t="s">
        <v>70</v>
      </c>
      <c r="BF53" s="4" t="s">
        <v>70</v>
      </c>
      <c r="BG53" s="4" t="s">
        <v>71</v>
      </c>
      <c r="BH53" s="4" t="s">
        <v>71</v>
      </c>
      <c r="BL53" s="4" t="s">
        <v>70</v>
      </c>
      <c r="BQ53" s="4" t="s">
        <v>70</v>
      </c>
    </row>
    <row r="54" spans="1:70" ht="13.2" x14ac:dyDescent="0.25">
      <c r="A54" s="3">
        <v>45006.449418553239</v>
      </c>
      <c r="B54" s="4" t="s">
        <v>720</v>
      </c>
      <c r="C54" s="4" t="s">
        <v>721</v>
      </c>
      <c r="D54" s="7" t="s">
        <v>722</v>
      </c>
      <c r="E54" s="4" t="s">
        <v>103</v>
      </c>
      <c r="F54" s="4" t="s">
        <v>723</v>
      </c>
      <c r="G54" s="4" t="s">
        <v>105</v>
      </c>
      <c r="H54" s="4" t="s">
        <v>724</v>
      </c>
      <c r="I54" s="4" t="s">
        <v>725</v>
      </c>
      <c r="J54" s="4" t="s">
        <v>726</v>
      </c>
      <c r="K54" s="4" t="s">
        <v>720</v>
      </c>
      <c r="L54" s="4" t="s">
        <v>656</v>
      </c>
      <c r="M54" s="4" t="s">
        <v>422</v>
      </c>
      <c r="N54" s="4">
        <v>35</v>
      </c>
      <c r="O54" s="4" t="s">
        <v>69</v>
      </c>
      <c r="P54" s="4">
        <v>3</v>
      </c>
      <c r="Q54" s="4">
        <v>2</v>
      </c>
      <c r="R54" s="4">
        <v>90</v>
      </c>
      <c r="T54" s="4" t="s">
        <v>70</v>
      </c>
      <c r="U54" s="4" t="s">
        <v>70</v>
      </c>
      <c r="V54" s="6" t="s">
        <v>99</v>
      </c>
      <c r="AU54" s="4" t="s">
        <v>71</v>
      </c>
      <c r="AV54" s="4" t="s">
        <v>70</v>
      </c>
      <c r="AW54" s="4" t="s">
        <v>71</v>
      </c>
      <c r="AX54" s="4" t="s">
        <v>71</v>
      </c>
      <c r="AY54" s="4" t="s">
        <v>70</v>
      </c>
      <c r="AZ54" s="4" t="s">
        <v>70</v>
      </c>
      <c r="BA54" s="4" t="s">
        <v>70</v>
      </c>
      <c r="BB54" s="4" t="s">
        <v>71</v>
      </c>
      <c r="BC54" s="4" t="s">
        <v>71</v>
      </c>
      <c r="BD54" s="4" t="s">
        <v>71</v>
      </c>
      <c r="BE54" s="4" t="s">
        <v>70</v>
      </c>
      <c r="BF54" s="4" t="s">
        <v>71</v>
      </c>
      <c r="BG54" s="4" t="s">
        <v>71</v>
      </c>
      <c r="BH54" s="4" t="s">
        <v>71</v>
      </c>
      <c r="BI54" s="4" t="s">
        <v>71</v>
      </c>
      <c r="BJ54" s="4" t="s">
        <v>71</v>
      </c>
      <c r="BK54" s="4" t="s">
        <v>71</v>
      </c>
      <c r="BL54" s="4" t="s">
        <v>71</v>
      </c>
      <c r="BM54" s="4" t="s">
        <v>71</v>
      </c>
      <c r="BN54" s="4" t="s">
        <v>70</v>
      </c>
      <c r="BO54" s="4" t="s">
        <v>70</v>
      </c>
      <c r="BP54" s="4" t="s">
        <v>71</v>
      </c>
      <c r="BQ54" s="4" t="s">
        <v>71</v>
      </c>
    </row>
    <row r="55" spans="1:70" ht="13.2" x14ac:dyDescent="0.25">
      <c r="A55" s="3">
        <v>45006.475162615738</v>
      </c>
      <c r="B55" s="4" t="s">
        <v>1001</v>
      </c>
      <c r="C55" s="4" t="s">
        <v>1002</v>
      </c>
      <c r="D55" s="5" t="s">
        <v>1003</v>
      </c>
      <c r="E55" s="4" t="s">
        <v>149</v>
      </c>
      <c r="F55" s="4" t="s">
        <v>132</v>
      </c>
      <c r="G55" s="4" t="s">
        <v>64</v>
      </c>
      <c r="H55" s="4" t="s">
        <v>745</v>
      </c>
      <c r="I55" s="4" t="s">
        <v>1006</v>
      </c>
      <c r="K55" s="4" t="s">
        <v>1001</v>
      </c>
      <c r="L55" s="4" t="s">
        <v>656</v>
      </c>
      <c r="M55" s="4" t="s">
        <v>550</v>
      </c>
      <c r="N55" s="4">
        <v>35</v>
      </c>
      <c r="O55" s="4" t="s">
        <v>97</v>
      </c>
      <c r="P55" s="4">
        <v>4</v>
      </c>
      <c r="Q55" s="4">
        <v>4</v>
      </c>
      <c r="R55" s="4">
        <v>20</v>
      </c>
      <c r="T55" s="4" t="s">
        <v>70</v>
      </c>
      <c r="U55" s="4" t="s">
        <v>70</v>
      </c>
      <c r="V55" s="6" t="s">
        <v>99</v>
      </c>
      <c r="AU55" s="4" t="s">
        <v>70</v>
      </c>
      <c r="AV55" s="4" t="s">
        <v>71</v>
      </c>
      <c r="AW55" s="4" t="s">
        <v>70</v>
      </c>
      <c r="AX55" s="4" t="s">
        <v>70</v>
      </c>
      <c r="AY55" s="4" t="s">
        <v>71</v>
      </c>
      <c r="AZ55" s="4" t="s">
        <v>70</v>
      </c>
      <c r="BA55" s="4" t="s">
        <v>71</v>
      </c>
      <c r="BB55" s="4" t="s">
        <v>70</v>
      </c>
      <c r="BC55" s="4" t="s">
        <v>71</v>
      </c>
      <c r="BF55" s="4" t="s">
        <v>70</v>
      </c>
      <c r="BG55" s="4" t="s">
        <v>70</v>
      </c>
      <c r="BL55" s="4" t="s">
        <v>70</v>
      </c>
      <c r="BM55" s="4" t="s">
        <v>70</v>
      </c>
      <c r="BN55" s="4" t="s">
        <v>70</v>
      </c>
      <c r="BO55" s="4" t="s">
        <v>70</v>
      </c>
    </row>
    <row r="56" spans="1:70" ht="13.2" x14ac:dyDescent="0.25">
      <c r="A56" s="3">
        <v>45006.502719733791</v>
      </c>
      <c r="B56" s="4" t="s">
        <v>129</v>
      </c>
      <c r="C56" s="4" t="s">
        <v>130</v>
      </c>
      <c r="D56" s="6" t="s">
        <v>131</v>
      </c>
      <c r="E56" s="4" t="s">
        <v>62</v>
      </c>
      <c r="F56" s="4" t="s">
        <v>132</v>
      </c>
      <c r="G56" s="4" t="s">
        <v>64</v>
      </c>
      <c r="H56" s="4" t="s">
        <v>133</v>
      </c>
      <c r="I56" s="4" t="s">
        <v>134</v>
      </c>
      <c r="J56" s="4" t="s">
        <v>135</v>
      </c>
      <c r="K56" s="4" t="s">
        <v>129</v>
      </c>
      <c r="L56" s="4" t="s">
        <v>67</v>
      </c>
      <c r="M56" s="4" t="s">
        <v>114</v>
      </c>
      <c r="N56" s="4">
        <v>35</v>
      </c>
      <c r="O56" s="4" t="s">
        <v>97</v>
      </c>
      <c r="P56" s="4">
        <v>3</v>
      </c>
      <c r="Q56" s="4">
        <v>3</v>
      </c>
      <c r="R56" s="4">
        <v>5</v>
      </c>
      <c r="T56" s="4" t="s">
        <v>70</v>
      </c>
      <c r="U56" s="4" t="s">
        <v>71</v>
      </c>
      <c r="V56" s="6" t="s">
        <v>99</v>
      </c>
      <c r="AU56" s="4" t="s">
        <v>70</v>
      </c>
      <c r="AV56" s="4" t="s">
        <v>70</v>
      </c>
      <c r="AW56" s="4" t="s">
        <v>70</v>
      </c>
      <c r="AX56" s="4" t="s">
        <v>70</v>
      </c>
      <c r="AY56" s="4" t="s">
        <v>70</v>
      </c>
      <c r="AZ56" s="4" t="s">
        <v>70</v>
      </c>
      <c r="BA56" s="4" t="s">
        <v>70</v>
      </c>
      <c r="BB56" s="4" t="s">
        <v>70</v>
      </c>
      <c r="BC56" s="4" t="s">
        <v>70</v>
      </c>
      <c r="BD56" s="4" t="s">
        <v>70</v>
      </c>
      <c r="BE56" s="4" t="s">
        <v>70</v>
      </c>
      <c r="BF56" s="4" t="s">
        <v>70</v>
      </c>
      <c r="BG56" s="4" t="s">
        <v>70</v>
      </c>
      <c r="BH56" s="4" t="s">
        <v>70</v>
      </c>
      <c r="BI56" s="4" t="s">
        <v>71</v>
      </c>
      <c r="BJ56" s="4" t="s">
        <v>71</v>
      </c>
      <c r="BK56" s="4" t="s">
        <v>70</v>
      </c>
      <c r="BL56" s="4" t="s">
        <v>71</v>
      </c>
      <c r="BM56" s="4" t="s">
        <v>71</v>
      </c>
      <c r="BN56" s="4" t="s">
        <v>71</v>
      </c>
      <c r="BO56" s="4" t="s">
        <v>71</v>
      </c>
      <c r="BP56" s="4" t="s">
        <v>71</v>
      </c>
      <c r="BQ56" s="4" t="s">
        <v>71</v>
      </c>
    </row>
    <row r="58" spans="1:70" ht="13.2" x14ac:dyDescent="0.25">
      <c r="N58" s="14">
        <f>SUM(N1:N56)</f>
        <v>1653</v>
      </c>
    </row>
  </sheetData>
  <autoFilter ref="A1:CV5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L97"/>
  <sheetViews>
    <sheetView workbookViewId="0">
      <pane xSplit="21" ySplit="1" topLeftCell="V2" activePane="bottomRight" state="frozen"/>
      <selection pane="topRight" activeCell="V1" sqref="V1"/>
      <selection pane="bottomLeft" activeCell="A2" sqref="A2"/>
      <selection pane="bottomRight" activeCell="V2" sqref="V2"/>
    </sheetView>
  </sheetViews>
  <sheetFormatPr baseColWidth="10" defaultColWidth="12.6640625" defaultRowHeight="15.75" customHeight="1" x14ac:dyDescent="0.25"/>
  <cols>
    <col min="1" max="2" width="12.6640625" hidden="1"/>
    <col min="3" max="3" width="15.109375" customWidth="1"/>
    <col min="4" max="5" width="12.6640625" hidden="1"/>
    <col min="9" max="10" width="12.6640625" hidden="1"/>
    <col min="12" max="12" width="12.6640625" hidden="1"/>
    <col min="14" max="14" width="4.88671875" customWidth="1"/>
    <col min="16" max="18" width="12.6640625" hidden="1"/>
    <col min="20" max="20" width="4" customWidth="1"/>
    <col min="21" max="21" width="4.88671875" customWidth="1"/>
    <col min="22" max="22" width="12.6640625" hidden="1"/>
    <col min="26" max="26" width="9" customWidth="1"/>
    <col min="27" max="27" width="8.77734375" customWidth="1"/>
    <col min="28" max="28" width="9.109375" customWidth="1"/>
    <col min="29" max="29" width="8.21875" customWidth="1"/>
    <col min="31" max="31" width="7.44140625" customWidth="1"/>
    <col min="33" max="33" width="8.21875" customWidth="1"/>
    <col min="35" max="35" width="8.44140625" customWidth="1"/>
    <col min="37" max="37" width="8.109375" customWidth="1"/>
  </cols>
  <sheetData>
    <row r="1" spans="1:64" ht="69.75" customHeight="1" x14ac:dyDescent="0.25">
      <c r="A1" s="19" t="s">
        <v>0</v>
      </c>
      <c r="B1" s="19" t="s">
        <v>1</v>
      </c>
      <c r="C1" s="19" t="s">
        <v>2</v>
      </c>
      <c r="D1" s="19" t="s">
        <v>1198</v>
      </c>
      <c r="E1" s="19" t="s">
        <v>1199</v>
      </c>
      <c r="F1" s="19" t="s">
        <v>5</v>
      </c>
      <c r="G1" s="19" t="s">
        <v>6</v>
      </c>
      <c r="H1" s="19" t="s">
        <v>7</v>
      </c>
      <c r="I1" s="19" t="s">
        <v>8</v>
      </c>
      <c r="J1" s="19" t="s">
        <v>9</v>
      </c>
      <c r="K1" s="19" t="s">
        <v>10</v>
      </c>
      <c r="L1" s="19" t="s">
        <v>1200</v>
      </c>
      <c r="M1" s="19" t="s">
        <v>12</v>
      </c>
      <c r="N1" s="19" t="s">
        <v>1201</v>
      </c>
      <c r="O1" s="19" t="s">
        <v>1202</v>
      </c>
      <c r="P1" s="19" t="s">
        <v>15</v>
      </c>
      <c r="Q1" s="19" t="s">
        <v>16</v>
      </c>
      <c r="R1" s="19" t="s">
        <v>1203</v>
      </c>
      <c r="S1" s="19" t="s">
        <v>18</v>
      </c>
      <c r="T1" s="19" t="s">
        <v>19</v>
      </c>
      <c r="U1" s="19" t="s">
        <v>20</v>
      </c>
      <c r="V1" s="19" t="s">
        <v>1204</v>
      </c>
      <c r="W1" s="19" t="s">
        <v>47</v>
      </c>
      <c r="X1" s="19" t="s">
        <v>48</v>
      </c>
      <c r="Y1" s="19" t="s">
        <v>49</v>
      </c>
      <c r="Z1" s="19" t="s">
        <v>26</v>
      </c>
      <c r="AA1" s="20" t="s">
        <v>1218</v>
      </c>
      <c r="AB1" s="19" t="s">
        <v>27</v>
      </c>
      <c r="AC1" s="20" t="s">
        <v>1219</v>
      </c>
      <c r="AD1" s="19" t="s">
        <v>28</v>
      </c>
      <c r="AE1" s="20" t="s">
        <v>1218</v>
      </c>
      <c r="AF1" s="19" t="s">
        <v>29</v>
      </c>
      <c r="AG1" s="20" t="s">
        <v>1219</v>
      </c>
      <c r="AH1" s="19" t="s">
        <v>30</v>
      </c>
      <c r="AI1" s="20" t="s">
        <v>1218</v>
      </c>
      <c r="AJ1" s="19" t="s">
        <v>31</v>
      </c>
      <c r="AK1" s="20" t="s">
        <v>1218</v>
      </c>
      <c r="AL1" s="19" t="s">
        <v>50</v>
      </c>
      <c r="AM1" s="20" t="s">
        <v>1220</v>
      </c>
      <c r="AN1" s="19" t="s">
        <v>33</v>
      </c>
      <c r="AO1" s="20" t="s">
        <v>1221</v>
      </c>
      <c r="AP1" s="19" t="s">
        <v>34</v>
      </c>
      <c r="AQ1" s="20" t="s">
        <v>1222</v>
      </c>
      <c r="AR1" s="19" t="s">
        <v>35</v>
      </c>
      <c r="AS1" s="20" t="s">
        <v>1223</v>
      </c>
      <c r="AT1" s="19" t="s">
        <v>36</v>
      </c>
      <c r="AU1" s="20" t="s">
        <v>1224</v>
      </c>
      <c r="AV1" s="19" t="s">
        <v>37</v>
      </c>
      <c r="AW1" s="19" t="s">
        <v>38</v>
      </c>
      <c r="AX1" s="19" t="s">
        <v>39</v>
      </c>
      <c r="AY1" s="19" t="s">
        <v>40</v>
      </c>
      <c r="AZ1" s="19" t="s">
        <v>41</v>
      </c>
      <c r="BA1" s="19" t="s">
        <v>51</v>
      </c>
      <c r="BB1" s="20" t="s">
        <v>1225</v>
      </c>
      <c r="BC1" s="19" t="s">
        <v>52</v>
      </c>
      <c r="BD1" s="20" t="s">
        <v>1225</v>
      </c>
      <c r="BE1" s="41" t="s">
        <v>53</v>
      </c>
      <c r="BF1" s="20" t="s">
        <v>1225</v>
      </c>
      <c r="BG1" s="19" t="s">
        <v>54</v>
      </c>
      <c r="BH1" s="20" t="s">
        <v>1225</v>
      </c>
      <c r="BI1" s="19" t="s">
        <v>46</v>
      </c>
      <c r="BJ1" s="20" t="s">
        <v>1226</v>
      </c>
      <c r="BK1" s="21"/>
      <c r="BL1" s="21"/>
    </row>
    <row r="2" spans="1:64" ht="13.2" x14ac:dyDescent="0.25">
      <c r="A2" s="22">
        <v>45000.685528321759</v>
      </c>
      <c r="B2" s="23" t="s">
        <v>790</v>
      </c>
      <c r="C2" s="23" t="s">
        <v>791</v>
      </c>
      <c r="D2" s="29" t="s">
        <v>792</v>
      </c>
      <c r="E2" s="23" t="s">
        <v>103</v>
      </c>
      <c r="F2" s="23" t="s">
        <v>384</v>
      </c>
      <c r="G2" s="23" t="s">
        <v>105</v>
      </c>
      <c r="H2" s="23" t="s">
        <v>793</v>
      </c>
      <c r="I2" s="23" t="s">
        <v>794</v>
      </c>
      <c r="J2" s="23" t="s">
        <v>795</v>
      </c>
      <c r="K2" s="23" t="s">
        <v>790</v>
      </c>
      <c r="L2" s="23" t="s">
        <v>656</v>
      </c>
      <c r="M2" s="23" t="s">
        <v>480</v>
      </c>
      <c r="N2" s="23">
        <v>34</v>
      </c>
      <c r="O2" s="23" t="s">
        <v>69</v>
      </c>
      <c r="P2" s="23">
        <v>2</v>
      </c>
      <c r="Q2" s="23">
        <v>2</v>
      </c>
      <c r="R2" s="23">
        <v>75</v>
      </c>
      <c r="S2" s="25"/>
      <c r="T2" s="23" t="s">
        <v>70</v>
      </c>
      <c r="U2" s="23" t="s">
        <v>71</v>
      </c>
      <c r="V2" s="26" t="s">
        <v>99</v>
      </c>
      <c r="W2" s="27">
        <f>IF('CRUDO MIÉRCOLES'!AU4="Si",$N2,)</f>
        <v>34</v>
      </c>
      <c r="X2" s="28">
        <v>0</v>
      </c>
      <c r="Y2" s="28">
        <v>0</v>
      </c>
      <c r="Z2" s="28">
        <v>0</v>
      </c>
      <c r="AA2" s="28"/>
      <c r="AB2" s="28">
        <v>34</v>
      </c>
      <c r="AC2" s="28" t="s">
        <v>1227</v>
      </c>
      <c r="AD2" s="28">
        <v>0</v>
      </c>
      <c r="AE2" s="28"/>
      <c r="AF2" s="28">
        <v>0</v>
      </c>
      <c r="AG2" s="28"/>
      <c r="AH2" s="27">
        <f>IF('CRUDO MIÉRCOLES'!BB4="Si",$N2,)</f>
        <v>34</v>
      </c>
      <c r="AI2" s="28" t="s">
        <v>1233</v>
      </c>
      <c r="AJ2" s="27">
        <f>IF('CRUDO MIÉRCOLES'!BC4="Si",$N2,)</f>
        <v>0</v>
      </c>
      <c r="AK2" s="27"/>
      <c r="AL2" s="28">
        <v>0</v>
      </c>
      <c r="AM2" s="28"/>
      <c r="AN2" s="28">
        <v>0</v>
      </c>
      <c r="AO2" s="28"/>
      <c r="AP2" s="28">
        <v>34</v>
      </c>
      <c r="AQ2" s="28" t="s">
        <v>1262</v>
      </c>
      <c r="AR2" s="28">
        <v>0</v>
      </c>
      <c r="AS2" s="27"/>
      <c r="AT2" s="27">
        <f>IF('CRUDO MIÉRCOLES'!BH4="Si",$N2,)</f>
        <v>0</v>
      </c>
      <c r="AU2" s="28"/>
      <c r="AV2" s="28">
        <v>0</v>
      </c>
      <c r="AW2" s="28">
        <v>0</v>
      </c>
      <c r="AX2" s="28">
        <v>0</v>
      </c>
      <c r="AY2" s="28">
        <v>0</v>
      </c>
      <c r="AZ2" s="27">
        <f>IF('CRUDO MIÉRCOLES'!BM4="Si",$N2,)</f>
        <v>0</v>
      </c>
      <c r="BA2" s="28">
        <v>0</v>
      </c>
      <c r="BB2" s="28"/>
      <c r="BC2" s="28">
        <v>0</v>
      </c>
      <c r="BD2" s="28"/>
      <c r="BE2" s="28">
        <v>0</v>
      </c>
      <c r="BF2" s="27"/>
      <c r="BG2" s="27">
        <f>IF('CRUDO MIÉRCOLES'!BQ4="Si",$N2,)</f>
        <v>0</v>
      </c>
      <c r="BH2" s="25"/>
      <c r="BI2" s="25"/>
      <c r="BJ2" s="23" t="s">
        <v>1242</v>
      </c>
      <c r="BK2" s="23">
        <v>1</v>
      </c>
      <c r="BL2" s="25"/>
    </row>
    <row r="3" spans="1:64" ht="13.2" x14ac:dyDescent="0.25">
      <c r="A3" s="22">
        <v>45000.705323576389</v>
      </c>
      <c r="B3" s="23" t="s">
        <v>416</v>
      </c>
      <c r="C3" s="23" t="s">
        <v>417</v>
      </c>
      <c r="D3" s="24" t="s">
        <v>418</v>
      </c>
      <c r="E3" s="23" t="s">
        <v>62</v>
      </c>
      <c r="F3" s="23" t="s">
        <v>211</v>
      </c>
      <c r="G3" s="23" t="s">
        <v>64</v>
      </c>
      <c r="H3" s="23" t="s">
        <v>419</v>
      </c>
      <c r="I3" s="23" t="s">
        <v>420</v>
      </c>
      <c r="J3" s="23" t="s">
        <v>421</v>
      </c>
      <c r="K3" s="23" t="s">
        <v>416</v>
      </c>
      <c r="L3" s="23" t="s">
        <v>67</v>
      </c>
      <c r="M3" s="23" t="s">
        <v>280</v>
      </c>
      <c r="N3" s="23">
        <v>30</v>
      </c>
      <c r="O3" s="23" t="s">
        <v>69</v>
      </c>
      <c r="P3" s="23">
        <v>2</v>
      </c>
      <c r="Q3" s="23">
        <v>1</v>
      </c>
      <c r="R3" s="23">
        <v>40</v>
      </c>
      <c r="S3" s="25"/>
      <c r="T3" s="23" t="s">
        <v>70</v>
      </c>
      <c r="U3" s="23" t="s">
        <v>71</v>
      </c>
      <c r="V3" s="26" t="s">
        <v>99</v>
      </c>
      <c r="W3" s="27">
        <f>IF('CRUDO MIÉRCOLES'!AU5="Si",$N3,)</f>
        <v>30</v>
      </c>
      <c r="X3" s="27">
        <f>IF('CRUDO MIÉRCOLES'!AV5="Si",$N3,)</f>
        <v>0</v>
      </c>
      <c r="Y3" s="27">
        <f>IF('CRUDO MIÉRCOLES'!AW5="Si",$N3,)</f>
        <v>0</v>
      </c>
      <c r="Z3" s="27">
        <f>IF('CRUDO MIÉRCOLES'!AX5="Si",$N3,)</f>
        <v>0</v>
      </c>
      <c r="AA3" s="27"/>
      <c r="AB3" s="27">
        <f>IF('CRUDO MIÉRCOLES'!AY5="Si",$N3,)</f>
        <v>30</v>
      </c>
      <c r="AC3" s="28" t="s">
        <v>1233</v>
      </c>
      <c r="AD3" s="28">
        <v>30</v>
      </c>
      <c r="AE3" s="28" t="s">
        <v>1227</v>
      </c>
      <c r="AF3" s="27">
        <f>IF('CRUDO MIÉRCOLES'!BA5="Si",$N3,)</f>
        <v>0</v>
      </c>
      <c r="AG3" s="27"/>
      <c r="AH3" s="27">
        <f>IF('CRUDO MIÉRCOLES'!BB5="Si",$N3,)</f>
        <v>0</v>
      </c>
      <c r="AI3" s="27"/>
      <c r="AJ3" s="27">
        <f>IF('CRUDO MIÉRCOLES'!BC5="Si",$N3,)</f>
        <v>0</v>
      </c>
      <c r="AK3" s="27"/>
      <c r="AL3" s="27">
        <f>IF('CRUDO MIÉRCOLES'!BD5="Si",$N3,)</f>
        <v>0</v>
      </c>
      <c r="AM3" s="27"/>
      <c r="AN3" s="27">
        <f>IF('CRUDO MIÉRCOLES'!BE5="Si",$N3,)</f>
        <v>0</v>
      </c>
      <c r="AO3" s="27"/>
      <c r="AP3" s="27">
        <f>IF('CRUDO MIÉRCOLES'!BF5="Si",$N3,)</f>
        <v>0</v>
      </c>
      <c r="AQ3" s="27"/>
      <c r="AR3" s="27">
        <f>IF('CRUDO MIÉRCOLES'!BG5="Si",$N3,)</f>
        <v>0</v>
      </c>
      <c r="AS3" s="27"/>
      <c r="AT3" s="27">
        <f>IF('CRUDO MIÉRCOLES'!BH5="Si",$N3,)</f>
        <v>0</v>
      </c>
      <c r="AU3" s="27"/>
      <c r="AV3" s="27">
        <f>IF('CRUDO MIÉRCOLES'!BI5="Si",$N3,)</f>
        <v>0</v>
      </c>
      <c r="AW3" s="27">
        <f>IF('CRUDO MIÉRCOLES'!BJ5="Si",$N3,)</f>
        <v>0</v>
      </c>
      <c r="AX3" s="28">
        <v>0</v>
      </c>
      <c r="AY3" s="27">
        <f>IF('CRUDO MIÉRCOLES'!BL5="Si",$N3,)</f>
        <v>0</v>
      </c>
      <c r="AZ3" s="27">
        <f>IF('CRUDO MIÉRCOLES'!BM5="Si",$N3,)</f>
        <v>0</v>
      </c>
      <c r="BA3" s="28"/>
      <c r="BB3" s="28"/>
      <c r="BC3" s="27">
        <f>IF('CRUDO MIÉRCOLES'!BO5="Si",$N3,)</f>
        <v>0</v>
      </c>
      <c r="BD3" s="27"/>
      <c r="BE3" s="27">
        <f>IF('CRUDO MIÉRCOLES'!BP5="Si",$N3,)</f>
        <v>0</v>
      </c>
      <c r="BF3" s="27"/>
      <c r="BG3" s="27">
        <f>IF('CRUDO MIÉRCOLES'!BQ5="Si",$N3,)</f>
        <v>0</v>
      </c>
      <c r="BH3" s="25"/>
      <c r="BI3" s="25"/>
      <c r="BJ3" s="23" t="s">
        <v>1263</v>
      </c>
      <c r="BK3" s="23">
        <v>1</v>
      </c>
      <c r="BL3" s="25"/>
    </row>
    <row r="4" spans="1:64" ht="13.2" x14ac:dyDescent="0.25">
      <c r="A4" s="22">
        <v>45000.707809884261</v>
      </c>
      <c r="B4" s="23" t="s">
        <v>416</v>
      </c>
      <c r="C4" s="23" t="s">
        <v>417</v>
      </c>
      <c r="D4" s="24" t="s">
        <v>418</v>
      </c>
      <c r="E4" s="23" t="s">
        <v>149</v>
      </c>
      <c r="F4" s="23" t="s">
        <v>150</v>
      </c>
      <c r="G4" s="23" t="s">
        <v>64</v>
      </c>
      <c r="H4" s="23" t="s">
        <v>419</v>
      </c>
      <c r="I4" s="23" t="s">
        <v>420</v>
      </c>
      <c r="J4" s="23" t="s">
        <v>421</v>
      </c>
      <c r="K4" s="23" t="s">
        <v>416</v>
      </c>
      <c r="L4" s="23" t="s">
        <v>67</v>
      </c>
      <c r="M4" s="23" t="s">
        <v>280</v>
      </c>
      <c r="N4" s="23">
        <v>30</v>
      </c>
      <c r="O4" s="23" t="s">
        <v>69</v>
      </c>
      <c r="P4" s="23">
        <v>2</v>
      </c>
      <c r="Q4" s="23">
        <v>1</v>
      </c>
      <c r="R4" s="23">
        <v>40</v>
      </c>
      <c r="S4" s="25"/>
      <c r="T4" s="23" t="s">
        <v>70</v>
      </c>
      <c r="U4" s="23" t="s">
        <v>71</v>
      </c>
      <c r="V4" s="26" t="s">
        <v>99</v>
      </c>
      <c r="W4" s="27">
        <f>IF('CRUDO MIÉRCOLES'!AU6="Si",$N4,)</f>
        <v>30</v>
      </c>
      <c r="X4" s="27">
        <f>IF('CRUDO MIÉRCOLES'!AV6="Si",$N4,)</f>
        <v>0</v>
      </c>
      <c r="Y4" s="27">
        <f>IF('CRUDO MIÉRCOLES'!AW6="Si",$N4,)</f>
        <v>0</v>
      </c>
      <c r="Z4" s="27">
        <f>IF('CRUDO MIÉRCOLES'!AX6="Si",$N4,)</f>
        <v>0</v>
      </c>
      <c r="AA4" s="27"/>
      <c r="AB4" s="27">
        <f>IF('CRUDO MIÉRCOLES'!AY6="Si",$N4,)</f>
        <v>30</v>
      </c>
      <c r="AC4" s="28" t="s">
        <v>1264</v>
      </c>
      <c r="AD4" s="27">
        <f>IF('CRUDO MIÉRCOLES'!AZ6="Si",$N4,)</f>
        <v>0</v>
      </c>
      <c r="AE4" s="27"/>
      <c r="AF4" s="27">
        <f>IF('CRUDO MIÉRCOLES'!BA6="Si",$N4,)</f>
        <v>0</v>
      </c>
      <c r="AG4" s="27"/>
      <c r="AH4" s="27">
        <f>IF('CRUDO MIÉRCOLES'!BB6="Si",$N4,)</f>
        <v>0</v>
      </c>
      <c r="AI4" s="27"/>
      <c r="AJ4" s="27">
        <f>IF('CRUDO MIÉRCOLES'!BC6="Si",$N4,)</f>
        <v>0</v>
      </c>
      <c r="AK4" s="27"/>
      <c r="AL4" s="27">
        <f>IF('CRUDO MIÉRCOLES'!BD6="Si",$N4,)</f>
        <v>0</v>
      </c>
      <c r="AM4" s="27"/>
      <c r="AN4" s="27">
        <f>IF('CRUDO MIÉRCOLES'!BE6="Si",$N4,)</f>
        <v>0</v>
      </c>
      <c r="AO4" s="27"/>
      <c r="AP4" s="27">
        <f>IF('CRUDO MIÉRCOLES'!BF6="Si",$N4,)</f>
        <v>0</v>
      </c>
      <c r="AQ4" s="27"/>
      <c r="AR4" s="27">
        <f>IF('CRUDO MIÉRCOLES'!BG6="Si",$N4,)</f>
        <v>0</v>
      </c>
      <c r="AS4" s="27"/>
      <c r="AT4" s="27">
        <f>IF('CRUDO MIÉRCOLES'!BH6="Si",$N4,)</f>
        <v>0</v>
      </c>
      <c r="AU4" s="27"/>
      <c r="AV4" s="27">
        <f>IF('CRUDO MIÉRCOLES'!BI6="Si",$N4,)</f>
        <v>0</v>
      </c>
      <c r="AW4" s="27">
        <f>IF('CRUDO MIÉRCOLES'!BJ6="Si",$N4,)</f>
        <v>0</v>
      </c>
      <c r="AX4" s="28">
        <v>0</v>
      </c>
      <c r="AY4" s="27">
        <f>IF('CRUDO MIÉRCOLES'!BL6="Si",$N4,)</f>
        <v>0</v>
      </c>
      <c r="AZ4" s="27">
        <f>IF('CRUDO MIÉRCOLES'!BM6="Si",$N4,)</f>
        <v>0</v>
      </c>
      <c r="BA4" s="28"/>
      <c r="BB4" s="27"/>
      <c r="BC4" s="28">
        <v>30</v>
      </c>
      <c r="BD4" s="28" t="s">
        <v>1235</v>
      </c>
      <c r="BE4" s="27">
        <f>IF('CRUDO MIÉRCOLES'!BP6="Si",$N4,)</f>
        <v>0</v>
      </c>
      <c r="BF4" s="27"/>
      <c r="BG4" s="27">
        <f>IF('CRUDO MIÉRCOLES'!BQ6="Si",$N4,)</f>
        <v>0</v>
      </c>
      <c r="BH4" s="25"/>
      <c r="BI4" s="25"/>
      <c r="BJ4" s="23" t="s">
        <v>1263</v>
      </c>
      <c r="BK4" s="23">
        <v>1</v>
      </c>
      <c r="BL4" s="25"/>
    </row>
    <row r="5" spans="1:64" ht="13.2" x14ac:dyDescent="0.25">
      <c r="A5" s="22">
        <v>45000.728338472225</v>
      </c>
      <c r="B5" s="23" t="s">
        <v>388</v>
      </c>
      <c r="C5" s="23" t="s">
        <v>389</v>
      </c>
      <c r="D5" s="29" t="s">
        <v>390</v>
      </c>
      <c r="E5" s="23" t="s">
        <v>62</v>
      </c>
      <c r="F5" s="23" t="s">
        <v>391</v>
      </c>
      <c r="G5" s="23" t="s">
        <v>64</v>
      </c>
      <c r="H5" s="23" t="s">
        <v>166</v>
      </c>
      <c r="I5" s="23" t="s">
        <v>392</v>
      </c>
      <c r="J5" s="23" t="s">
        <v>393</v>
      </c>
      <c r="K5" s="23" t="s">
        <v>388</v>
      </c>
      <c r="L5" s="23" t="s">
        <v>67</v>
      </c>
      <c r="M5" s="23" t="s">
        <v>272</v>
      </c>
      <c r="N5" s="23">
        <v>32</v>
      </c>
      <c r="O5" s="23" t="s">
        <v>69</v>
      </c>
      <c r="P5" s="23">
        <v>4</v>
      </c>
      <c r="Q5" s="23">
        <v>1</v>
      </c>
      <c r="R5" s="23">
        <v>0</v>
      </c>
      <c r="S5" s="23" t="s">
        <v>395</v>
      </c>
      <c r="T5" s="23" t="s">
        <v>70</v>
      </c>
      <c r="U5" s="23" t="s">
        <v>71</v>
      </c>
      <c r="V5" s="26" t="s">
        <v>99</v>
      </c>
      <c r="W5" s="27">
        <f>IF('CRUDO MIÉRCOLES'!AU7="Si",$N5,)</f>
        <v>0</v>
      </c>
      <c r="X5" s="27">
        <f>IF('CRUDO MIÉRCOLES'!AV7="Si",$N5,)</f>
        <v>32</v>
      </c>
      <c r="Y5" s="27">
        <f>IF('CRUDO MIÉRCOLES'!AW7="Si",$N5,)</f>
        <v>0</v>
      </c>
      <c r="Z5" s="27">
        <f>IF('CRUDO MIÉRCOLES'!AX7="Si",$N5,)</f>
        <v>32</v>
      </c>
      <c r="AA5" s="28" t="s">
        <v>1227</v>
      </c>
      <c r="AB5" s="27">
        <f>IF('CRUDO MIÉRCOLES'!AY7="Si",$N5,)</f>
        <v>0</v>
      </c>
      <c r="AC5" s="27"/>
      <c r="AD5" s="27">
        <f>IF('CRUDO MIÉRCOLES'!AZ7="Si",$N5,)</f>
        <v>0</v>
      </c>
      <c r="AE5" s="27"/>
      <c r="AF5" s="27">
        <f>IF('CRUDO MIÉRCOLES'!BA7="Si",$N5,)</f>
        <v>0</v>
      </c>
      <c r="AG5" s="27"/>
      <c r="AH5" s="27">
        <f>IF('CRUDO MIÉRCOLES'!BB7="Si",$N5,)</f>
        <v>0</v>
      </c>
      <c r="AI5" s="27"/>
      <c r="AJ5" s="27">
        <f>IF('CRUDO MIÉRCOLES'!BC7="Si",$N5,)</f>
        <v>0</v>
      </c>
      <c r="AK5" s="27"/>
      <c r="AL5" s="28">
        <v>0</v>
      </c>
      <c r="AM5" s="28"/>
      <c r="AN5" s="28">
        <v>32</v>
      </c>
      <c r="AO5" s="28" t="s">
        <v>1265</v>
      </c>
      <c r="AP5" s="28">
        <v>0</v>
      </c>
      <c r="AQ5" s="27"/>
      <c r="AR5" s="27">
        <f>IF('CRUDO MIÉRCOLES'!BG7="Si",$N5,)</f>
        <v>0</v>
      </c>
      <c r="AS5" s="27"/>
      <c r="AT5" s="27">
        <f>IF('CRUDO MIÉRCOLES'!BH7="Si",$N5,)</f>
        <v>0</v>
      </c>
      <c r="AU5" s="28"/>
      <c r="AV5" s="28">
        <v>0</v>
      </c>
      <c r="AW5" s="28">
        <v>0</v>
      </c>
      <c r="AX5" s="28">
        <v>0</v>
      </c>
      <c r="AY5" s="28">
        <v>0</v>
      </c>
      <c r="AZ5" s="28">
        <v>0</v>
      </c>
      <c r="BA5" s="27">
        <f>IF('CRUDO MIÉRCOLES'!BN7="Si",$N5,)</f>
        <v>0</v>
      </c>
      <c r="BB5" s="27"/>
      <c r="BC5" s="27">
        <f>IF('CRUDO MIÉRCOLES'!BO7="Si",$N5,)</f>
        <v>0</v>
      </c>
      <c r="BD5" s="27"/>
      <c r="BE5" s="27">
        <f>IF('CRUDO MIÉRCOLES'!BP7="Si",$N5,)</f>
        <v>0</v>
      </c>
      <c r="BF5" s="27"/>
      <c r="BG5" s="27">
        <f>IF('CRUDO MIÉRCOLES'!BQ7="Si",$N5,)</f>
        <v>0</v>
      </c>
      <c r="BH5" s="25"/>
      <c r="BI5" s="25"/>
      <c r="BJ5" s="23" t="s">
        <v>1263</v>
      </c>
      <c r="BK5" s="23">
        <v>1</v>
      </c>
      <c r="BL5" s="25"/>
    </row>
    <row r="6" spans="1:64" ht="13.2" x14ac:dyDescent="0.25">
      <c r="A6" s="22">
        <v>45000.763265381946</v>
      </c>
      <c r="B6" s="23" t="s">
        <v>1007</v>
      </c>
      <c r="C6" s="23" t="s">
        <v>1008</v>
      </c>
      <c r="D6" s="29" t="s">
        <v>1009</v>
      </c>
      <c r="E6" s="23" t="s">
        <v>149</v>
      </c>
      <c r="F6" s="23" t="s">
        <v>1010</v>
      </c>
      <c r="G6" s="23" t="s">
        <v>64</v>
      </c>
      <c r="H6" s="23" t="s">
        <v>1011</v>
      </c>
      <c r="I6" s="23" t="s">
        <v>1012</v>
      </c>
      <c r="J6" s="25"/>
      <c r="K6" s="23" t="s">
        <v>1007</v>
      </c>
      <c r="L6" s="23" t="s">
        <v>656</v>
      </c>
      <c r="M6" s="23" t="s">
        <v>609</v>
      </c>
      <c r="N6" s="23">
        <v>35</v>
      </c>
      <c r="O6" s="23" t="s">
        <v>69</v>
      </c>
      <c r="P6" s="23">
        <v>5</v>
      </c>
      <c r="Q6" s="23">
        <v>3</v>
      </c>
      <c r="R6" s="23">
        <v>10</v>
      </c>
      <c r="S6" s="25"/>
      <c r="T6" s="23" t="s">
        <v>70</v>
      </c>
      <c r="U6" s="23" t="s">
        <v>71</v>
      </c>
      <c r="V6" s="26" t="s">
        <v>99</v>
      </c>
      <c r="W6" s="27">
        <f>IF('CRUDO MIÉRCOLES'!AU8="Si",$N6,)</f>
        <v>35</v>
      </c>
      <c r="X6" s="28">
        <v>0</v>
      </c>
      <c r="Y6" s="27">
        <f>IF('CRUDO MIÉRCOLES'!AW8="Si",$N6,)</f>
        <v>0</v>
      </c>
      <c r="Z6" s="28">
        <v>0</v>
      </c>
      <c r="AA6" s="28"/>
      <c r="AB6" s="28">
        <v>0</v>
      </c>
      <c r="AC6" s="28"/>
      <c r="AD6" s="27">
        <f>IF('CRUDO MIÉRCOLES'!AZ8="Si",$N6,)</f>
        <v>35</v>
      </c>
      <c r="AE6" s="28" t="s">
        <v>1233</v>
      </c>
      <c r="AF6" s="28">
        <v>0</v>
      </c>
      <c r="AG6" s="28"/>
      <c r="AH6" s="27">
        <f>IF('CRUDO MIÉRCOLES'!BB8="Si",$N6,)</f>
        <v>0</v>
      </c>
      <c r="AI6" s="27"/>
      <c r="AJ6" s="27">
        <f>IF('CRUDO MIÉRCOLES'!BC8="Si",$N6,)</f>
        <v>0</v>
      </c>
      <c r="AK6" s="27"/>
      <c r="AL6" s="28">
        <v>0</v>
      </c>
      <c r="AM6" s="28"/>
      <c r="AN6" s="28">
        <v>35</v>
      </c>
      <c r="AO6" s="28" t="s">
        <v>1230</v>
      </c>
      <c r="AP6" s="28">
        <v>0</v>
      </c>
      <c r="AQ6" s="27"/>
      <c r="AR6" s="27">
        <f>IF('CRUDO MIÉRCOLES'!BG8="Si",$N6,)</f>
        <v>0</v>
      </c>
      <c r="AS6" s="27"/>
      <c r="AT6" s="27">
        <f>IF('CRUDO MIÉRCOLES'!BH8="Si",$N6,)</f>
        <v>0</v>
      </c>
      <c r="AU6" s="28"/>
      <c r="AV6" s="28">
        <v>0</v>
      </c>
      <c r="AW6" s="28">
        <v>0</v>
      </c>
      <c r="AX6" s="28">
        <v>0</v>
      </c>
      <c r="AY6" s="27">
        <f>IF('CRUDO MIÉRCOLES'!BL8="Si",$N6,)</f>
        <v>0</v>
      </c>
      <c r="AZ6" s="27">
        <f>IF('CRUDO MIÉRCOLES'!BM8="Si",$N6,)</f>
        <v>0</v>
      </c>
      <c r="BA6" s="28">
        <v>0</v>
      </c>
      <c r="BB6" s="28"/>
      <c r="BC6" s="28">
        <v>0</v>
      </c>
      <c r="BD6" s="27"/>
      <c r="BE6" s="27">
        <f>IF('CRUDO MIÉRCOLES'!BP8="Si",$N6,)</f>
        <v>0</v>
      </c>
      <c r="BF6" s="27"/>
      <c r="BG6" s="27">
        <f>IF('CRUDO MIÉRCOLES'!BQ8="Si",$N6,)</f>
        <v>0</v>
      </c>
      <c r="BH6" s="23"/>
      <c r="BI6" s="23" t="s">
        <v>1013</v>
      </c>
      <c r="BJ6" s="23" t="s">
        <v>1263</v>
      </c>
      <c r="BK6" s="23">
        <v>1</v>
      </c>
      <c r="BL6" s="25"/>
    </row>
    <row r="7" spans="1:64" ht="13.2" x14ac:dyDescent="0.25">
      <c r="A7" s="22">
        <v>45000.827784085646</v>
      </c>
      <c r="B7" s="23" t="s">
        <v>493</v>
      </c>
      <c r="C7" s="23" t="s">
        <v>494</v>
      </c>
      <c r="D7" s="29" t="s">
        <v>495</v>
      </c>
      <c r="E7" s="23" t="s">
        <v>103</v>
      </c>
      <c r="F7" s="23" t="s">
        <v>501</v>
      </c>
      <c r="G7" s="23" t="s">
        <v>64</v>
      </c>
      <c r="H7" s="23" t="s">
        <v>502</v>
      </c>
      <c r="I7" s="23" t="s">
        <v>503</v>
      </c>
      <c r="J7" s="25"/>
      <c r="K7" s="23" t="s">
        <v>493</v>
      </c>
      <c r="L7" s="23" t="s">
        <v>67</v>
      </c>
      <c r="M7" s="23" t="s">
        <v>322</v>
      </c>
      <c r="N7" s="23">
        <v>30</v>
      </c>
      <c r="O7" s="23" t="s">
        <v>69</v>
      </c>
      <c r="P7" s="23">
        <v>3</v>
      </c>
      <c r="Q7" s="23">
        <v>1</v>
      </c>
      <c r="R7" s="23">
        <v>10</v>
      </c>
      <c r="S7" s="25"/>
      <c r="T7" s="23" t="s">
        <v>70</v>
      </c>
      <c r="U7" s="23" t="s">
        <v>71</v>
      </c>
      <c r="V7" s="26" t="s">
        <v>99</v>
      </c>
      <c r="W7" s="27">
        <f>IF('CRUDO MIÉRCOLES'!AU10="Si",$N7,)</f>
        <v>0</v>
      </c>
      <c r="X7" s="27">
        <f>IF('CRUDO MIÉRCOLES'!AV10="Si",$N7,)</f>
        <v>30</v>
      </c>
      <c r="Y7" s="27">
        <f>IF('CRUDO MIÉRCOLES'!AW10="Si",$N7,)</f>
        <v>0</v>
      </c>
      <c r="Z7" s="28">
        <v>30</v>
      </c>
      <c r="AA7" s="28" t="s">
        <v>1233</v>
      </c>
      <c r="AB7" s="27">
        <f>IF('CRUDO MIÉRCOLES'!AY10="Si",$N7,)</f>
        <v>0</v>
      </c>
      <c r="AC7" s="27"/>
      <c r="AD7" s="27">
        <f>IF('CRUDO MIÉRCOLES'!AZ10="Si",$N7,)</f>
        <v>0</v>
      </c>
      <c r="AE7" s="27"/>
      <c r="AF7" s="27">
        <f>IF('CRUDO MIÉRCOLES'!BA10="Si",$N7,)</f>
        <v>0</v>
      </c>
      <c r="AG7" s="27"/>
      <c r="AH7" s="27">
        <f>IF('CRUDO MIÉRCOLES'!BB10="Si",$N7,)</f>
        <v>0</v>
      </c>
      <c r="AI7" s="27"/>
      <c r="AJ7" s="27">
        <f>IF('CRUDO MIÉRCOLES'!BC10="Si",$N7,)</f>
        <v>0</v>
      </c>
      <c r="AK7" s="27"/>
      <c r="AL7" s="28">
        <v>0</v>
      </c>
      <c r="AM7" s="27"/>
      <c r="AN7" s="28">
        <v>30</v>
      </c>
      <c r="AO7" s="28" t="s">
        <v>1230</v>
      </c>
      <c r="AP7" s="27">
        <f>IF('CRUDO MIÉRCOLES'!BF10="Si",$N7,)</f>
        <v>0</v>
      </c>
      <c r="AQ7" s="27"/>
      <c r="AR7" s="27">
        <f>IF('CRUDO MIÉRCOLES'!BG10="Si",$N7,)</f>
        <v>0</v>
      </c>
      <c r="AS7" s="27"/>
      <c r="AT7" s="27">
        <f>IF('CRUDO MIÉRCOLES'!BH10="Si",$N7,)</f>
        <v>0</v>
      </c>
      <c r="AU7" s="27"/>
      <c r="AV7" s="27">
        <f>IF('CRUDO MIÉRCOLES'!BI10="Si",$N7,)</f>
        <v>0</v>
      </c>
      <c r="AW7" s="27">
        <f>IF('CRUDO MIÉRCOLES'!BJ10="Si",$N7,)</f>
        <v>0</v>
      </c>
      <c r="AX7" s="27">
        <f>IF('CRUDO MIÉRCOLES'!BK10="Si",$N7,)</f>
        <v>0</v>
      </c>
      <c r="AY7" s="27">
        <f>IF('CRUDO MIÉRCOLES'!BL10="Si",$N7,)</f>
        <v>0</v>
      </c>
      <c r="AZ7" s="27">
        <f>IF('CRUDO MIÉRCOLES'!BM10="Si",$N7,)</f>
        <v>0</v>
      </c>
      <c r="BA7" s="28">
        <v>0</v>
      </c>
      <c r="BB7" s="27"/>
      <c r="BC7" s="27">
        <f>IF('CRUDO MIÉRCOLES'!BO10="Si",$N7,)</f>
        <v>0</v>
      </c>
      <c r="BD7" s="27"/>
      <c r="BE7" s="27">
        <f>IF('CRUDO MIÉRCOLES'!BP10="Si",$N7,)</f>
        <v>0</v>
      </c>
      <c r="BF7" s="27"/>
      <c r="BG7" s="27">
        <f>IF('CRUDO MIÉRCOLES'!BQ10="Si",$N7,)</f>
        <v>0</v>
      </c>
      <c r="BH7" s="23"/>
      <c r="BI7" s="23" t="s">
        <v>505</v>
      </c>
      <c r="BJ7" s="23" t="s">
        <v>1263</v>
      </c>
      <c r="BK7" s="23">
        <v>1</v>
      </c>
      <c r="BL7" s="25"/>
    </row>
    <row r="8" spans="1:64" ht="13.2" hidden="1" x14ac:dyDescent="0.25">
      <c r="A8" s="30">
        <v>45001.569512662041</v>
      </c>
      <c r="B8" s="31" t="s">
        <v>1062</v>
      </c>
      <c r="C8" s="31" t="s">
        <v>1063</v>
      </c>
      <c r="D8" s="32" t="s">
        <v>1064</v>
      </c>
      <c r="E8" s="31" t="s">
        <v>427</v>
      </c>
      <c r="F8" s="31" t="s">
        <v>428</v>
      </c>
      <c r="G8" s="31" t="s">
        <v>105</v>
      </c>
      <c r="H8" s="31" t="s">
        <v>1065</v>
      </c>
      <c r="I8" s="31" t="s">
        <v>1066</v>
      </c>
      <c r="J8" s="31" t="s">
        <v>1067</v>
      </c>
      <c r="K8" s="31" t="s">
        <v>1062</v>
      </c>
      <c r="L8" s="31" t="s">
        <v>656</v>
      </c>
      <c r="M8" s="31" t="s">
        <v>657</v>
      </c>
      <c r="N8" s="31">
        <v>35</v>
      </c>
      <c r="O8" s="31" t="s">
        <v>69</v>
      </c>
      <c r="P8" s="31">
        <v>2</v>
      </c>
      <c r="Q8" s="31">
        <v>1</v>
      </c>
      <c r="R8" s="31">
        <v>90</v>
      </c>
      <c r="S8" s="31" t="s">
        <v>1068</v>
      </c>
      <c r="T8" s="31" t="s">
        <v>70</v>
      </c>
      <c r="U8" s="31" t="s">
        <v>70</v>
      </c>
      <c r="V8" s="8" t="s">
        <v>99</v>
      </c>
      <c r="W8" s="34">
        <v>0</v>
      </c>
      <c r="X8" s="34">
        <v>0</v>
      </c>
      <c r="Y8" s="34">
        <v>0</v>
      </c>
      <c r="Z8" s="34">
        <v>0</v>
      </c>
      <c r="AA8" s="34"/>
      <c r="AB8" s="34">
        <v>0</v>
      </c>
      <c r="AC8" s="34"/>
      <c r="AD8" s="34">
        <v>0</v>
      </c>
      <c r="AE8" s="34"/>
      <c r="AF8" s="34">
        <v>0</v>
      </c>
      <c r="AG8" s="34"/>
      <c r="AH8" s="35">
        <f>IF('CRUDO MIÉRCOLES'!BB21="Si",$N8,)</f>
        <v>0</v>
      </c>
      <c r="AI8" s="35"/>
      <c r="AJ8" s="34">
        <v>0</v>
      </c>
      <c r="AK8" s="34"/>
      <c r="AL8" s="35">
        <f>IF('CRUDO MIÉRCOLES'!BD21="Si",$N8,)</f>
        <v>0</v>
      </c>
      <c r="AM8" s="34"/>
      <c r="AN8" s="34">
        <v>0</v>
      </c>
      <c r="AO8" s="34"/>
      <c r="AP8" s="34">
        <v>0</v>
      </c>
      <c r="AQ8" s="34"/>
      <c r="AR8" s="34">
        <v>0</v>
      </c>
      <c r="AS8" s="34"/>
      <c r="AT8" s="34">
        <v>0</v>
      </c>
      <c r="AU8" s="34"/>
      <c r="AV8" s="34">
        <v>0</v>
      </c>
      <c r="AW8" s="34">
        <v>0</v>
      </c>
      <c r="AX8" s="34">
        <v>0</v>
      </c>
      <c r="AY8" s="34">
        <v>0</v>
      </c>
      <c r="AZ8" s="34">
        <v>0</v>
      </c>
      <c r="BA8" s="34">
        <v>0</v>
      </c>
      <c r="BB8" s="35"/>
      <c r="BC8" s="35"/>
      <c r="BD8" s="35"/>
      <c r="BE8" s="35">
        <f>IF('CRUDO MIÉRCOLES'!BP21="Si",$N8,)</f>
        <v>0</v>
      </c>
      <c r="BF8" s="34"/>
      <c r="BG8" s="34">
        <v>0</v>
      </c>
      <c r="BH8" s="31"/>
      <c r="BI8" s="31" t="s">
        <v>1069</v>
      </c>
      <c r="BJ8" s="31" t="s">
        <v>1237</v>
      </c>
      <c r="BK8" s="33"/>
      <c r="BL8" s="33"/>
    </row>
    <row r="9" spans="1:64" ht="13.2" x14ac:dyDescent="0.25">
      <c r="A9" s="22">
        <v>45001.578125590277</v>
      </c>
      <c r="B9" s="23" t="s">
        <v>1020</v>
      </c>
      <c r="C9" s="23" t="s">
        <v>1021</v>
      </c>
      <c r="D9" s="24" t="s">
        <v>1022</v>
      </c>
      <c r="E9" s="23" t="s">
        <v>103</v>
      </c>
      <c r="F9" s="23" t="s">
        <v>1004</v>
      </c>
      <c r="G9" s="23" t="s">
        <v>64</v>
      </c>
      <c r="H9" s="23" t="s">
        <v>1023</v>
      </c>
      <c r="I9" s="23" t="s">
        <v>1024</v>
      </c>
      <c r="J9" s="23" t="s">
        <v>1025</v>
      </c>
      <c r="K9" s="23" t="s">
        <v>1020</v>
      </c>
      <c r="L9" s="23" t="s">
        <v>656</v>
      </c>
      <c r="M9" s="23" t="s">
        <v>625</v>
      </c>
      <c r="N9" s="23">
        <v>28</v>
      </c>
      <c r="O9" s="23" t="s">
        <v>69</v>
      </c>
      <c r="P9" s="23">
        <v>5</v>
      </c>
      <c r="Q9" s="23">
        <v>3</v>
      </c>
      <c r="R9" s="23">
        <v>0</v>
      </c>
      <c r="S9" s="25"/>
      <c r="T9" s="23" t="s">
        <v>70</v>
      </c>
      <c r="U9" s="23" t="s">
        <v>71</v>
      </c>
      <c r="V9" s="26" t="s">
        <v>99</v>
      </c>
      <c r="W9" s="27">
        <f>IF('CRUDO MIÉRCOLES'!AU22="Si",$N9,)</f>
        <v>28</v>
      </c>
      <c r="X9" s="27">
        <f>IF('CRUDO MIÉRCOLES'!AV22="Si",$N9,)</f>
        <v>0</v>
      </c>
      <c r="Y9" s="27">
        <f>IF('CRUDO MIÉRCOLES'!AW22="Si",$N9,)</f>
        <v>0</v>
      </c>
      <c r="Z9" s="27">
        <f>IF('CRUDO MIÉRCOLES'!AX22="Si",$N9,)</f>
        <v>0</v>
      </c>
      <c r="AA9" s="27"/>
      <c r="AB9" s="27">
        <f>IF('CRUDO MIÉRCOLES'!AY22="Si",$N9,)</f>
        <v>0</v>
      </c>
      <c r="AC9" s="27"/>
      <c r="AD9" s="27">
        <f>IF('CRUDO MIÉRCOLES'!AZ22="Si",$N9,)</f>
        <v>28</v>
      </c>
      <c r="AE9" s="28" t="s">
        <v>1227</v>
      </c>
      <c r="AF9" s="27">
        <f>IF('CRUDO MIÉRCOLES'!BA22="Si",$N9,)</f>
        <v>0</v>
      </c>
      <c r="AG9" s="27"/>
      <c r="AH9" s="27">
        <f>IF('CRUDO MIÉRCOLES'!BB22="Si",$N9,)</f>
        <v>0</v>
      </c>
      <c r="AI9" s="27"/>
      <c r="AJ9" s="27">
        <f>IF('CRUDO MIÉRCOLES'!BC22="Si",$N9,)</f>
        <v>0</v>
      </c>
      <c r="AK9" s="27"/>
      <c r="AL9" s="27">
        <f>IF('CRUDO MIÉRCOLES'!BD22="Si",$N9,)</f>
        <v>0</v>
      </c>
      <c r="AM9" s="27"/>
      <c r="AN9" s="28">
        <v>28</v>
      </c>
      <c r="AO9" s="28" t="s">
        <v>1230</v>
      </c>
      <c r="AP9" s="27">
        <f>IF('CRUDO MIÉRCOLES'!BF22="Si",$N9,)</f>
        <v>0</v>
      </c>
      <c r="AQ9" s="27"/>
      <c r="AR9" s="27">
        <f>IF('CRUDO MIÉRCOLES'!BG22="Si",$N9,)</f>
        <v>0</v>
      </c>
      <c r="AS9" s="27"/>
      <c r="AT9" s="27">
        <f>IF('CRUDO MIÉRCOLES'!BH22="Si",$N9,)</f>
        <v>0</v>
      </c>
      <c r="AU9" s="27"/>
      <c r="AV9" s="27">
        <f>IF('CRUDO MIÉRCOLES'!BI22="Si",$N9,)</f>
        <v>0</v>
      </c>
      <c r="AW9" s="28">
        <v>0</v>
      </c>
      <c r="AX9" s="27">
        <f>IF('CRUDO MIÉRCOLES'!BK22="Si",$N9,)</f>
        <v>0</v>
      </c>
      <c r="AY9" s="27">
        <f>IF('CRUDO MIÉRCOLES'!BL22="Si",$N9,)</f>
        <v>0</v>
      </c>
      <c r="AZ9" s="27">
        <f>IF('CRUDO MIÉRCOLES'!BM22="Si",$N9,)</f>
        <v>0</v>
      </c>
      <c r="BA9" s="27">
        <f>IF('CRUDO MIÉRCOLES'!BN22="Si",$N9,)</f>
        <v>0</v>
      </c>
      <c r="BB9" s="27"/>
      <c r="BC9" s="27">
        <f>IF('CRUDO MIÉRCOLES'!BO22="Si",$N9,)</f>
        <v>0</v>
      </c>
      <c r="BD9" s="27"/>
      <c r="BE9" s="27">
        <f>IF('CRUDO MIÉRCOLES'!BP22="Si",$N9,)</f>
        <v>0</v>
      </c>
      <c r="BF9" s="27"/>
      <c r="BG9" s="27">
        <f>IF('CRUDO MIÉRCOLES'!BQ22="Si",$N9,)</f>
        <v>0</v>
      </c>
      <c r="BH9" s="25"/>
      <c r="BI9" s="25"/>
      <c r="BJ9" s="23" t="s">
        <v>1263</v>
      </c>
      <c r="BK9" s="23">
        <v>1</v>
      </c>
      <c r="BL9" s="25"/>
    </row>
    <row r="10" spans="1:64" ht="13.2" x14ac:dyDescent="0.25">
      <c r="A10" s="22">
        <v>45001.750830023149</v>
      </c>
      <c r="B10" s="23" t="s">
        <v>221</v>
      </c>
      <c r="C10" s="23" t="s">
        <v>222</v>
      </c>
      <c r="D10" s="24" t="s">
        <v>223</v>
      </c>
      <c r="E10" s="23" t="s">
        <v>103</v>
      </c>
      <c r="F10" s="23" t="s">
        <v>224</v>
      </c>
      <c r="G10" s="23" t="s">
        <v>105</v>
      </c>
      <c r="H10" s="23" t="s">
        <v>225</v>
      </c>
      <c r="I10" s="23" t="s">
        <v>226</v>
      </c>
      <c r="J10" s="23" t="s">
        <v>227</v>
      </c>
      <c r="K10" s="23" t="s">
        <v>221</v>
      </c>
      <c r="L10" s="23" t="s">
        <v>67</v>
      </c>
      <c r="M10" s="23" t="s">
        <v>77</v>
      </c>
      <c r="N10" s="23">
        <v>27</v>
      </c>
      <c r="O10" s="23" t="s">
        <v>69</v>
      </c>
      <c r="P10" s="23">
        <v>4</v>
      </c>
      <c r="Q10" s="23">
        <v>3</v>
      </c>
      <c r="R10" s="23">
        <v>60</v>
      </c>
      <c r="S10" s="25"/>
      <c r="T10" s="23" t="s">
        <v>70</v>
      </c>
      <c r="U10" s="23" t="s">
        <v>71</v>
      </c>
      <c r="V10" s="26" t="s">
        <v>99</v>
      </c>
      <c r="W10" s="27">
        <f>IF('CRUDO MIÉRCOLES'!AU23="Si",$N10,)</f>
        <v>27</v>
      </c>
      <c r="X10" s="27">
        <f>IF('CRUDO MIÉRCOLES'!AV23="Si",$N10,)</f>
        <v>0</v>
      </c>
      <c r="Y10" s="27">
        <f>IF('CRUDO MIÉRCOLES'!AW23="Si",$N10,)</f>
        <v>0</v>
      </c>
      <c r="Z10" s="27">
        <f>IF('CRUDO MIÉRCOLES'!AX23="Si",$N10,)</f>
        <v>0</v>
      </c>
      <c r="AA10" s="27"/>
      <c r="AB10" s="27">
        <f>IF('CRUDO MIÉRCOLES'!AY23="Si",$N10,)</f>
        <v>27</v>
      </c>
      <c r="AC10" s="28" t="s">
        <v>1233</v>
      </c>
      <c r="AD10" s="27">
        <f>IF('CRUDO MIÉRCOLES'!AZ23="Si",$N10,)</f>
        <v>0</v>
      </c>
      <c r="AE10" s="27"/>
      <c r="AF10" s="27">
        <f>IF('CRUDO MIÉRCOLES'!BA23="Si",$N10,)</f>
        <v>0</v>
      </c>
      <c r="AG10" s="27"/>
      <c r="AH10" s="27">
        <f>IF('CRUDO MIÉRCOLES'!BB23="Si",$N10,)</f>
        <v>0</v>
      </c>
      <c r="AI10" s="27"/>
      <c r="AJ10" s="27">
        <f>IF('CRUDO MIÉRCOLES'!BC23="Si",$N10,)</f>
        <v>0</v>
      </c>
      <c r="AK10" s="27"/>
      <c r="AL10" s="27">
        <f>IF('CRUDO MIÉRCOLES'!BD23="Si",$N10,)</f>
        <v>0</v>
      </c>
      <c r="AM10" s="27"/>
      <c r="AN10" s="27">
        <f>IF('CRUDO MIÉRCOLES'!BE23="Si",$N10,)</f>
        <v>0</v>
      </c>
      <c r="AO10" s="27"/>
      <c r="AP10" s="27">
        <f>IF('CRUDO MIÉRCOLES'!BF23="Si",$N10,)</f>
        <v>27</v>
      </c>
      <c r="AQ10" s="28" t="s">
        <v>1266</v>
      </c>
      <c r="AR10" s="27">
        <f>IF('CRUDO MIÉRCOLES'!BG23="Si",$N10,)</f>
        <v>0</v>
      </c>
      <c r="AS10" s="27"/>
      <c r="AT10" s="27">
        <f>IF('CRUDO MIÉRCOLES'!BH23="Si",$N10,)</f>
        <v>0</v>
      </c>
      <c r="AU10" s="27"/>
      <c r="AV10" s="27">
        <f>IF('CRUDO MIÉRCOLES'!BI23="Si",$N10,)</f>
        <v>0</v>
      </c>
      <c r="AW10" s="27">
        <f>IF('CRUDO MIÉRCOLES'!BJ23="Si",$N10,)</f>
        <v>0</v>
      </c>
      <c r="AX10" s="28">
        <v>0</v>
      </c>
      <c r="AY10" s="27">
        <f>IF('CRUDO MIÉRCOLES'!BL23="Si",$N10,)</f>
        <v>0</v>
      </c>
      <c r="AZ10" s="27">
        <f>IF('CRUDO MIÉRCOLES'!BM23="Si",$N10,)</f>
        <v>0</v>
      </c>
      <c r="BA10" s="27">
        <f>IF('CRUDO MIÉRCOLES'!BN23="Si",$N10,)</f>
        <v>0</v>
      </c>
      <c r="BB10" s="27"/>
      <c r="BC10" s="27">
        <f>IF('CRUDO MIÉRCOLES'!BO23="Si",$N10,)</f>
        <v>0</v>
      </c>
      <c r="BD10" s="27"/>
      <c r="BE10" s="27">
        <f>IF('CRUDO MIÉRCOLES'!BP23="Si",$N10,)</f>
        <v>0</v>
      </c>
      <c r="BF10" s="27"/>
      <c r="BG10" s="27">
        <f>IF('CRUDO MIÉRCOLES'!BQ23="Si",$N10,)</f>
        <v>0</v>
      </c>
      <c r="BH10" s="25"/>
      <c r="BI10" s="25"/>
      <c r="BJ10" s="23" t="s">
        <v>1263</v>
      </c>
      <c r="BK10" s="23">
        <v>1</v>
      </c>
      <c r="BL10" s="25"/>
    </row>
    <row r="11" spans="1:64" ht="13.2" x14ac:dyDescent="0.25">
      <c r="A11" s="22">
        <v>45001.840379687499</v>
      </c>
      <c r="B11" s="23" t="s">
        <v>965</v>
      </c>
      <c r="C11" s="23" t="s">
        <v>966</v>
      </c>
      <c r="D11" s="24" t="s">
        <v>967</v>
      </c>
      <c r="E11" s="23" t="s">
        <v>103</v>
      </c>
      <c r="F11" s="23" t="s">
        <v>671</v>
      </c>
      <c r="G11" s="23" t="s">
        <v>64</v>
      </c>
      <c r="H11" s="23" t="s">
        <v>968</v>
      </c>
      <c r="I11" s="23" t="s">
        <v>969</v>
      </c>
      <c r="J11" s="23" t="s">
        <v>970</v>
      </c>
      <c r="K11" s="23" t="s">
        <v>965</v>
      </c>
      <c r="L11" s="23" t="s">
        <v>656</v>
      </c>
      <c r="M11" s="23" t="s">
        <v>571</v>
      </c>
      <c r="N11" s="23">
        <v>20</v>
      </c>
      <c r="O11" s="23" t="s">
        <v>69</v>
      </c>
      <c r="P11" s="23">
        <v>4</v>
      </c>
      <c r="Q11" s="23">
        <v>3</v>
      </c>
      <c r="R11" s="23">
        <v>50</v>
      </c>
      <c r="S11" s="25"/>
      <c r="T11" s="23" t="s">
        <v>70</v>
      </c>
      <c r="U11" s="23" t="s">
        <v>71</v>
      </c>
      <c r="V11" s="26" t="s">
        <v>99</v>
      </c>
      <c r="W11" s="27">
        <f>IF('CRUDO MIÉRCOLES'!AU24="Si",$N11,)</f>
        <v>20</v>
      </c>
      <c r="X11" s="28">
        <v>0</v>
      </c>
      <c r="Y11" s="28">
        <v>0</v>
      </c>
      <c r="Z11" s="27">
        <f>IF('CRUDO MIÉRCOLES'!AX24="Si",$N11,)</f>
        <v>0</v>
      </c>
      <c r="AA11" s="27"/>
      <c r="AB11" s="27">
        <f>IF('CRUDO MIÉRCOLES'!AY24="Si",$N11,)</f>
        <v>20</v>
      </c>
      <c r="AC11" s="28" t="s">
        <v>1227</v>
      </c>
      <c r="AD11" s="27">
        <f>IF('CRUDO MIÉRCOLES'!AZ24="Si",$N11,)</f>
        <v>0</v>
      </c>
      <c r="AE11" s="27"/>
      <c r="AF11" s="27">
        <f>IF('CRUDO MIÉRCOLES'!BA24="Si",$N11,)</f>
        <v>20</v>
      </c>
      <c r="AG11" s="28" t="s">
        <v>1233</v>
      </c>
      <c r="AH11" s="27">
        <f>IF('CRUDO MIÉRCOLES'!BB24="Si",$N11,)</f>
        <v>0</v>
      </c>
      <c r="AI11" s="27"/>
      <c r="AJ11" s="27">
        <f>IF('CRUDO MIÉRCOLES'!BC24="Si",$N11,)</f>
        <v>0</v>
      </c>
      <c r="AK11" s="27"/>
      <c r="AL11" s="27">
        <f>IF('CRUDO MIÉRCOLES'!BD24="Si",$N11,)</f>
        <v>0</v>
      </c>
      <c r="AM11" s="28"/>
      <c r="AN11" s="28">
        <v>0</v>
      </c>
      <c r="AO11" s="28"/>
      <c r="AP11" s="28">
        <v>0</v>
      </c>
      <c r="AQ11" s="27"/>
      <c r="AR11" s="27">
        <f>IF('CRUDO MIÉRCOLES'!BG24="Si",$N11,)</f>
        <v>0</v>
      </c>
      <c r="AS11" s="27"/>
      <c r="AT11" s="27">
        <f>IF('CRUDO MIÉRCOLES'!BH24="Si",$N11,)</f>
        <v>0</v>
      </c>
      <c r="AU11" s="27"/>
      <c r="AV11" s="27">
        <f>IF('CRUDO MIÉRCOLES'!BI24="Si",$N11,)</f>
        <v>0</v>
      </c>
      <c r="AW11" s="28">
        <v>0</v>
      </c>
      <c r="AX11" s="28">
        <v>0</v>
      </c>
      <c r="AY11" s="27">
        <f>IF('CRUDO MIÉRCOLES'!BL24="Si",$N11,)</f>
        <v>0</v>
      </c>
      <c r="AZ11" s="27">
        <f>IF('CRUDO MIÉRCOLES'!BM24="Si",$N11,)</f>
        <v>0</v>
      </c>
      <c r="BA11" s="28">
        <v>0</v>
      </c>
      <c r="BB11" s="28"/>
      <c r="BC11" s="28">
        <v>20</v>
      </c>
      <c r="BD11" s="28" t="s">
        <v>1234</v>
      </c>
      <c r="BE11" s="27">
        <f>IF('CRUDO MIÉRCOLES'!BP24="Si",$N11,)</f>
        <v>0</v>
      </c>
      <c r="BF11" s="27"/>
      <c r="BG11" s="27">
        <f>IF('CRUDO MIÉRCOLES'!BQ24="Si",$N11,)</f>
        <v>0</v>
      </c>
      <c r="BH11" s="25"/>
      <c r="BI11" s="25"/>
      <c r="BJ11" s="23" t="s">
        <v>1242</v>
      </c>
      <c r="BK11" s="23">
        <v>1</v>
      </c>
      <c r="BL11" s="25"/>
    </row>
    <row r="12" spans="1:64" ht="13.2" x14ac:dyDescent="0.25">
      <c r="A12" s="22">
        <v>45002.493809849533</v>
      </c>
      <c r="B12" s="23" t="s">
        <v>404</v>
      </c>
      <c r="C12" s="23" t="s">
        <v>405</v>
      </c>
      <c r="D12" s="29" t="s">
        <v>406</v>
      </c>
      <c r="E12" s="23" t="s">
        <v>149</v>
      </c>
      <c r="F12" s="23" t="s">
        <v>412</v>
      </c>
      <c r="G12" s="23" t="s">
        <v>64</v>
      </c>
      <c r="H12" s="23" t="s">
        <v>408</v>
      </c>
      <c r="I12" s="23" t="s">
        <v>413</v>
      </c>
      <c r="J12" s="23" t="s">
        <v>414</v>
      </c>
      <c r="K12" s="23" t="s">
        <v>404</v>
      </c>
      <c r="L12" s="23" t="s">
        <v>67</v>
      </c>
      <c r="M12" s="23" t="s">
        <v>273</v>
      </c>
      <c r="N12" s="23">
        <v>18</v>
      </c>
      <c r="O12" s="23" t="s">
        <v>69</v>
      </c>
      <c r="P12" s="23">
        <v>4</v>
      </c>
      <c r="Q12" s="23">
        <v>5</v>
      </c>
      <c r="R12" s="23">
        <v>1</v>
      </c>
      <c r="S12" s="25"/>
      <c r="T12" s="23" t="s">
        <v>70</v>
      </c>
      <c r="U12" s="23" t="s">
        <v>71</v>
      </c>
      <c r="V12" s="26" t="s">
        <v>99</v>
      </c>
      <c r="W12" s="27">
        <f>IF('CRUDO MIÉRCOLES'!AU26="Si",$N12,)</f>
        <v>0</v>
      </c>
      <c r="X12" s="27">
        <f>IF('CRUDO MIÉRCOLES'!AV26="Si",$N12,)</f>
        <v>18</v>
      </c>
      <c r="Y12" s="27">
        <f>IF('CRUDO MIÉRCOLES'!AW26="Si",$N12,)</f>
        <v>0</v>
      </c>
      <c r="Z12" s="23">
        <v>0</v>
      </c>
      <c r="AA12" s="23"/>
      <c r="AB12" s="28">
        <v>18</v>
      </c>
      <c r="AC12" s="28" t="s">
        <v>1233</v>
      </c>
      <c r="AD12" s="27">
        <f>IF('CRUDO MIÉRCOLES'!AZ26="Si",$N12,)</f>
        <v>0</v>
      </c>
      <c r="AE12" s="27"/>
      <c r="AF12" s="27">
        <f>IF('CRUDO MIÉRCOLES'!BA26="Si",$N12,)</f>
        <v>0</v>
      </c>
      <c r="AG12" s="27"/>
      <c r="AH12" s="27">
        <f>IF('CRUDO MIÉRCOLES'!BB26="Si",$N12,)</f>
        <v>0</v>
      </c>
      <c r="AI12" s="27"/>
      <c r="AJ12" s="27">
        <f>IF('CRUDO MIÉRCOLES'!BC26="Si",$N12,)</f>
        <v>0</v>
      </c>
      <c r="AK12" s="27"/>
      <c r="AL12" s="28">
        <v>18</v>
      </c>
      <c r="AM12" s="28" t="s">
        <v>1228</v>
      </c>
      <c r="AN12" s="27">
        <f>IF('CRUDO MIÉRCOLES'!BE26="Si",$N12,)</f>
        <v>0</v>
      </c>
      <c r="AO12" s="27"/>
      <c r="AP12" s="27">
        <f>IF('CRUDO MIÉRCOLES'!BF26="Si",$N12,)</f>
        <v>0</v>
      </c>
      <c r="AQ12" s="27"/>
      <c r="AR12" s="27">
        <f>IF('CRUDO MIÉRCOLES'!BG26="Si",$N12,)</f>
        <v>0</v>
      </c>
      <c r="AS12" s="27"/>
      <c r="AT12" s="27">
        <f>IF('CRUDO MIÉRCOLES'!BH26="Si",$N12,)</f>
        <v>0</v>
      </c>
      <c r="AU12" s="27"/>
      <c r="AV12" s="27">
        <f>IF('CRUDO MIÉRCOLES'!BI26="Si",$N12,)</f>
        <v>0</v>
      </c>
      <c r="AW12" s="27">
        <f>IF('CRUDO MIÉRCOLES'!BJ26="Si",$N12,)</f>
        <v>0</v>
      </c>
      <c r="AX12" s="27">
        <f>IF('CRUDO MIÉRCOLES'!BK26="Si",$N12,)</f>
        <v>0</v>
      </c>
      <c r="AY12" s="27">
        <f>IF('CRUDO MIÉRCOLES'!BL26="Si",$N12,)</f>
        <v>0</v>
      </c>
      <c r="AZ12" s="27">
        <f>IF('CRUDO MIÉRCOLES'!BM26="Si",$N12,)</f>
        <v>0</v>
      </c>
      <c r="BA12" s="27">
        <f>IF('CRUDO MIÉRCOLES'!BN26="Si",$N12,)</f>
        <v>0</v>
      </c>
      <c r="BB12" s="27"/>
      <c r="BC12" s="27">
        <f>IF('CRUDO MIÉRCOLES'!BO26="Si",$N12,)</f>
        <v>0</v>
      </c>
      <c r="BD12" s="27"/>
      <c r="BE12" s="27">
        <f>IF('CRUDO MIÉRCOLES'!BP26="Si",$N12,)</f>
        <v>0</v>
      </c>
      <c r="BF12" s="27"/>
      <c r="BG12" s="27">
        <f>IF('CRUDO MIÉRCOLES'!BQ26="Si",$N12,)</f>
        <v>0</v>
      </c>
      <c r="BH12" s="25"/>
      <c r="BI12" s="25"/>
      <c r="BJ12" s="23" t="s">
        <v>1263</v>
      </c>
      <c r="BK12" s="23">
        <v>1</v>
      </c>
      <c r="BL12" s="25"/>
    </row>
    <row r="13" spans="1:64" ht="13.2" x14ac:dyDescent="0.25">
      <c r="A13" s="22">
        <v>45002.570582789354</v>
      </c>
      <c r="B13" s="23" t="s">
        <v>561</v>
      </c>
      <c r="C13" s="23" t="s">
        <v>562</v>
      </c>
      <c r="D13" s="24" t="s">
        <v>563</v>
      </c>
      <c r="E13" s="23" t="s">
        <v>149</v>
      </c>
      <c r="F13" s="23" t="s">
        <v>564</v>
      </c>
      <c r="G13" s="23" t="s">
        <v>64</v>
      </c>
      <c r="H13" s="23" t="s">
        <v>569</v>
      </c>
      <c r="I13" s="23" t="s">
        <v>570</v>
      </c>
      <c r="J13" s="25"/>
      <c r="K13" s="23" t="s">
        <v>561</v>
      </c>
      <c r="L13" s="23" t="s">
        <v>67</v>
      </c>
      <c r="M13" s="23" t="s">
        <v>338</v>
      </c>
      <c r="N13" s="23">
        <v>35</v>
      </c>
      <c r="O13" s="23" t="s">
        <v>69</v>
      </c>
      <c r="P13" s="23">
        <v>5</v>
      </c>
      <c r="Q13" s="23">
        <v>5</v>
      </c>
      <c r="R13" s="23">
        <v>30</v>
      </c>
      <c r="S13" s="23" t="s">
        <v>568</v>
      </c>
      <c r="T13" s="23" t="s">
        <v>70</v>
      </c>
      <c r="U13" s="23" t="s">
        <v>71</v>
      </c>
      <c r="V13" s="26" t="s">
        <v>99</v>
      </c>
      <c r="W13" s="27">
        <f>IF('CRUDO MIÉRCOLES'!AU28="Si",$N13,)</f>
        <v>0</v>
      </c>
      <c r="X13" s="27">
        <f>IF('CRUDO MIÉRCOLES'!AV28="Si",$N13,)</f>
        <v>35</v>
      </c>
      <c r="Y13" s="27">
        <f>IF('CRUDO MIÉRCOLES'!AW28="Si",$N13,)</f>
        <v>0</v>
      </c>
      <c r="Z13" s="27">
        <f>IF('CRUDO MIÉRCOLES'!AX28="Si",$N13,)</f>
        <v>35</v>
      </c>
      <c r="AA13" s="28" t="s">
        <v>1233</v>
      </c>
      <c r="AB13" s="28">
        <v>0</v>
      </c>
      <c r="AC13" s="28"/>
      <c r="AD13" s="28">
        <v>0</v>
      </c>
      <c r="AE13" s="28"/>
      <c r="AF13" s="27">
        <f>IF('CRUDO MIÉRCOLES'!BA28="Si",$N13,)</f>
        <v>0</v>
      </c>
      <c r="AG13" s="27"/>
      <c r="AH13" s="27">
        <f>IF('CRUDO MIÉRCOLES'!BB28="Si",$N13,)</f>
        <v>0</v>
      </c>
      <c r="AI13" s="27"/>
      <c r="AJ13" s="27">
        <f>IF('CRUDO MIÉRCOLES'!BC28="Si",$N13,)</f>
        <v>0</v>
      </c>
      <c r="AK13" s="27"/>
      <c r="AL13" s="28">
        <v>0</v>
      </c>
      <c r="AM13" s="28"/>
      <c r="AN13" s="28">
        <v>35</v>
      </c>
      <c r="AO13" s="28" t="s">
        <v>1267</v>
      </c>
      <c r="AP13" s="28">
        <v>0</v>
      </c>
      <c r="AQ13" s="27"/>
      <c r="AR13" s="27">
        <f>IF('CRUDO MIÉRCOLES'!BG28="Si",$N13,)</f>
        <v>0</v>
      </c>
      <c r="AS13" s="27"/>
      <c r="AT13" s="27">
        <f>IF('CRUDO MIÉRCOLES'!BH28="Si",$N13,)</f>
        <v>0</v>
      </c>
      <c r="AU13" s="28"/>
      <c r="AV13" s="28">
        <v>0</v>
      </c>
      <c r="AW13" s="28">
        <v>0</v>
      </c>
      <c r="AX13" s="28">
        <v>0</v>
      </c>
      <c r="AY13" s="27">
        <f>IF('CRUDO MIÉRCOLES'!BL28="Si",$N13,)</f>
        <v>0</v>
      </c>
      <c r="AZ13" s="27">
        <f>IF('CRUDO MIÉRCOLES'!BM28="Si",$N13,)</f>
        <v>0</v>
      </c>
      <c r="BA13" s="27">
        <f>IF('CRUDO MIÉRCOLES'!BN28="Si",$N13,)</f>
        <v>0</v>
      </c>
      <c r="BB13" s="27"/>
      <c r="BC13" s="27">
        <f>IF('CRUDO MIÉRCOLES'!BO28="Si",$N13,)</f>
        <v>0</v>
      </c>
      <c r="BD13" s="27"/>
      <c r="BE13" s="27">
        <f>IF('CRUDO MIÉRCOLES'!BP28="Si",$N13,)</f>
        <v>0</v>
      </c>
      <c r="BF13" s="27"/>
      <c r="BG13" s="27">
        <f>IF('CRUDO MIÉRCOLES'!BQ28="Si",$N13,)</f>
        <v>0</v>
      </c>
      <c r="BH13" s="25"/>
      <c r="BI13" s="25"/>
      <c r="BJ13" s="23" t="s">
        <v>1263</v>
      </c>
      <c r="BK13" s="23">
        <v>1</v>
      </c>
      <c r="BL13" s="25"/>
    </row>
    <row r="14" spans="1:64" ht="13.2" x14ac:dyDescent="0.25">
      <c r="A14" s="22">
        <v>45002.606205682867</v>
      </c>
      <c r="B14" s="23" t="s">
        <v>956</v>
      </c>
      <c r="C14" s="23" t="s">
        <v>957</v>
      </c>
      <c r="D14" s="29" t="s">
        <v>958</v>
      </c>
      <c r="E14" s="23" t="s">
        <v>62</v>
      </c>
      <c r="F14" s="23" t="s">
        <v>959</v>
      </c>
      <c r="G14" s="23" t="s">
        <v>64</v>
      </c>
      <c r="H14" s="23" t="s">
        <v>960</v>
      </c>
      <c r="I14" s="23" t="s">
        <v>961</v>
      </c>
      <c r="J14" s="23" t="s">
        <v>962</v>
      </c>
      <c r="K14" s="23" t="s">
        <v>956</v>
      </c>
      <c r="L14" s="23" t="s">
        <v>656</v>
      </c>
      <c r="M14" s="23" t="s">
        <v>567</v>
      </c>
      <c r="N14" s="23">
        <v>32</v>
      </c>
      <c r="O14" s="23" t="s">
        <v>69</v>
      </c>
      <c r="P14" s="23">
        <v>5</v>
      </c>
      <c r="Q14" s="23">
        <v>4</v>
      </c>
      <c r="R14" s="23">
        <v>0</v>
      </c>
      <c r="S14" s="25"/>
      <c r="T14" s="23" t="s">
        <v>70</v>
      </c>
      <c r="U14" s="23" t="s">
        <v>71</v>
      </c>
      <c r="V14" s="26" t="s">
        <v>99</v>
      </c>
      <c r="W14" s="27">
        <f>IF('CRUDO MIÉRCOLES'!AU30="Si",$N14,)</f>
        <v>32</v>
      </c>
      <c r="X14" s="27">
        <f>IF('CRUDO MIÉRCOLES'!AV30="Si",$N14,)</f>
        <v>0</v>
      </c>
      <c r="Y14" s="27">
        <f>IF('CRUDO MIÉRCOLES'!AW30="Si",$N14,)</f>
        <v>0</v>
      </c>
      <c r="Z14" s="27">
        <f>IF('CRUDO MIÉRCOLES'!AX30="Si",$N14,)</f>
        <v>0</v>
      </c>
      <c r="AA14" s="27"/>
      <c r="AB14" s="28">
        <v>0</v>
      </c>
      <c r="AC14" s="28"/>
      <c r="AD14" s="27">
        <f>IF('CRUDO MIÉRCOLES'!AZ30="Si",$N14,)</f>
        <v>32</v>
      </c>
      <c r="AE14" s="28" t="s">
        <v>1233</v>
      </c>
      <c r="AF14" s="27">
        <f>IF('CRUDO MIÉRCOLES'!BA30="Si",$N14,)</f>
        <v>0</v>
      </c>
      <c r="AG14" s="27"/>
      <c r="AH14" s="27">
        <f>IF('CRUDO MIÉRCOLES'!BB30="Si",$N14,)</f>
        <v>0</v>
      </c>
      <c r="AI14" s="27"/>
      <c r="AJ14" s="27">
        <f>IF('CRUDO MIÉRCOLES'!BC30="Si",$N14,)</f>
        <v>0</v>
      </c>
      <c r="AK14" s="27"/>
      <c r="AL14" s="27">
        <f>IF('CRUDO MIÉRCOLES'!BD30="Si",$N14,)</f>
        <v>0</v>
      </c>
      <c r="AM14" s="28"/>
      <c r="AN14" s="28">
        <v>0</v>
      </c>
      <c r="AO14" s="28"/>
      <c r="AP14" s="28">
        <v>0</v>
      </c>
      <c r="AQ14" s="27"/>
      <c r="AR14" s="27">
        <f>IF('CRUDO MIÉRCOLES'!BG30="Si",$N14,)</f>
        <v>0</v>
      </c>
      <c r="AS14" s="27"/>
      <c r="AT14" s="27">
        <f>IF('CRUDO MIÉRCOLES'!BH30="Si",$N14,)</f>
        <v>0</v>
      </c>
      <c r="AU14" s="27"/>
      <c r="AV14" s="27">
        <f>IF('CRUDO MIÉRCOLES'!BI30="Si",$N14,)</f>
        <v>0</v>
      </c>
      <c r="AW14" s="28">
        <v>32</v>
      </c>
      <c r="AX14" s="28">
        <v>0</v>
      </c>
      <c r="AY14" s="27">
        <f>IF('CRUDO MIÉRCOLES'!BL30="Si",$N14,)</f>
        <v>0</v>
      </c>
      <c r="AZ14" s="27">
        <f>IF('CRUDO MIÉRCOLES'!BM30="Si",$N14,)</f>
        <v>0</v>
      </c>
      <c r="BA14" s="27">
        <f>IF('CRUDO MIÉRCOLES'!BN30="Si",$N14,)</f>
        <v>0</v>
      </c>
      <c r="BB14" s="27"/>
      <c r="BC14" s="27">
        <f>IF('CRUDO MIÉRCOLES'!BO30="Si",$N14,)</f>
        <v>0</v>
      </c>
      <c r="BD14" s="27"/>
      <c r="BE14" s="27">
        <f>IF('CRUDO MIÉRCOLES'!BP30="Si",$N14,)</f>
        <v>0</v>
      </c>
      <c r="BF14" s="27"/>
      <c r="BG14" s="27">
        <f>IF('CRUDO MIÉRCOLES'!BQ30="Si",$N14,)</f>
        <v>0</v>
      </c>
      <c r="BH14" s="25"/>
      <c r="BI14" s="25"/>
      <c r="BJ14" s="23" t="s">
        <v>1263</v>
      </c>
      <c r="BK14" s="23">
        <v>1</v>
      </c>
      <c r="BL14" s="25"/>
    </row>
    <row r="15" spans="1:64" ht="13.2" x14ac:dyDescent="0.25">
      <c r="A15" s="22">
        <v>45002.650011770835</v>
      </c>
      <c r="B15" s="23" t="s">
        <v>852</v>
      </c>
      <c r="C15" s="23" t="s">
        <v>853</v>
      </c>
      <c r="D15" s="29" t="s">
        <v>854</v>
      </c>
      <c r="E15" s="23" t="s">
        <v>140</v>
      </c>
      <c r="F15" s="23" t="s">
        <v>855</v>
      </c>
      <c r="G15" s="23" t="s">
        <v>105</v>
      </c>
      <c r="H15" s="23" t="s">
        <v>856</v>
      </c>
      <c r="I15" s="23" t="s">
        <v>857</v>
      </c>
      <c r="J15" s="25"/>
      <c r="K15" s="23" t="s">
        <v>852</v>
      </c>
      <c r="L15" s="23" t="s">
        <v>656</v>
      </c>
      <c r="M15" s="23" t="s">
        <v>523</v>
      </c>
      <c r="N15" s="23">
        <v>18</v>
      </c>
      <c r="O15" s="23" t="s">
        <v>69</v>
      </c>
      <c r="P15" s="23">
        <v>4</v>
      </c>
      <c r="Q15" s="23">
        <v>2</v>
      </c>
      <c r="R15" s="23">
        <v>40</v>
      </c>
      <c r="S15" s="25"/>
      <c r="T15" s="23" t="s">
        <v>71</v>
      </c>
      <c r="U15" s="23" t="s">
        <v>70</v>
      </c>
      <c r="V15" s="26" t="s">
        <v>99</v>
      </c>
      <c r="W15" s="27">
        <f>IF('CRUDO MIÉRCOLES'!AU33="Si",$N15,)</f>
        <v>0</v>
      </c>
      <c r="X15" s="27">
        <f>IF('CRUDO MIÉRCOLES'!AV33="Si",$N15,)</f>
        <v>0</v>
      </c>
      <c r="Y15" s="27">
        <f>IF('CRUDO MIÉRCOLES'!AW33="Si",$N15,)</f>
        <v>18</v>
      </c>
      <c r="Z15" s="27">
        <f>IF('CRUDO MIÉRCOLES'!AX33="Si",$N15,)</f>
        <v>0</v>
      </c>
      <c r="AA15" s="27"/>
      <c r="AB15" s="27">
        <f>IF('CRUDO MIÉRCOLES'!AY33="Si",$N15,)</f>
        <v>0</v>
      </c>
      <c r="AC15" s="27"/>
      <c r="AD15" s="27">
        <f>IF('CRUDO MIÉRCOLES'!AZ33="Si",$N15,)</f>
        <v>0</v>
      </c>
      <c r="AE15" s="27"/>
      <c r="AF15" s="27">
        <f>IF('CRUDO MIÉRCOLES'!BA33="Si",$N15,)</f>
        <v>18</v>
      </c>
      <c r="AG15" s="28" t="s">
        <v>1233</v>
      </c>
      <c r="AH15" s="27">
        <f>IF('CRUDO MIÉRCOLES'!BB33="Si",$N15,)</f>
        <v>0</v>
      </c>
      <c r="AI15" s="27"/>
      <c r="AJ15" s="27">
        <f>IF('CRUDO MIÉRCOLES'!BC33="Si",$N15,)</f>
        <v>0</v>
      </c>
      <c r="AK15" s="27"/>
      <c r="AL15" s="27">
        <f>IF('CRUDO MIÉRCOLES'!BD33="Si",$N15,)</f>
        <v>0</v>
      </c>
      <c r="AM15" s="27"/>
      <c r="AN15" s="27">
        <f>IF('CRUDO MIÉRCOLES'!BE33="Si",$N15,)</f>
        <v>0</v>
      </c>
      <c r="AO15" s="28"/>
      <c r="AP15" s="28">
        <v>0</v>
      </c>
      <c r="AQ15" s="27"/>
      <c r="AR15" s="27">
        <f>IF('CRUDO MIÉRCOLES'!BG33="Si",$N15,)</f>
        <v>0</v>
      </c>
      <c r="AS15" s="28"/>
      <c r="AT15" s="23">
        <v>0</v>
      </c>
      <c r="AU15" s="27"/>
      <c r="AV15" s="27">
        <f>IF('CRUDO MIÉRCOLES'!BI33="Si",$N15,)</f>
        <v>0</v>
      </c>
      <c r="AW15" s="27">
        <f>IF('CRUDO MIÉRCOLES'!BJ33="Si",$N15,)</f>
        <v>0</v>
      </c>
      <c r="AX15" s="27">
        <f>IF('CRUDO MIÉRCOLES'!BK33="Si",$N15,)</f>
        <v>0</v>
      </c>
      <c r="AY15" s="27">
        <f>IF('CRUDO MIÉRCOLES'!BL33="Si",$N15,)</f>
        <v>0</v>
      </c>
      <c r="AZ15" s="28">
        <v>18</v>
      </c>
      <c r="BA15" s="27">
        <f>IF('CRUDO MIÉRCOLES'!BN33="Si",$N15,)</f>
        <v>0</v>
      </c>
      <c r="BB15" s="27"/>
      <c r="BC15" s="27">
        <f>IF('CRUDO MIÉRCOLES'!BO33="Si",$N15,)</f>
        <v>0</v>
      </c>
      <c r="BD15" s="27"/>
      <c r="BE15" s="27">
        <f>IF('CRUDO MIÉRCOLES'!BP33="Si",$N15,)</f>
        <v>0</v>
      </c>
      <c r="BF15" s="28"/>
      <c r="BG15" s="28">
        <v>0</v>
      </c>
      <c r="BH15" s="25"/>
      <c r="BI15" s="25"/>
      <c r="BJ15" s="23" t="s">
        <v>1245</v>
      </c>
      <c r="BK15" s="23">
        <v>1</v>
      </c>
      <c r="BL15" s="25"/>
    </row>
    <row r="16" spans="1:64" ht="13.2" x14ac:dyDescent="0.25">
      <c r="A16" s="22">
        <v>45003.550294120374</v>
      </c>
      <c r="B16" s="23" t="s">
        <v>315</v>
      </c>
      <c r="C16" s="23" t="s">
        <v>316</v>
      </c>
      <c r="D16" s="29" t="s">
        <v>317</v>
      </c>
      <c r="E16" s="23" t="s">
        <v>149</v>
      </c>
      <c r="F16" s="23" t="s">
        <v>318</v>
      </c>
      <c r="G16" s="23" t="s">
        <v>64</v>
      </c>
      <c r="H16" s="23" t="s">
        <v>319</v>
      </c>
      <c r="I16" s="23" t="s">
        <v>320</v>
      </c>
      <c r="J16" s="23" t="s">
        <v>321</v>
      </c>
      <c r="K16" s="23" t="s">
        <v>315</v>
      </c>
      <c r="L16" s="23" t="s">
        <v>67</v>
      </c>
      <c r="M16" s="23" t="s">
        <v>96</v>
      </c>
      <c r="N16" s="23">
        <v>12</v>
      </c>
      <c r="O16" s="23" t="s">
        <v>69</v>
      </c>
      <c r="P16" s="23">
        <v>3</v>
      </c>
      <c r="Q16" s="23">
        <v>2</v>
      </c>
      <c r="R16" s="23">
        <v>5</v>
      </c>
      <c r="S16" s="25"/>
      <c r="T16" s="23" t="s">
        <v>71</v>
      </c>
      <c r="U16" s="23" t="s">
        <v>70</v>
      </c>
      <c r="V16" s="26" t="s">
        <v>99</v>
      </c>
      <c r="W16" s="27">
        <f>IF('CRUDO MIÉRCOLES'!AU34="Si",$N16,)</f>
        <v>0</v>
      </c>
      <c r="X16" s="27">
        <f>IF('CRUDO MIÉRCOLES'!AV34="Si",$N16,)</f>
        <v>0</v>
      </c>
      <c r="Y16" s="27">
        <f>IF('CRUDO MIÉRCOLES'!AW34="Si",$N16,)</f>
        <v>12</v>
      </c>
      <c r="Z16" s="27">
        <f>IF('CRUDO MIÉRCOLES'!AX34="Si",$N16,)</f>
        <v>0</v>
      </c>
      <c r="AA16" s="27"/>
      <c r="AB16" s="27">
        <f>IF('CRUDO MIÉRCOLES'!AY34="Si",$N16,)</f>
        <v>0</v>
      </c>
      <c r="AC16" s="27"/>
      <c r="AD16" s="27">
        <f>IF('CRUDO MIÉRCOLES'!AZ34="Si",$N16,)</f>
        <v>0</v>
      </c>
      <c r="AE16" s="27"/>
      <c r="AF16" s="27">
        <f>IF('CRUDO MIÉRCOLES'!BA34="Si",$N16,)</f>
        <v>12</v>
      </c>
      <c r="AG16" s="28" t="s">
        <v>1227</v>
      </c>
      <c r="AH16" s="27">
        <f>IF('CRUDO MIÉRCOLES'!BB34="Si",$N16,)</f>
        <v>0</v>
      </c>
      <c r="AI16" s="27"/>
      <c r="AJ16" s="28">
        <v>0</v>
      </c>
      <c r="AK16" s="28"/>
      <c r="AL16" s="27">
        <f>IF('CRUDO MIÉRCOLES'!BD34="Si",$N16,)</f>
        <v>0</v>
      </c>
      <c r="AM16" s="27"/>
      <c r="AN16" s="27">
        <f>IF('CRUDO MIÉRCOLES'!BE34="Si",$N16,)</f>
        <v>0</v>
      </c>
      <c r="AO16" s="27"/>
      <c r="AP16" s="27">
        <f>IF('CRUDO MIÉRCOLES'!BF34="Si",$N16,)</f>
        <v>0</v>
      </c>
      <c r="AQ16" s="27"/>
      <c r="AR16" s="27">
        <f>IF('CRUDO MIÉRCOLES'!BG34="Si",$N16,)</f>
        <v>0</v>
      </c>
      <c r="AS16" s="28"/>
      <c r="AT16" s="23">
        <v>0</v>
      </c>
      <c r="AU16" s="27"/>
      <c r="AV16" s="27">
        <f>IF('CRUDO MIÉRCOLES'!BI34="Si",$N16,)</f>
        <v>0</v>
      </c>
      <c r="AW16" s="27">
        <f>IF('CRUDO MIÉRCOLES'!BJ34="Si",$N16,)</f>
        <v>0</v>
      </c>
      <c r="AX16" s="27">
        <f>IF('CRUDO MIÉRCOLES'!BK34="Si",$N16,)</f>
        <v>0</v>
      </c>
      <c r="AY16" s="27">
        <f>IF('CRUDO MIÉRCOLES'!BL34="Si",$N16,)</f>
        <v>0</v>
      </c>
      <c r="AZ16" s="28">
        <v>12</v>
      </c>
      <c r="BA16" s="27">
        <f>IF('CRUDO MIÉRCOLES'!BN34="Si",$N16,)</f>
        <v>0</v>
      </c>
      <c r="BB16" s="27"/>
      <c r="BC16" s="27">
        <f>IF('CRUDO MIÉRCOLES'!BO34="Si",$N16,)</f>
        <v>0</v>
      </c>
      <c r="BD16" s="27"/>
      <c r="BE16" s="27">
        <f>IF('CRUDO MIÉRCOLES'!BP34="Si",$N16,)</f>
        <v>0</v>
      </c>
      <c r="BF16" s="27"/>
      <c r="BG16" s="27">
        <f>IF('CRUDO MIÉRCOLES'!BQ34="Si",$N16,)</f>
        <v>0</v>
      </c>
      <c r="BH16" s="25"/>
      <c r="BI16" s="25"/>
      <c r="BJ16" s="23" t="s">
        <v>1268</v>
      </c>
      <c r="BK16" s="23">
        <v>1</v>
      </c>
      <c r="BL16" s="25"/>
    </row>
    <row r="17" spans="1:64" ht="13.2" hidden="1" x14ac:dyDescent="0.25">
      <c r="A17" s="30">
        <v>45003.552630219907</v>
      </c>
      <c r="B17" s="31" t="s">
        <v>315</v>
      </c>
      <c r="C17" s="31" t="s">
        <v>316</v>
      </c>
      <c r="D17" s="32" t="s">
        <v>317</v>
      </c>
      <c r="E17" s="31" t="s">
        <v>149</v>
      </c>
      <c r="F17" s="31" t="s">
        <v>318</v>
      </c>
      <c r="G17" s="31" t="s">
        <v>64</v>
      </c>
      <c r="H17" s="31" t="s">
        <v>320</v>
      </c>
      <c r="I17" s="31" t="s">
        <v>323</v>
      </c>
      <c r="J17" s="31" t="s">
        <v>321</v>
      </c>
      <c r="K17" s="31" t="s">
        <v>315</v>
      </c>
      <c r="L17" s="31" t="s">
        <v>67</v>
      </c>
      <c r="M17" s="31" t="s">
        <v>96</v>
      </c>
      <c r="N17" s="31">
        <v>0</v>
      </c>
      <c r="O17" s="31" t="s">
        <v>69</v>
      </c>
      <c r="P17" s="31">
        <v>3</v>
      </c>
      <c r="Q17" s="31">
        <v>2</v>
      </c>
      <c r="R17" s="31">
        <v>5</v>
      </c>
      <c r="S17" s="33"/>
      <c r="T17" s="31" t="s">
        <v>71</v>
      </c>
      <c r="U17" s="31" t="s">
        <v>70</v>
      </c>
      <c r="V17" s="8" t="s">
        <v>99</v>
      </c>
      <c r="W17" s="35">
        <f>IF('CRUDO MIÉRCOLES'!AU35="Si",$N17,)</f>
        <v>0</v>
      </c>
      <c r="X17" s="35">
        <f>IF('CRUDO MIÉRCOLES'!AV35="Si",$N17,)</f>
        <v>0</v>
      </c>
      <c r="Y17" s="35">
        <f>IF('CRUDO MIÉRCOLES'!AW35="Si",$N17,)</f>
        <v>0</v>
      </c>
      <c r="Z17" s="35">
        <f>IF('CRUDO MIÉRCOLES'!AX35="Si",$N17,)</f>
        <v>0</v>
      </c>
      <c r="AA17" s="35"/>
      <c r="AB17" s="35">
        <f>IF('CRUDO MIÉRCOLES'!AY35="Si",$N17,)</f>
        <v>0</v>
      </c>
      <c r="AC17" s="35"/>
      <c r="AD17" s="35">
        <f>IF('CRUDO MIÉRCOLES'!AZ35="Si",$N17,)</f>
        <v>0</v>
      </c>
      <c r="AE17" s="35"/>
      <c r="AF17" s="35">
        <f>IF('CRUDO MIÉRCOLES'!BA35="Si",$N17,)</f>
        <v>0</v>
      </c>
      <c r="AG17" s="35"/>
      <c r="AH17" s="35">
        <f>IF('CRUDO MIÉRCOLES'!BB35="Si",$N17,)</f>
        <v>0</v>
      </c>
      <c r="AI17" s="35"/>
      <c r="AJ17" s="35">
        <f>IF('CRUDO MIÉRCOLES'!BC35="Si",$N17,)</f>
        <v>0</v>
      </c>
      <c r="AK17" s="35"/>
      <c r="AL17" s="35">
        <f>IF('CRUDO MIÉRCOLES'!BD35="Si",$N17,)</f>
        <v>0</v>
      </c>
      <c r="AM17" s="35"/>
      <c r="AN17" s="35">
        <f>IF('CRUDO MIÉRCOLES'!BE35="Si",$N17,)</f>
        <v>0</v>
      </c>
      <c r="AO17" s="35"/>
      <c r="AP17" s="35">
        <f>IF('CRUDO MIÉRCOLES'!BF35="Si",$N17,)</f>
        <v>0</v>
      </c>
      <c r="AQ17" s="35"/>
      <c r="AR17" s="35">
        <f>IF('CRUDO MIÉRCOLES'!BG35="Si",$N17,)</f>
        <v>0</v>
      </c>
      <c r="AS17" s="34"/>
      <c r="AT17" s="34">
        <v>0</v>
      </c>
      <c r="AU17" s="35"/>
      <c r="AV17" s="35">
        <f>IF('CRUDO MIÉRCOLES'!BI35="Si",$N17,)</f>
        <v>0</v>
      </c>
      <c r="AW17" s="35">
        <f>IF('CRUDO MIÉRCOLES'!BJ35="Si",$N17,)</f>
        <v>0</v>
      </c>
      <c r="AX17" s="35">
        <f>IF('CRUDO MIÉRCOLES'!BK35="Si",$N17,)</f>
        <v>0</v>
      </c>
      <c r="AY17" s="35">
        <f>IF('CRUDO MIÉRCOLES'!BL35="Si",$N17,)</f>
        <v>0</v>
      </c>
      <c r="AZ17" s="35">
        <f>IF('CRUDO MIÉRCOLES'!BM35="Si",$N17,)</f>
        <v>0</v>
      </c>
      <c r="BA17" s="35">
        <f>IF('CRUDO MIÉRCOLES'!BN35="Si",$N17,)</f>
        <v>0</v>
      </c>
      <c r="BB17" s="35"/>
      <c r="BC17" s="35">
        <f>IF('CRUDO MIÉRCOLES'!BO35="Si",$N17,)</f>
        <v>0</v>
      </c>
      <c r="BD17" s="35"/>
      <c r="BE17" s="35">
        <f>IF('CRUDO MIÉRCOLES'!BP35="Si",$N17,)</f>
        <v>0</v>
      </c>
      <c r="BF17" s="35"/>
      <c r="BG17" s="35">
        <f>IF('CRUDO MIÉRCOLES'!BQ35="Si",$N17,)</f>
        <v>0</v>
      </c>
      <c r="BH17" s="33"/>
      <c r="BI17" s="33"/>
      <c r="BJ17" s="31" t="s">
        <v>1268</v>
      </c>
      <c r="BK17" s="33"/>
      <c r="BL17" s="33"/>
    </row>
    <row r="18" spans="1:64" ht="13.2" x14ac:dyDescent="0.25">
      <c r="A18" s="22">
        <v>45004.016620925926</v>
      </c>
      <c r="B18" s="23" t="s">
        <v>1070</v>
      </c>
      <c r="C18" s="23" t="s">
        <v>1071</v>
      </c>
      <c r="D18" s="29" t="s">
        <v>1072</v>
      </c>
      <c r="E18" s="23" t="s">
        <v>103</v>
      </c>
      <c r="F18" s="23" t="s">
        <v>384</v>
      </c>
      <c r="G18" s="23" t="s">
        <v>105</v>
      </c>
      <c r="H18" s="23" t="s">
        <v>1073</v>
      </c>
      <c r="I18" s="23" t="s">
        <v>1074</v>
      </c>
      <c r="J18" s="23" t="s">
        <v>1075</v>
      </c>
      <c r="K18" s="23" t="s">
        <v>1070</v>
      </c>
      <c r="L18" s="23" t="s">
        <v>656</v>
      </c>
      <c r="M18" s="23" t="s">
        <v>666</v>
      </c>
      <c r="N18" s="23">
        <v>35</v>
      </c>
      <c r="O18" s="23" t="s">
        <v>69</v>
      </c>
      <c r="P18" s="23">
        <v>2</v>
      </c>
      <c r="Q18" s="23">
        <v>2</v>
      </c>
      <c r="R18" s="23">
        <v>90</v>
      </c>
      <c r="S18" s="23" t="s">
        <v>1076</v>
      </c>
      <c r="T18" s="23" t="s">
        <v>70</v>
      </c>
      <c r="U18" s="23" t="s">
        <v>71</v>
      </c>
      <c r="V18" s="26" t="s">
        <v>99</v>
      </c>
      <c r="W18" s="27">
        <f>IF('CRUDO MIÉRCOLES'!AU36="Si",$N18,)</f>
        <v>0</v>
      </c>
      <c r="X18" s="27">
        <f>IF('CRUDO MIÉRCOLES'!AV36="Si",$N18,)</f>
        <v>35</v>
      </c>
      <c r="Y18" s="27">
        <f>IF('CRUDO MIÉRCOLES'!AW36="Si",$N18,)</f>
        <v>0</v>
      </c>
      <c r="Z18" s="27">
        <f>IF('CRUDO MIÉRCOLES'!AX36="Si",$N18,)</f>
        <v>0</v>
      </c>
      <c r="AA18" s="27"/>
      <c r="AB18" s="27">
        <f>IF('CRUDO MIÉRCOLES'!AY36="Si",$N18,)</f>
        <v>35</v>
      </c>
      <c r="AC18" s="28" t="s">
        <v>1233</v>
      </c>
      <c r="AD18" s="27">
        <f>IF('CRUDO MIÉRCOLES'!AZ36="Si",$N18,)</f>
        <v>0</v>
      </c>
      <c r="AE18" s="27"/>
      <c r="AF18" s="27">
        <f>IF('CRUDO MIÉRCOLES'!BA36="Si",$N18,)</f>
        <v>0</v>
      </c>
      <c r="AG18" s="27"/>
      <c r="AH18" s="27">
        <f>IF('CRUDO MIÉRCOLES'!BB36="Si",$N18,)</f>
        <v>0</v>
      </c>
      <c r="AI18" s="27"/>
      <c r="AJ18" s="27">
        <f>IF('CRUDO MIÉRCOLES'!BC36="Si",$N18,)</f>
        <v>0</v>
      </c>
      <c r="AK18" s="27"/>
      <c r="AL18" s="28">
        <v>0</v>
      </c>
      <c r="AM18" s="27"/>
      <c r="AN18" s="27">
        <f>IF('CRUDO MIÉRCOLES'!BE36="Si",$N18,)</f>
        <v>0</v>
      </c>
      <c r="AO18" s="27"/>
      <c r="AP18" s="27">
        <f>IF('CRUDO MIÉRCOLES'!BF36="Si",$N18,)</f>
        <v>0</v>
      </c>
      <c r="AQ18" s="27"/>
      <c r="AR18" s="27">
        <f>IF('CRUDO MIÉRCOLES'!BG36="Si",$N18,)</f>
        <v>0</v>
      </c>
      <c r="AS18" s="27"/>
      <c r="AT18" s="27">
        <f>IF('CRUDO MIÉRCOLES'!BH36="Si",$N18,)</f>
        <v>0</v>
      </c>
      <c r="AU18" s="28"/>
      <c r="AV18" s="28">
        <v>35</v>
      </c>
      <c r="AW18" s="27">
        <f>IF('CRUDO MIÉRCOLES'!BJ36="Si",$N18,)</f>
        <v>0</v>
      </c>
      <c r="AX18" s="27">
        <f>IF('CRUDO MIÉRCOLES'!BK36="Si",$N18,)</f>
        <v>0</v>
      </c>
      <c r="AY18" s="27">
        <f>IF('CRUDO MIÉRCOLES'!BL36="Si",$N18,)</f>
        <v>0</v>
      </c>
      <c r="AZ18" s="27">
        <f>IF('CRUDO MIÉRCOLES'!BM36="Si",$N18,)</f>
        <v>0</v>
      </c>
      <c r="BA18" s="27">
        <f>IF('CRUDO MIÉRCOLES'!BN36="Si",$N18,)</f>
        <v>0</v>
      </c>
      <c r="BB18" s="27"/>
      <c r="BC18" s="27">
        <f>IF('CRUDO MIÉRCOLES'!BO36="Si",$N18,)</f>
        <v>0</v>
      </c>
      <c r="BD18" s="27"/>
      <c r="BE18" s="27">
        <f>IF('CRUDO MIÉRCOLES'!BP36="Si",$N18,)</f>
        <v>0</v>
      </c>
      <c r="BF18" s="27"/>
      <c r="BG18" s="27">
        <f>IF('CRUDO MIÉRCOLES'!BQ36="Si",$N18,)</f>
        <v>0</v>
      </c>
      <c r="BH18" s="23"/>
      <c r="BI18" s="23" t="s">
        <v>1077</v>
      </c>
      <c r="BJ18" s="23" t="s">
        <v>1263</v>
      </c>
      <c r="BK18" s="23">
        <v>1</v>
      </c>
      <c r="BL18" s="25"/>
    </row>
    <row r="19" spans="1:64" ht="13.2" x14ac:dyDescent="0.25">
      <c r="A19" s="22">
        <v>45004.534473506945</v>
      </c>
      <c r="B19" s="23" t="s">
        <v>632</v>
      </c>
      <c r="C19" s="23" t="s">
        <v>633</v>
      </c>
      <c r="D19" s="24" t="s">
        <v>634</v>
      </c>
      <c r="E19" s="23" t="s">
        <v>103</v>
      </c>
      <c r="F19" s="23" t="s">
        <v>635</v>
      </c>
      <c r="G19" s="23" t="s">
        <v>105</v>
      </c>
      <c r="H19" s="23" t="s">
        <v>645</v>
      </c>
      <c r="I19" s="23" t="s">
        <v>646</v>
      </c>
      <c r="J19" s="23" t="s">
        <v>647</v>
      </c>
      <c r="K19" s="23" t="s">
        <v>632</v>
      </c>
      <c r="L19" s="23" t="s">
        <v>67</v>
      </c>
      <c r="M19" s="23" t="s">
        <v>353</v>
      </c>
      <c r="N19" s="23">
        <v>40</v>
      </c>
      <c r="O19" s="23" t="s">
        <v>69</v>
      </c>
      <c r="P19" s="23">
        <v>5</v>
      </c>
      <c r="Q19" s="23">
        <v>5</v>
      </c>
      <c r="R19" s="23">
        <v>20</v>
      </c>
      <c r="S19" s="25"/>
      <c r="T19" s="23" t="s">
        <v>70</v>
      </c>
      <c r="U19" s="23" t="s">
        <v>71</v>
      </c>
      <c r="V19" s="26" t="s">
        <v>99</v>
      </c>
      <c r="W19" s="27">
        <f>IF('CRUDO MIÉRCOLES'!AU37="Si",$N19,)</f>
        <v>40</v>
      </c>
      <c r="X19" s="28">
        <v>0</v>
      </c>
      <c r="Y19" s="27">
        <f>IF('CRUDO MIÉRCOLES'!AW37="Si",$N19,)</f>
        <v>0</v>
      </c>
      <c r="Z19" s="28">
        <v>0</v>
      </c>
      <c r="AA19" s="28"/>
      <c r="AB19" s="28">
        <v>0</v>
      </c>
      <c r="AC19" s="28"/>
      <c r="AD19" s="27">
        <f>IF('CRUDO MIÉRCOLES'!AZ37="Si",$N19,)</f>
        <v>40</v>
      </c>
      <c r="AE19" s="28" t="s">
        <v>1227</v>
      </c>
      <c r="AF19" s="27">
        <f>IF('CRUDO MIÉRCOLES'!BA37="Si",$N19,)</f>
        <v>0</v>
      </c>
      <c r="AG19" s="27"/>
      <c r="AH19" s="27">
        <f>IF('CRUDO MIÉRCOLES'!BB37="Si",$N19,)</f>
        <v>0</v>
      </c>
      <c r="AI19" s="27"/>
      <c r="AJ19" s="27">
        <f>IF('CRUDO MIÉRCOLES'!BC37="Si",$N19,)</f>
        <v>0</v>
      </c>
      <c r="AK19" s="27"/>
      <c r="AL19" s="28">
        <v>0</v>
      </c>
      <c r="AM19" s="28"/>
      <c r="AN19" s="28">
        <v>0</v>
      </c>
      <c r="AO19" s="28"/>
      <c r="AP19" s="28">
        <v>0</v>
      </c>
      <c r="AQ19" s="27"/>
      <c r="AR19" s="27">
        <f>IF('CRUDO MIÉRCOLES'!BG37="Si",$N19,)</f>
        <v>0</v>
      </c>
      <c r="AS19" s="27"/>
      <c r="AT19" s="27">
        <f>IF('CRUDO MIÉRCOLES'!BH37="Si",$N19,)</f>
        <v>0</v>
      </c>
      <c r="AU19" s="28"/>
      <c r="AV19" s="28">
        <v>0</v>
      </c>
      <c r="AW19" s="28">
        <v>0</v>
      </c>
      <c r="AX19" s="28">
        <v>0</v>
      </c>
      <c r="AY19" s="27">
        <f>IF('CRUDO MIÉRCOLES'!BL37="Si",$N19,)</f>
        <v>0</v>
      </c>
      <c r="AZ19" s="27">
        <f>IF('CRUDO MIÉRCOLES'!BM37="Si",$N19,)</f>
        <v>0</v>
      </c>
      <c r="BA19" s="27">
        <f>IF('CRUDO MIÉRCOLES'!BN37="Si",$N19,)</f>
        <v>40</v>
      </c>
      <c r="BB19" s="28" t="s">
        <v>1235</v>
      </c>
      <c r="BC19" s="28">
        <v>0</v>
      </c>
      <c r="BD19" s="27"/>
      <c r="BE19" s="27">
        <f>IF('CRUDO MIÉRCOLES'!BP37="Si",$N19,)</f>
        <v>0</v>
      </c>
      <c r="BF19" s="27"/>
      <c r="BG19" s="27">
        <f>IF('CRUDO MIÉRCOLES'!BQ37="Si",$N19,)</f>
        <v>0</v>
      </c>
      <c r="BH19" s="25"/>
      <c r="BI19" s="25"/>
      <c r="BJ19" s="23" t="s">
        <v>1263</v>
      </c>
      <c r="BK19" s="23">
        <v>1</v>
      </c>
      <c r="BL19" s="25"/>
    </row>
    <row r="20" spans="1:64" ht="13.2" x14ac:dyDescent="0.25">
      <c r="A20" s="22">
        <v>45005.547353912036</v>
      </c>
      <c r="B20" s="23" t="s">
        <v>88</v>
      </c>
      <c r="C20" s="23" t="s">
        <v>89</v>
      </c>
      <c r="D20" s="29" t="s">
        <v>90</v>
      </c>
      <c r="E20" s="23" t="s">
        <v>91</v>
      </c>
      <c r="F20" s="23" t="s">
        <v>92</v>
      </c>
      <c r="G20" s="23" t="s">
        <v>64</v>
      </c>
      <c r="H20" s="23" t="s">
        <v>93</v>
      </c>
      <c r="I20" s="23" t="s">
        <v>94</v>
      </c>
      <c r="J20" s="23" t="s">
        <v>95</v>
      </c>
      <c r="K20" s="23" t="s">
        <v>88</v>
      </c>
      <c r="L20" s="23" t="s">
        <v>67</v>
      </c>
      <c r="M20" s="23" t="s">
        <v>85</v>
      </c>
      <c r="N20" s="23">
        <v>31</v>
      </c>
      <c r="O20" s="23" t="s">
        <v>69</v>
      </c>
      <c r="P20" s="23">
        <v>5</v>
      </c>
      <c r="Q20" s="23">
        <v>4</v>
      </c>
      <c r="R20" s="23">
        <v>0</v>
      </c>
      <c r="S20" s="25"/>
      <c r="T20" s="23" t="s">
        <v>70</v>
      </c>
      <c r="U20" s="23" t="s">
        <v>71</v>
      </c>
      <c r="V20" s="26" t="s">
        <v>99</v>
      </c>
      <c r="W20" s="27">
        <f>IF('CRUDO MIÉRCOLES'!AU39="Si",$N20,)</f>
        <v>0</v>
      </c>
      <c r="X20" s="27">
        <f>IF('CRUDO MIÉRCOLES'!AV39="Si",$N20,)</f>
        <v>31</v>
      </c>
      <c r="Y20" s="27">
        <f>IF('CRUDO MIÉRCOLES'!AW39="Si",$N20,)</f>
        <v>0</v>
      </c>
      <c r="Z20" s="27">
        <f>IF('CRUDO MIÉRCOLES'!AX39="Si",$N20,)</f>
        <v>0</v>
      </c>
      <c r="AA20" s="27"/>
      <c r="AB20" s="27">
        <f>IF('CRUDO MIÉRCOLES'!AY39="Si",$N20,)</f>
        <v>31</v>
      </c>
      <c r="AC20" s="28" t="s">
        <v>1227</v>
      </c>
      <c r="AD20" s="27">
        <f>IF('CRUDO MIÉRCOLES'!AZ39="Si",$N20,)</f>
        <v>0</v>
      </c>
      <c r="AE20" s="27"/>
      <c r="AF20" s="27">
        <f>IF('CRUDO MIÉRCOLES'!BA39="Si",$N20,)</f>
        <v>0</v>
      </c>
      <c r="AG20" s="27"/>
      <c r="AH20" s="27">
        <f>IF('CRUDO MIÉRCOLES'!BB39="Si",$N20,)</f>
        <v>0</v>
      </c>
      <c r="AI20" s="27"/>
      <c r="AJ20" s="27">
        <f>IF('CRUDO MIÉRCOLES'!BC39="Si",$N20,)</f>
        <v>0</v>
      </c>
      <c r="AK20" s="27"/>
      <c r="AL20" s="27">
        <f>IF('CRUDO MIÉRCOLES'!BD39="Si",$N20,)</f>
        <v>31</v>
      </c>
      <c r="AM20" s="28" t="s">
        <v>1262</v>
      </c>
      <c r="AN20" s="27">
        <f>IF('CRUDO MIÉRCOLES'!BE39="Si",$N20,)</f>
        <v>0</v>
      </c>
      <c r="AO20" s="27"/>
      <c r="AP20" s="27">
        <f>IF('CRUDO MIÉRCOLES'!BF39="Si",$N20,)</f>
        <v>0</v>
      </c>
      <c r="AQ20" s="27"/>
      <c r="AR20" s="27">
        <f>IF('CRUDO MIÉRCOLES'!BG39="Si",$N20,)</f>
        <v>0</v>
      </c>
      <c r="AS20" s="27"/>
      <c r="AT20" s="27">
        <f>IF('CRUDO MIÉRCOLES'!BH39="Si",$N20,)</f>
        <v>0</v>
      </c>
      <c r="AU20" s="27"/>
      <c r="AV20" s="27">
        <f>IF('CRUDO MIÉRCOLES'!BI39="Si",$N20,)</f>
        <v>0</v>
      </c>
      <c r="AW20" s="27">
        <f>IF('CRUDO MIÉRCOLES'!BJ39="Si",$N20,)</f>
        <v>0</v>
      </c>
      <c r="AX20" s="27">
        <f>IF('CRUDO MIÉRCOLES'!BK39="Si",$N20,)</f>
        <v>0</v>
      </c>
      <c r="AY20" s="27">
        <f>IF('CRUDO MIÉRCOLES'!BL39="Si",$N20,)</f>
        <v>0</v>
      </c>
      <c r="AZ20" s="27">
        <f>IF('CRUDO MIÉRCOLES'!BM39="Si",$N20,)</f>
        <v>0</v>
      </c>
      <c r="BA20" s="27">
        <f>IF('CRUDO MIÉRCOLES'!BN39="Si",$N20,)</f>
        <v>0</v>
      </c>
      <c r="BB20" s="27"/>
      <c r="BC20" s="27">
        <f>IF('CRUDO MIÉRCOLES'!BO39="Si",$N20,)</f>
        <v>0</v>
      </c>
      <c r="BD20" s="27"/>
      <c r="BE20" s="27">
        <f>IF('CRUDO MIÉRCOLES'!BP39="Si",$N20,)</f>
        <v>0</v>
      </c>
      <c r="BF20" s="27"/>
      <c r="BG20" s="27">
        <f>IF('CRUDO MIÉRCOLES'!BQ39="Si",$N20,)</f>
        <v>0</v>
      </c>
      <c r="BH20" s="25"/>
      <c r="BI20" s="25"/>
      <c r="BJ20" s="23" t="s">
        <v>1263</v>
      </c>
      <c r="BK20" s="23">
        <v>1</v>
      </c>
      <c r="BL20" s="25"/>
    </row>
    <row r="21" spans="1:64" ht="13.2" x14ac:dyDescent="0.25">
      <c r="A21" s="22">
        <v>45005.634511053242</v>
      </c>
      <c r="B21" s="23" t="s">
        <v>610</v>
      </c>
      <c r="C21" s="23" t="s">
        <v>611</v>
      </c>
      <c r="D21" s="24" t="s">
        <v>612</v>
      </c>
      <c r="E21" s="23" t="s">
        <v>149</v>
      </c>
      <c r="F21" s="23" t="s">
        <v>613</v>
      </c>
      <c r="G21" s="23" t="s">
        <v>64</v>
      </c>
      <c r="H21" s="23" t="s">
        <v>614</v>
      </c>
      <c r="I21" s="23" t="s">
        <v>615</v>
      </c>
      <c r="J21" s="23" t="s">
        <v>616</v>
      </c>
      <c r="K21" s="23" t="s">
        <v>610</v>
      </c>
      <c r="L21" s="23" t="s">
        <v>67</v>
      </c>
      <c r="M21" s="23" t="s">
        <v>342</v>
      </c>
      <c r="N21" s="23">
        <v>20</v>
      </c>
      <c r="O21" s="23" t="s">
        <v>69</v>
      </c>
      <c r="P21" s="23">
        <v>5</v>
      </c>
      <c r="Q21" s="23">
        <v>3</v>
      </c>
      <c r="R21" s="23">
        <v>5</v>
      </c>
      <c r="S21" s="25"/>
      <c r="T21" s="23" t="s">
        <v>70</v>
      </c>
      <c r="U21" s="23" t="s">
        <v>70</v>
      </c>
      <c r="V21" s="26" t="s">
        <v>99</v>
      </c>
      <c r="W21" s="28">
        <v>0</v>
      </c>
      <c r="X21" s="28">
        <v>20</v>
      </c>
      <c r="Y21" s="28">
        <v>0</v>
      </c>
      <c r="Z21" s="28">
        <v>0</v>
      </c>
      <c r="AA21" s="28"/>
      <c r="AB21" s="28">
        <v>20</v>
      </c>
      <c r="AC21" s="28" t="s">
        <v>1227</v>
      </c>
      <c r="AD21" s="28">
        <v>0</v>
      </c>
      <c r="AE21" s="28"/>
      <c r="AF21" s="28">
        <v>0</v>
      </c>
      <c r="AG21" s="28"/>
      <c r="AH21" s="28">
        <v>0</v>
      </c>
      <c r="AI21" s="28"/>
      <c r="AJ21" s="28">
        <v>0</v>
      </c>
      <c r="AK21" s="28"/>
      <c r="AL21" s="28">
        <v>0</v>
      </c>
      <c r="AM21" s="28"/>
      <c r="AN21" s="28">
        <v>0</v>
      </c>
      <c r="AO21" s="28"/>
      <c r="AP21" s="28">
        <v>0</v>
      </c>
      <c r="AQ21" s="28"/>
      <c r="AR21" s="28">
        <v>20</v>
      </c>
      <c r="AS21" s="28" t="s">
        <v>1269</v>
      </c>
      <c r="AT21" s="28">
        <v>0</v>
      </c>
      <c r="AU21" s="28"/>
      <c r="AV21" s="28">
        <v>0</v>
      </c>
      <c r="AW21" s="28">
        <v>0</v>
      </c>
      <c r="AX21" s="28">
        <v>0</v>
      </c>
      <c r="AY21" s="28">
        <v>0</v>
      </c>
      <c r="AZ21" s="28">
        <v>0</v>
      </c>
      <c r="BA21" s="28">
        <v>0</v>
      </c>
      <c r="BB21" s="28"/>
      <c r="BC21" s="28">
        <v>0</v>
      </c>
      <c r="BD21" s="28"/>
      <c r="BE21" s="28">
        <v>0</v>
      </c>
      <c r="BF21" s="28"/>
      <c r="BG21" s="28">
        <v>0</v>
      </c>
      <c r="BH21" s="23"/>
      <c r="BI21" s="23" t="s">
        <v>618</v>
      </c>
      <c r="BJ21" s="23" t="s">
        <v>1245</v>
      </c>
      <c r="BK21" s="23">
        <v>1</v>
      </c>
      <c r="BL21" s="25"/>
    </row>
    <row r="22" spans="1:64" ht="13.2" x14ac:dyDescent="0.25">
      <c r="A22" s="30">
        <v>45005.70891346065</v>
      </c>
      <c r="B22" s="31" t="s">
        <v>1120</v>
      </c>
      <c r="C22" s="31" t="s">
        <v>1121</v>
      </c>
      <c r="D22" s="8" t="s">
        <v>1122</v>
      </c>
      <c r="E22" s="31" t="s">
        <v>263</v>
      </c>
      <c r="F22" s="31" t="s">
        <v>1123</v>
      </c>
      <c r="G22" s="31" t="s">
        <v>105</v>
      </c>
      <c r="H22" s="31" t="s">
        <v>1124</v>
      </c>
      <c r="I22" s="31" t="s">
        <v>1125</v>
      </c>
      <c r="J22" s="31" t="s">
        <v>1126</v>
      </c>
      <c r="K22" s="31" t="s">
        <v>1120</v>
      </c>
      <c r="L22" s="31" t="s">
        <v>656</v>
      </c>
      <c r="M22" s="31" t="s">
        <v>689</v>
      </c>
      <c r="N22" s="31">
        <v>0</v>
      </c>
      <c r="O22" s="31" t="s">
        <v>69</v>
      </c>
      <c r="P22" s="31">
        <v>3</v>
      </c>
      <c r="Q22" s="31">
        <v>1</v>
      </c>
      <c r="R22" s="31">
        <v>90</v>
      </c>
      <c r="S22" s="33"/>
      <c r="T22" s="31" t="s">
        <v>70</v>
      </c>
      <c r="U22" s="31" t="s">
        <v>70</v>
      </c>
      <c r="V22" s="8" t="s">
        <v>99</v>
      </c>
      <c r="W22" s="34">
        <v>0</v>
      </c>
      <c r="X22" s="35">
        <f>IF('CRUDO MIÉRCOLES'!AV43="Si",$N22,)</f>
        <v>0</v>
      </c>
      <c r="Y22" s="35">
        <f>IF('CRUDO MIÉRCOLES'!AW43="Si",$N22,)</f>
        <v>0</v>
      </c>
      <c r="Z22" s="35">
        <f>IF('CRUDO MIÉRCOLES'!AX43="Si",$N22,)</f>
        <v>0</v>
      </c>
      <c r="AA22" s="35"/>
      <c r="AB22" s="35">
        <f>IF('CRUDO MIÉRCOLES'!AY43="Si",$N22,)</f>
        <v>0</v>
      </c>
      <c r="AC22" s="34" t="s">
        <v>1233</v>
      </c>
      <c r="AD22" s="35">
        <f>IF('CRUDO MIÉRCOLES'!AZ43="Si",$N22,)</f>
        <v>0</v>
      </c>
      <c r="AE22" s="35"/>
      <c r="AF22" s="35">
        <f>IF('CRUDO MIÉRCOLES'!BA43="Si",$N22,)</f>
        <v>0</v>
      </c>
      <c r="AG22" s="35"/>
      <c r="AH22" s="35">
        <f>IF('CRUDO MIÉRCOLES'!BB43="Si",$N22,)</f>
        <v>0</v>
      </c>
      <c r="AI22" s="35"/>
      <c r="AJ22" s="35">
        <f>IF('CRUDO MIÉRCOLES'!BC43="Si",$N22,)</f>
        <v>0</v>
      </c>
      <c r="AK22" s="35"/>
      <c r="AL22" s="35">
        <f>IF('CRUDO MIÉRCOLES'!BD43="Si",$N22,)</f>
        <v>0</v>
      </c>
      <c r="AM22" s="35"/>
      <c r="AN22" s="35">
        <f>IF('CRUDO MIÉRCOLES'!BE43="Si",$N22,)</f>
        <v>0</v>
      </c>
      <c r="AO22" s="35"/>
      <c r="AP22" s="35">
        <f>IF('CRUDO MIÉRCOLES'!BF43="Si",$N22,)</f>
        <v>0</v>
      </c>
      <c r="AQ22" s="35"/>
      <c r="AR22" s="35">
        <f>IF('CRUDO MIÉRCOLES'!BG43="Si",$N22,)</f>
        <v>0</v>
      </c>
      <c r="AS22" s="34"/>
      <c r="AT22" s="35">
        <f>IF('CRUDO MIÉRCOLES'!BH43="Si",$N22,)</f>
        <v>0</v>
      </c>
      <c r="AU22" s="35"/>
      <c r="AV22" s="35">
        <f>IF('CRUDO MIÉRCOLES'!BI43="Si",$N22,)</f>
        <v>0</v>
      </c>
      <c r="AW22" s="35">
        <f>IF('CRUDO MIÉRCOLES'!BJ43="Si",$N22,)</f>
        <v>0</v>
      </c>
      <c r="AX22" s="35">
        <f>IF('CRUDO MIÉRCOLES'!BK43="Si",$N22,)</f>
        <v>0</v>
      </c>
      <c r="AY22" s="35"/>
      <c r="AZ22" s="34">
        <v>0</v>
      </c>
      <c r="BA22" s="35">
        <f>IF('CRUDO MIÉRCOLES'!BN43="Si",$N22,)</f>
        <v>0</v>
      </c>
      <c r="BB22" s="35"/>
      <c r="BC22" s="35">
        <f>IF('CRUDO MIÉRCOLES'!BO43="Si",$N22,)</f>
        <v>0</v>
      </c>
      <c r="BD22" s="35"/>
      <c r="BE22" s="35">
        <f>IF('CRUDO MIÉRCOLES'!BP43="Si",$N22,)</f>
        <v>0</v>
      </c>
      <c r="BF22" s="35"/>
      <c r="BG22" s="35">
        <f>IF('CRUDO MIÉRCOLES'!BQ43="Si",$N22,)</f>
        <v>0</v>
      </c>
      <c r="BH22" s="33"/>
      <c r="BI22" s="33"/>
      <c r="BJ22" s="31" t="s">
        <v>1240</v>
      </c>
      <c r="BK22" s="33"/>
      <c r="BL22" s="33"/>
    </row>
    <row r="23" spans="1:64" ht="13.2" x14ac:dyDescent="0.25">
      <c r="A23" s="22">
        <v>45005.723544733795</v>
      </c>
      <c r="B23" s="23" t="s">
        <v>1113</v>
      </c>
      <c r="C23" s="23" t="s">
        <v>1114</v>
      </c>
      <c r="D23" s="26" t="s">
        <v>1115</v>
      </c>
      <c r="E23" s="23" t="s">
        <v>1116</v>
      </c>
      <c r="F23" s="23" t="s">
        <v>581</v>
      </c>
      <c r="G23" s="23" t="s">
        <v>105</v>
      </c>
      <c r="H23" s="23" t="s">
        <v>1117</v>
      </c>
      <c r="I23" s="23" t="s">
        <v>1118</v>
      </c>
      <c r="J23" s="23" t="s">
        <v>1119</v>
      </c>
      <c r="K23" s="23" t="s">
        <v>1113</v>
      </c>
      <c r="L23" s="23" t="s">
        <v>665</v>
      </c>
      <c r="M23" s="23" t="s">
        <v>681</v>
      </c>
      <c r="N23" s="23">
        <v>20</v>
      </c>
      <c r="O23" s="23" t="s">
        <v>69</v>
      </c>
      <c r="P23" s="23">
        <v>3</v>
      </c>
      <c r="Q23" s="23">
        <v>2</v>
      </c>
      <c r="R23" s="23">
        <v>100</v>
      </c>
      <c r="S23" s="25"/>
      <c r="T23" s="23" t="s">
        <v>70</v>
      </c>
      <c r="U23" s="23" t="s">
        <v>70</v>
      </c>
      <c r="V23" s="26" t="s">
        <v>99</v>
      </c>
      <c r="W23" s="27">
        <f>IF('CRUDO MIÉRCOLES'!AU45="Si",$N23,)</f>
        <v>0</v>
      </c>
      <c r="X23" s="27">
        <f>IF('CRUDO MIÉRCOLES'!AV45="Si",$N23,)</f>
        <v>0</v>
      </c>
      <c r="Y23" s="27">
        <f>IF('CRUDO MIÉRCOLES'!AW45="Si",$N23,)</f>
        <v>20</v>
      </c>
      <c r="Z23" s="27">
        <f>IF('CRUDO MIÉRCOLES'!AX45="Si",$N23,)</f>
        <v>0</v>
      </c>
      <c r="AA23" s="27"/>
      <c r="AB23" s="27">
        <f>IF('CRUDO MIÉRCOLES'!AY45="Si",$N23,)</f>
        <v>20</v>
      </c>
      <c r="AC23" s="28" t="s">
        <v>1233</v>
      </c>
      <c r="AD23" s="27">
        <f>IF('CRUDO MIÉRCOLES'!AZ45="Si",$N23,)</f>
        <v>0</v>
      </c>
      <c r="AE23" s="27"/>
      <c r="AF23" s="28">
        <v>0</v>
      </c>
      <c r="AG23" s="28"/>
      <c r="AH23" s="27">
        <f>IF('CRUDO MIÉRCOLES'!BB45="Si",$N23,)</f>
        <v>0</v>
      </c>
      <c r="AI23" s="27"/>
      <c r="AJ23" s="27">
        <f>IF('CRUDO MIÉRCOLES'!BC45="Si",$N23,)</f>
        <v>0</v>
      </c>
      <c r="AK23" s="27"/>
      <c r="AL23" s="27">
        <f>IF('CRUDO MIÉRCOLES'!BD45="Si",$N23,)</f>
        <v>0</v>
      </c>
      <c r="AM23" s="27"/>
      <c r="AN23" s="27">
        <f>IF('CRUDO MIÉRCOLES'!BE45="Si",$N23,)</f>
        <v>0</v>
      </c>
      <c r="AO23" s="27"/>
      <c r="AP23" s="27">
        <f>IF('CRUDO MIÉRCOLES'!BF45="Si",$N23,)</f>
        <v>0</v>
      </c>
      <c r="AQ23" s="27"/>
      <c r="AR23" s="27">
        <f>IF('CRUDO MIÉRCOLES'!BG45="Si",$N23,)</f>
        <v>0</v>
      </c>
      <c r="AS23" s="27"/>
      <c r="AT23" s="27">
        <f>IF('CRUDO MIÉRCOLES'!BH45="Si",$N23,)</f>
        <v>0</v>
      </c>
      <c r="AU23" s="27"/>
      <c r="AV23" s="27">
        <f>IF('CRUDO MIÉRCOLES'!BI45="Si",$N23,)</f>
        <v>0</v>
      </c>
      <c r="AW23" s="27">
        <f>IF('CRUDO MIÉRCOLES'!BJ45="Si",$N23,)</f>
        <v>0</v>
      </c>
      <c r="AX23" s="27">
        <f>IF('CRUDO MIÉRCOLES'!BK45="Si",$N23,)</f>
        <v>20</v>
      </c>
      <c r="AY23" s="27">
        <f>IF('CRUDO MIÉRCOLES'!BL45="Si",$N23,)</f>
        <v>0</v>
      </c>
      <c r="AZ23" s="27">
        <f>IF('CRUDO MIÉRCOLES'!BM45="Si",$N23,)</f>
        <v>0</v>
      </c>
      <c r="BA23" s="27">
        <f>IF('CRUDO MIÉRCOLES'!BN45="Si",$N23,)</f>
        <v>0</v>
      </c>
      <c r="BB23" s="27"/>
      <c r="BC23" s="27">
        <f>IF('CRUDO MIÉRCOLES'!BO45="Si",$N23,)</f>
        <v>0</v>
      </c>
      <c r="BD23" s="27"/>
      <c r="BE23" s="27">
        <f>IF('CRUDO MIÉRCOLES'!BP45="Si",$N23,)</f>
        <v>0</v>
      </c>
      <c r="BF23" s="27"/>
      <c r="BG23" s="27">
        <f>IF('CRUDO MIÉRCOLES'!BQ45="Si",$N23,)</f>
        <v>0</v>
      </c>
      <c r="BH23" s="25"/>
      <c r="BI23" s="25"/>
      <c r="BJ23" s="23" t="s">
        <v>1270</v>
      </c>
      <c r="BK23" s="23">
        <v>1</v>
      </c>
      <c r="BL23" s="25"/>
    </row>
    <row r="24" spans="1:64" ht="13.2" x14ac:dyDescent="0.25">
      <c r="A24" s="22">
        <v>45005.834669247684</v>
      </c>
      <c r="B24" s="23" t="s">
        <v>867</v>
      </c>
      <c r="C24" s="23" t="s">
        <v>868</v>
      </c>
      <c r="D24" s="24" t="s">
        <v>869</v>
      </c>
      <c r="E24" s="23" t="s">
        <v>103</v>
      </c>
      <c r="F24" s="23" t="s">
        <v>870</v>
      </c>
      <c r="G24" s="23" t="s">
        <v>105</v>
      </c>
      <c r="H24" s="23" t="s">
        <v>871</v>
      </c>
      <c r="I24" s="23" t="s">
        <v>872</v>
      </c>
      <c r="J24" s="25"/>
      <c r="K24" s="23" t="s">
        <v>867</v>
      </c>
      <c r="L24" s="23" t="s">
        <v>656</v>
      </c>
      <c r="M24" s="23" t="s">
        <v>411</v>
      </c>
      <c r="N24" s="23">
        <v>25</v>
      </c>
      <c r="O24" s="23" t="s">
        <v>69</v>
      </c>
      <c r="P24" s="23">
        <v>4</v>
      </c>
      <c r="Q24" s="23">
        <v>5</v>
      </c>
      <c r="R24" s="23">
        <v>30</v>
      </c>
      <c r="S24" s="25"/>
      <c r="T24" s="23" t="s">
        <v>70</v>
      </c>
      <c r="U24" s="23" t="s">
        <v>70</v>
      </c>
      <c r="V24" s="26" t="s">
        <v>99</v>
      </c>
      <c r="W24" s="27">
        <f>IF('CRUDO MIÉRCOLES'!AU46="Si",$N24,)</f>
        <v>0</v>
      </c>
      <c r="X24" s="28">
        <v>25</v>
      </c>
      <c r="Y24" s="27">
        <f>IF('CRUDO MIÉRCOLES'!AW46="Si",$N24,)</f>
        <v>0</v>
      </c>
      <c r="Z24" s="27">
        <f>IF('CRUDO MIÉRCOLES'!AX46="Si",$N24,)</f>
        <v>25</v>
      </c>
      <c r="AA24" s="28" t="s">
        <v>1227</v>
      </c>
      <c r="AB24" s="27">
        <f>IF('CRUDO MIÉRCOLES'!AY46="Si",$N24,)</f>
        <v>0</v>
      </c>
      <c r="AC24" s="27"/>
      <c r="AD24" s="27">
        <f>IF('CRUDO MIÉRCOLES'!AZ46="Si",$N24,)</f>
        <v>0</v>
      </c>
      <c r="AE24" s="27"/>
      <c r="AF24" s="27">
        <f>IF('CRUDO MIÉRCOLES'!BA46="Si",$N24,)</f>
        <v>0</v>
      </c>
      <c r="AG24" s="27"/>
      <c r="AH24" s="27">
        <f>IF('CRUDO MIÉRCOLES'!BB46="Si",$N24,)</f>
        <v>0</v>
      </c>
      <c r="AI24" s="27"/>
      <c r="AJ24" s="27">
        <f>IF('CRUDO MIÉRCOLES'!BC46="Si",$N24,)</f>
        <v>0</v>
      </c>
      <c r="AK24" s="27"/>
      <c r="AL24" s="27">
        <f>IF('CRUDO MIÉRCOLES'!BD46="Si",$N24,)</f>
        <v>0</v>
      </c>
      <c r="AM24" s="28"/>
      <c r="AN24" s="28">
        <v>0</v>
      </c>
      <c r="AO24" s="28"/>
      <c r="AP24" s="28">
        <v>0</v>
      </c>
      <c r="AQ24" s="27"/>
      <c r="AR24" s="27">
        <f>IF('CRUDO MIÉRCOLES'!BG46="Si",$N24,)</f>
        <v>0</v>
      </c>
      <c r="AS24" s="27"/>
      <c r="AT24" s="27">
        <f>IF('CRUDO MIÉRCOLES'!BH46="Si",$N24,)</f>
        <v>0</v>
      </c>
      <c r="AU24" s="27"/>
      <c r="AV24" s="27">
        <f>IF('CRUDO MIÉRCOLES'!BI46="Si",$N24,)</f>
        <v>0</v>
      </c>
      <c r="AW24" s="27">
        <f>IF('CRUDO MIÉRCOLES'!BJ46="Si",$N24,)</f>
        <v>0</v>
      </c>
      <c r="AX24" s="27">
        <f>IF('CRUDO MIÉRCOLES'!BK46="Si",$N24,)</f>
        <v>0</v>
      </c>
      <c r="AY24" s="27">
        <f>IF('CRUDO MIÉRCOLES'!BL46="Si",$N24,)</f>
        <v>25</v>
      </c>
      <c r="AZ24" s="27">
        <f>IF('CRUDO MIÉRCOLES'!BM46="Si",$N24,)</f>
        <v>0</v>
      </c>
      <c r="BA24" s="27">
        <f>IF('CRUDO MIÉRCOLES'!BN46="Si",$N24,)</f>
        <v>0</v>
      </c>
      <c r="BB24" s="27"/>
      <c r="BC24" s="27">
        <f>IF('CRUDO MIÉRCOLES'!BO46="Si",$N24,)</f>
        <v>0</v>
      </c>
      <c r="BD24" s="27"/>
      <c r="BE24" s="27">
        <f>IF('CRUDO MIÉRCOLES'!BP46="Si",$N24,)</f>
        <v>0</v>
      </c>
      <c r="BF24" s="28"/>
      <c r="BG24" s="28">
        <v>0</v>
      </c>
      <c r="BH24" s="23"/>
      <c r="BI24" s="23" t="s">
        <v>873</v>
      </c>
      <c r="BJ24" s="23" t="s">
        <v>1237</v>
      </c>
      <c r="BK24" s="23">
        <v>1</v>
      </c>
      <c r="BL24" s="25"/>
    </row>
    <row r="25" spans="1:64" ht="13.2" x14ac:dyDescent="0.25">
      <c r="A25" s="22">
        <v>45005.865266979163</v>
      </c>
      <c r="B25" s="23" t="s">
        <v>121</v>
      </c>
      <c r="C25" s="23" t="s">
        <v>122</v>
      </c>
      <c r="D25" s="29" t="s">
        <v>123</v>
      </c>
      <c r="E25" s="23" t="s">
        <v>62</v>
      </c>
      <c r="F25" s="23" t="s">
        <v>124</v>
      </c>
      <c r="G25" s="23" t="s">
        <v>105</v>
      </c>
      <c r="H25" s="23" t="s">
        <v>125</v>
      </c>
      <c r="I25" s="23" t="s">
        <v>126</v>
      </c>
      <c r="J25" s="25"/>
      <c r="K25" s="23" t="s">
        <v>121</v>
      </c>
      <c r="L25" s="23" t="s">
        <v>67</v>
      </c>
      <c r="M25" s="23" t="s">
        <v>108</v>
      </c>
      <c r="N25" s="23">
        <v>20</v>
      </c>
      <c r="O25" s="23" t="s">
        <v>69</v>
      </c>
      <c r="P25" s="23">
        <v>4</v>
      </c>
      <c r="Q25" s="23">
        <v>2</v>
      </c>
      <c r="R25" s="23">
        <v>40</v>
      </c>
      <c r="S25" s="25"/>
      <c r="T25" s="23" t="s">
        <v>70</v>
      </c>
      <c r="U25" s="23" t="s">
        <v>71</v>
      </c>
      <c r="V25" s="26" t="s">
        <v>99</v>
      </c>
      <c r="W25" s="27">
        <f>IF('CRUDO MIÉRCOLES'!AU47="Si",$N25,)</f>
        <v>20</v>
      </c>
      <c r="X25" s="28">
        <v>0</v>
      </c>
      <c r="Y25" s="27">
        <f>IF('CRUDO MIÉRCOLES'!AW47="Si",$N25,)</f>
        <v>0</v>
      </c>
      <c r="Z25" s="28">
        <v>0</v>
      </c>
      <c r="AA25" s="28"/>
      <c r="AB25" s="28">
        <v>0</v>
      </c>
      <c r="AC25" s="28"/>
      <c r="AD25" s="27">
        <f>IF('CRUDO MIÉRCOLES'!AZ47="Si",$N25,)</f>
        <v>20</v>
      </c>
      <c r="AE25" s="28" t="s">
        <v>1227</v>
      </c>
      <c r="AF25" s="27">
        <f>IF('CRUDO MIÉRCOLES'!BA47="Si",$N25,)</f>
        <v>0</v>
      </c>
      <c r="AG25" s="27"/>
      <c r="AH25" s="27">
        <f>IF('CRUDO MIÉRCOLES'!BB47="Si",$N25,)</f>
        <v>0</v>
      </c>
      <c r="AI25" s="27"/>
      <c r="AJ25" s="27">
        <f>IF('CRUDO MIÉRCOLES'!BC47="Si",$N25,)</f>
        <v>0</v>
      </c>
      <c r="AK25" s="27"/>
      <c r="AL25" s="28">
        <v>0</v>
      </c>
      <c r="AM25" s="28"/>
      <c r="AN25" s="28">
        <v>0</v>
      </c>
      <c r="AO25" s="28"/>
      <c r="AP25" s="28">
        <v>0</v>
      </c>
      <c r="AQ25" s="27"/>
      <c r="AR25" s="27">
        <f>IF('CRUDO MIÉRCOLES'!BG47="Si",$N25,)</f>
        <v>0</v>
      </c>
      <c r="AS25" s="27"/>
      <c r="AT25" s="27">
        <f>IF('CRUDO MIÉRCOLES'!BH47="Si",$N25,)</f>
        <v>0</v>
      </c>
      <c r="AU25" s="27"/>
      <c r="AV25" s="27">
        <f>IF('CRUDO MIÉRCOLES'!BI47="Si",$N25,)</f>
        <v>0</v>
      </c>
      <c r="AW25" s="27">
        <f>IF('CRUDO MIÉRCOLES'!BJ47="Si",$N25,)</f>
        <v>0</v>
      </c>
      <c r="AX25" s="27">
        <f>IF('CRUDO MIÉRCOLES'!BK47="Si",$N25,)</f>
        <v>0</v>
      </c>
      <c r="AY25" s="27">
        <f>IF('CRUDO MIÉRCOLES'!BL47="Si",$N25,)</f>
        <v>0</v>
      </c>
      <c r="AZ25" s="27">
        <f>IF('CRUDO MIÉRCOLES'!BM47="Si",$N25,)</f>
        <v>0</v>
      </c>
      <c r="BA25" s="27">
        <f>IF('CRUDO MIÉRCOLES'!BN47="Si",$N25,)</f>
        <v>20</v>
      </c>
      <c r="BB25" s="28" t="s">
        <v>1239</v>
      </c>
      <c r="BC25" s="28">
        <v>0</v>
      </c>
      <c r="BD25" s="27"/>
      <c r="BE25" s="27">
        <f>IF('CRUDO MIÉRCOLES'!BP47="Si",$N25,)</f>
        <v>0</v>
      </c>
      <c r="BF25" s="27"/>
      <c r="BG25" s="27">
        <f>IF('CRUDO MIÉRCOLES'!BQ47="Si",$N25,)</f>
        <v>0</v>
      </c>
      <c r="BH25" s="23"/>
      <c r="BI25" s="23" t="s">
        <v>128</v>
      </c>
      <c r="BJ25" s="23" t="s">
        <v>1263</v>
      </c>
      <c r="BK25" s="23">
        <v>1</v>
      </c>
      <c r="BL25" s="25"/>
    </row>
    <row r="26" spans="1:64" ht="13.2" hidden="1" x14ac:dyDescent="0.25">
      <c r="A26" s="30">
        <v>45005.919205266204</v>
      </c>
      <c r="B26" s="31" t="s">
        <v>1026</v>
      </c>
      <c r="C26" s="31" t="s">
        <v>1027</v>
      </c>
      <c r="D26" s="36" t="s">
        <v>1028</v>
      </c>
      <c r="E26" s="31" t="s">
        <v>103</v>
      </c>
      <c r="F26" s="31" t="s">
        <v>294</v>
      </c>
      <c r="G26" s="31" t="s">
        <v>64</v>
      </c>
      <c r="H26" s="31" t="s">
        <v>1029</v>
      </c>
      <c r="I26" s="31" t="s">
        <v>1030</v>
      </c>
      <c r="J26" s="31" t="s">
        <v>1031</v>
      </c>
      <c r="K26" s="31" t="s">
        <v>1026</v>
      </c>
      <c r="L26" s="31" t="s">
        <v>67</v>
      </c>
      <c r="M26" s="31" t="s">
        <v>631</v>
      </c>
      <c r="N26" s="31">
        <v>0</v>
      </c>
      <c r="O26" s="31" t="s">
        <v>69</v>
      </c>
      <c r="P26" s="31">
        <v>4</v>
      </c>
      <c r="Q26" s="31">
        <v>4</v>
      </c>
      <c r="R26" s="31">
        <v>5</v>
      </c>
      <c r="S26" s="33"/>
      <c r="T26" s="31" t="s">
        <v>70</v>
      </c>
      <c r="U26" s="31" t="s">
        <v>71</v>
      </c>
      <c r="V26" s="8" t="s">
        <v>99</v>
      </c>
      <c r="W26" s="35">
        <f>IF('CRUDO MIÉRCOLES'!AU49="Si",$N26,)</f>
        <v>0</v>
      </c>
      <c r="X26" s="34">
        <v>0</v>
      </c>
      <c r="Y26" s="35">
        <f>IF('CRUDO MIÉRCOLES'!AW49="Si",$N26,)</f>
        <v>0</v>
      </c>
      <c r="Z26" s="35">
        <f>IF('CRUDO MIÉRCOLES'!AX49="Si",$N26,)</f>
        <v>0</v>
      </c>
      <c r="AA26" s="35"/>
      <c r="AB26" s="34">
        <v>0</v>
      </c>
      <c r="AC26" s="34"/>
      <c r="AD26" s="34">
        <v>0</v>
      </c>
      <c r="AE26" s="34"/>
      <c r="AF26" s="35">
        <f>IF('CRUDO MIÉRCOLES'!BA49="Si",$N26,)</f>
        <v>0</v>
      </c>
      <c r="AG26" s="35"/>
      <c r="AH26" s="35">
        <f>IF('CRUDO MIÉRCOLES'!BB49="Si",$N26,)</f>
        <v>0</v>
      </c>
      <c r="AI26" s="35"/>
      <c r="AJ26" s="35">
        <f>IF('CRUDO MIÉRCOLES'!BC49="Si",$N26,)</f>
        <v>0</v>
      </c>
      <c r="AK26" s="35"/>
      <c r="AL26" s="35">
        <f>IF('CRUDO MIÉRCOLES'!BD49="Si",$N26,)</f>
        <v>0</v>
      </c>
      <c r="AM26" s="35"/>
      <c r="AN26" s="35">
        <f>IF('CRUDO MIÉRCOLES'!BE49="Si",$N26,)</f>
        <v>0</v>
      </c>
      <c r="AO26" s="35"/>
      <c r="AP26" s="35">
        <f>IF('CRUDO MIÉRCOLES'!BF49="Si",$N26,)</f>
        <v>0</v>
      </c>
      <c r="AQ26" s="34"/>
      <c r="AR26" s="34">
        <v>0</v>
      </c>
      <c r="AS26" s="35"/>
      <c r="AT26" s="35">
        <f>IF('CRUDO MIÉRCOLES'!BH49="Si",$N26,)</f>
        <v>0</v>
      </c>
      <c r="AU26" s="35"/>
      <c r="AV26" s="35">
        <f>IF('CRUDO MIÉRCOLES'!BI49="Si",$N26,)</f>
        <v>0</v>
      </c>
      <c r="AW26" s="35">
        <f>IF('CRUDO MIÉRCOLES'!BJ49="Si",$N26,)</f>
        <v>0</v>
      </c>
      <c r="AX26" s="35">
        <f>IF('CRUDO MIÉRCOLES'!BK49="Si",$N26,)</f>
        <v>0</v>
      </c>
      <c r="AY26" s="35">
        <f>IF('CRUDO MIÉRCOLES'!BL49="Si",$N26,)</f>
        <v>0</v>
      </c>
      <c r="AZ26" s="34">
        <v>0</v>
      </c>
      <c r="BA26" s="34">
        <v>0</v>
      </c>
      <c r="BB26" s="35"/>
      <c r="BC26" s="35">
        <f>IF('CRUDO MIÉRCOLES'!BO49="Si",$N26,)</f>
        <v>0</v>
      </c>
      <c r="BD26" s="35"/>
      <c r="BE26" s="35">
        <f>IF('CRUDO MIÉRCOLES'!BP49="Si",$N26,)</f>
        <v>0</v>
      </c>
      <c r="BF26" s="35"/>
      <c r="BG26" s="35">
        <f>IF('CRUDO MIÉRCOLES'!BQ49="Si",$N26,)</f>
        <v>0</v>
      </c>
      <c r="BH26" s="31"/>
      <c r="BI26" s="31"/>
      <c r="BJ26" s="31" t="s">
        <v>1263</v>
      </c>
      <c r="BK26" s="33"/>
      <c r="BL26" s="33"/>
    </row>
    <row r="27" spans="1:64" ht="13.2" hidden="1" x14ac:dyDescent="0.25">
      <c r="A27" s="30">
        <v>45005.923207025466</v>
      </c>
      <c r="B27" s="31" t="s">
        <v>1026</v>
      </c>
      <c r="C27" s="31" t="s">
        <v>1033</v>
      </c>
      <c r="D27" s="36" t="s">
        <v>1028</v>
      </c>
      <c r="E27" s="31" t="s">
        <v>149</v>
      </c>
      <c r="F27" s="31" t="s">
        <v>205</v>
      </c>
      <c r="G27" s="31" t="s">
        <v>64</v>
      </c>
      <c r="H27" s="31" t="s">
        <v>1030</v>
      </c>
      <c r="I27" s="31" t="s">
        <v>1029</v>
      </c>
      <c r="J27" s="31" t="s">
        <v>1031</v>
      </c>
      <c r="K27" s="31" t="s">
        <v>1026</v>
      </c>
      <c r="L27" s="31" t="s">
        <v>67</v>
      </c>
      <c r="M27" s="31" t="s">
        <v>631</v>
      </c>
      <c r="N27" s="31">
        <v>0</v>
      </c>
      <c r="O27" s="31" t="s">
        <v>69</v>
      </c>
      <c r="P27" s="31">
        <v>4</v>
      </c>
      <c r="Q27" s="31">
        <v>4</v>
      </c>
      <c r="R27" s="31">
        <v>5</v>
      </c>
      <c r="S27" s="33"/>
      <c r="T27" s="31" t="s">
        <v>70</v>
      </c>
      <c r="U27" s="31" t="s">
        <v>71</v>
      </c>
      <c r="V27" s="8" t="s">
        <v>99</v>
      </c>
      <c r="W27" s="35">
        <f>IF('CRUDO MIÉRCOLES'!AU50="Si",$N27,)</f>
        <v>0</v>
      </c>
      <c r="X27" s="35">
        <f>IF('CRUDO MIÉRCOLES'!AV50="Si",$N27,)</f>
        <v>0</v>
      </c>
      <c r="Y27" s="35">
        <f>IF('CRUDO MIÉRCOLES'!AW50="Si",$N27,)</f>
        <v>0</v>
      </c>
      <c r="Z27" s="34">
        <v>0</v>
      </c>
      <c r="AA27" s="34"/>
      <c r="AB27" s="35">
        <f>IF('CRUDO MIÉRCOLES'!AY50="Si",$N27,)</f>
        <v>0</v>
      </c>
      <c r="AC27" s="35"/>
      <c r="AD27" s="34">
        <v>0</v>
      </c>
      <c r="AE27" s="34"/>
      <c r="AF27" s="35">
        <f>IF('CRUDO MIÉRCOLES'!BA50="Si",$N27,)</f>
        <v>0</v>
      </c>
      <c r="AG27" s="35"/>
      <c r="AH27" s="34">
        <v>0</v>
      </c>
      <c r="AI27" s="34"/>
      <c r="AJ27" s="35">
        <f>IF('CRUDO MIÉRCOLES'!BC50="Si",$N27,)</f>
        <v>0</v>
      </c>
      <c r="AK27" s="35"/>
      <c r="AL27" s="35">
        <f>IF('CRUDO MIÉRCOLES'!BD50="Si",$N27,)</f>
        <v>0</v>
      </c>
      <c r="AM27" s="35"/>
      <c r="AN27" s="35">
        <f>IF('CRUDO MIÉRCOLES'!BE50="Si",$N27,)</f>
        <v>0</v>
      </c>
      <c r="AO27" s="35"/>
      <c r="AP27" s="35">
        <f>IF('CRUDO MIÉRCOLES'!BF50="Si",$N27,)</f>
        <v>0</v>
      </c>
      <c r="AQ27" s="34"/>
      <c r="AR27" s="34">
        <v>0</v>
      </c>
      <c r="AS27" s="35"/>
      <c r="AT27" s="35">
        <f>IF('CRUDO MIÉRCOLES'!BH50="Si",$N27,)</f>
        <v>0</v>
      </c>
      <c r="AU27" s="34"/>
      <c r="AV27" s="34">
        <v>0</v>
      </c>
      <c r="AW27" s="35">
        <f>IF('CRUDO MIÉRCOLES'!BJ50="Si",$N27,)</f>
        <v>0</v>
      </c>
      <c r="AX27" s="35">
        <f>IF('CRUDO MIÉRCOLES'!BK50="Si",$N27,)</f>
        <v>0</v>
      </c>
      <c r="AY27" s="35">
        <f>IF('CRUDO MIÉRCOLES'!BL50="Si",$N27,)</f>
        <v>0</v>
      </c>
      <c r="AZ27" s="35">
        <f>IF('CRUDO MIÉRCOLES'!BM50="Si",$N27,)</f>
        <v>0</v>
      </c>
      <c r="BA27" s="34">
        <v>0</v>
      </c>
      <c r="BB27" s="35"/>
      <c r="BC27" s="35">
        <f>IF('CRUDO MIÉRCOLES'!BO50="Si",$N27,)</f>
        <v>0</v>
      </c>
      <c r="BD27" s="35"/>
      <c r="BE27" s="35">
        <f>IF('CRUDO MIÉRCOLES'!BP50="Si",$N27,)</f>
        <v>0</v>
      </c>
      <c r="BF27" s="35"/>
      <c r="BG27" s="35">
        <f>IF('CRUDO MIÉRCOLES'!BQ50="Si",$N27,)</f>
        <v>0</v>
      </c>
      <c r="BH27" s="31"/>
      <c r="BI27" s="31" t="s">
        <v>1034</v>
      </c>
      <c r="BJ27" s="31" t="s">
        <v>1263</v>
      </c>
      <c r="BK27" s="33"/>
      <c r="BL27" s="33"/>
    </row>
    <row r="28" spans="1:64" ht="13.2" x14ac:dyDescent="0.25">
      <c r="A28" s="30">
        <v>45005.964537025458</v>
      </c>
      <c r="B28" s="31" t="s">
        <v>867</v>
      </c>
      <c r="C28" s="31" t="s">
        <v>874</v>
      </c>
      <c r="D28" s="32" t="s">
        <v>869</v>
      </c>
      <c r="E28" s="31" t="s">
        <v>103</v>
      </c>
      <c r="F28" s="31" t="s">
        <v>840</v>
      </c>
      <c r="G28" s="31" t="s">
        <v>105</v>
      </c>
      <c r="H28" s="31" t="s">
        <v>871</v>
      </c>
      <c r="I28" s="31" t="s">
        <v>875</v>
      </c>
      <c r="J28" s="33"/>
      <c r="K28" s="31" t="s">
        <v>867</v>
      </c>
      <c r="L28" s="31" t="s">
        <v>656</v>
      </c>
      <c r="M28" s="31" t="s">
        <v>411</v>
      </c>
      <c r="N28" s="31">
        <v>25</v>
      </c>
      <c r="O28" s="31" t="s">
        <v>69</v>
      </c>
      <c r="P28" s="31">
        <v>4</v>
      </c>
      <c r="Q28" s="31">
        <v>5</v>
      </c>
      <c r="R28" s="31">
        <v>30</v>
      </c>
      <c r="S28" s="33"/>
      <c r="T28" s="31" t="s">
        <v>70</v>
      </c>
      <c r="U28" s="31" t="s">
        <v>70</v>
      </c>
      <c r="V28" s="8" t="s">
        <v>99</v>
      </c>
      <c r="W28" s="35">
        <f>IF('CRUDO MIÉRCOLES'!AU53="Si",$N28,)</f>
        <v>0</v>
      </c>
      <c r="X28" s="35">
        <f>IF('CRUDO MIÉRCOLES'!AV53="Si",$N28,)</f>
        <v>25</v>
      </c>
      <c r="Y28" s="35">
        <f>IF('CRUDO MIÉRCOLES'!AW53="Si",$N28,)</f>
        <v>0</v>
      </c>
      <c r="Z28" s="35">
        <f>IF('CRUDO MIÉRCOLES'!AX53="Si",$N28,)</f>
        <v>25</v>
      </c>
      <c r="AA28" s="34" t="s">
        <v>1227</v>
      </c>
      <c r="AB28" s="35">
        <f>IF('CRUDO MIÉRCOLES'!AY53="Si",$N28,)</f>
        <v>0</v>
      </c>
      <c r="AC28" s="35"/>
      <c r="AD28" s="35">
        <f>IF('CRUDO MIÉRCOLES'!AZ53="Si",$N28,)</f>
        <v>0</v>
      </c>
      <c r="AE28" s="35"/>
      <c r="AF28" s="35">
        <f>IF('CRUDO MIÉRCOLES'!BA53="Si",$N28,)</f>
        <v>0</v>
      </c>
      <c r="AG28" s="35"/>
      <c r="AH28" s="35">
        <f>IF('CRUDO MIÉRCOLES'!BB53="Si",$N28,)</f>
        <v>0</v>
      </c>
      <c r="AI28" s="35"/>
      <c r="AJ28" s="35">
        <f>IF('CRUDO MIÉRCOLES'!BC53="Si",$N28,)</f>
        <v>0</v>
      </c>
      <c r="AK28" s="35"/>
      <c r="AL28" s="35">
        <f>IF('CRUDO MIÉRCOLES'!BD53="Si",$N28,)</f>
        <v>0</v>
      </c>
      <c r="AM28" s="34"/>
      <c r="AN28" s="34">
        <v>0</v>
      </c>
      <c r="AO28" s="34"/>
      <c r="AP28" s="34">
        <v>0</v>
      </c>
      <c r="AQ28" s="35"/>
      <c r="AR28" s="35">
        <f>IF('CRUDO MIÉRCOLES'!BG53="Si",$N28,)</f>
        <v>0</v>
      </c>
      <c r="AS28" s="35"/>
      <c r="AT28" s="35">
        <f>IF('CRUDO MIÉRCOLES'!BH53="Si",$N28,)</f>
        <v>0</v>
      </c>
      <c r="AU28" s="35"/>
      <c r="AV28" s="35">
        <f>IF('CRUDO MIÉRCOLES'!BI53="Si",$N28,)</f>
        <v>0</v>
      </c>
      <c r="AW28" s="35">
        <f>IF('CRUDO MIÉRCOLES'!BJ53="Si",$N28,)</f>
        <v>0</v>
      </c>
      <c r="AX28" s="35">
        <f>IF('CRUDO MIÉRCOLES'!BK53="Si",$N28,)</f>
        <v>0</v>
      </c>
      <c r="AY28" s="34">
        <v>0</v>
      </c>
      <c r="AZ28" s="35">
        <f>IF('CRUDO MIÉRCOLES'!BM53="Si",$N28,)</f>
        <v>0</v>
      </c>
      <c r="BA28" s="35">
        <f>IF('CRUDO MIÉRCOLES'!BN53="Si",$N28,)</f>
        <v>0</v>
      </c>
      <c r="BB28" s="35"/>
      <c r="BC28" s="35">
        <f>IF('CRUDO MIÉRCOLES'!BO53="Si",$N28,)</f>
        <v>0</v>
      </c>
      <c r="BD28" s="34"/>
      <c r="BE28" s="34">
        <v>25</v>
      </c>
      <c r="BF28" s="34" t="s">
        <v>1235</v>
      </c>
      <c r="BG28" s="34">
        <v>0</v>
      </c>
      <c r="BH28" s="33"/>
      <c r="BI28" s="33"/>
      <c r="BJ28" s="31" t="s">
        <v>1237</v>
      </c>
      <c r="BK28" s="23"/>
      <c r="BL28" s="33"/>
    </row>
    <row r="29" spans="1:64" ht="13.2" x14ac:dyDescent="0.25">
      <c r="A29" s="30">
        <v>45006.449418553239</v>
      </c>
      <c r="B29" s="31" t="s">
        <v>720</v>
      </c>
      <c r="C29" s="31" t="s">
        <v>721</v>
      </c>
      <c r="D29" s="36" t="s">
        <v>722</v>
      </c>
      <c r="E29" s="31" t="s">
        <v>103</v>
      </c>
      <c r="F29" s="31" t="s">
        <v>723</v>
      </c>
      <c r="G29" s="31" t="s">
        <v>105</v>
      </c>
      <c r="H29" s="31" t="s">
        <v>724</v>
      </c>
      <c r="I29" s="31" t="s">
        <v>725</v>
      </c>
      <c r="J29" s="31" t="s">
        <v>726</v>
      </c>
      <c r="K29" s="31" t="s">
        <v>720</v>
      </c>
      <c r="L29" s="31" t="s">
        <v>656</v>
      </c>
      <c r="M29" s="31" t="s">
        <v>422</v>
      </c>
      <c r="N29" s="31">
        <v>35</v>
      </c>
      <c r="O29" s="31" t="s">
        <v>69</v>
      </c>
      <c r="P29" s="31">
        <v>3</v>
      </c>
      <c r="Q29" s="31">
        <v>2</v>
      </c>
      <c r="R29" s="31">
        <v>90</v>
      </c>
      <c r="S29" s="33"/>
      <c r="T29" s="31" t="s">
        <v>70</v>
      </c>
      <c r="U29" s="31" t="s">
        <v>70</v>
      </c>
      <c r="V29" s="8" t="s">
        <v>99</v>
      </c>
      <c r="W29" s="35">
        <f>IF('CRUDO MIÉRCOLES'!AU54="Si",$N29,)</f>
        <v>0</v>
      </c>
      <c r="X29" s="34">
        <v>0</v>
      </c>
      <c r="Y29" s="35">
        <f>IF('CRUDO MIÉRCOLES'!AW54="Si",$N29,)</f>
        <v>0</v>
      </c>
      <c r="Z29" s="35">
        <f>IF('CRUDO MIÉRCOLES'!AX54="Si",$N29,)</f>
        <v>0</v>
      </c>
      <c r="AA29" s="35"/>
      <c r="AB29" s="34">
        <v>0</v>
      </c>
      <c r="AC29" s="34"/>
      <c r="AD29" s="34">
        <v>0</v>
      </c>
      <c r="AE29" s="34"/>
      <c r="AF29" s="34">
        <v>0</v>
      </c>
      <c r="AG29" s="34" t="s">
        <v>1227</v>
      </c>
      <c r="AH29" s="35">
        <f>IF('CRUDO MIÉRCOLES'!BB54="Si",$N29,)</f>
        <v>0</v>
      </c>
      <c r="AI29" s="35"/>
      <c r="AJ29" s="35">
        <f>IF('CRUDO MIÉRCOLES'!BC54="Si",$N29,)</f>
        <v>0</v>
      </c>
      <c r="AK29" s="35"/>
      <c r="AL29" s="35">
        <f>IF('CRUDO MIÉRCOLES'!BD54="Si",$N29,)</f>
        <v>0</v>
      </c>
      <c r="AM29" s="35"/>
      <c r="AN29" s="34">
        <v>0</v>
      </c>
      <c r="AO29" s="34" t="s">
        <v>1271</v>
      </c>
      <c r="AP29" s="35">
        <f>IF('CRUDO MIÉRCOLES'!BF54="Si",$N29,)</f>
        <v>0</v>
      </c>
      <c r="AQ29" s="35"/>
      <c r="AR29" s="35">
        <f>IF('CRUDO MIÉRCOLES'!BG54="Si",$N29,)</f>
        <v>0</v>
      </c>
      <c r="AS29" s="35"/>
      <c r="AT29" s="35">
        <f>IF('CRUDO MIÉRCOLES'!BH54="Si",$N29,)</f>
        <v>0</v>
      </c>
      <c r="AU29" s="35"/>
      <c r="AV29" s="35">
        <f>IF('CRUDO MIÉRCOLES'!BI54="Si",$N29,)</f>
        <v>0</v>
      </c>
      <c r="AW29" s="35">
        <f>IF('CRUDO MIÉRCOLES'!BJ54="Si",$N29,)</f>
        <v>0</v>
      </c>
      <c r="AX29" s="35">
        <f>IF('CRUDO MIÉRCOLES'!BK54="Si",$N29,)</f>
        <v>0</v>
      </c>
      <c r="AY29" s="35">
        <f>IF('CRUDO MIÉRCOLES'!BL54="Si",$N29,)</f>
        <v>0</v>
      </c>
      <c r="AZ29" s="35">
        <f>IF('CRUDO MIÉRCOLES'!BM54="Si",$N29,)</f>
        <v>0</v>
      </c>
      <c r="BA29" s="34">
        <v>0</v>
      </c>
      <c r="BB29" s="34"/>
      <c r="BC29" s="34">
        <v>0</v>
      </c>
      <c r="BD29" s="35"/>
      <c r="BE29" s="35">
        <f>IF('CRUDO MIÉRCOLES'!BP54="Si",$N29,)</f>
        <v>0</v>
      </c>
      <c r="BF29" s="35"/>
      <c r="BG29" s="35">
        <f>IF('CRUDO MIÉRCOLES'!BQ54="Si",$N29,)</f>
        <v>0</v>
      </c>
      <c r="BH29" s="33"/>
      <c r="BI29" s="33"/>
      <c r="BJ29" s="31" t="s">
        <v>1272</v>
      </c>
      <c r="BK29" s="23"/>
      <c r="BL29" s="33"/>
    </row>
    <row r="30" spans="1:64" ht="13.2" x14ac:dyDescent="0.25">
      <c r="A30" s="22">
        <v>45000.677367638884</v>
      </c>
      <c r="B30" s="23" t="s">
        <v>100</v>
      </c>
      <c r="C30" s="23" t="s">
        <v>101</v>
      </c>
      <c r="D30" s="24" t="s">
        <v>102</v>
      </c>
      <c r="E30" s="23" t="s">
        <v>103</v>
      </c>
      <c r="F30" s="23" t="s">
        <v>104</v>
      </c>
      <c r="G30" s="23" t="s">
        <v>105</v>
      </c>
      <c r="H30" s="23" t="s">
        <v>106</v>
      </c>
      <c r="I30" s="23" t="s">
        <v>107</v>
      </c>
      <c r="J30" s="25"/>
      <c r="K30" s="23" t="s">
        <v>100</v>
      </c>
      <c r="L30" s="23" t="s">
        <v>67</v>
      </c>
      <c r="M30" s="23" t="s">
        <v>96</v>
      </c>
      <c r="N30" s="23">
        <v>25</v>
      </c>
      <c r="O30" s="23" t="s">
        <v>97</v>
      </c>
      <c r="P30" s="23">
        <v>3</v>
      </c>
      <c r="Q30" s="23">
        <v>3</v>
      </c>
      <c r="R30" s="23">
        <v>80</v>
      </c>
      <c r="S30" s="25"/>
      <c r="T30" s="23" t="s">
        <v>70</v>
      </c>
      <c r="U30" s="23" t="s">
        <v>71</v>
      </c>
      <c r="V30" s="26" t="s">
        <v>99</v>
      </c>
      <c r="W30" s="27">
        <f>IF('CRUDO MIÉRCOLES'!AU2="Si",$N30,)</f>
        <v>0</v>
      </c>
      <c r="X30" s="27">
        <f>IF('CRUDO MIÉRCOLES'!AV2="Si",$N30,)</f>
        <v>25</v>
      </c>
      <c r="Y30" s="27">
        <f>IF('CRUDO MIÉRCOLES'!AW2="Si",$N30,)</f>
        <v>0</v>
      </c>
      <c r="Z30" s="27">
        <f>IF('CRUDO MIÉRCOLES'!AX2="Si",$N30,)</f>
        <v>0</v>
      </c>
      <c r="AA30" s="27"/>
      <c r="AB30" s="27">
        <f>IF('CRUDO MIÉRCOLES'!AY2="Si",$N30,)</f>
        <v>0</v>
      </c>
      <c r="AC30" s="27"/>
      <c r="AD30" s="27">
        <f>IF('CRUDO MIÉRCOLES'!AZ2="Si",$N30,)</f>
        <v>0</v>
      </c>
      <c r="AE30" s="27"/>
      <c r="AF30" s="27">
        <f>IF('CRUDO MIÉRCOLES'!BA2="Si",$N30,)</f>
        <v>25</v>
      </c>
      <c r="AG30" s="28" t="s">
        <v>1233</v>
      </c>
      <c r="AH30" s="27">
        <f>IF('CRUDO MIÉRCOLES'!BB2="Si",$N30,)</f>
        <v>0</v>
      </c>
      <c r="AI30" s="27"/>
      <c r="AJ30" s="27">
        <f>IF('CRUDO MIÉRCOLES'!BC2="Si",$N30,)</f>
        <v>0</v>
      </c>
      <c r="AK30" s="27"/>
      <c r="AL30" s="27">
        <f>IF('CRUDO MIÉRCOLES'!BD2="Si",$N30,)</f>
        <v>0</v>
      </c>
      <c r="AM30" s="27"/>
      <c r="AN30" s="27">
        <f>IF('CRUDO MIÉRCOLES'!BE2="Si",$N30,)</f>
        <v>0</v>
      </c>
      <c r="AO30" s="27"/>
      <c r="AP30" s="27">
        <f>IF('CRUDO MIÉRCOLES'!BF2="Si",$N30,)</f>
        <v>0</v>
      </c>
      <c r="AQ30" s="27"/>
      <c r="AR30" s="27">
        <f>IF('CRUDO MIÉRCOLES'!BG2="Si",$N30,)</f>
        <v>0</v>
      </c>
      <c r="AS30" s="27"/>
      <c r="AT30" s="27">
        <f>IF('CRUDO MIÉRCOLES'!BH2="Si",$N30,)</f>
        <v>0</v>
      </c>
      <c r="AU30" s="27"/>
      <c r="AV30" s="27">
        <f>IF('CRUDO MIÉRCOLES'!BI2="Si",$N30,)</f>
        <v>0</v>
      </c>
      <c r="AW30" s="27">
        <f>IF('CRUDO MIÉRCOLES'!BJ2="Si",$N30,)</f>
        <v>0</v>
      </c>
      <c r="AX30" s="27">
        <f>IF('CRUDO MIÉRCOLES'!BK2="Si",$N30,)</f>
        <v>0</v>
      </c>
      <c r="AY30" s="27">
        <f>IF('CRUDO MIÉRCOLES'!BL2="Si",$N30,)</f>
        <v>0</v>
      </c>
      <c r="AZ30" s="27">
        <f>IF('CRUDO MIÉRCOLES'!BM2="Si",$N30,)</f>
        <v>0</v>
      </c>
      <c r="BA30" s="27">
        <f>IF('CRUDO MIÉRCOLES'!BN2="Si",$N30,)</f>
        <v>0</v>
      </c>
      <c r="BB30" s="27"/>
      <c r="BC30" s="27">
        <f>IF('CRUDO MIÉRCOLES'!BO2="Si",$N30,)</f>
        <v>0</v>
      </c>
      <c r="BD30" s="27"/>
      <c r="BE30" s="27">
        <f>IF('CRUDO MIÉRCOLES'!BP2="Si",$N30,)</f>
        <v>0</v>
      </c>
      <c r="BF30" s="27"/>
      <c r="BG30" s="27">
        <f>IF('CRUDO MIÉRCOLES'!BQ2="Si",$N30,)</f>
        <v>0</v>
      </c>
      <c r="BH30" s="25"/>
      <c r="BI30" s="25"/>
      <c r="BJ30" s="23" t="s">
        <v>1273</v>
      </c>
      <c r="BK30" s="23">
        <v>1</v>
      </c>
      <c r="BL30" s="25"/>
    </row>
    <row r="31" spans="1:64" ht="13.2" x14ac:dyDescent="0.25">
      <c r="A31" s="22">
        <v>45000.679748055554</v>
      </c>
      <c r="B31" s="23" t="s">
        <v>100</v>
      </c>
      <c r="C31" s="23" t="s">
        <v>109</v>
      </c>
      <c r="D31" s="24" t="s">
        <v>102</v>
      </c>
      <c r="E31" s="23" t="s">
        <v>103</v>
      </c>
      <c r="F31" s="23" t="s">
        <v>110</v>
      </c>
      <c r="G31" s="23" t="s">
        <v>105</v>
      </c>
      <c r="H31" s="23" t="s">
        <v>111</v>
      </c>
      <c r="I31" s="23" t="s">
        <v>112</v>
      </c>
      <c r="J31" s="23" t="s">
        <v>113</v>
      </c>
      <c r="K31" s="23" t="s">
        <v>100</v>
      </c>
      <c r="L31" s="23" t="s">
        <v>67</v>
      </c>
      <c r="M31" s="23" t="s">
        <v>96</v>
      </c>
      <c r="N31" s="23">
        <v>25</v>
      </c>
      <c r="O31" s="23" t="s">
        <v>97</v>
      </c>
      <c r="P31" s="23">
        <v>3</v>
      </c>
      <c r="Q31" s="23">
        <v>3</v>
      </c>
      <c r="R31" s="23">
        <v>80</v>
      </c>
      <c r="S31" s="25"/>
      <c r="T31" s="23" t="s">
        <v>71</v>
      </c>
      <c r="U31" s="23" t="s">
        <v>70</v>
      </c>
      <c r="V31" s="26" t="s">
        <v>99</v>
      </c>
      <c r="W31" s="27">
        <f>IF('CRUDO MIÉRCOLES'!AU3="Si",$N31,)</f>
        <v>0</v>
      </c>
      <c r="X31" s="27">
        <f>IF('CRUDO MIÉRCOLES'!AV3="Si",$N31,)</f>
        <v>0</v>
      </c>
      <c r="Y31" s="27">
        <f>IF('CRUDO MIÉRCOLES'!AW3="Si",$N31,)</f>
        <v>25</v>
      </c>
      <c r="Z31" s="27">
        <f>IF('CRUDO MIÉRCOLES'!AX3="Si",$N31,)</f>
        <v>0</v>
      </c>
      <c r="AA31" s="27"/>
      <c r="AB31" s="27">
        <f>IF('CRUDO MIÉRCOLES'!AY3="Si",$N31,)</f>
        <v>0</v>
      </c>
      <c r="AC31" s="27"/>
      <c r="AD31" s="27">
        <f>IF('CRUDO MIÉRCOLES'!AZ3="Si",$N31,)</f>
        <v>0</v>
      </c>
      <c r="AE31" s="27"/>
      <c r="AF31" s="28">
        <v>25</v>
      </c>
      <c r="AG31" s="28" t="s">
        <v>1227</v>
      </c>
      <c r="AH31" s="27">
        <f>IF('CRUDO MIÉRCOLES'!BB3="Si",$N31,)</f>
        <v>0</v>
      </c>
      <c r="AI31" s="25"/>
      <c r="AJ31" s="27">
        <f>IF('CRUDO MIÉRCOLES'!BC3="Si",$N31,)</f>
        <v>25</v>
      </c>
      <c r="AK31" s="28" t="s">
        <v>1233</v>
      </c>
      <c r="AL31" s="27">
        <f>IF('CRUDO MIÉRCOLES'!BD3="Si",$N31,)</f>
        <v>0</v>
      </c>
      <c r="AM31" s="27"/>
      <c r="AN31" s="27">
        <f>IF('CRUDO MIÉRCOLES'!BE3="Si",$N31,)</f>
        <v>0</v>
      </c>
      <c r="AO31" s="27"/>
      <c r="AP31" s="27">
        <f>IF('CRUDO MIÉRCOLES'!BF3="Si",$N31,)</f>
        <v>0</v>
      </c>
      <c r="AQ31" s="27"/>
      <c r="AR31" s="27">
        <f>IF('CRUDO MIÉRCOLES'!BG3="Si",$N31,)</f>
        <v>0</v>
      </c>
      <c r="AS31" s="27"/>
      <c r="AT31" s="27">
        <f>IF('CRUDO MIÉRCOLES'!BH3="Si",$N31,)</f>
        <v>0</v>
      </c>
      <c r="AU31" s="27"/>
      <c r="AV31" s="27">
        <f>IF('CRUDO MIÉRCOLES'!BI3="Si",$N31,)</f>
        <v>0</v>
      </c>
      <c r="AW31" s="27">
        <f>IF('CRUDO MIÉRCOLES'!BJ3="Si",$N31,)</f>
        <v>0</v>
      </c>
      <c r="AX31" s="27">
        <f>IF('CRUDO MIÉRCOLES'!BK3="Si",$N31,)</f>
        <v>0</v>
      </c>
      <c r="AY31" s="27">
        <f>IF('CRUDO MIÉRCOLES'!BL3="Si",$N31,)</f>
        <v>0</v>
      </c>
      <c r="AZ31" s="27">
        <f>IF('CRUDO MIÉRCOLES'!BM3="Si",$N31,)</f>
        <v>0</v>
      </c>
      <c r="BA31" s="27">
        <f>IF('CRUDO MIÉRCOLES'!BN3="Si",$N31,)</f>
        <v>0</v>
      </c>
      <c r="BB31" s="27"/>
      <c r="BC31" s="27">
        <f>IF('CRUDO MIÉRCOLES'!BO3="Si",$N31,)</f>
        <v>0</v>
      </c>
      <c r="BD31" s="27"/>
      <c r="BE31" s="27">
        <f>IF('CRUDO MIÉRCOLES'!BP3="Si",$N31,)</f>
        <v>0</v>
      </c>
      <c r="BF31" s="28"/>
      <c r="BG31" s="28">
        <v>25</v>
      </c>
      <c r="BH31" s="23" t="s">
        <v>1235</v>
      </c>
      <c r="BI31" s="25"/>
      <c r="BJ31" s="23" t="s">
        <v>1274</v>
      </c>
      <c r="BK31" s="23">
        <v>1</v>
      </c>
      <c r="BL31" s="25"/>
    </row>
    <row r="32" spans="1:64" ht="13.2" x14ac:dyDescent="0.25">
      <c r="A32" s="22">
        <v>45000.968363298613</v>
      </c>
      <c r="B32" s="23" t="s">
        <v>443</v>
      </c>
      <c r="C32" s="23" t="s">
        <v>444</v>
      </c>
      <c r="D32" s="24" t="s">
        <v>445</v>
      </c>
      <c r="E32" s="23" t="s">
        <v>103</v>
      </c>
      <c r="F32" s="23" t="s">
        <v>446</v>
      </c>
      <c r="G32" s="23" t="s">
        <v>105</v>
      </c>
      <c r="H32" s="23" t="s">
        <v>447</v>
      </c>
      <c r="I32" s="23" t="s">
        <v>448</v>
      </c>
      <c r="J32" s="23" t="s">
        <v>449</v>
      </c>
      <c r="K32" s="23" t="s">
        <v>443</v>
      </c>
      <c r="L32" s="23" t="s">
        <v>67</v>
      </c>
      <c r="M32" s="23" t="s">
        <v>290</v>
      </c>
      <c r="N32" s="23">
        <v>28</v>
      </c>
      <c r="O32" s="23" t="s">
        <v>97</v>
      </c>
      <c r="P32" s="23">
        <v>5</v>
      </c>
      <c r="Q32" s="23">
        <v>5</v>
      </c>
      <c r="R32" s="23">
        <v>7</v>
      </c>
      <c r="S32" s="23" t="s">
        <v>449</v>
      </c>
      <c r="T32" s="23" t="s">
        <v>70</v>
      </c>
      <c r="U32" s="23" t="s">
        <v>71</v>
      </c>
      <c r="V32" s="26" t="s">
        <v>99</v>
      </c>
      <c r="W32" s="27">
        <f>IF('CRUDO MIÉRCOLES'!AU14="Si",$N32,)</f>
        <v>28</v>
      </c>
      <c r="X32" s="27">
        <f>IF('CRUDO MIÉRCOLES'!AV14="Si",$N32,)</f>
        <v>0</v>
      </c>
      <c r="Y32" s="27">
        <f>IF('CRUDO MIÉRCOLES'!AW14="Si",$N32,)</f>
        <v>0</v>
      </c>
      <c r="Z32" s="27">
        <f>IF('CRUDO MIÉRCOLES'!AX14="Si",$N32,)</f>
        <v>0</v>
      </c>
      <c r="AA32" s="27"/>
      <c r="AB32" s="27">
        <f>IF('CRUDO MIÉRCOLES'!AY14="Si",$N32,)</f>
        <v>0</v>
      </c>
      <c r="AC32" s="27"/>
      <c r="AD32" s="27">
        <f>IF('CRUDO MIÉRCOLES'!AZ14="Si",$N32,)</f>
        <v>28</v>
      </c>
      <c r="AE32" s="28" t="s">
        <v>1233</v>
      </c>
      <c r="AF32" s="27">
        <f>IF('CRUDO MIÉRCOLES'!BA14="Si",$N32,)</f>
        <v>0</v>
      </c>
      <c r="AG32" s="27"/>
      <c r="AH32" s="27">
        <f>IF('CRUDO MIÉRCOLES'!BB14="Si",$N32,)</f>
        <v>0</v>
      </c>
      <c r="AI32" s="27"/>
      <c r="AJ32" s="27">
        <f>IF('CRUDO MIÉRCOLES'!BC14="Si",$N32,)</f>
        <v>0</v>
      </c>
      <c r="AK32" s="27"/>
      <c r="AL32" s="27">
        <f>IF('CRUDO MIÉRCOLES'!BD14="Si",$N32,)</f>
        <v>0</v>
      </c>
      <c r="AM32" s="28"/>
      <c r="AN32" s="28">
        <v>28</v>
      </c>
      <c r="AO32" s="28" t="s">
        <v>1228</v>
      </c>
      <c r="AP32" s="27">
        <f>IF('CRUDO MIÉRCOLES'!BF14="Si",$N32,)</f>
        <v>0</v>
      </c>
      <c r="AQ32" s="27"/>
      <c r="AR32" s="27">
        <f>IF('CRUDO MIÉRCOLES'!BG14="Si",$N32,)</f>
        <v>0</v>
      </c>
      <c r="AS32" s="27"/>
      <c r="AT32" s="27">
        <f>IF('CRUDO MIÉRCOLES'!BH14="Si",$N32,)</f>
        <v>0</v>
      </c>
      <c r="AU32" s="27"/>
      <c r="AV32" s="27">
        <f>IF('CRUDO MIÉRCOLES'!BI14="Si",$N32,)</f>
        <v>0</v>
      </c>
      <c r="AW32" s="27">
        <f>IF('CRUDO MIÉRCOLES'!BJ14="Si",$N32,)</f>
        <v>0</v>
      </c>
      <c r="AX32" s="28">
        <v>0</v>
      </c>
      <c r="AY32" s="27">
        <f>IF('CRUDO MIÉRCOLES'!BL14="Si",$N32,)</f>
        <v>0</v>
      </c>
      <c r="AZ32" s="27">
        <f>IF('CRUDO MIÉRCOLES'!BM14="Si",$N32,)</f>
        <v>0</v>
      </c>
      <c r="BA32" s="27">
        <f>IF('CRUDO MIÉRCOLES'!BN14="Si",$N32,)</f>
        <v>0</v>
      </c>
      <c r="BB32" s="27"/>
      <c r="BC32" s="27">
        <f>IF('CRUDO MIÉRCOLES'!BO14="Si",$N32,)</f>
        <v>0</v>
      </c>
      <c r="BD32" s="27"/>
      <c r="BE32" s="27">
        <f>IF('CRUDO MIÉRCOLES'!BP14="Si",$N32,)</f>
        <v>0</v>
      </c>
      <c r="BF32" s="27"/>
      <c r="BG32" s="27">
        <f>IF('CRUDO MIÉRCOLES'!BQ14="Si",$N32,)</f>
        <v>0</v>
      </c>
      <c r="BH32" s="25"/>
      <c r="BI32" s="25"/>
      <c r="BJ32" s="23" t="s">
        <v>1263</v>
      </c>
      <c r="BK32" s="23">
        <v>1</v>
      </c>
      <c r="BL32" s="25"/>
    </row>
    <row r="33" spans="1:64" ht="13.2" x14ac:dyDescent="0.25">
      <c r="A33" s="22">
        <v>45002.56798975695</v>
      </c>
      <c r="B33" s="23" t="s">
        <v>561</v>
      </c>
      <c r="C33" s="23" t="s">
        <v>562</v>
      </c>
      <c r="D33" s="24" t="s">
        <v>563</v>
      </c>
      <c r="E33" s="23" t="s">
        <v>140</v>
      </c>
      <c r="F33" s="23" t="s">
        <v>564</v>
      </c>
      <c r="G33" s="23" t="s">
        <v>64</v>
      </c>
      <c r="H33" s="23" t="s">
        <v>565</v>
      </c>
      <c r="I33" s="23" t="s">
        <v>566</v>
      </c>
      <c r="J33" s="25"/>
      <c r="K33" s="23" t="s">
        <v>561</v>
      </c>
      <c r="L33" s="23" t="s">
        <v>67</v>
      </c>
      <c r="M33" s="23" t="s">
        <v>338</v>
      </c>
      <c r="N33" s="23">
        <v>35</v>
      </c>
      <c r="O33" s="23" t="s">
        <v>97</v>
      </c>
      <c r="P33" s="23">
        <v>5</v>
      </c>
      <c r="Q33" s="23">
        <v>5</v>
      </c>
      <c r="R33" s="23">
        <v>30</v>
      </c>
      <c r="S33" s="23" t="s">
        <v>568</v>
      </c>
      <c r="T33" s="23" t="s">
        <v>70</v>
      </c>
      <c r="U33" s="23" t="s">
        <v>71</v>
      </c>
      <c r="V33" s="26" t="s">
        <v>99</v>
      </c>
      <c r="W33" s="27">
        <f>IF('CRUDO MIÉRCOLES'!AV27="Si",$N33,)</f>
        <v>35</v>
      </c>
      <c r="X33" s="25"/>
      <c r="Y33" s="27">
        <f>IF('CRUDO MIÉRCOLES'!AW27="Si",$N33,)</f>
        <v>0</v>
      </c>
      <c r="Z33" s="28">
        <v>0</v>
      </c>
      <c r="AA33" s="28"/>
      <c r="AB33" s="28">
        <v>35</v>
      </c>
      <c r="AC33" s="28" t="s">
        <v>1227</v>
      </c>
      <c r="AD33" s="28">
        <v>0</v>
      </c>
      <c r="AE33" s="28"/>
      <c r="AF33" s="27">
        <f>IF('CRUDO MIÉRCOLES'!BA27="Si",$N33,)</f>
        <v>0</v>
      </c>
      <c r="AG33" s="27"/>
      <c r="AH33" s="27">
        <f>IF('CRUDO MIÉRCOLES'!BB27="Si",$N33,)</f>
        <v>0</v>
      </c>
      <c r="AI33" s="27"/>
      <c r="AJ33" s="27">
        <f>IF('CRUDO MIÉRCOLES'!BC27="Si",$N33,)</f>
        <v>0</v>
      </c>
      <c r="AK33" s="27"/>
      <c r="AL33" s="28">
        <v>0</v>
      </c>
      <c r="AM33" s="28"/>
      <c r="AN33" s="28">
        <v>0</v>
      </c>
      <c r="AO33" s="27"/>
      <c r="AP33" s="27">
        <f>IF('CRUDO MIÉRCOLES'!BF27="Si",$N33,)</f>
        <v>35</v>
      </c>
      <c r="AQ33" s="28" t="s">
        <v>1228</v>
      </c>
      <c r="AR33" s="27">
        <f>IF('CRUDO MIÉRCOLES'!BG27="Si",$N33,)</f>
        <v>0</v>
      </c>
      <c r="AS33" s="27"/>
      <c r="AT33" s="27">
        <f>IF('CRUDO MIÉRCOLES'!BH27="Si",$N33,)</f>
        <v>0</v>
      </c>
      <c r="AU33" s="28"/>
      <c r="AV33" s="28">
        <v>0</v>
      </c>
      <c r="AW33" s="28">
        <v>0</v>
      </c>
      <c r="AX33" s="28">
        <v>0</v>
      </c>
      <c r="AY33" s="27">
        <f>IF('CRUDO MIÉRCOLES'!BL27="Si",$N33,)</f>
        <v>0</v>
      </c>
      <c r="AZ33" s="27">
        <f>IF('CRUDO MIÉRCOLES'!BM27="Si",$N33,)</f>
        <v>0</v>
      </c>
      <c r="BA33" s="27">
        <f>IF('CRUDO MIÉRCOLES'!BN27="Si",$N33,)</f>
        <v>0</v>
      </c>
      <c r="BB33" s="27"/>
      <c r="BC33" s="27">
        <f>IF('CRUDO MIÉRCOLES'!BO27="Si",$N33,)</f>
        <v>0</v>
      </c>
      <c r="BD33" s="27"/>
      <c r="BE33" s="27">
        <f>IF('CRUDO MIÉRCOLES'!BP27="Si",$N33,)</f>
        <v>0</v>
      </c>
      <c r="BF33" s="27"/>
      <c r="BG33" s="27">
        <f>IF('CRUDO MIÉRCOLES'!BQ27="Si",$N33,)</f>
        <v>0</v>
      </c>
      <c r="BH33" s="25"/>
      <c r="BI33" s="25"/>
      <c r="BJ33" s="23" t="s">
        <v>1263</v>
      </c>
      <c r="BK33" s="23">
        <v>1</v>
      </c>
      <c r="BL33" s="25"/>
    </row>
    <row r="34" spans="1:64" ht="13.2" hidden="1" x14ac:dyDescent="0.25">
      <c r="A34" s="42">
        <v>45002.614078391205</v>
      </c>
      <c r="B34" s="39" t="s">
        <v>956</v>
      </c>
      <c r="C34" s="39" t="s">
        <v>957</v>
      </c>
      <c r="D34" s="43" t="s">
        <v>958</v>
      </c>
      <c r="E34" s="39" t="s">
        <v>62</v>
      </c>
      <c r="F34" s="39" t="s">
        <v>959</v>
      </c>
      <c r="G34" s="39" t="s">
        <v>64</v>
      </c>
      <c r="H34" s="39" t="s">
        <v>962</v>
      </c>
      <c r="I34" s="39" t="s">
        <v>963</v>
      </c>
      <c r="J34" s="39" t="s">
        <v>964</v>
      </c>
      <c r="K34" s="39" t="s">
        <v>956</v>
      </c>
      <c r="L34" s="39" t="s">
        <v>656</v>
      </c>
      <c r="M34" s="39" t="s">
        <v>567</v>
      </c>
      <c r="N34" s="39">
        <v>0</v>
      </c>
      <c r="O34" s="39" t="s">
        <v>97</v>
      </c>
      <c r="P34" s="39">
        <v>5</v>
      </c>
      <c r="Q34" s="39">
        <v>4</v>
      </c>
      <c r="R34" s="39">
        <v>0</v>
      </c>
      <c r="S34" s="40"/>
      <c r="T34" s="39" t="s">
        <v>70</v>
      </c>
      <c r="U34" s="39" t="s">
        <v>71</v>
      </c>
      <c r="V34" s="44" t="s">
        <v>99</v>
      </c>
      <c r="W34" s="45">
        <f>IF('CRUDO MIÉRCOLES'!AU31="Si",$N34,)</f>
        <v>0</v>
      </c>
      <c r="X34" s="45">
        <f>IF('CRUDO MIÉRCOLES'!AV31="Si",$N34,)</f>
        <v>0</v>
      </c>
      <c r="Y34" s="45">
        <f>IF('CRUDO MIÉRCOLES'!AW31="Si",$N34,)</f>
        <v>0</v>
      </c>
      <c r="Z34" s="45">
        <f>IF('CRUDO MIÉRCOLES'!AX31="Si",$N34,)</f>
        <v>0</v>
      </c>
      <c r="AA34" s="45"/>
      <c r="AB34" s="45">
        <f>IF('CRUDO MIÉRCOLES'!AY31="Si",$N34,)</f>
        <v>0</v>
      </c>
      <c r="AC34" s="45"/>
      <c r="AD34" s="45">
        <f>IF('CRUDO MIÉRCOLES'!AZ31="Si",$N34,)</f>
        <v>0</v>
      </c>
      <c r="AE34" s="45"/>
      <c r="AF34" s="45">
        <f>IF('CRUDO MIÉRCOLES'!BA31="Si",$N34,)</f>
        <v>0</v>
      </c>
      <c r="AG34" s="45"/>
      <c r="AH34" s="45">
        <f>IF('CRUDO MIÉRCOLES'!BB31="Si",$N34,)</f>
        <v>0</v>
      </c>
      <c r="AI34" s="45"/>
      <c r="AJ34" s="45">
        <f>IF('CRUDO MIÉRCOLES'!BC31="Si",$N34,)</f>
        <v>0</v>
      </c>
      <c r="AK34" s="45"/>
      <c r="AL34" s="45">
        <f>IF('CRUDO MIÉRCOLES'!BD31="Si",$N34,)</f>
        <v>0</v>
      </c>
      <c r="AM34" s="45"/>
      <c r="AN34" s="45">
        <f>IF('CRUDO MIÉRCOLES'!BE31="Si",$N34,)</f>
        <v>0</v>
      </c>
      <c r="AO34" s="45"/>
      <c r="AP34" s="45">
        <f>IF('CRUDO MIÉRCOLES'!BF31="Si",$N34,)</f>
        <v>0</v>
      </c>
      <c r="AQ34" s="45"/>
      <c r="AR34" s="45">
        <f>IF('CRUDO MIÉRCOLES'!BG31="Si",$N34,)</f>
        <v>0</v>
      </c>
      <c r="AS34" s="45"/>
      <c r="AT34" s="45">
        <f>IF('CRUDO MIÉRCOLES'!BH31="Si",$N34,)</f>
        <v>0</v>
      </c>
      <c r="AU34" s="45"/>
      <c r="AV34" s="45">
        <f>IF('CRUDO MIÉRCOLES'!BI31="Si",$N34,)</f>
        <v>0</v>
      </c>
      <c r="AW34" s="45">
        <f>IF('CRUDO MIÉRCOLES'!BJ31="Si",$N34,)</f>
        <v>0</v>
      </c>
      <c r="AX34" s="45">
        <f>IF('CRUDO MIÉRCOLES'!BK31="Si",$N34,)</f>
        <v>0</v>
      </c>
      <c r="AY34" s="45">
        <f>IF('CRUDO MIÉRCOLES'!BL31="Si",$N34,)</f>
        <v>0</v>
      </c>
      <c r="AZ34" s="45">
        <f>IF('CRUDO MIÉRCOLES'!BM31="Si",$N34,)</f>
        <v>0</v>
      </c>
      <c r="BA34" s="45">
        <f>IF('CRUDO MIÉRCOLES'!BN31="Si",$N34,)</f>
        <v>0</v>
      </c>
      <c r="BB34" s="45"/>
      <c r="BC34" s="45">
        <f>IF('CRUDO MIÉRCOLES'!BO31="Si",$N34,)</f>
        <v>0</v>
      </c>
      <c r="BD34" s="45"/>
      <c r="BE34" s="45">
        <f>IF('CRUDO MIÉRCOLES'!BP31="Si",$N34,)</f>
        <v>0</v>
      </c>
      <c r="BF34" s="45"/>
      <c r="BG34" s="45">
        <f>IF('CRUDO MIÉRCOLES'!BQ31="Si",$N34,)</f>
        <v>0</v>
      </c>
      <c r="BH34" s="40"/>
      <c r="BI34" s="40"/>
      <c r="BJ34" s="40"/>
      <c r="BK34" s="40"/>
      <c r="BL34" s="40"/>
    </row>
    <row r="35" spans="1:64" ht="13.2" x14ac:dyDescent="0.25">
      <c r="A35" s="22">
        <v>45005.566541111111</v>
      </c>
      <c r="B35" s="23" t="s">
        <v>369</v>
      </c>
      <c r="C35" s="23" t="s">
        <v>370</v>
      </c>
      <c r="D35" s="29" t="s">
        <v>371</v>
      </c>
      <c r="E35" s="23" t="s">
        <v>103</v>
      </c>
      <c r="F35" s="23" t="s">
        <v>124</v>
      </c>
      <c r="G35" s="23" t="s">
        <v>105</v>
      </c>
      <c r="H35" s="23" t="s">
        <v>372</v>
      </c>
      <c r="I35" s="23" t="s">
        <v>373</v>
      </c>
      <c r="J35" s="23" t="s">
        <v>374</v>
      </c>
      <c r="K35" s="23" t="s">
        <v>369</v>
      </c>
      <c r="L35" s="23" t="s">
        <v>67</v>
      </c>
      <c r="M35" s="23" t="s">
        <v>259</v>
      </c>
      <c r="N35" s="23">
        <v>35</v>
      </c>
      <c r="O35" s="23" t="s">
        <v>97</v>
      </c>
      <c r="P35" s="23">
        <v>4</v>
      </c>
      <c r="Q35" s="23">
        <v>3</v>
      </c>
      <c r="R35" s="23">
        <v>40</v>
      </c>
      <c r="S35" s="25"/>
      <c r="T35" s="23" t="s">
        <v>70</v>
      </c>
      <c r="U35" s="23" t="s">
        <v>71</v>
      </c>
      <c r="V35" s="26" t="s">
        <v>99</v>
      </c>
      <c r="W35" s="27">
        <f>IF('CRUDO MIÉRCOLES'!AU40="Si",$N35,)</f>
        <v>35</v>
      </c>
      <c r="X35" s="27">
        <f>IF('CRUDO MIÉRCOLES'!AV40="Si",$N35,)</f>
        <v>0</v>
      </c>
      <c r="Y35" s="27">
        <f>IF('CRUDO MIÉRCOLES'!AW40="Si",$N35,)</f>
        <v>0</v>
      </c>
      <c r="Z35" s="28">
        <v>0</v>
      </c>
      <c r="AA35" s="28"/>
      <c r="AB35" s="28">
        <v>0</v>
      </c>
      <c r="AC35" s="28"/>
      <c r="AD35" s="27">
        <f>IF('CRUDO MIÉRCOLES'!AZ40="Si",$N35,)</f>
        <v>35</v>
      </c>
      <c r="AE35" s="28" t="s">
        <v>1227</v>
      </c>
      <c r="AF35" s="27">
        <f>IF('CRUDO MIÉRCOLES'!BA40="Si",$N35,)</f>
        <v>0</v>
      </c>
      <c r="AG35" s="27"/>
      <c r="AH35" s="27">
        <f>IF('CRUDO MIÉRCOLES'!BB40="Si",$N35,)</f>
        <v>0</v>
      </c>
      <c r="AI35" s="27"/>
      <c r="AJ35" s="27">
        <f>IF('CRUDO MIÉRCOLES'!BC40="Si",$N35,)</f>
        <v>0</v>
      </c>
      <c r="AK35" s="27"/>
      <c r="AL35" s="28">
        <v>0</v>
      </c>
      <c r="AM35" s="28"/>
      <c r="AN35" s="28">
        <v>0</v>
      </c>
      <c r="AO35" s="28"/>
      <c r="AP35" s="28">
        <v>0</v>
      </c>
      <c r="AQ35" s="27"/>
      <c r="AR35" s="27">
        <f>IF('CRUDO MIÉRCOLES'!BG40="Si",$N35,)</f>
        <v>0</v>
      </c>
      <c r="AS35" s="27"/>
      <c r="AT35" s="27">
        <f>IF('CRUDO MIÉRCOLES'!BH40="Si",$N35,)</f>
        <v>0</v>
      </c>
      <c r="AU35" s="28"/>
      <c r="AV35" s="28">
        <v>0</v>
      </c>
      <c r="AW35" s="28">
        <v>0</v>
      </c>
      <c r="AX35" s="28">
        <v>0</v>
      </c>
      <c r="AY35" s="27">
        <f>IF('CRUDO MIÉRCOLES'!BL40="Si",$N35,)</f>
        <v>0</v>
      </c>
      <c r="AZ35" s="27">
        <f>IF('CRUDO MIÉRCOLES'!BM40="Si",$N35,)</f>
        <v>0</v>
      </c>
      <c r="BA35" s="27">
        <f>IF('CRUDO MIÉRCOLES'!BN40="Si",$N35,)</f>
        <v>35</v>
      </c>
      <c r="BB35" s="28" t="s">
        <v>1234</v>
      </c>
      <c r="BC35" s="28">
        <v>0</v>
      </c>
      <c r="BD35" s="27"/>
      <c r="BE35" s="27">
        <f>IF('CRUDO MIÉRCOLES'!BP40="Si",$N35,)</f>
        <v>0</v>
      </c>
      <c r="BF35" s="27"/>
      <c r="BG35" s="27">
        <f>IF('CRUDO MIÉRCOLES'!BQ40="Si",$N35,)</f>
        <v>0</v>
      </c>
      <c r="BH35" s="25"/>
      <c r="BI35" s="25"/>
      <c r="BJ35" s="23" t="s">
        <v>1263</v>
      </c>
      <c r="BK35" s="23">
        <v>1</v>
      </c>
      <c r="BL35" s="25"/>
    </row>
    <row r="36" spans="1:64" ht="13.2" hidden="1" x14ac:dyDescent="0.25">
      <c r="A36" s="3">
        <v>45005.569103969909</v>
      </c>
      <c r="B36" s="4" t="s">
        <v>376</v>
      </c>
      <c r="C36" s="4" t="s">
        <v>377</v>
      </c>
      <c r="D36" s="5" t="s">
        <v>371</v>
      </c>
      <c r="E36" s="4" t="s">
        <v>103</v>
      </c>
      <c r="F36" s="4" t="s">
        <v>378</v>
      </c>
      <c r="G36" s="4" t="s">
        <v>105</v>
      </c>
      <c r="H36" s="4" t="s">
        <v>373</v>
      </c>
      <c r="I36" s="4" t="s">
        <v>374</v>
      </c>
      <c r="J36" s="4" t="s">
        <v>379</v>
      </c>
      <c r="K36" s="4" t="s">
        <v>376</v>
      </c>
      <c r="L36" s="4" t="s">
        <v>67</v>
      </c>
      <c r="M36" s="4" t="s">
        <v>267</v>
      </c>
      <c r="N36" s="4">
        <v>0</v>
      </c>
      <c r="O36" s="4" t="s">
        <v>97</v>
      </c>
      <c r="P36" s="4">
        <v>3</v>
      </c>
      <c r="Q36" s="4">
        <v>3</v>
      </c>
      <c r="R36" s="4">
        <v>40</v>
      </c>
      <c r="T36" s="4" t="s">
        <v>70</v>
      </c>
      <c r="U36" s="4" t="s">
        <v>71</v>
      </c>
      <c r="V36" s="6" t="s">
        <v>99</v>
      </c>
      <c r="W36" s="37">
        <f>IF('CRUDO MIÉRCOLES'!AU41="Si",$N36,)</f>
        <v>0</v>
      </c>
      <c r="X36" s="37">
        <f>IF('CRUDO MIÉRCOLES'!AV41="Si",$N36,)</f>
        <v>0</v>
      </c>
      <c r="Y36" s="37">
        <f>IF('CRUDO MIÉRCOLES'!AW41="Si",$N36,)</f>
        <v>0</v>
      </c>
      <c r="Z36" s="37">
        <f>IF('CRUDO MIÉRCOLES'!AX41="Si",$N36,)</f>
        <v>0</v>
      </c>
      <c r="AA36" s="37"/>
      <c r="AB36" s="37">
        <f>IF('CRUDO MIÉRCOLES'!AY41="Si",$N36,)</f>
        <v>0</v>
      </c>
      <c r="AC36" s="37"/>
      <c r="AD36" s="37">
        <f>IF('CRUDO MIÉRCOLES'!AZ41="Si",$N36,)</f>
        <v>0</v>
      </c>
      <c r="AE36" s="37"/>
      <c r="AF36" s="37">
        <f>IF('CRUDO MIÉRCOLES'!BA41="Si",$N36,)</f>
        <v>0</v>
      </c>
      <c r="AG36" s="37"/>
      <c r="AH36" s="37">
        <f>IF('CRUDO MIÉRCOLES'!BB41="Si",$N36,)</f>
        <v>0</v>
      </c>
      <c r="AI36" s="37"/>
      <c r="AJ36" s="37">
        <f>IF('CRUDO MIÉRCOLES'!BC41="Si",$N36,)</f>
        <v>0</v>
      </c>
      <c r="AK36" s="37"/>
      <c r="AL36" s="37">
        <f>IF('CRUDO MIÉRCOLES'!BD41="Si",$N36,)</f>
        <v>0</v>
      </c>
      <c r="AM36" s="37"/>
      <c r="AN36" s="37">
        <f>IF('CRUDO MIÉRCOLES'!BE41="Si",$N36,)</f>
        <v>0</v>
      </c>
      <c r="AO36" s="37"/>
      <c r="AP36" s="37">
        <f>IF('CRUDO MIÉRCOLES'!BF41="Si",$N36,)</f>
        <v>0</v>
      </c>
      <c r="AQ36" s="37"/>
      <c r="AR36" s="37">
        <f>IF('CRUDO MIÉRCOLES'!BG41="Si",$N36,)</f>
        <v>0</v>
      </c>
      <c r="AS36" s="37"/>
      <c r="AT36" s="37">
        <f>IF('CRUDO MIÉRCOLES'!BH41="Si",$N36,)</f>
        <v>0</v>
      </c>
      <c r="AU36" s="37"/>
      <c r="AV36" s="37">
        <f>IF('CRUDO MIÉRCOLES'!BI41="Si",$N36,)</f>
        <v>0</v>
      </c>
      <c r="AW36" s="37">
        <f>IF('CRUDO MIÉRCOLES'!BJ41="Si",$N36,)</f>
        <v>0</v>
      </c>
      <c r="AX36" s="37">
        <f>IF('CRUDO MIÉRCOLES'!BK41="Si",$N36,)</f>
        <v>0</v>
      </c>
      <c r="AY36" s="37">
        <f>IF('CRUDO MIÉRCOLES'!BL41="Si",$N36,)</f>
        <v>0</v>
      </c>
      <c r="AZ36" s="37">
        <f>IF('CRUDO MIÉRCOLES'!BM41="Si",$N36,)</f>
        <v>0</v>
      </c>
      <c r="BA36" s="37">
        <f>IF('CRUDO MIÉRCOLES'!BN41="Si",$N36,)</f>
        <v>0</v>
      </c>
      <c r="BB36" s="37"/>
      <c r="BC36" s="37">
        <f>IF('CRUDO MIÉRCOLES'!BO41="Si",$N36,)</f>
        <v>0</v>
      </c>
      <c r="BD36" s="37"/>
      <c r="BE36" s="37">
        <f>IF('CRUDO MIÉRCOLES'!BP41="Si",$N36,)</f>
        <v>0</v>
      </c>
      <c r="BF36" s="37"/>
      <c r="BG36" s="37">
        <f>IF('CRUDO MIÉRCOLES'!BQ41="Si",$N36,)</f>
        <v>0</v>
      </c>
    </row>
    <row r="37" spans="1:64" ht="13.2" x14ac:dyDescent="0.25">
      <c r="A37" s="22">
        <v>45005.88972579861</v>
      </c>
      <c r="B37" s="23" t="s">
        <v>1001</v>
      </c>
      <c r="C37" s="23" t="s">
        <v>1002</v>
      </c>
      <c r="D37" s="29" t="s">
        <v>1003</v>
      </c>
      <c r="E37" s="23" t="s">
        <v>149</v>
      </c>
      <c r="F37" s="23" t="s">
        <v>1004</v>
      </c>
      <c r="G37" s="23" t="s">
        <v>64</v>
      </c>
      <c r="H37" s="23" t="s">
        <v>745</v>
      </c>
      <c r="I37" s="23" t="s">
        <v>836</v>
      </c>
      <c r="J37" s="25"/>
      <c r="K37" s="23" t="s">
        <v>1001</v>
      </c>
      <c r="L37" s="23" t="s">
        <v>656</v>
      </c>
      <c r="M37" s="23" t="s">
        <v>550</v>
      </c>
      <c r="N37" s="23">
        <v>45</v>
      </c>
      <c r="O37" s="23" t="s">
        <v>97</v>
      </c>
      <c r="P37" s="23">
        <v>4</v>
      </c>
      <c r="Q37" s="23">
        <v>4</v>
      </c>
      <c r="R37" s="23">
        <v>20</v>
      </c>
      <c r="S37" s="25"/>
      <c r="T37" s="23" t="s">
        <v>70</v>
      </c>
      <c r="U37" s="23" t="s">
        <v>70</v>
      </c>
      <c r="V37" s="26" t="s">
        <v>99</v>
      </c>
      <c r="W37" s="27">
        <f>IF('CRUDO MIÉRCOLES'!AU48="Si",$N37,)</f>
        <v>0</v>
      </c>
      <c r="X37" s="27">
        <f>IF('CRUDO MIÉRCOLES'!AV48="Si",$N37,)</f>
        <v>45</v>
      </c>
      <c r="Y37" s="28">
        <v>0</v>
      </c>
      <c r="Z37" s="28">
        <v>0</v>
      </c>
      <c r="AA37" s="28"/>
      <c r="AB37" s="28">
        <v>0</v>
      </c>
      <c r="AC37" s="28"/>
      <c r="AD37" s="27">
        <f>IF('CRUDO MIÉRCOLES'!AZ48="Si",$N37,)</f>
        <v>0</v>
      </c>
      <c r="AE37" s="27"/>
      <c r="AF37" s="27">
        <f>IF('CRUDO MIÉRCOLES'!BA48="Si",$N37,)</f>
        <v>0</v>
      </c>
      <c r="AG37" s="27"/>
      <c r="AH37" s="28">
        <v>45</v>
      </c>
      <c r="AI37" s="28" t="s">
        <v>1227</v>
      </c>
      <c r="AJ37" s="28">
        <v>0</v>
      </c>
      <c r="AK37" s="28"/>
      <c r="AL37" s="27">
        <f>IF('CRUDO MIÉRCOLES'!BD48="Si",$N37,)</f>
        <v>0</v>
      </c>
      <c r="AM37" s="28"/>
      <c r="AN37" s="28">
        <v>0</v>
      </c>
      <c r="AO37" s="27"/>
      <c r="AP37" s="27">
        <f>IF('CRUDO MIÉRCOLES'!BF48="Si",$N37,)</f>
        <v>0</v>
      </c>
      <c r="AQ37" s="27"/>
      <c r="AR37" s="27">
        <f>IF('CRUDO MIÉRCOLES'!BG48="Si",$N37,)</f>
        <v>0</v>
      </c>
      <c r="AS37" s="28"/>
      <c r="AT37" s="28">
        <v>0</v>
      </c>
      <c r="AU37" s="27"/>
      <c r="AV37" s="27">
        <f>IF('CRUDO MIÉRCOLES'!BI48="Si",$N37,)</f>
        <v>0</v>
      </c>
      <c r="AW37" s="28">
        <v>0</v>
      </c>
      <c r="AX37" s="27">
        <f>IF('CRUDO MIÉRCOLES'!BK48="Si",$N37,)</f>
        <v>0</v>
      </c>
      <c r="AY37" s="28">
        <v>0</v>
      </c>
      <c r="AZ37" s="28">
        <v>0</v>
      </c>
      <c r="BA37" s="27">
        <f>IF('CRUDO MIÉRCOLES'!BN48="Si",$N37,)</f>
        <v>0</v>
      </c>
      <c r="BB37" s="28"/>
      <c r="BC37" s="28">
        <v>0</v>
      </c>
      <c r="BD37" s="27"/>
      <c r="BE37" s="27">
        <f>IF('CRUDO MIÉRCOLES'!BP48="Si",$N37,)</f>
        <v>0</v>
      </c>
      <c r="BF37" s="28"/>
      <c r="BG37" s="28">
        <v>45</v>
      </c>
      <c r="BH37" s="23" t="s">
        <v>1234</v>
      </c>
      <c r="BI37" s="23" t="s">
        <v>1005</v>
      </c>
      <c r="BJ37" s="23" t="s">
        <v>1245</v>
      </c>
      <c r="BK37" s="23">
        <v>1</v>
      </c>
      <c r="BL37" s="25"/>
    </row>
    <row r="38" spans="1:64" ht="13.2" hidden="1" x14ac:dyDescent="0.25">
      <c r="A38" s="3">
        <v>45006.475162615738</v>
      </c>
      <c r="B38" s="4" t="s">
        <v>1001</v>
      </c>
      <c r="C38" s="4" t="s">
        <v>1002</v>
      </c>
      <c r="D38" s="5" t="s">
        <v>1003</v>
      </c>
      <c r="E38" s="4" t="s">
        <v>149</v>
      </c>
      <c r="F38" s="4" t="s">
        <v>132</v>
      </c>
      <c r="G38" s="4" t="s">
        <v>64</v>
      </c>
      <c r="H38" s="4" t="s">
        <v>745</v>
      </c>
      <c r="I38" s="4" t="s">
        <v>1006</v>
      </c>
      <c r="K38" s="4" t="s">
        <v>1001</v>
      </c>
      <c r="L38" s="4" t="s">
        <v>656</v>
      </c>
      <c r="M38" s="4" t="s">
        <v>550</v>
      </c>
      <c r="N38" s="4">
        <v>0</v>
      </c>
      <c r="O38" s="4" t="s">
        <v>97</v>
      </c>
      <c r="P38" s="4">
        <v>4</v>
      </c>
      <c r="Q38" s="4">
        <v>4</v>
      </c>
      <c r="R38" s="4">
        <v>20</v>
      </c>
      <c r="T38" s="4" t="s">
        <v>70</v>
      </c>
      <c r="U38" s="4" t="s">
        <v>70</v>
      </c>
      <c r="V38" s="6" t="s">
        <v>99</v>
      </c>
      <c r="W38" s="37">
        <f>IF('CRUDO MIÉRCOLES'!AU55="Si",$N38,)</f>
        <v>0</v>
      </c>
      <c r="X38" s="37">
        <f>IF('CRUDO MIÉRCOLES'!AV55="Si",$N38,)</f>
        <v>0</v>
      </c>
      <c r="Y38" s="37">
        <f>IF('CRUDO MIÉRCOLES'!AW55="Si",$N38,)</f>
        <v>0</v>
      </c>
      <c r="Z38" s="37">
        <f>IF('CRUDO MIÉRCOLES'!AX55="Si",$N38,)</f>
        <v>0</v>
      </c>
      <c r="AA38" s="37"/>
      <c r="AB38" s="37">
        <f>IF('CRUDO MIÉRCOLES'!AY55="Si",$N38,)</f>
        <v>0</v>
      </c>
      <c r="AC38" s="37"/>
      <c r="AD38" s="37">
        <f>IF('CRUDO MIÉRCOLES'!AZ55="Si",$N38,)</f>
        <v>0</v>
      </c>
      <c r="AE38" s="37"/>
      <c r="AF38" s="37">
        <f>IF('CRUDO MIÉRCOLES'!BA55="Si",$N38,)</f>
        <v>0</v>
      </c>
      <c r="AG38" s="37"/>
      <c r="AH38" s="37">
        <f>IF('CRUDO MIÉRCOLES'!BB55="Si",$N38,)</f>
        <v>0</v>
      </c>
      <c r="AI38" s="37"/>
      <c r="AJ38" s="37">
        <f>IF('CRUDO MIÉRCOLES'!BC55="Si",$N38,)</f>
        <v>0</v>
      </c>
      <c r="AK38" s="37"/>
      <c r="AL38" s="37">
        <f>IF('CRUDO MIÉRCOLES'!BD55="Si",$N38,)</f>
        <v>0</v>
      </c>
      <c r="AM38" s="37"/>
      <c r="AN38" s="37">
        <f>IF('CRUDO MIÉRCOLES'!BE55="Si",$N38,)</f>
        <v>0</v>
      </c>
      <c r="AO38" s="37"/>
      <c r="AP38" s="37">
        <f>IF('CRUDO MIÉRCOLES'!BF55="Si",$N38,)</f>
        <v>0</v>
      </c>
      <c r="AQ38" s="37"/>
      <c r="AR38" s="37">
        <f>IF('CRUDO MIÉRCOLES'!BG55="Si",$N38,)</f>
        <v>0</v>
      </c>
      <c r="AS38" s="37"/>
      <c r="AT38" s="37">
        <f>IF('CRUDO MIÉRCOLES'!BH55="Si",$N38,)</f>
        <v>0</v>
      </c>
      <c r="AU38" s="37"/>
      <c r="AV38" s="37">
        <f>IF('CRUDO MIÉRCOLES'!BI55="Si",$N38,)</f>
        <v>0</v>
      </c>
      <c r="AW38" s="37">
        <f>IF('CRUDO MIÉRCOLES'!BJ55="Si",$N38,)</f>
        <v>0</v>
      </c>
      <c r="AX38" s="37">
        <f>IF('CRUDO MIÉRCOLES'!BK55="Si",$N38,)</f>
        <v>0</v>
      </c>
      <c r="AY38" s="37">
        <f>IF('CRUDO MIÉRCOLES'!BL55="Si",$N38,)</f>
        <v>0</v>
      </c>
      <c r="AZ38" s="37">
        <f>IF('CRUDO MIÉRCOLES'!BM55="Si",$N38,)</f>
        <v>0</v>
      </c>
      <c r="BA38" s="37">
        <f>IF('CRUDO MIÉRCOLES'!BN55="Si",$N38,)</f>
        <v>0</v>
      </c>
      <c r="BB38" s="37"/>
      <c r="BC38" s="37">
        <f>IF('CRUDO MIÉRCOLES'!BO55="Si",$N38,)</f>
        <v>0</v>
      </c>
      <c r="BD38" s="37"/>
      <c r="BE38" s="37">
        <f>IF('CRUDO MIÉRCOLES'!BP55="Si",$N38,)</f>
        <v>0</v>
      </c>
      <c r="BF38" s="37"/>
      <c r="BG38" s="37">
        <f>IF('CRUDO MIÉRCOLES'!BQ55="Si",$N38,)</f>
        <v>0</v>
      </c>
    </row>
    <row r="39" spans="1:64" ht="13.2" hidden="1" x14ac:dyDescent="0.25">
      <c r="A39" s="3">
        <v>45006.502719733791</v>
      </c>
      <c r="B39" s="4" t="s">
        <v>129</v>
      </c>
      <c r="C39" s="4" t="s">
        <v>130</v>
      </c>
      <c r="D39" s="6" t="s">
        <v>131</v>
      </c>
      <c r="E39" s="4" t="s">
        <v>62</v>
      </c>
      <c r="F39" s="4" t="s">
        <v>132</v>
      </c>
      <c r="G39" s="4" t="s">
        <v>64</v>
      </c>
      <c r="H39" s="4" t="s">
        <v>133</v>
      </c>
      <c r="I39" s="4" t="s">
        <v>134</v>
      </c>
      <c r="J39" s="4" t="s">
        <v>135</v>
      </c>
      <c r="K39" s="4" t="s">
        <v>129</v>
      </c>
      <c r="L39" s="4" t="s">
        <v>67</v>
      </c>
      <c r="M39" s="4" t="s">
        <v>114</v>
      </c>
      <c r="N39" s="4">
        <v>0</v>
      </c>
      <c r="O39" s="4" t="s">
        <v>97</v>
      </c>
      <c r="P39" s="4">
        <v>3</v>
      </c>
      <c r="Q39" s="4">
        <v>3</v>
      </c>
      <c r="R39" s="4">
        <v>5</v>
      </c>
      <c r="T39" s="4" t="s">
        <v>70</v>
      </c>
      <c r="U39" s="4" t="s">
        <v>71</v>
      </c>
      <c r="V39" s="6" t="s">
        <v>99</v>
      </c>
      <c r="W39" s="37">
        <f>IF('CRUDO MIÉRCOLES'!AU56="Si",$N39,)</f>
        <v>0</v>
      </c>
      <c r="X39" s="37">
        <f>IF('CRUDO MIÉRCOLES'!AV56="Si",$N39,)</f>
        <v>0</v>
      </c>
      <c r="Y39" s="37">
        <f>IF('CRUDO MIÉRCOLES'!AW56="Si",$N39,)</f>
        <v>0</v>
      </c>
      <c r="Z39" s="37">
        <f>IF('CRUDO MIÉRCOLES'!AX56="Si",$N39,)</f>
        <v>0</v>
      </c>
      <c r="AA39" s="37"/>
      <c r="AB39" s="37">
        <f>IF('CRUDO MIÉRCOLES'!AY56="Si",$N39,)</f>
        <v>0</v>
      </c>
      <c r="AC39" s="37"/>
      <c r="AD39" s="37">
        <f>IF('CRUDO MIÉRCOLES'!AZ56="Si",$N39,)</f>
        <v>0</v>
      </c>
      <c r="AE39" s="37"/>
      <c r="AF39" s="37">
        <f>IF('CRUDO MIÉRCOLES'!BA56="Si",$N39,)</f>
        <v>0</v>
      </c>
      <c r="AG39" s="37"/>
      <c r="AH39" s="37">
        <f>IF('CRUDO MIÉRCOLES'!BB56="Si",$N39,)</f>
        <v>0</v>
      </c>
      <c r="AI39" s="37"/>
      <c r="AJ39" s="37">
        <f>IF('CRUDO MIÉRCOLES'!BC56="Si",$N39,)</f>
        <v>0</v>
      </c>
      <c r="AK39" s="37"/>
      <c r="AL39" s="37">
        <f>IF('CRUDO MIÉRCOLES'!BD56="Si",$N39,)</f>
        <v>0</v>
      </c>
      <c r="AM39" s="37"/>
      <c r="AN39" s="37">
        <f>IF('CRUDO MIÉRCOLES'!BE56="Si",$N39,)</f>
        <v>0</v>
      </c>
      <c r="AO39" s="37"/>
      <c r="AP39" s="37">
        <f>IF('CRUDO MIÉRCOLES'!BF56="Si",$N39,)</f>
        <v>0</v>
      </c>
      <c r="AQ39" s="37"/>
      <c r="AR39" s="37">
        <f>IF('CRUDO MIÉRCOLES'!BG56="Si",$N39,)</f>
        <v>0</v>
      </c>
      <c r="AS39" s="37"/>
      <c r="AT39" s="37">
        <f>IF('CRUDO MIÉRCOLES'!BH56="Si",$N39,)</f>
        <v>0</v>
      </c>
      <c r="AU39" s="37"/>
      <c r="AV39" s="37">
        <f>IF('CRUDO MIÉRCOLES'!BI56="Si",$N39,)</f>
        <v>0</v>
      </c>
      <c r="AW39" s="37">
        <f>IF('CRUDO MIÉRCOLES'!BJ56="Si",$N39,)</f>
        <v>0</v>
      </c>
      <c r="AX39" s="37">
        <f>IF('CRUDO MIÉRCOLES'!BK56="Si",$N39,)</f>
        <v>0</v>
      </c>
      <c r="AY39" s="37">
        <f>IF('CRUDO MIÉRCOLES'!BL56="Si",$N39,)</f>
        <v>0</v>
      </c>
      <c r="AZ39" s="37">
        <f>IF('CRUDO MIÉRCOLES'!BM56="Si",$N39,)</f>
        <v>0</v>
      </c>
      <c r="BA39" s="37">
        <f>IF('CRUDO MIÉRCOLES'!BN56="Si",$N39,)</f>
        <v>0</v>
      </c>
      <c r="BB39" s="37"/>
      <c r="BC39" s="37">
        <f>IF('CRUDO MIÉRCOLES'!BO56="Si",$N39,)</f>
        <v>0</v>
      </c>
      <c r="BD39" s="37"/>
      <c r="BE39" s="37">
        <f>IF('CRUDO MIÉRCOLES'!BP56="Si",$N39,)</f>
        <v>0</v>
      </c>
      <c r="BF39" s="37"/>
      <c r="BG39" s="37">
        <f>IF('CRUDO MIÉRCOLES'!BQ56="Si",$N39,)</f>
        <v>0</v>
      </c>
    </row>
    <row r="40" spans="1:64" ht="13.2" hidden="1" x14ac:dyDescent="0.25">
      <c r="A40" s="3">
        <v>45000.818411458335</v>
      </c>
      <c r="B40" s="4" t="s">
        <v>516</v>
      </c>
      <c r="C40" s="4" t="s">
        <v>517</v>
      </c>
      <c r="D40" s="7" t="s">
        <v>518</v>
      </c>
      <c r="E40" s="4" t="s">
        <v>149</v>
      </c>
      <c r="F40" s="4" t="s">
        <v>519</v>
      </c>
      <c r="G40" s="4" t="s">
        <v>105</v>
      </c>
      <c r="H40" s="4" t="s">
        <v>520</v>
      </c>
      <c r="I40" s="4" t="s">
        <v>521</v>
      </c>
      <c r="J40" s="4" t="s">
        <v>522</v>
      </c>
      <c r="K40" s="4" t="s">
        <v>516</v>
      </c>
      <c r="L40" s="4" t="s">
        <v>67</v>
      </c>
      <c r="M40" s="4" t="s">
        <v>324</v>
      </c>
      <c r="N40" s="4">
        <v>0</v>
      </c>
      <c r="O40" s="4" t="s">
        <v>200</v>
      </c>
      <c r="P40" s="4">
        <v>3</v>
      </c>
      <c r="Q40" s="4">
        <v>3</v>
      </c>
      <c r="R40" s="4">
        <v>30</v>
      </c>
      <c r="T40" s="4" t="s">
        <v>70</v>
      </c>
      <c r="U40" s="4" t="s">
        <v>71</v>
      </c>
      <c r="V40" s="6" t="s">
        <v>99</v>
      </c>
      <c r="W40" s="37">
        <f>IF('CRUDO MIÉRCOLES'!AU9="Si",$N40,)</f>
        <v>0</v>
      </c>
      <c r="X40" s="37">
        <f>IF('CRUDO MIÉRCOLES'!AV9="Si",$N40,)</f>
        <v>0</v>
      </c>
      <c r="Y40" s="37">
        <f>IF('CRUDO MIÉRCOLES'!AW9="Si",$N40,)</f>
        <v>0</v>
      </c>
      <c r="Z40" s="37">
        <f>IF('CRUDO MIÉRCOLES'!AX9="Si",$N40,)</f>
        <v>0</v>
      </c>
      <c r="AA40" s="37"/>
      <c r="AB40" s="37">
        <f>IF('CRUDO MIÉRCOLES'!AY9="Si",$N40,)</f>
        <v>0</v>
      </c>
      <c r="AC40" s="37"/>
      <c r="AD40" s="37">
        <f>IF('CRUDO MIÉRCOLES'!AZ9="Si",$N40,)</f>
        <v>0</v>
      </c>
      <c r="AE40" s="37"/>
      <c r="AF40" s="37">
        <f>IF('CRUDO MIÉRCOLES'!BA9="Si",$N40,)</f>
        <v>0</v>
      </c>
      <c r="AG40" s="37"/>
      <c r="AH40" s="37">
        <f>IF('CRUDO MIÉRCOLES'!BB9="Si",$N40,)</f>
        <v>0</v>
      </c>
      <c r="AI40" s="37"/>
      <c r="AJ40" s="37">
        <f>IF('CRUDO MIÉRCOLES'!BC9="Si",$N40,)</f>
        <v>0</v>
      </c>
      <c r="AK40" s="37"/>
      <c r="AL40" s="37">
        <f>IF('CRUDO MIÉRCOLES'!BD9="Si",$N40,)</f>
        <v>0</v>
      </c>
      <c r="AM40" s="37"/>
      <c r="AN40" s="37">
        <f>IF('CRUDO MIÉRCOLES'!BE9="Si",$N40,)</f>
        <v>0</v>
      </c>
      <c r="AO40" s="37"/>
      <c r="AP40" s="37">
        <f>IF('CRUDO MIÉRCOLES'!BF9="Si",$N40,)</f>
        <v>0</v>
      </c>
      <c r="AQ40" s="37"/>
      <c r="AR40" s="37">
        <f>IF('CRUDO MIÉRCOLES'!BG9="Si",$N40,)</f>
        <v>0</v>
      </c>
      <c r="AS40" s="37"/>
      <c r="AT40" s="37">
        <f>IF('CRUDO MIÉRCOLES'!BH9="Si",$N40,)</f>
        <v>0</v>
      </c>
      <c r="AU40" s="37"/>
      <c r="AV40" s="37">
        <f>IF('CRUDO MIÉRCOLES'!BI9="Si",$N40,)</f>
        <v>0</v>
      </c>
      <c r="AW40" s="37">
        <f>IF('CRUDO MIÉRCOLES'!BJ9="Si",$N40,)</f>
        <v>0</v>
      </c>
      <c r="AX40" s="37">
        <f>IF('CRUDO MIÉRCOLES'!BK9="Si",$N40,)</f>
        <v>0</v>
      </c>
      <c r="AY40" s="37">
        <f>IF('CRUDO MIÉRCOLES'!BL9="Si",$N40,)</f>
        <v>0</v>
      </c>
      <c r="AZ40" s="37">
        <f>IF('CRUDO MIÉRCOLES'!BM9="Si",$N40,)</f>
        <v>0</v>
      </c>
      <c r="BA40" s="37">
        <f>IF('CRUDO MIÉRCOLES'!BN9="Si",$N40,)</f>
        <v>0</v>
      </c>
      <c r="BB40" s="37"/>
      <c r="BC40" s="37">
        <f>IF('CRUDO MIÉRCOLES'!BO9="Si",$N40,)</f>
        <v>0</v>
      </c>
      <c r="BD40" s="37"/>
      <c r="BE40" s="37">
        <f>IF('CRUDO MIÉRCOLES'!BP9="Si",$N40,)</f>
        <v>0</v>
      </c>
      <c r="BF40" s="37"/>
      <c r="BG40" s="37">
        <f>IF('CRUDO MIÉRCOLES'!BQ9="Si",$N40,)</f>
        <v>0</v>
      </c>
    </row>
    <row r="41" spans="1:64" ht="13.2" x14ac:dyDescent="0.25">
      <c r="A41" s="22">
        <v>45000.836320347225</v>
      </c>
      <c r="B41" s="23" t="s">
        <v>1127</v>
      </c>
      <c r="C41" s="23" t="s">
        <v>1128</v>
      </c>
      <c r="D41" s="29" t="s">
        <v>1129</v>
      </c>
      <c r="E41" s="23" t="s">
        <v>103</v>
      </c>
      <c r="F41" s="23" t="s">
        <v>1130</v>
      </c>
      <c r="G41" s="23" t="s">
        <v>64</v>
      </c>
      <c r="H41" s="23" t="s">
        <v>1131</v>
      </c>
      <c r="I41" s="23" t="s">
        <v>1132</v>
      </c>
      <c r="J41" s="23" t="s">
        <v>1133</v>
      </c>
      <c r="K41" s="23" t="s">
        <v>1127</v>
      </c>
      <c r="L41" s="23" t="s">
        <v>656</v>
      </c>
      <c r="M41" s="23" t="s">
        <v>693</v>
      </c>
      <c r="N41" s="23">
        <v>35</v>
      </c>
      <c r="O41" s="23" t="s">
        <v>200</v>
      </c>
      <c r="P41" s="23">
        <v>5</v>
      </c>
      <c r="Q41" s="23">
        <v>4</v>
      </c>
      <c r="R41" s="23">
        <v>0</v>
      </c>
      <c r="S41" s="25"/>
      <c r="T41" s="23" t="s">
        <v>70</v>
      </c>
      <c r="U41" s="23" t="s">
        <v>70</v>
      </c>
      <c r="V41" s="26" t="s">
        <v>99</v>
      </c>
      <c r="W41" s="27">
        <f>IF('CRUDO MIÉRCOLES'!AU11="Si",$N41,)</f>
        <v>0</v>
      </c>
      <c r="X41" s="28">
        <v>0</v>
      </c>
      <c r="Y41" s="28">
        <v>35</v>
      </c>
      <c r="Z41" s="27">
        <f>IF('CRUDO MIÉRCOLES'!AX11="Si",$N41,)</f>
        <v>0</v>
      </c>
      <c r="AA41" s="27"/>
      <c r="AB41" s="27">
        <f>IF('CRUDO MIÉRCOLES'!AY11="Si",$N41,)</f>
        <v>0</v>
      </c>
      <c r="AC41" s="27"/>
      <c r="AD41" s="28">
        <v>0</v>
      </c>
      <c r="AE41" s="28"/>
      <c r="AF41" s="28">
        <v>35</v>
      </c>
      <c r="AG41" s="28" t="s">
        <v>1233</v>
      </c>
      <c r="AH41" s="27">
        <f>IF('CRUDO MIÉRCOLES'!BB11="Si",$N41,)</f>
        <v>0</v>
      </c>
      <c r="AI41" s="27"/>
      <c r="AJ41" s="27">
        <f>IF('CRUDO MIÉRCOLES'!BC11="Si",$N41,)</f>
        <v>0</v>
      </c>
      <c r="AK41" s="27"/>
      <c r="AL41" s="27">
        <f>IF('CRUDO MIÉRCOLES'!BD11="Si",$N41,)</f>
        <v>0</v>
      </c>
      <c r="AM41" s="28"/>
      <c r="AN41" s="28">
        <v>0</v>
      </c>
      <c r="AO41" s="28"/>
      <c r="AP41" s="28">
        <v>0</v>
      </c>
      <c r="AQ41" s="27"/>
      <c r="AR41" s="27">
        <f>IF('CRUDO MIÉRCOLES'!BG11="Si",$N41,)</f>
        <v>0</v>
      </c>
      <c r="AS41" s="27"/>
      <c r="AT41" s="27">
        <f>IF('CRUDO MIÉRCOLES'!BH11="Si",$N41,)</f>
        <v>0</v>
      </c>
      <c r="AU41" s="27"/>
      <c r="AV41" s="27">
        <f>IF('CRUDO MIÉRCOLES'!BI11="Si",$N41,)</f>
        <v>0</v>
      </c>
      <c r="AW41" s="27">
        <f>IF('CRUDO MIÉRCOLES'!BJ11="Si",$N41,)</f>
        <v>0</v>
      </c>
      <c r="AX41" s="27">
        <f>IF('CRUDO MIÉRCOLES'!BK11="Si",$N41,)</f>
        <v>0</v>
      </c>
      <c r="AY41" s="27">
        <f>IF('CRUDO MIÉRCOLES'!BL11="Si",$N41,)</f>
        <v>0</v>
      </c>
      <c r="AZ41" s="27">
        <f>IF('CRUDO MIÉRCOLES'!BM11="Si",$N41,)</f>
        <v>0</v>
      </c>
      <c r="BA41" s="27">
        <f>IF('CRUDO MIÉRCOLES'!BN11="Si",$N41,)</f>
        <v>0</v>
      </c>
      <c r="BB41" s="28"/>
      <c r="BC41" s="28">
        <v>35</v>
      </c>
      <c r="BD41" s="28" t="s">
        <v>1239</v>
      </c>
      <c r="BE41" s="28">
        <v>0</v>
      </c>
      <c r="BF41" s="27"/>
      <c r="BG41" s="27">
        <f>IF('CRUDO MIÉRCOLES'!BQ11="Si",$N41,)</f>
        <v>0</v>
      </c>
      <c r="BH41" s="25"/>
      <c r="BI41" s="25"/>
      <c r="BJ41" s="23" t="s">
        <v>1273</v>
      </c>
      <c r="BK41" s="23">
        <v>1</v>
      </c>
      <c r="BL41" s="25"/>
    </row>
    <row r="42" spans="1:64" ht="13.2" hidden="1" x14ac:dyDescent="0.25">
      <c r="A42" s="3">
        <v>45000.841201817129</v>
      </c>
      <c r="B42" s="4" t="s">
        <v>1127</v>
      </c>
      <c r="C42" s="4" t="s">
        <v>1128</v>
      </c>
      <c r="D42" s="5" t="s">
        <v>1129</v>
      </c>
      <c r="E42" s="4" t="s">
        <v>103</v>
      </c>
      <c r="F42" s="4" t="s">
        <v>1130</v>
      </c>
      <c r="G42" s="4" t="s">
        <v>64</v>
      </c>
      <c r="H42" s="4" t="s">
        <v>1131</v>
      </c>
      <c r="I42" s="4" t="s">
        <v>1132</v>
      </c>
      <c r="J42" s="4" t="s">
        <v>1134</v>
      </c>
      <c r="K42" s="4" t="s">
        <v>1127</v>
      </c>
      <c r="L42" s="4" t="s">
        <v>656</v>
      </c>
      <c r="M42" s="4" t="s">
        <v>693</v>
      </c>
      <c r="N42" s="4">
        <v>0</v>
      </c>
      <c r="O42" s="4" t="s">
        <v>200</v>
      </c>
      <c r="P42" s="4">
        <v>5</v>
      </c>
      <c r="Q42" s="4">
        <v>4</v>
      </c>
      <c r="R42" s="4">
        <v>0</v>
      </c>
      <c r="T42" s="4" t="s">
        <v>70</v>
      </c>
      <c r="U42" s="4" t="s">
        <v>70</v>
      </c>
      <c r="V42" s="6" t="s">
        <v>99</v>
      </c>
      <c r="W42" s="37">
        <f>IF('CRUDO MIÉRCOLES'!AU12="Si",$N42,)</f>
        <v>0</v>
      </c>
      <c r="X42" s="37">
        <f>IF('CRUDO MIÉRCOLES'!AV12="Si",$N42,)</f>
        <v>0</v>
      </c>
      <c r="Y42" s="37">
        <f>IF('CRUDO MIÉRCOLES'!AW12="Si",$N42,)</f>
        <v>0</v>
      </c>
      <c r="Z42" s="37">
        <f>IF('CRUDO MIÉRCOLES'!AX12="Si",$N42,)</f>
        <v>0</v>
      </c>
      <c r="AA42" s="37"/>
      <c r="AB42" s="37">
        <f>IF('CRUDO MIÉRCOLES'!AY12="Si",$N42,)</f>
        <v>0</v>
      </c>
      <c r="AC42" s="37"/>
      <c r="AD42" s="37">
        <f>IF('CRUDO MIÉRCOLES'!AZ12="Si",$N42,)</f>
        <v>0</v>
      </c>
      <c r="AE42" s="37"/>
      <c r="AF42" s="37">
        <f>IF('CRUDO MIÉRCOLES'!BA12="Si",$N42,)</f>
        <v>0</v>
      </c>
      <c r="AG42" s="37"/>
      <c r="AH42" s="37">
        <f>IF('CRUDO MIÉRCOLES'!BB12="Si",$N42,)</f>
        <v>0</v>
      </c>
      <c r="AI42" s="37"/>
      <c r="AJ42" s="37">
        <f>IF('CRUDO MIÉRCOLES'!BC12="Si",$N42,)</f>
        <v>0</v>
      </c>
      <c r="AK42" s="37"/>
      <c r="AL42" s="37">
        <f>IF('CRUDO MIÉRCOLES'!BD12="Si",$N42,)</f>
        <v>0</v>
      </c>
      <c r="AM42" s="37"/>
      <c r="AN42" s="37">
        <f>IF('CRUDO MIÉRCOLES'!BE12="Si",$N42,)</f>
        <v>0</v>
      </c>
      <c r="AO42" s="37"/>
      <c r="AP42" s="37">
        <f>IF('CRUDO MIÉRCOLES'!BF12="Si",$N42,)</f>
        <v>0</v>
      </c>
      <c r="AQ42" s="37"/>
      <c r="AR42" s="37">
        <f>IF('CRUDO MIÉRCOLES'!BG12="Si",$N42,)</f>
        <v>0</v>
      </c>
      <c r="AS42" s="37"/>
      <c r="AT42" s="37">
        <f>IF('CRUDO MIÉRCOLES'!BH12="Si",$N42,)</f>
        <v>0</v>
      </c>
      <c r="AU42" s="37"/>
      <c r="AV42" s="37">
        <f>IF('CRUDO MIÉRCOLES'!BI12="Si",$N42,)</f>
        <v>0</v>
      </c>
      <c r="AW42" s="37">
        <f>IF('CRUDO MIÉRCOLES'!BJ12="Si",$N42,)</f>
        <v>0</v>
      </c>
      <c r="AX42" s="37">
        <f>IF('CRUDO MIÉRCOLES'!BK12="Si",$N42,)</f>
        <v>0</v>
      </c>
      <c r="AY42" s="37">
        <f>IF('CRUDO MIÉRCOLES'!BL12="Si",$N42,)</f>
        <v>0</v>
      </c>
      <c r="AZ42" s="37">
        <f>IF('CRUDO MIÉRCOLES'!BM12="Si",$N42,)</f>
        <v>0</v>
      </c>
      <c r="BA42" s="37">
        <f>IF('CRUDO MIÉRCOLES'!BN12="Si",$N42,)</f>
        <v>0</v>
      </c>
      <c r="BB42" s="37"/>
      <c r="BC42" s="37">
        <f>IF('CRUDO MIÉRCOLES'!BO12="Si",$N42,)</f>
        <v>0</v>
      </c>
      <c r="BD42" s="37"/>
      <c r="BE42" s="37">
        <f>IF('CRUDO MIÉRCOLES'!BP12="Si",$N42,)</f>
        <v>0</v>
      </c>
      <c r="BF42" s="37"/>
      <c r="BG42" s="37">
        <f>IF('CRUDO MIÉRCOLES'!BQ12="Si",$N42,)</f>
        <v>0</v>
      </c>
    </row>
    <row r="43" spans="1:64" ht="13.2" hidden="1" x14ac:dyDescent="0.25">
      <c r="A43" s="3">
        <v>45000.843717060183</v>
      </c>
      <c r="B43" s="4" t="s">
        <v>1127</v>
      </c>
      <c r="C43" s="4" t="s">
        <v>1128</v>
      </c>
      <c r="D43" s="5" t="s">
        <v>1129</v>
      </c>
      <c r="E43" s="4" t="s">
        <v>103</v>
      </c>
      <c r="F43" s="4" t="s">
        <v>1135</v>
      </c>
      <c r="G43" s="4" t="s">
        <v>64</v>
      </c>
      <c r="H43" s="4" t="s">
        <v>1136</v>
      </c>
      <c r="I43" s="4" t="s">
        <v>1132</v>
      </c>
      <c r="J43" s="4" t="s">
        <v>1134</v>
      </c>
      <c r="K43" s="4" t="s">
        <v>1127</v>
      </c>
      <c r="L43" s="4" t="s">
        <v>656</v>
      </c>
      <c r="M43" s="4" t="s">
        <v>700</v>
      </c>
      <c r="N43" s="4">
        <v>0</v>
      </c>
      <c r="O43" s="4" t="s">
        <v>200</v>
      </c>
      <c r="P43" s="4">
        <v>5</v>
      </c>
      <c r="Q43" s="4">
        <v>4</v>
      </c>
      <c r="R43" s="4">
        <v>0</v>
      </c>
      <c r="T43" s="4" t="s">
        <v>70</v>
      </c>
      <c r="U43" s="4" t="s">
        <v>70</v>
      </c>
      <c r="V43" s="6" t="s">
        <v>99</v>
      </c>
      <c r="W43" s="37">
        <f>IF('CRUDO MIÉRCOLES'!AU13="Si",$N43,)</f>
        <v>0</v>
      </c>
      <c r="X43" s="37">
        <f>IF('CRUDO MIÉRCOLES'!AV13="Si",$N43,)</f>
        <v>0</v>
      </c>
      <c r="Y43" s="37">
        <f>IF('CRUDO MIÉRCOLES'!AW13="Si",$N43,)</f>
        <v>0</v>
      </c>
      <c r="Z43" s="37">
        <f>IF('CRUDO MIÉRCOLES'!AX13="Si",$N43,)</f>
        <v>0</v>
      </c>
      <c r="AA43" s="37"/>
      <c r="AB43" s="37">
        <f>IF('CRUDO MIÉRCOLES'!AY13="Si",$N43,)</f>
        <v>0</v>
      </c>
      <c r="AC43" s="37"/>
      <c r="AD43" s="37">
        <f>IF('CRUDO MIÉRCOLES'!AZ13="Si",$N43,)</f>
        <v>0</v>
      </c>
      <c r="AE43" s="37"/>
      <c r="AF43" s="37">
        <f>IF('CRUDO MIÉRCOLES'!BA13="Si",$N43,)</f>
        <v>0</v>
      </c>
      <c r="AG43" s="37"/>
      <c r="AH43" s="37">
        <f>IF('CRUDO MIÉRCOLES'!BB13="Si",$N43,)</f>
        <v>0</v>
      </c>
      <c r="AI43" s="37"/>
      <c r="AJ43" s="37">
        <f>IF('CRUDO MIÉRCOLES'!BC13="Si",$N43,)</f>
        <v>0</v>
      </c>
      <c r="AK43" s="37"/>
      <c r="AL43" s="37">
        <f>IF('CRUDO MIÉRCOLES'!BD13="Si",$N43,)</f>
        <v>0</v>
      </c>
      <c r="AM43" s="37"/>
      <c r="AN43" s="37">
        <f>IF('CRUDO MIÉRCOLES'!BE13="Si",$N43,)</f>
        <v>0</v>
      </c>
      <c r="AO43" s="37"/>
      <c r="AP43" s="37">
        <f>IF('CRUDO MIÉRCOLES'!BF13="Si",$N43,)</f>
        <v>0</v>
      </c>
      <c r="AQ43" s="37"/>
      <c r="AR43" s="37">
        <f>IF('CRUDO MIÉRCOLES'!BG13="Si",$N43,)</f>
        <v>0</v>
      </c>
      <c r="AS43" s="37"/>
      <c r="AT43" s="37">
        <f>IF('CRUDO MIÉRCOLES'!BH13="Si",$N43,)</f>
        <v>0</v>
      </c>
      <c r="AU43" s="37"/>
      <c r="AV43" s="37">
        <f>IF('CRUDO MIÉRCOLES'!BI13="Si",$N43,)</f>
        <v>0</v>
      </c>
      <c r="AW43" s="37">
        <f>IF('CRUDO MIÉRCOLES'!BJ13="Si",$N43,)</f>
        <v>0</v>
      </c>
      <c r="AX43" s="37">
        <f>IF('CRUDO MIÉRCOLES'!BK13="Si",$N43,)</f>
        <v>0</v>
      </c>
      <c r="AY43" s="37">
        <f>IF('CRUDO MIÉRCOLES'!BL13="Si",$N43,)</f>
        <v>0</v>
      </c>
      <c r="AZ43" s="37">
        <f>IF('CRUDO MIÉRCOLES'!BM13="Si",$N43,)</f>
        <v>0</v>
      </c>
      <c r="BA43" s="37">
        <f>IF('CRUDO MIÉRCOLES'!BN13="Si",$N43,)</f>
        <v>0</v>
      </c>
      <c r="BB43" s="37"/>
      <c r="BC43" s="37">
        <f>IF('CRUDO MIÉRCOLES'!BO13="Si",$N43,)</f>
        <v>0</v>
      </c>
      <c r="BD43" s="37"/>
      <c r="BE43" s="37">
        <f>IF('CRUDO MIÉRCOLES'!BP13="Si",$N43,)</f>
        <v>0</v>
      </c>
      <c r="BF43" s="37"/>
      <c r="BG43" s="37">
        <f>IF('CRUDO MIÉRCOLES'!BQ13="Si",$N43,)</f>
        <v>0</v>
      </c>
    </row>
    <row r="44" spans="1:64" ht="13.2" hidden="1" x14ac:dyDescent="0.25">
      <c r="A44" s="3">
        <v>45001.39929001157</v>
      </c>
      <c r="B44" s="4" t="s">
        <v>544</v>
      </c>
      <c r="C44" s="4" t="s">
        <v>545</v>
      </c>
      <c r="D44" s="7" t="s">
        <v>537</v>
      </c>
      <c r="E44" s="4" t="s">
        <v>103</v>
      </c>
      <c r="F44" s="4" t="s">
        <v>546</v>
      </c>
      <c r="G44" s="4" t="s">
        <v>64</v>
      </c>
      <c r="H44" s="4" t="s">
        <v>539</v>
      </c>
      <c r="I44" s="4" t="s">
        <v>540</v>
      </c>
      <c r="K44" s="4" t="s">
        <v>535</v>
      </c>
      <c r="L44" s="4" t="s">
        <v>67</v>
      </c>
      <c r="M44" s="4" t="s">
        <v>331</v>
      </c>
      <c r="N44" s="4">
        <v>0</v>
      </c>
      <c r="O44" s="4" t="s">
        <v>200</v>
      </c>
      <c r="P44" s="4">
        <v>4</v>
      </c>
      <c r="Q44" s="4">
        <v>3</v>
      </c>
      <c r="R44" s="4">
        <v>10</v>
      </c>
      <c r="S44" s="4" t="s">
        <v>548</v>
      </c>
      <c r="T44" s="4" t="s">
        <v>70</v>
      </c>
      <c r="U44" s="4" t="s">
        <v>71</v>
      </c>
      <c r="V44" s="6" t="s">
        <v>99</v>
      </c>
      <c r="W44" s="37">
        <f>IF('CRUDO MIÉRCOLES'!AU15="Si",$N44,)</f>
        <v>0</v>
      </c>
      <c r="X44" s="37">
        <f>IF('CRUDO MIÉRCOLES'!AV15="Si",$N44,)</f>
        <v>0</v>
      </c>
      <c r="Y44" s="37">
        <f>IF('CRUDO MIÉRCOLES'!AW15="Si",$N44,)</f>
        <v>0</v>
      </c>
      <c r="Z44" s="37">
        <f>IF('CRUDO MIÉRCOLES'!AX15="Si",$N44,)</f>
        <v>0</v>
      </c>
      <c r="AA44" s="37"/>
      <c r="AB44" s="37">
        <f>IF('CRUDO MIÉRCOLES'!AY15="Si",$N44,)</f>
        <v>0</v>
      </c>
      <c r="AC44" s="37"/>
      <c r="AD44" s="37">
        <f>IF('CRUDO MIÉRCOLES'!AZ15="Si",$N44,)</f>
        <v>0</v>
      </c>
      <c r="AE44" s="37"/>
      <c r="AF44" s="37">
        <f>IF('CRUDO MIÉRCOLES'!BA15="Si",$N44,)</f>
        <v>0</v>
      </c>
      <c r="AG44" s="37"/>
      <c r="AH44" s="37">
        <f>IF('CRUDO MIÉRCOLES'!BB15="Si",$N44,)</f>
        <v>0</v>
      </c>
      <c r="AI44" s="37"/>
      <c r="AJ44" s="37">
        <f>IF('CRUDO MIÉRCOLES'!BC15="Si",$N44,)</f>
        <v>0</v>
      </c>
      <c r="AK44" s="37"/>
      <c r="AL44" s="37">
        <f>IF('CRUDO MIÉRCOLES'!BD15="Si",$N44,)</f>
        <v>0</v>
      </c>
      <c r="AM44" s="37"/>
      <c r="AN44" s="37">
        <f>IF('CRUDO MIÉRCOLES'!BE15="Si",$N44,)</f>
        <v>0</v>
      </c>
      <c r="AO44" s="37"/>
      <c r="AP44" s="37">
        <f>IF('CRUDO MIÉRCOLES'!BF15="Si",$N44,)</f>
        <v>0</v>
      </c>
      <c r="AQ44" s="37"/>
      <c r="AR44" s="37">
        <f>IF('CRUDO MIÉRCOLES'!BG15="Si",$N44,)</f>
        <v>0</v>
      </c>
      <c r="AS44" s="37"/>
      <c r="AT44" s="37">
        <f>IF('CRUDO MIÉRCOLES'!BH15="Si",$N44,)</f>
        <v>0</v>
      </c>
      <c r="AU44" s="37"/>
      <c r="AV44" s="37">
        <f>IF('CRUDO MIÉRCOLES'!BI15="Si",$N44,)</f>
        <v>0</v>
      </c>
      <c r="AW44" s="37">
        <f>IF('CRUDO MIÉRCOLES'!BJ15="Si",$N44,)</f>
        <v>0</v>
      </c>
      <c r="AX44" s="37">
        <f>IF('CRUDO MIÉRCOLES'!BK15="Si",$N44,)</f>
        <v>0</v>
      </c>
      <c r="AY44" s="37">
        <f>IF('CRUDO MIÉRCOLES'!BL15="Si",$N44,)</f>
        <v>0</v>
      </c>
      <c r="AZ44" s="37">
        <f>IF('CRUDO MIÉRCOLES'!BM15="Si",$N44,)</f>
        <v>0</v>
      </c>
      <c r="BA44" s="37">
        <f>IF('CRUDO MIÉRCOLES'!BN15="Si",$N44,)</f>
        <v>0</v>
      </c>
      <c r="BB44" s="37"/>
      <c r="BC44" s="37">
        <f>IF('CRUDO MIÉRCOLES'!BO15="Si",$N44,)</f>
        <v>0</v>
      </c>
      <c r="BD44" s="37"/>
      <c r="BE44" s="37">
        <f>IF('CRUDO MIÉRCOLES'!BP15="Si",$N44,)</f>
        <v>0</v>
      </c>
      <c r="BF44" s="37"/>
      <c r="BG44" s="37">
        <f>IF('CRUDO MIÉRCOLES'!BQ15="Si",$N44,)</f>
        <v>0</v>
      </c>
      <c r="BH44" s="4"/>
      <c r="BI44" s="4" t="s">
        <v>549</v>
      </c>
    </row>
    <row r="45" spans="1:64" ht="13.2" hidden="1" x14ac:dyDescent="0.25">
      <c r="A45" s="3">
        <v>45001.411839351851</v>
      </c>
      <c r="B45" s="4" t="s">
        <v>535</v>
      </c>
      <c r="C45" s="4" t="s">
        <v>536</v>
      </c>
      <c r="D45" s="7" t="s">
        <v>537</v>
      </c>
      <c r="E45" s="4" t="s">
        <v>103</v>
      </c>
      <c r="F45" s="4" t="s">
        <v>546</v>
      </c>
      <c r="G45" s="4" t="s">
        <v>64</v>
      </c>
      <c r="H45" s="4" t="s">
        <v>539</v>
      </c>
      <c r="I45" s="4" t="s">
        <v>540</v>
      </c>
      <c r="K45" s="4" t="s">
        <v>535</v>
      </c>
      <c r="L45" s="4" t="s">
        <v>67</v>
      </c>
      <c r="M45" s="4" t="s">
        <v>331</v>
      </c>
      <c r="N45" s="4">
        <v>0</v>
      </c>
      <c r="O45" s="4" t="s">
        <v>200</v>
      </c>
      <c r="P45" s="4">
        <v>4</v>
      </c>
      <c r="Q45" s="4">
        <v>3</v>
      </c>
      <c r="R45" s="4">
        <v>10</v>
      </c>
      <c r="S45" s="4" t="s">
        <v>548</v>
      </c>
      <c r="T45" s="4" t="s">
        <v>70</v>
      </c>
      <c r="U45" s="4" t="s">
        <v>70</v>
      </c>
      <c r="V45" s="6" t="s">
        <v>99</v>
      </c>
      <c r="W45" s="37">
        <f>IF('CRUDO MIÉRCOLES'!AU16="Si",$N45,)</f>
        <v>0</v>
      </c>
      <c r="X45" s="37">
        <f>IF('CRUDO MIÉRCOLES'!AV16="Si",$N45,)</f>
        <v>0</v>
      </c>
      <c r="Y45" s="37">
        <f>IF('CRUDO MIÉRCOLES'!AW16="Si",$N45,)</f>
        <v>0</v>
      </c>
      <c r="Z45" s="37">
        <f>IF('CRUDO MIÉRCOLES'!AX16="Si",$N45,)</f>
        <v>0</v>
      </c>
      <c r="AA45" s="37"/>
      <c r="AB45" s="37">
        <f>IF('CRUDO MIÉRCOLES'!AY16="Si",$N45,)</f>
        <v>0</v>
      </c>
      <c r="AC45" s="37"/>
      <c r="AD45" s="37">
        <f>IF('CRUDO MIÉRCOLES'!AZ16="Si",$N45,)</f>
        <v>0</v>
      </c>
      <c r="AE45" s="37"/>
      <c r="AF45" s="37">
        <f>IF('CRUDO MIÉRCOLES'!BA16="Si",$N45,)</f>
        <v>0</v>
      </c>
      <c r="AG45" s="37"/>
      <c r="AH45" s="37">
        <f>IF('CRUDO MIÉRCOLES'!BB16="Si",$N45,)</f>
        <v>0</v>
      </c>
      <c r="AI45" s="37"/>
      <c r="AJ45" s="37">
        <f>IF('CRUDO MIÉRCOLES'!BC16="Si",$N45,)</f>
        <v>0</v>
      </c>
      <c r="AK45" s="37"/>
      <c r="AL45" s="37">
        <f>IF('CRUDO MIÉRCOLES'!BD16="Si",$N45,)</f>
        <v>0</v>
      </c>
      <c r="AM45" s="37"/>
      <c r="AN45" s="37">
        <f>IF('CRUDO MIÉRCOLES'!BE16="Si",$N45,)</f>
        <v>0</v>
      </c>
      <c r="AO45" s="37"/>
      <c r="AP45" s="37">
        <f>IF('CRUDO MIÉRCOLES'!BF16="Si",$N45,)</f>
        <v>0</v>
      </c>
      <c r="AQ45" s="37"/>
      <c r="AR45" s="37">
        <f>IF('CRUDO MIÉRCOLES'!BG16="Si",$N45,)</f>
        <v>0</v>
      </c>
      <c r="AS45" s="37"/>
      <c r="AT45" s="37">
        <f>IF('CRUDO MIÉRCOLES'!BH16="Si",$N45,)</f>
        <v>0</v>
      </c>
      <c r="AU45" s="37"/>
      <c r="AV45" s="37">
        <f>IF('CRUDO MIÉRCOLES'!BI16="Si",$N45,)</f>
        <v>0</v>
      </c>
      <c r="AW45" s="37">
        <f>IF('CRUDO MIÉRCOLES'!BJ16="Si",$N45,)</f>
        <v>0</v>
      </c>
      <c r="AX45" s="37">
        <f>IF('CRUDO MIÉRCOLES'!BK16="Si",$N45,)</f>
        <v>0</v>
      </c>
      <c r="AY45" s="37">
        <f>IF('CRUDO MIÉRCOLES'!BL16="Si",$N45,)</f>
        <v>0</v>
      </c>
      <c r="AZ45" s="37">
        <f>IF('CRUDO MIÉRCOLES'!BM16="Si",$N45,)</f>
        <v>0</v>
      </c>
      <c r="BA45" s="37">
        <f>IF('CRUDO MIÉRCOLES'!BN16="Si",$N45,)</f>
        <v>0</v>
      </c>
      <c r="BB45" s="37"/>
      <c r="BC45" s="37">
        <f>IF('CRUDO MIÉRCOLES'!BO16="Si",$N45,)</f>
        <v>0</v>
      </c>
      <c r="BD45" s="37"/>
      <c r="BE45" s="37">
        <f>IF('CRUDO MIÉRCOLES'!BP16="Si",$N45,)</f>
        <v>0</v>
      </c>
      <c r="BF45" s="37"/>
      <c r="BG45" s="37">
        <f>IF('CRUDO MIÉRCOLES'!BQ16="Si",$N45,)</f>
        <v>0</v>
      </c>
      <c r="BH45" s="4"/>
      <c r="BI45" s="4" t="s">
        <v>551</v>
      </c>
    </row>
    <row r="46" spans="1:64" ht="13.2" hidden="1" x14ac:dyDescent="0.25">
      <c r="A46" s="3">
        <v>45001.422946469909</v>
      </c>
      <c r="B46" s="4" t="s">
        <v>535</v>
      </c>
      <c r="C46" s="4" t="s">
        <v>536</v>
      </c>
      <c r="D46" s="7" t="s">
        <v>537</v>
      </c>
      <c r="E46" s="4" t="s">
        <v>103</v>
      </c>
      <c r="F46" s="4" t="s">
        <v>546</v>
      </c>
      <c r="G46" s="4" t="s">
        <v>64</v>
      </c>
      <c r="H46" s="4" t="s">
        <v>539</v>
      </c>
      <c r="I46" s="4" t="s">
        <v>540</v>
      </c>
      <c r="K46" s="4" t="s">
        <v>535</v>
      </c>
      <c r="L46" s="4" t="s">
        <v>67</v>
      </c>
      <c r="M46" s="4" t="s">
        <v>331</v>
      </c>
      <c r="N46" s="4">
        <v>0</v>
      </c>
      <c r="O46" s="4" t="s">
        <v>200</v>
      </c>
      <c r="P46" s="4">
        <v>4</v>
      </c>
      <c r="Q46" s="4">
        <v>3</v>
      </c>
      <c r="R46" s="4">
        <v>10</v>
      </c>
      <c r="S46" s="4" t="s">
        <v>553</v>
      </c>
      <c r="T46" s="4" t="s">
        <v>71</v>
      </c>
      <c r="U46" s="4" t="s">
        <v>70</v>
      </c>
      <c r="V46" s="6" t="s">
        <v>99</v>
      </c>
      <c r="W46" s="37">
        <f>IF('CRUDO MIÉRCOLES'!AU17="Si",$N46,)</f>
        <v>0</v>
      </c>
      <c r="X46" s="37">
        <f>IF('CRUDO MIÉRCOLES'!AV17="Si",$N46,)</f>
        <v>0</v>
      </c>
      <c r="Y46" s="37">
        <f>IF('CRUDO MIÉRCOLES'!AW17="Si",$N46,)</f>
        <v>0</v>
      </c>
      <c r="Z46" s="37">
        <f>IF('CRUDO MIÉRCOLES'!AX17="Si",$N46,)</f>
        <v>0</v>
      </c>
      <c r="AA46" s="37"/>
      <c r="AB46" s="37">
        <f>IF('CRUDO MIÉRCOLES'!AY17="Si",$N46,)</f>
        <v>0</v>
      </c>
      <c r="AC46" s="37"/>
      <c r="AD46" s="37">
        <f>IF('CRUDO MIÉRCOLES'!AZ17="Si",$N46,)</f>
        <v>0</v>
      </c>
      <c r="AE46" s="37"/>
      <c r="AF46" s="37">
        <f>IF('CRUDO MIÉRCOLES'!BA17="Si",$N46,)</f>
        <v>0</v>
      </c>
      <c r="AG46" s="37"/>
      <c r="AH46" s="37">
        <f>IF('CRUDO MIÉRCOLES'!BB17="Si",$N46,)</f>
        <v>0</v>
      </c>
      <c r="AI46" s="37"/>
      <c r="AJ46" s="37">
        <f>IF('CRUDO MIÉRCOLES'!BC17="Si",$N46,)</f>
        <v>0</v>
      </c>
      <c r="AK46" s="37"/>
      <c r="AL46" s="37">
        <f>IF('CRUDO MIÉRCOLES'!BD17="Si",$N46,)</f>
        <v>0</v>
      </c>
      <c r="AM46" s="37"/>
      <c r="AN46" s="37">
        <f>IF('CRUDO MIÉRCOLES'!BE17="Si",$N46,)</f>
        <v>0</v>
      </c>
      <c r="AO46" s="37"/>
      <c r="AP46" s="37">
        <f>IF('CRUDO MIÉRCOLES'!BF17="Si",$N46,)</f>
        <v>0</v>
      </c>
      <c r="AQ46" s="37"/>
      <c r="AR46" s="37">
        <f>IF('CRUDO MIÉRCOLES'!BG17="Si",$N46,)</f>
        <v>0</v>
      </c>
      <c r="AS46" s="37"/>
      <c r="AT46" s="37">
        <f>IF('CRUDO MIÉRCOLES'!BH17="Si",$N46,)</f>
        <v>0</v>
      </c>
      <c r="AU46" s="37"/>
      <c r="AV46" s="37">
        <f>IF('CRUDO MIÉRCOLES'!BI17="Si",$N46,)</f>
        <v>0</v>
      </c>
      <c r="AW46" s="37">
        <f>IF('CRUDO MIÉRCOLES'!BJ17="Si",$N46,)</f>
        <v>0</v>
      </c>
      <c r="AX46" s="37">
        <f>IF('CRUDO MIÉRCOLES'!BK17="Si",$N46,)</f>
        <v>0</v>
      </c>
      <c r="AY46" s="37">
        <f>IF('CRUDO MIÉRCOLES'!BL17="Si",$N46,)</f>
        <v>0</v>
      </c>
      <c r="AZ46" s="37">
        <f>IF('CRUDO MIÉRCOLES'!BM17="Si",$N46,)</f>
        <v>0</v>
      </c>
      <c r="BA46" s="37">
        <f>IF('CRUDO MIÉRCOLES'!BN17="Si",$N46,)</f>
        <v>0</v>
      </c>
      <c r="BB46" s="37"/>
      <c r="BC46" s="37">
        <f>IF('CRUDO MIÉRCOLES'!BO17="Si",$N46,)</f>
        <v>0</v>
      </c>
      <c r="BD46" s="37"/>
      <c r="BE46" s="37">
        <f>IF('CRUDO MIÉRCOLES'!BP17="Si",$N46,)</f>
        <v>0</v>
      </c>
      <c r="BF46" s="37"/>
      <c r="BG46" s="37">
        <f>IF('CRUDO MIÉRCOLES'!BQ17="Si",$N46,)</f>
        <v>0</v>
      </c>
      <c r="BH46" s="4"/>
      <c r="BI46" s="4" t="s">
        <v>554</v>
      </c>
    </row>
    <row r="47" spans="1:64" ht="13.2" hidden="1" x14ac:dyDescent="0.25">
      <c r="A47" s="3">
        <v>45002.425666840281</v>
      </c>
      <c r="B47" s="4" t="s">
        <v>883</v>
      </c>
      <c r="C47" s="4" t="s">
        <v>884</v>
      </c>
      <c r="D47" s="5" t="s">
        <v>885</v>
      </c>
      <c r="E47" s="4" t="s">
        <v>103</v>
      </c>
      <c r="F47" s="4" t="s">
        <v>886</v>
      </c>
      <c r="G47" s="4" t="s">
        <v>64</v>
      </c>
      <c r="H47" s="4" t="s">
        <v>887</v>
      </c>
      <c r="I47" s="4" t="s">
        <v>888</v>
      </c>
      <c r="J47" s="4" t="s">
        <v>889</v>
      </c>
      <c r="K47" s="4" t="s">
        <v>890</v>
      </c>
      <c r="L47" s="4" t="s">
        <v>665</v>
      </c>
      <c r="M47" s="4" t="s">
        <v>541</v>
      </c>
      <c r="N47" s="4">
        <v>0</v>
      </c>
      <c r="O47" s="4" t="s">
        <v>200</v>
      </c>
      <c r="P47" s="4">
        <v>3</v>
      </c>
      <c r="Q47" s="4">
        <v>3</v>
      </c>
      <c r="R47" s="4">
        <v>40</v>
      </c>
      <c r="T47" s="4" t="s">
        <v>70</v>
      </c>
      <c r="U47" s="4" t="s">
        <v>70</v>
      </c>
      <c r="V47" s="6" t="s">
        <v>99</v>
      </c>
      <c r="W47" s="37">
        <f>IF('CRUDO MIÉRCOLES'!AU25="Si",$N47,)</f>
        <v>0</v>
      </c>
      <c r="X47" s="37">
        <f>IF('CRUDO MIÉRCOLES'!AV25="Si",$N47,)</f>
        <v>0</v>
      </c>
      <c r="Y47" s="37">
        <f>IF('CRUDO MIÉRCOLES'!AW25="Si",$N47,)</f>
        <v>0</v>
      </c>
      <c r="Z47" s="37">
        <f>IF('CRUDO MIÉRCOLES'!AX25="Si",$N47,)</f>
        <v>0</v>
      </c>
      <c r="AA47" s="37"/>
      <c r="AB47" s="37">
        <f>IF('CRUDO MIÉRCOLES'!AY25="Si",$N47,)</f>
        <v>0</v>
      </c>
      <c r="AC47" s="37"/>
      <c r="AD47" s="37">
        <f>IF('CRUDO MIÉRCOLES'!AZ25="Si",$N47,)</f>
        <v>0</v>
      </c>
      <c r="AE47" s="37"/>
      <c r="AF47" s="37">
        <f>IF('CRUDO MIÉRCOLES'!BA25="Si",$N47,)</f>
        <v>0</v>
      </c>
      <c r="AG47" s="37"/>
      <c r="AH47" s="37">
        <f>IF('CRUDO MIÉRCOLES'!BB25="Si",$N47,)</f>
        <v>0</v>
      </c>
      <c r="AI47" s="37"/>
      <c r="AJ47" s="37">
        <f>IF('CRUDO MIÉRCOLES'!BC25="Si",$N47,)</f>
        <v>0</v>
      </c>
      <c r="AK47" s="37"/>
      <c r="AL47" s="37">
        <f>IF('CRUDO MIÉRCOLES'!BD25="Si",$N47,)</f>
        <v>0</v>
      </c>
      <c r="AM47" s="37"/>
      <c r="AN47" s="37">
        <f>IF('CRUDO MIÉRCOLES'!BE25="Si",$N47,)</f>
        <v>0</v>
      </c>
      <c r="AO47" s="37"/>
      <c r="AP47" s="37">
        <f>IF('CRUDO MIÉRCOLES'!BF25="Si",$N47,)</f>
        <v>0</v>
      </c>
      <c r="AQ47" s="37"/>
      <c r="AR47" s="37">
        <f>IF('CRUDO MIÉRCOLES'!BG25="Si",$N47,)</f>
        <v>0</v>
      </c>
      <c r="AS47" s="37"/>
      <c r="AT47" s="37">
        <f>IF('CRUDO MIÉRCOLES'!BH25="Si",$N47,)</f>
        <v>0</v>
      </c>
      <c r="AU47" s="37"/>
      <c r="AV47" s="37">
        <f>IF('CRUDO MIÉRCOLES'!BI25="Si",$N47,)</f>
        <v>0</v>
      </c>
      <c r="AW47" s="37">
        <f>IF('CRUDO MIÉRCOLES'!BJ25="Si",$N47,)</f>
        <v>0</v>
      </c>
      <c r="AX47" s="37">
        <f>IF('CRUDO MIÉRCOLES'!BK25="Si",$N47,)</f>
        <v>0</v>
      </c>
      <c r="AY47" s="37">
        <f>IF('CRUDO MIÉRCOLES'!BL25="Si",$N47,)</f>
        <v>0</v>
      </c>
      <c r="AZ47" s="37">
        <f>IF('CRUDO MIÉRCOLES'!BM25="Si",$N47,)</f>
        <v>0</v>
      </c>
      <c r="BA47" s="37">
        <f>IF('CRUDO MIÉRCOLES'!BN25="Si",$N47,)</f>
        <v>0</v>
      </c>
      <c r="BB47" s="37"/>
      <c r="BC47" s="37">
        <f>IF('CRUDO MIÉRCOLES'!BO25="Si",$N47,)</f>
        <v>0</v>
      </c>
      <c r="BD47" s="37"/>
      <c r="BE47" s="37">
        <f>IF('CRUDO MIÉRCOLES'!BP25="Si",$N47,)</f>
        <v>0</v>
      </c>
      <c r="BF47" s="37"/>
      <c r="BG47" s="37">
        <f>IF('CRUDO MIÉRCOLES'!BQ25="Si",$N47,)</f>
        <v>0</v>
      </c>
    </row>
    <row r="48" spans="1:64" ht="13.2" hidden="1" x14ac:dyDescent="0.25">
      <c r="A48" s="3">
        <v>45002.592762280095</v>
      </c>
      <c r="B48" s="4" t="s">
        <v>891</v>
      </c>
      <c r="C48" s="4" t="s">
        <v>884</v>
      </c>
      <c r="D48" s="5" t="s">
        <v>885</v>
      </c>
      <c r="E48" s="4" t="s">
        <v>149</v>
      </c>
      <c r="F48" s="4" t="s">
        <v>892</v>
      </c>
      <c r="G48" s="4" t="s">
        <v>64</v>
      </c>
      <c r="H48" s="4" t="s">
        <v>893</v>
      </c>
      <c r="I48" s="4" t="s">
        <v>894</v>
      </c>
      <c r="J48" s="4" t="s">
        <v>895</v>
      </c>
      <c r="K48" s="4" t="s">
        <v>891</v>
      </c>
      <c r="L48" s="4" t="s">
        <v>656</v>
      </c>
      <c r="M48" s="4" t="s">
        <v>547</v>
      </c>
      <c r="N48" s="4">
        <v>0</v>
      </c>
      <c r="O48" s="4" t="s">
        <v>200</v>
      </c>
      <c r="P48" s="4">
        <v>2</v>
      </c>
      <c r="Q48" s="4">
        <v>1</v>
      </c>
      <c r="R48" s="4">
        <v>70</v>
      </c>
      <c r="S48" s="4" t="s">
        <v>896</v>
      </c>
      <c r="T48" s="4" t="s">
        <v>70</v>
      </c>
      <c r="U48" s="4" t="s">
        <v>70</v>
      </c>
      <c r="V48" s="6" t="s">
        <v>99</v>
      </c>
      <c r="W48" s="37">
        <f>IF('CRUDO MIÉRCOLES'!AU29="Si",$N48,)</f>
        <v>0</v>
      </c>
      <c r="X48" s="37">
        <f>IF('CRUDO MIÉRCOLES'!AV29="Si",$N48,)</f>
        <v>0</v>
      </c>
      <c r="Y48" s="37">
        <f>IF('CRUDO MIÉRCOLES'!AW29="Si",$N48,)</f>
        <v>0</v>
      </c>
      <c r="Z48" s="37">
        <f>IF('CRUDO MIÉRCOLES'!AX29="Si",$N48,)</f>
        <v>0</v>
      </c>
      <c r="AA48" s="37"/>
      <c r="AB48" s="37">
        <f>IF('CRUDO MIÉRCOLES'!AY29="Si",$N48,)</f>
        <v>0</v>
      </c>
      <c r="AC48" s="37"/>
      <c r="AD48" s="37">
        <f>IF('CRUDO MIÉRCOLES'!AZ29="Si",$N48,)</f>
        <v>0</v>
      </c>
      <c r="AE48" s="37"/>
      <c r="AF48" s="37">
        <f>IF('CRUDO MIÉRCOLES'!BA29="Si",$N48,)</f>
        <v>0</v>
      </c>
      <c r="AG48" s="37"/>
      <c r="AH48" s="37">
        <f>IF('CRUDO MIÉRCOLES'!BB29="Si",$N48,)</f>
        <v>0</v>
      </c>
      <c r="AI48" s="37"/>
      <c r="AJ48" s="37">
        <f>IF('CRUDO MIÉRCOLES'!BC29="Si",$N48,)</f>
        <v>0</v>
      </c>
      <c r="AK48" s="37"/>
      <c r="AL48" s="37">
        <f>IF('CRUDO MIÉRCOLES'!BD29="Si",$N48,)</f>
        <v>0</v>
      </c>
      <c r="AM48" s="37"/>
      <c r="AN48" s="37">
        <f>IF('CRUDO MIÉRCOLES'!BE29="Si",$N48,)</f>
        <v>0</v>
      </c>
      <c r="AO48" s="37"/>
      <c r="AP48" s="37">
        <f>IF('CRUDO MIÉRCOLES'!BF29="Si",$N48,)</f>
        <v>0</v>
      </c>
      <c r="AQ48" s="37"/>
      <c r="AR48" s="37">
        <f>IF('CRUDO MIÉRCOLES'!BG29="Si",$N48,)</f>
        <v>0</v>
      </c>
      <c r="AS48" s="37"/>
      <c r="AT48" s="37">
        <f>IF('CRUDO MIÉRCOLES'!BH29="Si",$N48,)</f>
        <v>0</v>
      </c>
      <c r="AU48" s="37"/>
      <c r="AV48" s="37">
        <f>IF('CRUDO MIÉRCOLES'!BI29="Si",$N48,)</f>
        <v>0</v>
      </c>
      <c r="AW48" s="37">
        <f>IF('CRUDO MIÉRCOLES'!BJ29="Si",$N48,)</f>
        <v>0</v>
      </c>
      <c r="AX48" s="37">
        <f>IF('CRUDO MIÉRCOLES'!BK29="Si",$N48,)</f>
        <v>0</v>
      </c>
      <c r="AY48" s="37">
        <f>IF('CRUDO MIÉRCOLES'!BL29="Si",$N48,)</f>
        <v>0</v>
      </c>
      <c r="AZ48" s="37">
        <f>IF('CRUDO MIÉRCOLES'!BM29="Si",$N48,)</f>
        <v>0</v>
      </c>
      <c r="BA48" s="37">
        <f>IF('CRUDO MIÉRCOLES'!BN29="Si",$N48,)</f>
        <v>0</v>
      </c>
      <c r="BB48" s="37"/>
      <c r="BC48" s="37">
        <f>IF('CRUDO MIÉRCOLES'!BO29="Si",$N48,)</f>
        <v>0</v>
      </c>
      <c r="BD48" s="37"/>
      <c r="BE48" s="37">
        <f>IF('CRUDO MIÉRCOLES'!BP29="Si",$N48,)</f>
        <v>0</v>
      </c>
      <c r="BF48" s="37"/>
      <c r="BG48" s="37">
        <f>IF('CRUDO MIÉRCOLES'!BQ29="Si",$N48,)</f>
        <v>0</v>
      </c>
      <c r="BH48" s="4"/>
      <c r="BI48" s="4" t="s">
        <v>896</v>
      </c>
    </row>
    <row r="49" spans="1:64" ht="13.2" hidden="1" x14ac:dyDescent="0.25">
      <c r="A49" s="3">
        <v>45002.629163229169</v>
      </c>
      <c r="B49" s="4" t="s">
        <v>891</v>
      </c>
      <c r="C49" s="4" t="s">
        <v>884</v>
      </c>
      <c r="D49" s="5" t="s">
        <v>885</v>
      </c>
      <c r="E49" s="4" t="s">
        <v>149</v>
      </c>
      <c r="F49" s="4" t="s">
        <v>892</v>
      </c>
      <c r="G49" s="4" t="s">
        <v>64</v>
      </c>
      <c r="H49" s="4" t="s">
        <v>894</v>
      </c>
      <c r="I49" s="4" t="s">
        <v>897</v>
      </c>
      <c r="J49" s="4" t="s">
        <v>898</v>
      </c>
      <c r="K49" s="4" t="s">
        <v>891</v>
      </c>
      <c r="L49" s="4" t="s">
        <v>656</v>
      </c>
      <c r="M49" s="4" t="s">
        <v>547</v>
      </c>
      <c r="N49" s="4">
        <v>0</v>
      </c>
      <c r="O49" s="4" t="s">
        <v>200</v>
      </c>
      <c r="P49" s="4">
        <v>2</v>
      </c>
      <c r="Q49" s="4">
        <v>1</v>
      </c>
      <c r="R49" s="4">
        <v>70</v>
      </c>
      <c r="S49" s="4" t="s">
        <v>896</v>
      </c>
      <c r="T49" s="4" t="s">
        <v>70</v>
      </c>
      <c r="U49" s="4" t="s">
        <v>70</v>
      </c>
      <c r="V49" s="6" t="s">
        <v>99</v>
      </c>
      <c r="W49" s="37">
        <f>IF('CRUDO MIÉRCOLES'!AU32="Si",$N49,)</f>
        <v>0</v>
      </c>
      <c r="X49" s="37">
        <f>IF('CRUDO MIÉRCOLES'!AV32="Si",$N49,)</f>
        <v>0</v>
      </c>
      <c r="Y49" s="37">
        <f>IF('CRUDO MIÉRCOLES'!AW32="Si",$N49,)</f>
        <v>0</v>
      </c>
      <c r="Z49" s="37">
        <f>IF('CRUDO MIÉRCOLES'!AX32="Si",$N49,)</f>
        <v>0</v>
      </c>
      <c r="AA49" s="37"/>
      <c r="AB49" s="37">
        <f>IF('CRUDO MIÉRCOLES'!AY32="Si",$N49,)</f>
        <v>0</v>
      </c>
      <c r="AC49" s="37"/>
      <c r="AD49" s="37">
        <f>IF('CRUDO MIÉRCOLES'!AZ32="Si",$N49,)</f>
        <v>0</v>
      </c>
      <c r="AE49" s="37"/>
      <c r="AF49" s="37">
        <f>IF('CRUDO MIÉRCOLES'!BA32="Si",$N49,)</f>
        <v>0</v>
      </c>
      <c r="AG49" s="37"/>
      <c r="AH49" s="37">
        <f>IF('CRUDO MIÉRCOLES'!BB32="Si",$N49,)</f>
        <v>0</v>
      </c>
      <c r="AI49" s="37"/>
      <c r="AJ49" s="37">
        <f>IF('CRUDO MIÉRCOLES'!BC32="Si",$N49,)</f>
        <v>0</v>
      </c>
      <c r="AK49" s="37"/>
      <c r="AL49" s="37">
        <f>IF('CRUDO MIÉRCOLES'!BD32="Si",$N49,)</f>
        <v>0</v>
      </c>
      <c r="AM49" s="37"/>
      <c r="AN49" s="37">
        <f>IF('CRUDO MIÉRCOLES'!BE32="Si",$N49,)</f>
        <v>0</v>
      </c>
      <c r="AO49" s="37"/>
      <c r="AP49" s="37">
        <f>IF('CRUDO MIÉRCOLES'!BF32="Si",$N49,)</f>
        <v>0</v>
      </c>
      <c r="AQ49" s="37"/>
      <c r="AR49" s="37">
        <f>IF('CRUDO MIÉRCOLES'!BG32="Si",$N49,)</f>
        <v>0</v>
      </c>
      <c r="AS49" s="37"/>
      <c r="AT49" s="37">
        <f>IF('CRUDO MIÉRCOLES'!BH32="Si",$N49,)</f>
        <v>0</v>
      </c>
      <c r="AU49" s="37"/>
      <c r="AV49" s="37">
        <f>IF('CRUDO MIÉRCOLES'!BI32="Si",$N49,)</f>
        <v>0</v>
      </c>
      <c r="AW49" s="37">
        <f>IF('CRUDO MIÉRCOLES'!BJ32="Si",$N49,)</f>
        <v>0</v>
      </c>
      <c r="AX49" s="37">
        <f>IF('CRUDO MIÉRCOLES'!BK32="Si",$N49,)</f>
        <v>0</v>
      </c>
      <c r="AY49" s="37">
        <f>IF('CRUDO MIÉRCOLES'!BL32="Si",$N49,)</f>
        <v>0</v>
      </c>
      <c r="AZ49" s="37">
        <f>IF('CRUDO MIÉRCOLES'!BM32="Si",$N49,)</f>
        <v>0</v>
      </c>
      <c r="BA49" s="37">
        <f>IF('CRUDO MIÉRCOLES'!BN32="Si",$N49,)</f>
        <v>0</v>
      </c>
      <c r="BB49" s="37"/>
      <c r="BC49" s="37">
        <f>IF('CRUDO MIÉRCOLES'!BO32="Si",$N49,)</f>
        <v>0</v>
      </c>
      <c r="BD49" s="37"/>
      <c r="BE49" s="37">
        <f>IF('CRUDO MIÉRCOLES'!BP32="Si",$N49,)</f>
        <v>0</v>
      </c>
      <c r="BF49" s="37"/>
      <c r="BG49" s="37">
        <f>IF('CRUDO MIÉRCOLES'!BQ32="Si",$N49,)</f>
        <v>0</v>
      </c>
      <c r="BH49" s="4"/>
      <c r="BI49" s="4" t="s">
        <v>896</v>
      </c>
    </row>
    <row r="50" spans="1:64" ht="13.2" x14ac:dyDescent="0.25">
      <c r="A50" s="22">
        <v>45005.71080148148</v>
      </c>
      <c r="B50" s="23" t="s">
        <v>524</v>
      </c>
      <c r="C50" s="23" t="s">
        <v>525</v>
      </c>
      <c r="D50" s="26" t="s">
        <v>526</v>
      </c>
      <c r="E50" s="23" t="s">
        <v>103</v>
      </c>
      <c r="F50" s="23" t="s">
        <v>531</v>
      </c>
      <c r="G50" s="23" t="s">
        <v>64</v>
      </c>
      <c r="H50" s="23" t="s">
        <v>532</v>
      </c>
      <c r="I50" s="23" t="s">
        <v>533</v>
      </c>
      <c r="J50" s="25"/>
      <c r="K50" s="23" t="s">
        <v>524</v>
      </c>
      <c r="L50" s="23" t="s">
        <v>67</v>
      </c>
      <c r="M50" s="23" t="s">
        <v>68</v>
      </c>
      <c r="N50" s="23">
        <v>24</v>
      </c>
      <c r="O50" s="23" t="s">
        <v>200</v>
      </c>
      <c r="P50" s="23">
        <v>5</v>
      </c>
      <c r="Q50" s="23">
        <v>5</v>
      </c>
      <c r="R50" s="23">
        <v>0</v>
      </c>
      <c r="S50" s="25"/>
      <c r="T50" s="23" t="s">
        <v>70</v>
      </c>
      <c r="U50" s="23" t="s">
        <v>71</v>
      </c>
      <c r="V50" s="26" t="s">
        <v>99</v>
      </c>
      <c r="W50" s="28">
        <v>0</v>
      </c>
      <c r="X50" s="28">
        <v>24</v>
      </c>
      <c r="Y50" s="27">
        <f>IF('CRUDO MIÉRCOLES'!AW44="Si",$N50,)</f>
        <v>0</v>
      </c>
      <c r="Z50" s="28">
        <v>0</v>
      </c>
      <c r="AA50" s="28"/>
      <c r="AB50" s="27">
        <f>IF('CRUDO MIÉRCOLES'!AZ44="Si",$N50,)</f>
        <v>24</v>
      </c>
      <c r="AC50" s="28" t="s">
        <v>1233</v>
      </c>
      <c r="AD50" s="25"/>
      <c r="AE50" s="25"/>
      <c r="AF50" s="27">
        <f>IF('CRUDO MIÉRCOLES'!BA44="Si",$N50,)</f>
        <v>0</v>
      </c>
      <c r="AG50" s="27"/>
      <c r="AH50" s="27">
        <f>IF('CRUDO MIÉRCOLES'!BB44="Si",$N50,)</f>
        <v>0</v>
      </c>
      <c r="AI50" s="27"/>
      <c r="AJ50" s="27">
        <f>IF('CRUDO MIÉRCOLES'!BC44="Si",$N50,)</f>
        <v>0</v>
      </c>
      <c r="AK50" s="27"/>
      <c r="AL50" s="28">
        <v>24</v>
      </c>
      <c r="AM50" s="28" t="s">
        <v>1275</v>
      </c>
      <c r="AN50" s="28">
        <v>0</v>
      </c>
      <c r="AO50" s="28"/>
      <c r="AP50" s="28">
        <v>0</v>
      </c>
      <c r="AQ50" s="27"/>
      <c r="AR50" s="27">
        <f>IF('CRUDO MIÉRCOLES'!BG44="Si",$N50,)</f>
        <v>0</v>
      </c>
      <c r="AS50" s="27"/>
      <c r="AT50" s="27">
        <f>IF('CRUDO MIÉRCOLES'!BH44="Si",$N50,)</f>
        <v>0</v>
      </c>
      <c r="AU50" s="28"/>
      <c r="AV50" s="28">
        <v>0</v>
      </c>
      <c r="AW50" s="28">
        <v>0</v>
      </c>
      <c r="AX50" s="28">
        <v>0</v>
      </c>
      <c r="AY50" s="27">
        <f>IF('CRUDO MIÉRCOLES'!BL44="Si",$N50,)</f>
        <v>0</v>
      </c>
      <c r="AZ50" s="27">
        <f>IF('CRUDO MIÉRCOLES'!BM44="Si",$N50,)</f>
        <v>0</v>
      </c>
      <c r="BA50" s="28">
        <v>0</v>
      </c>
      <c r="BB50" s="28"/>
      <c r="BC50" s="28">
        <v>0</v>
      </c>
      <c r="BD50" s="27"/>
      <c r="BE50" s="27">
        <f>IF('CRUDO MIÉRCOLES'!BP44="Si",$N50,)</f>
        <v>0</v>
      </c>
      <c r="BF50" s="27"/>
      <c r="BG50" s="27">
        <f>IF('CRUDO MIÉRCOLES'!BQ44="Si",$N50,)</f>
        <v>0</v>
      </c>
      <c r="BH50" s="25"/>
      <c r="BI50" s="25"/>
      <c r="BJ50" s="23" t="s">
        <v>1263</v>
      </c>
      <c r="BK50" s="23">
        <v>1</v>
      </c>
      <c r="BL50" s="25"/>
    </row>
    <row r="51" spans="1:64" ht="13.2" x14ac:dyDescent="0.25">
      <c r="A51" s="22">
        <v>45005.958572719908</v>
      </c>
      <c r="B51" s="23" t="s">
        <v>1163</v>
      </c>
      <c r="C51" s="23" t="s">
        <v>1164</v>
      </c>
      <c r="D51" s="29" t="s">
        <v>1165</v>
      </c>
      <c r="E51" s="23" t="s">
        <v>103</v>
      </c>
      <c r="F51" s="23" t="s">
        <v>1166</v>
      </c>
      <c r="G51" s="23" t="s">
        <v>105</v>
      </c>
      <c r="H51" s="23" t="s">
        <v>1167</v>
      </c>
      <c r="I51" s="23" t="s">
        <v>1168</v>
      </c>
      <c r="J51" s="23" t="s">
        <v>1175</v>
      </c>
      <c r="K51" s="23" t="s">
        <v>1163</v>
      </c>
      <c r="L51" s="23" t="s">
        <v>665</v>
      </c>
      <c r="M51" s="23" t="s">
        <v>719</v>
      </c>
      <c r="N51" s="23">
        <v>35</v>
      </c>
      <c r="O51" s="23" t="s">
        <v>433</v>
      </c>
      <c r="P51" s="23">
        <v>5</v>
      </c>
      <c r="Q51" s="23">
        <v>5</v>
      </c>
      <c r="R51" s="23">
        <v>10</v>
      </c>
      <c r="S51" s="23" t="s">
        <v>1176</v>
      </c>
      <c r="T51" s="23" t="s">
        <v>71</v>
      </c>
      <c r="U51" s="23" t="s">
        <v>70</v>
      </c>
      <c r="V51" s="26" t="s">
        <v>99</v>
      </c>
      <c r="W51" s="28">
        <v>0</v>
      </c>
      <c r="X51" s="23">
        <v>0</v>
      </c>
      <c r="Y51" s="27">
        <f>IF('CRUDO MIÉRCOLES'!AV51="Si",$N51,)</f>
        <v>35</v>
      </c>
      <c r="Z51" s="27">
        <f>IF('CRUDO MIÉRCOLES'!AX51="Si",$N51,)</f>
        <v>0</v>
      </c>
      <c r="AA51" s="27"/>
      <c r="AB51" s="27">
        <f>IF('CRUDO MIÉRCOLES'!AY51="Si",$N51,)</f>
        <v>0</v>
      </c>
      <c r="AC51" s="27"/>
      <c r="AD51" s="27">
        <f>IF('CRUDO MIÉRCOLES'!AZ51="Si",$N51,)</f>
        <v>0</v>
      </c>
      <c r="AE51" s="27"/>
      <c r="AF51" s="27">
        <f>IF('CRUDO MIÉRCOLES'!BA51="Si",$N51,)</f>
        <v>35</v>
      </c>
      <c r="AG51" s="28" t="s">
        <v>1227</v>
      </c>
      <c r="AH51" s="28">
        <v>0</v>
      </c>
      <c r="AI51" s="28"/>
      <c r="AJ51" s="28">
        <v>0</v>
      </c>
      <c r="AK51" s="28"/>
      <c r="AL51" s="27">
        <f>IF('CRUDO MIÉRCOLES'!BD51="Si",$N51,)</f>
        <v>0</v>
      </c>
      <c r="AM51" s="27"/>
      <c r="AN51" s="27">
        <f>IF('CRUDO MIÉRCOLES'!BE51="Si",$N51,)</f>
        <v>0</v>
      </c>
      <c r="AO51" s="27"/>
      <c r="AP51" s="27">
        <f>IF('CRUDO MIÉRCOLES'!BF51="Si",$N51,)</f>
        <v>0</v>
      </c>
      <c r="AQ51" s="28"/>
      <c r="AR51" s="28">
        <v>0</v>
      </c>
      <c r="AS51" s="28"/>
      <c r="AT51" s="28">
        <v>0</v>
      </c>
      <c r="AU51" s="27"/>
      <c r="AV51" s="27">
        <f>IF('CRUDO MIÉRCOLES'!BI51="Si",$N51,)</f>
        <v>0</v>
      </c>
      <c r="AW51" s="27">
        <f>IF('CRUDO MIÉRCOLES'!BJ51="Si",$N51,)</f>
        <v>0</v>
      </c>
      <c r="AX51" s="27">
        <f>IF('CRUDO MIÉRCOLES'!BK51="Si",$N51,)</f>
        <v>0</v>
      </c>
      <c r="AY51" s="28">
        <v>0</v>
      </c>
      <c r="AZ51" s="28">
        <v>0</v>
      </c>
      <c r="BA51" s="27">
        <f>IF('CRUDO MIÉRCOLES'!BN51="Si",$N51,)</f>
        <v>0</v>
      </c>
      <c r="BB51" s="27"/>
      <c r="BC51" s="27">
        <f>IF('CRUDO MIÉRCOLES'!BO51="Si",$N51,)</f>
        <v>0</v>
      </c>
      <c r="BD51" s="28"/>
      <c r="BE51" s="28">
        <v>0</v>
      </c>
      <c r="BF51" s="28"/>
      <c r="BG51" s="28">
        <v>35</v>
      </c>
      <c r="BH51" s="23" t="s">
        <v>1239</v>
      </c>
      <c r="BI51" s="23" t="s">
        <v>1177</v>
      </c>
      <c r="BJ51" s="23" t="s">
        <v>1268</v>
      </c>
      <c r="BK51" s="23">
        <v>1</v>
      </c>
      <c r="BL51" s="25"/>
    </row>
    <row r="52" spans="1:64" ht="13.2" x14ac:dyDescent="0.25">
      <c r="A52" s="22">
        <v>45005.960503078706</v>
      </c>
      <c r="B52" s="23" t="s">
        <v>1163</v>
      </c>
      <c r="C52" s="23" t="s">
        <v>1164</v>
      </c>
      <c r="D52" s="29" t="s">
        <v>1165</v>
      </c>
      <c r="E52" s="23" t="s">
        <v>103</v>
      </c>
      <c r="F52" s="23" t="s">
        <v>1166</v>
      </c>
      <c r="G52" s="23" t="s">
        <v>105</v>
      </c>
      <c r="H52" s="23" t="s">
        <v>1167</v>
      </c>
      <c r="I52" s="23" t="s">
        <v>1175</v>
      </c>
      <c r="J52" s="23" t="s">
        <v>1178</v>
      </c>
      <c r="K52" s="23" t="s">
        <v>1163</v>
      </c>
      <c r="L52" s="23" t="s">
        <v>665</v>
      </c>
      <c r="M52" s="23" t="s">
        <v>719</v>
      </c>
      <c r="N52" s="23">
        <v>35</v>
      </c>
      <c r="O52" s="23" t="s">
        <v>433</v>
      </c>
      <c r="P52" s="23">
        <v>5</v>
      </c>
      <c r="Q52" s="23">
        <v>5</v>
      </c>
      <c r="R52" s="23">
        <v>10</v>
      </c>
      <c r="S52" s="23" t="s">
        <v>1179</v>
      </c>
      <c r="T52" s="23" t="s">
        <v>71</v>
      </c>
      <c r="U52" s="23" t="s">
        <v>70</v>
      </c>
      <c r="V52" s="26" t="s">
        <v>99</v>
      </c>
      <c r="W52" s="27">
        <f>IF('CRUDO MIÉRCOLES'!AU52="Si",$N52,)</f>
        <v>0</v>
      </c>
      <c r="X52" s="27">
        <f>IF('CRUDO MIÉRCOLES'!AV52="Si",$N52,)</f>
        <v>0</v>
      </c>
      <c r="Y52" s="27">
        <f>IF('CRUDO MIÉRCOLES'!AW52="Si",$N52,)</f>
        <v>35</v>
      </c>
      <c r="Z52" s="27">
        <f>IF('CRUDO MIÉRCOLES'!AX52="Si",$N52,)</f>
        <v>0</v>
      </c>
      <c r="AA52" s="27"/>
      <c r="AB52" s="27">
        <f>IF('CRUDO MIÉRCOLES'!AY52="Si",$N52,)</f>
        <v>0</v>
      </c>
      <c r="AC52" s="27"/>
      <c r="AD52" s="27">
        <f>IF('CRUDO MIÉRCOLES'!AZ52="Si",$N52,)</f>
        <v>0</v>
      </c>
      <c r="AE52" s="27"/>
      <c r="AF52" s="27">
        <f>IF('CRUDO MIÉRCOLES'!BA52="Si",$N52,)</f>
        <v>35</v>
      </c>
      <c r="AG52" s="28" t="s">
        <v>1233</v>
      </c>
      <c r="AH52" s="28">
        <v>0</v>
      </c>
      <c r="AI52" s="28"/>
      <c r="AJ52" s="28">
        <v>0</v>
      </c>
      <c r="AK52" s="28"/>
      <c r="AL52" s="27">
        <f>IF('CRUDO MIÉRCOLES'!BD52="Si",$N52,)</f>
        <v>0</v>
      </c>
      <c r="AM52" s="27"/>
      <c r="AN52" s="27">
        <f>IF('CRUDO MIÉRCOLES'!BE52="Si",$N52,)</f>
        <v>0</v>
      </c>
      <c r="AO52" s="27"/>
      <c r="AP52" s="27">
        <f>IF('CRUDO MIÉRCOLES'!BF52="Si",$N52,)</f>
        <v>0</v>
      </c>
      <c r="AQ52" s="28"/>
      <c r="AR52" s="28">
        <v>0</v>
      </c>
      <c r="AS52" s="28"/>
      <c r="AT52" s="28">
        <v>35</v>
      </c>
      <c r="AU52" s="28" t="s">
        <v>1228</v>
      </c>
      <c r="AV52" s="27">
        <f>IF('CRUDO MIÉRCOLES'!BI52="Si",$N52,)</f>
        <v>0</v>
      </c>
      <c r="AW52" s="27">
        <f>IF('CRUDO MIÉRCOLES'!BJ52="Si",$N52,)</f>
        <v>0</v>
      </c>
      <c r="AX52" s="27">
        <f>IF('CRUDO MIÉRCOLES'!BK52="Si",$N52,)</f>
        <v>0</v>
      </c>
      <c r="AY52" s="28">
        <v>0</v>
      </c>
      <c r="AZ52" s="28">
        <v>0</v>
      </c>
      <c r="BA52" s="27">
        <f>IF('CRUDO MIÉRCOLES'!BN52="Si",$N52,)</f>
        <v>0</v>
      </c>
      <c r="BB52" s="27"/>
      <c r="BC52" s="27">
        <f>IF('CRUDO MIÉRCOLES'!BO52="Si",$N52,)</f>
        <v>0</v>
      </c>
      <c r="BD52" s="28"/>
      <c r="BE52" s="28">
        <v>0</v>
      </c>
      <c r="BF52" s="27"/>
      <c r="BG52" s="27">
        <f>IF('CRUDO MIÉRCOLES'!BQ52="Si",$N52,)</f>
        <v>0</v>
      </c>
      <c r="BH52" s="23"/>
      <c r="BI52" s="23" t="s">
        <v>1180</v>
      </c>
      <c r="BJ52" s="23" t="s">
        <v>1268</v>
      </c>
      <c r="BK52" s="23">
        <v>1</v>
      </c>
      <c r="BL52" s="25"/>
    </row>
    <row r="53" spans="1:64" ht="13.2" hidden="1" x14ac:dyDescent="0.25">
      <c r="A53" s="3">
        <v>45001.532389988424</v>
      </c>
      <c r="B53" s="4" t="s">
        <v>776</v>
      </c>
      <c r="C53" s="4" t="s">
        <v>777</v>
      </c>
      <c r="D53" s="7" t="s">
        <v>778</v>
      </c>
      <c r="E53" s="4" t="s">
        <v>103</v>
      </c>
      <c r="F53" s="4" t="s">
        <v>779</v>
      </c>
      <c r="G53" s="4" t="s">
        <v>64</v>
      </c>
      <c r="H53" s="4" t="s">
        <v>780</v>
      </c>
      <c r="I53" s="4" t="s">
        <v>781</v>
      </c>
      <c r="J53" s="4" t="s">
        <v>782</v>
      </c>
      <c r="K53" s="4" t="s">
        <v>776</v>
      </c>
      <c r="L53" s="4" t="s">
        <v>656</v>
      </c>
      <c r="M53" s="4" t="s">
        <v>467</v>
      </c>
      <c r="N53" s="4">
        <v>0</v>
      </c>
      <c r="O53" s="4" t="s">
        <v>783</v>
      </c>
      <c r="P53" s="4">
        <v>4</v>
      </c>
      <c r="Q53" s="4">
        <v>4</v>
      </c>
      <c r="R53" s="4">
        <v>1</v>
      </c>
      <c r="S53" s="4" t="s">
        <v>784</v>
      </c>
      <c r="T53" s="4" t="s">
        <v>70</v>
      </c>
      <c r="U53" s="4" t="s">
        <v>71</v>
      </c>
      <c r="V53" s="6" t="s">
        <v>99</v>
      </c>
      <c r="W53" s="37">
        <f>IF('CRUDO MIÉRCOLES'!AU18="Si",$N53,)</f>
        <v>0</v>
      </c>
      <c r="X53" s="37">
        <f>IF('CRUDO MIÉRCOLES'!AV18="Si",$N53,)</f>
        <v>0</v>
      </c>
      <c r="Y53" s="37">
        <f>IF('CRUDO MIÉRCOLES'!AW18="Si",$N53,)</f>
        <v>0</v>
      </c>
      <c r="Z53" s="37">
        <f>IF('CRUDO MIÉRCOLES'!AX18="Si",$N53,)</f>
        <v>0</v>
      </c>
      <c r="AA53" s="37"/>
      <c r="AB53" s="37">
        <f>IF('CRUDO MIÉRCOLES'!AY18="Si",$N53,)</f>
        <v>0</v>
      </c>
      <c r="AC53" s="37"/>
      <c r="AD53" s="37">
        <f>IF('CRUDO MIÉRCOLES'!AZ18="Si",$N53,)</f>
        <v>0</v>
      </c>
      <c r="AE53" s="37"/>
      <c r="AF53" s="37">
        <f>IF('CRUDO MIÉRCOLES'!BA18="Si",$N53,)</f>
        <v>0</v>
      </c>
      <c r="AG53" s="37"/>
      <c r="AH53" s="37">
        <f>IF('CRUDO MIÉRCOLES'!BB18="Si",$N53,)</f>
        <v>0</v>
      </c>
      <c r="AI53" s="37"/>
      <c r="AJ53" s="37">
        <f>IF('CRUDO MIÉRCOLES'!BC18="Si",$N53,)</f>
        <v>0</v>
      </c>
      <c r="AK53" s="37"/>
      <c r="AL53" s="37">
        <f>IF('CRUDO MIÉRCOLES'!BD18="Si",$N53,)</f>
        <v>0</v>
      </c>
      <c r="AM53" s="37"/>
      <c r="AN53" s="37">
        <f>IF('CRUDO MIÉRCOLES'!BE18="Si",$N53,)</f>
        <v>0</v>
      </c>
      <c r="AO53" s="37"/>
      <c r="AP53" s="37">
        <f>IF('CRUDO MIÉRCOLES'!BF18="Si",$N53,)</f>
        <v>0</v>
      </c>
      <c r="AQ53" s="37"/>
      <c r="AR53" s="37">
        <f>IF('CRUDO MIÉRCOLES'!BG18="Si",$N53,)</f>
        <v>0</v>
      </c>
      <c r="AS53" s="37"/>
      <c r="AT53" s="37">
        <f>IF('CRUDO MIÉRCOLES'!BH18="Si",$N53,)</f>
        <v>0</v>
      </c>
      <c r="AU53" s="37"/>
      <c r="AV53" s="37">
        <f>IF('CRUDO MIÉRCOLES'!BI18="Si",$N53,)</f>
        <v>0</v>
      </c>
      <c r="AW53" s="37">
        <f>IF('CRUDO MIÉRCOLES'!BJ18="Si",$N53,)</f>
        <v>0</v>
      </c>
      <c r="AX53" s="37">
        <f>IF('CRUDO MIÉRCOLES'!BK18="Si",$N53,)</f>
        <v>0</v>
      </c>
      <c r="AY53" s="37">
        <f>IF('CRUDO MIÉRCOLES'!BL18="Si",$N53,)</f>
        <v>0</v>
      </c>
      <c r="AZ53" s="37">
        <f>IF('CRUDO MIÉRCOLES'!BM18="Si",$N53,)</f>
        <v>0</v>
      </c>
      <c r="BA53" s="37">
        <f>IF('CRUDO MIÉRCOLES'!BN18="Si",$N53,)</f>
        <v>0</v>
      </c>
      <c r="BB53" s="37"/>
      <c r="BC53" s="37">
        <f>IF('CRUDO MIÉRCOLES'!BO18="Si",$N53,)</f>
        <v>0</v>
      </c>
      <c r="BD53" s="37"/>
      <c r="BE53" s="37">
        <f>IF('CRUDO MIÉRCOLES'!BP18="Si",$N53,)</f>
        <v>0</v>
      </c>
      <c r="BF53" s="37"/>
      <c r="BG53" s="37">
        <f>IF('CRUDO MIÉRCOLES'!BQ18="Si",$N53,)</f>
        <v>0</v>
      </c>
    </row>
    <row r="54" spans="1:64" ht="13.2" hidden="1" x14ac:dyDescent="0.25">
      <c r="A54" s="3">
        <v>45001.548670243057</v>
      </c>
      <c r="B54" s="4" t="s">
        <v>776</v>
      </c>
      <c r="C54" s="4" t="s">
        <v>777</v>
      </c>
      <c r="D54" s="7" t="s">
        <v>778</v>
      </c>
      <c r="E54" s="4" t="s">
        <v>103</v>
      </c>
      <c r="F54" s="4" t="s">
        <v>779</v>
      </c>
      <c r="G54" s="4" t="s">
        <v>64</v>
      </c>
      <c r="H54" s="4" t="s">
        <v>780</v>
      </c>
      <c r="I54" s="4" t="s">
        <v>781</v>
      </c>
      <c r="J54" s="4" t="s">
        <v>782</v>
      </c>
      <c r="K54" s="4" t="s">
        <v>776</v>
      </c>
      <c r="L54" s="4" t="s">
        <v>656</v>
      </c>
      <c r="M54" s="4" t="s">
        <v>470</v>
      </c>
      <c r="N54" s="4">
        <v>0</v>
      </c>
      <c r="O54" s="4" t="s">
        <v>783</v>
      </c>
      <c r="P54" s="4">
        <v>4</v>
      </c>
      <c r="Q54" s="4">
        <v>4</v>
      </c>
      <c r="R54" s="4">
        <v>1</v>
      </c>
      <c r="T54" s="4" t="s">
        <v>70</v>
      </c>
      <c r="U54" s="4" t="s">
        <v>71</v>
      </c>
      <c r="V54" s="6" t="s">
        <v>99</v>
      </c>
      <c r="W54" s="37">
        <f>IF('CRUDO MIÉRCOLES'!AU19="Si",$N54,)</f>
        <v>0</v>
      </c>
      <c r="X54" s="37">
        <f>IF('CRUDO MIÉRCOLES'!AV19="Si",$N54,)</f>
        <v>0</v>
      </c>
      <c r="Y54" s="37">
        <f>IF('CRUDO MIÉRCOLES'!AW19="Si",$N54,)</f>
        <v>0</v>
      </c>
      <c r="Z54" s="37">
        <f>IF('CRUDO MIÉRCOLES'!AX19="Si",$N54,)</f>
        <v>0</v>
      </c>
      <c r="AA54" s="37"/>
      <c r="AB54" s="37">
        <f>IF('CRUDO MIÉRCOLES'!AY19="Si",$N54,)</f>
        <v>0</v>
      </c>
      <c r="AC54" s="37"/>
      <c r="AD54" s="37">
        <f>IF('CRUDO MIÉRCOLES'!AZ19="Si",$N54,)</f>
        <v>0</v>
      </c>
      <c r="AE54" s="37"/>
      <c r="AF54" s="37">
        <f>IF('CRUDO MIÉRCOLES'!BA19="Si",$N54,)</f>
        <v>0</v>
      </c>
      <c r="AG54" s="37"/>
      <c r="AH54" s="37">
        <f>IF('CRUDO MIÉRCOLES'!BB19="Si",$N54,)</f>
        <v>0</v>
      </c>
      <c r="AI54" s="37"/>
      <c r="AJ54" s="37">
        <f>IF('CRUDO MIÉRCOLES'!BC19="Si",$N54,)</f>
        <v>0</v>
      </c>
      <c r="AK54" s="37"/>
      <c r="AL54" s="37">
        <f>IF('CRUDO MIÉRCOLES'!BD19="Si",$N54,)</f>
        <v>0</v>
      </c>
      <c r="AM54" s="37"/>
      <c r="AN54" s="37">
        <f>IF('CRUDO MIÉRCOLES'!BE19="Si",$N54,)</f>
        <v>0</v>
      </c>
      <c r="AO54" s="37"/>
      <c r="AP54" s="37">
        <f>IF('CRUDO MIÉRCOLES'!BF19="Si",$N54,)</f>
        <v>0</v>
      </c>
      <c r="AQ54" s="37"/>
      <c r="AR54" s="37">
        <f>IF('CRUDO MIÉRCOLES'!BG19="Si",$N54,)</f>
        <v>0</v>
      </c>
      <c r="AS54" s="37"/>
      <c r="AT54" s="37">
        <f>IF('CRUDO MIÉRCOLES'!BH19="Si",$N54,)</f>
        <v>0</v>
      </c>
      <c r="AU54" s="37"/>
      <c r="AV54" s="37">
        <f>IF('CRUDO MIÉRCOLES'!BI19="Si",$N54,)</f>
        <v>0</v>
      </c>
      <c r="AW54" s="37">
        <f>IF('CRUDO MIÉRCOLES'!BJ19="Si",$N54,)</f>
        <v>0</v>
      </c>
      <c r="AX54" s="37">
        <f>IF('CRUDO MIÉRCOLES'!BK19="Si",$N54,)</f>
        <v>0</v>
      </c>
      <c r="AY54" s="37">
        <f>IF('CRUDO MIÉRCOLES'!BL19="Si",$N54,)</f>
        <v>0</v>
      </c>
      <c r="AZ54" s="37">
        <f>IF('CRUDO MIÉRCOLES'!BM19="Si",$N54,)</f>
        <v>0</v>
      </c>
      <c r="BA54" s="37">
        <f>IF('CRUDO MIÉRCOLES'!BN19="Si",$N54,)</f>
        <v>0</v>
      </c>
      <c r="BB54" s="37"/>
      <c r="BC54" s="37">
        <f>IF('CRUDO MIÉRCOLES'!BO19="Si",$N54,)</f>
        <v>0</v>
      </c>
      <c r="BD54" s="37"/>
      <c r="BE54" s="37">
        <f>IF('CRUDO MIÉRCOLES'!BP19="Si",$N54,)</f>
        <v>0</v>
      </c>
      <c r="BF54" s="37"/>
      <c r="BG54" s="37">
        <f>IF('CRUDO MIÉRCOLES'!BQ19="Si",$N54,)</f>
        <v>0</v>
      </c>
    </row>
    <row r="55" spans="1:64" ht="13.2" hidden="1" x14ac:dyDescent="0.25">
      <c r="A55" s="3">
        <v>45001.550165972221</v>
      </c>
      <c r="B55" s="4" t="s">
        <v>776</v>
      </c>
      <c r="C55" s="4" t="s">
        <v>787</v>
      </c>
      <c r="D55" s="7" t="s">
        <v>778</v>
      </c>
      <c r="E55" s="4" t="s">
        <v>103</v>
      </c>
      <c r="F55" s="4" t="s">
        <v>779</v>
      </c>
      <c r="G55" s="4" t="s">
        <v>64</v>
      </c>
      <c r="H55" s="4" t="s">
        <v>785</v>
      </c>
      <c r="I55" s="4" t="s">
        <v>781</v>
      </c>
      <c r="J55" s="4" t="s">
        <v>782</v>
      </c>
      <c r="K55" s="4" t="s">
        <v>776</v>
      </c>
      <c r="L55" s="4" t="s">
        <v>656</v>
      </c>
      <c r="M55" s="4" t="s">
        <v>470</v>
      </c>
      <c r="N55" s="4">
        <v>0</v>
      </c>
      <c r="O55" s="4" t="s">
        <v>783</v>
      </c>
      <c r="P55" s="4">
        <v>4</v>
      </c>
      <c r="Q55" s="4">
        <v>4</v>
      </c>
      <c r="R55" s="4">
        <v>1</v>
      </c>
      <c r="T55" s="4" t="s">
        <v>70</v>
      </c>
      <c r="U55" s="4" t="s">
        <v>71</v>
      </c>
      <c r="V55" s="6" t="s">
        <v>99</v>
      </c>
      <c r="W55" s="37">
        <f>IF('CRUDO MIÉRCOLES'!AU20="Si",$N55,)</f>
        <v>0</v>
      </c>
      <c r="X55" s="37">
        <f>IF('CRUDO MIÉRCOLES'!AV20="Si",$N55,)</f>
        <v>0</v>
      </c>
      <c r="Y55" s="37">
        <f>IF('CRUDO MIÉRCOLES'!AW20="Si",$N55,)</f>
        <v>0</v>
      </c>
      <c r="Z55" s="37">
        <f>IF('CRUDO MIÉRCOLES'!AX20="Si",$N55,)</f>
        <v>0</v>
      </c>
      <c r="AA55" s="37"/>
      <c r="AB55" s="37">
        <f>IF('CRUDO MIÉRCOLES'!AY20="Si",$N55,)</f>
        <v>0</v>
      </c>
      <c r="AC55" s="37"/>
      <c r="AD55" s="37">
        <f>IF('CRUDO MIÉRCOLES'!AZ20="Si",$N55,)</f>
        <v>0</v>
      </c>
      <c r="AE55" s="37"/>
      <c r="AF55" s="37">
        <f>IF('CRUDO MIÉRCOLES'!BA20="Si",$N55,)</f>
        <v>0</v>
      </c>
      <c r="AG55" s="37"/>
      <c r="AH55" s="37">
        <f>IF('CRUDO MIÉRCOLES'!BB20="Si",$N55,)</f>
        <v>0</v>
      </c>
      <c r="AI55" s="37"/>
      <c r="AJ55" s="37">
        <f>IF('CRUDO MIÉRCOLES'!BC20="Si",$N55,)</f>
        <v>0</v>
      </c>
      <c r="AK55" s="37"/>
      <c r="AL55" s="37">
        <f>IF('CRUDO MIÉRCOLES'!BD20="Si",$N55,)</f>
        <v>0</v>
      </c>
      <c r="AM55" s="37"/>
      <c r="AN55" s="37">
        <f>IF('CRUDO MIÉRCOLES'!BE20="Si",$N55,)</f>
        <v>0</v>
      </c>
      <c r="AO55" s="37"/>
      <c r="AP55" s="37">
        <f>IF('CRUDO MIÉRCOLES'!BF20="Si",$N55,)</f>
        <v>0</v>
      </c>
      <c r="AQ55" s="37"/>
      <c r="AR55" s="37">
        <f>IF('CRUDO MIÉRCOLES'!BG20="Si",$N55,)</f>
        <v>0</v>
      </c>
      <c r="AS55" s="37"/>
      <c r="AT55" s="37">
        <f>IF('CRUDO MIÉRCOLES'!BH20="Si",$N55,)</f>
        <v>0</v>
      </c>
      <c r="AU55" s="37"/>
      <c r="AV55" s="37">
        <f>IF('CRUDO MIÉRCOLES'!BI20="Si",$N55,)</f>
        <v>0</v>
      </c>
      <c r="AW55" s="37">
        <f>IF('CRUDO MIÉRCOLES'!BJ20="Si",$N55,)</f>
        <v>0</v>
      </c>
      <c r="AX55" s="37">
        <f>IF('CRUDO MIÉRCOLES'!BK20="Si",$N55,)</f>
        <v>0</v>
      </c>
      <c r="AY55" s="37">
        <f>IF('CRUDO MIÉRCOLES'!BL20="Si",$N55,)</f>
        <v>0</v>
      </c>
      <c r="AZ55" s="37">
        <f>IF('CRUDO MIÉRCOLES'!BM20="Si",$N55,)</f>
        <v>0</v>
      </c>
      <c r="BA55" s="37">
        <f>IF('CRUDO MIÉRCOLES'!BN20="Si",$N55,)</f>
        <v>0</v>
      </c>
      <c r="BB55" s="37"/>
      <c r="BC55" s="37">
        <f>IF('CRUDO MIÉRCOLES'!BO20="Si",$N55,)</f>
        <v>0</v>
      </c>
      <c r="BD55" s="37"/>
      <c r="BE55" s="37">
        <f>IF('CRUDO MIÉRCOLES'!BP20="Si",$N55,)</f>
        <v>0</v>
      </c>
      <c r="BF55" s="37"/>
      <c r="BG55" s="37">
        <f>IF('CRUDO MIÉRCOLES'!BQ20="Si",$N55,)</f>
        <v>0</v>
      </c>
    </row>
    <row r="56" spans="1:64" ht="13.2" hidden="1" x14ac:dyDescent="0.25">
      <c r="A56" s="3">
        <v>45005.327248923611</v>
      </c>
      <c r="B56" s="4" t="s">
        <v>843</v>
      </c>
      <c r="C56" s="4" t="s">
        <v>844</v>
      </c>
      <c r="D56" s="7" t="s">
        <v>845</v>
      </c>
      <c r="E56" s="4" t="s">
        <v>91</v>
      </c>
      <c r="F56" s="4" t="s">
        <v>846</v>
      </c>
      <c r="G56" s="4" t="s">
        <v>105</v>
      </c>
      <c r="H56" s="4" t="s">
        <v>847</v>
      </c>
      <c r="I56" s="4" t="s">
        <v>848</v>
      </c>
      <c r="J56" s="4" t="s">
        <v>849</v>
      </c>
      <c r="K56" s="4" t="s">
        <v>843</v>
      </c>
      <c r="L56" s="4" t="s">
        <v>656</v>
      </c>
      <c r="M56" s="4" t="s">
        <v>515</v>
      </c>
      <c r="N56" s="4">
        <v>0</v>
      </c>
      <c r="O56" s="4" t="s">
        <v>850</v>
      </c>
      <c r="P56" s="4">
        <v>1</v>
      </c>
      <c r="Q56" s="4">
        <v>2</v>
      </c>
      <c r="R56" s="4">
        <v>50</v>
      </c>
      <c r="T56" s="4" t="s">
        <v>70</v>
      </c>
      <c r="U56" s="4" t="s">
        <v>70</v>
      </c>
      <c r="V56" s="6" t="s">
        <v>99</v>
      </c>
      <c r="W56" s="37">
        <f>IF('CRUDO MIÉRCOLES'!AU38="Si",$N56,)</f>
        <v>0</v>
      </c>
      <c r="X56" s="37">
        <f>IF('CRUDO MIÉRCOLES'!AV38="Si",$N56,)</f>
        <v>0</v>
      </c>
      <c r="Y56" s="37">
        <f>IF('CRUDO MIÉRCOLES'!AW38="Si",$N56,)</f>
        <v>0</v>
      </c>
      <c r="Z56" s="37">
        <f>IF('CRUDO MIÉRCOLES'!AX38="Si",$N56,)</f>
        <v>0</v>
      </c>
      <c r="AA56" s="37"/>
      <c r="AB56" s="37">
        <f>IF('CRUDO MIÉRCOLES'!AY38="Si",$N56,)</f>
        <v>0</v>
      </c>
      <c r="AC56" s="37"/>
      <c r="AD56" s="37">
        <f>IF('CRUDO MIÉRCOLES'!AZ38="Si",$N56,)</f>
        <v>0</v>
      </c>
      <c r="AE56" s="37"/>
      <c r="AF56" s="37">
        <f>IF('CRUDO MIÉRCOLES'!BA38="Si",$N56,)</f>
        <v>0</v>
      </c>
      <c r="AG56" s="37"/>
      <c r="AH56" s="37">
        <f>IF('CRUDO MIÉRCOLES'!BB38="Si",$N56,)</f>
        <v>0</v>
      </c>
      <c r="AI56" s="37"/>
      <c r="AJ56" s="37">
        <f>IF('CRUDO MIÉRCOLES'!BC38="Si",$N56,)</f>
        <v>0</v>
      </c>
      <c r="AK56" s="37"/>
      <c r="AL56" s="37">
        <f>IF('CRUDO MIÉRCOLES'!BD38="Si",$N56,)</f>
        <v>0</v>
      </c>
      <c r="AM56" s="37"/>
      <c r="AN56" s="37">
        <f>IF('CRUDO MIÉRCOLES'!BE38="Si",$N56,)</f>
        <v>0</v>
      </c>
      <c r="AO56" s="37"/>
      <c r="AP56" s="37">
        <f>IF('CRUDO MIÉRCOLES'!BF38="Si",$N56,)</f>
        <v>0</v>
      </c>
      <c r="AQ56" s="37"/>
      <c r="AR56" s="37">
        <f>IF('CRUDO MIÉRCOLES'!BG38="Si",$N56,)</f>
        <v>0</v>
      </c>
      <c r="AS56" s="37"/>
      <c r="AT56" s="37">
        <f>IF('CRUDO MIÉRCOLES'!BH38="Si",$N56,)</f>
        <v>0</v>
      </c>
      <c r="AU56" s="37"/>
      <c r="AV56" s="37">
        <f>IF('CRUDO MIÉRCOLES'!BI38="Si",$N56,)</f>
        <v>0</v>
      </c>
      <c r="AW56" s="37">
        <f>IF('CRUDO MIÉRCOLES'!BJ38="Si",$N56,)</f>
        <v>0</v>
      </c>
      <c r="AX56" s="37">
        <f>IF('CRUDO MIÉRCOLES'!BK38="Si",$N56,)</f>
        <v>0</v>
      </c>
      <c r="AY56" s="37">
        <f>IF('CRUDO MIÉRCOLES'!BL38="Si",$N56,)</f>
        <v>0</v>
      </c>
      <c r="AZ56" s="37">
        <f>IF('CRUDO MIÉRCOLES'!BM38="Si",$N56,)</f>
        <v>0</v>
      </c>
      <c r="BA56" s="37">
        <f>IF('CRUDO MIÉRCOLES'!BN38="Si",$N56,)</f>
        <v>0</v>
      </c>
      <c r="BB56" s="37"/>
      <c r="BC56" s="37">
        <f>IF('CRUDO MIÉRCOLES'!BO38="Si",$N56,)</f>
        <v>0</v>
      </c>
      <c r="BD56" s="37"/>
      <c r="BE56" s="37">
        <f>IF('CRUDO MIÉRCOLES'!BP38="Si",$N56,)</f>
        <v>0</v>
      </c>
      <c r="BF56" s="37"/>
      <c r="BG56" s="37">
        <f>IF('CRUDO MIÉRCOLES'!BQ38="Si",$N56,)</f>
        <v>0</v>
      </c>
      <c r="BH56" s="4"/>
      <c r="BI56" s="4" t="s">
        <v>851</v>
      </c>
    </row>
    <row r="57" spans="1:64" ht="13.2" hidden="1" x14ac:dyDescent="0.25"/>
    <row r="58" spans="1:64" ht="13.2" x14ac:dyDescent="0.25">
      <c r="A58" s="25"/>
      <c r="B58" s="25"/>
      <c r="C58" s="25"/>
      <c r="D58" s="25"/>
      <c r="E58" s="25"/>
      <c r="F58" s="25"/>
      <c r="G58" s="25"/>
      <c r="H58" s="25"/>
      <c r="I58" s="25"/>
      <c r="J58" s="25"/>
      <c r="K58" s="25"/>
      <c r="L58" s="25"/>
      <c r="M58" s="25"/>
      <c r="N58" s="25"/>
      <c r="O58" s="25"/>
      <c r="P58" s="25"/>
      <c r="Q58" s="25"/>
      <c r="R58" s="25"/>
      <c r="S58" s="25"/>
      <c r="T58" s="25"/>
      <c r="U58" s="25"/>
      <c r="V58" s="25"/>
      <c r="W58" s="25">
        <f t="shared" ref="W58:Z58" si="0">SUM(W2:W56)</f>
        <v>394</v>
      </c>
      <c r="X58" s="25">
        <f t="shared" si="0"/>
        <v>345</v>
      </c>
      <c r="Y58" s="25">
        <f t="shared" si="0"/>
        <v>180</v>
      </c>
      <c r="Z58" s="25">
        <f t="shared" si="0"/>
        <v>147</v>
      </c>
      <c r="AA58" s="25"/>
      <c r="AB58" s="25">
        <f>SUM(AB2:AB56)</f>
        <v>324</v>
      </c>
      <c r="AC58" s="25"/>
      <c r="AD58" s="25">
        <f>SUM(AD2:AD56)</f>
        <v>248</v>
      </c>
      <c r="AE58" s="25"/>
      <c r="AF58" s="25">
        <f>SUM(AF2:AF56)</f>
        <v>205</v>
      </c>
      <c r="AG58" s="25"/>
      <c r="AH58" s="25">
        <f>SUM(AH2:AH56)</f>
        <v>79</v>
      </c>
      <c r="AI58" s="25"/>
      <c r="AJ58" s="25">
        <f>SUM(AJ2:AJ56)</f>
        <v>25</v>
      </c>
      <c r="AK58" s="25"/>
      <c r="AL58" s="25">
        <f>SUM(AL2:AL56)</f>
        <v>73</v>
      </c>
      <c r="AM58" s="25"/>
      <c r="AN58" s="25">
        <f>SUM(AN2:AN56)</f>
        <v>188</v>
      </c>
      <c r="AO58" s="25"/>
      <c r="AP58" s="25">
        <f>SUM(AP2:AP56)</f>
        <v>96</v>
      </c>
      <c r="AQ58" s="25"/>
      <c r="AR58" s="25">
        <f>SUM(AR2:AR56)</f>
        <v>20</v>
      </c>
      <c r="AS58" s="25"/>
      <c r="AT58" s="25">
        <f>SUM(AT2:AT56)</f>
        <v>35</v>
      </c>
      <c r="AU58" s="25"/>
      <c r="AV58" s="25">
        <f t="shared" ref="AV58:AX58" si="1">SUM(AV2:AV56)</f>
        <v>35</v>
      </c>
      <c r="AW58" s="25">
        <f t="shared" si="1"/>
        <v>32</v>
      </c>
      <c r="AX58" s="25">
        <f t="shared" si="1"/>
        <v>20</v>
      </c>
      <c r="AY58" s="23">
        <v>30</v>
      </c>
      <c r="AZ58" s="25">
        <f t="shared" ref="AZ58:BA58" si="2">SUM(AZ2:AZ56)</f>
        <v>30</v>
      </c>
      <c r="BA58" s="25">
        <f t="shared" si="2"/>
        <v>95</v>
      </c>
      <c r="BB58" s="25"/>
      <c r="BC58" s="25">
        <f>SUM(BC2:BC56)</f>
        <v>85</v>
      </c>
      <c r="BD58" s="25"/>
      <c r="BE58" s="25">
        <f>SUM(BE2:BE56)</f>
        <v>25</v>
      </c>
      <c r="BF58" s="25"/>
      <c r="BG58" s="25">
        <f>SUM(BG2:BG56)</f>
        <v>105</v>
      </c>
      <c r="BH58" s="25"/>
      <c r="BI58" s="25"/>
      <c r="BJ58" s="25"/>
      <c r="BK58" s="25"/>
      <c r="BL58" s="25"/>
    </row>
    <row r="59" spans="1:64" ht="13.2" x14ac:dyDescent="0.25">
      <c r="N59" s="14">
        <f>SUM(N1:N56)</f>
        <v>989</v>
      </c>
      <c r="W59" s="4">
        <v>400</v>
      </c>
      <c r="X59" s="4">
        <v>400</v>
      </c>
      <c r="Y59" s="4">
        <v>400</v>
      </c>
      <c r="Z59" s="4">
        <v>250</v>
      </c>
      <c r="AA59" s="4"/>
      <c r="AB59" s="4">
        <v>250</v>
      </c>
      <c r="AC59" s="4"/>
      <c r="AD59" s="4">
        <v>250</v>
      </c>
      <c r="AE59" s="4"/>
      <c r="AF59" s="4">
        <v>250</v>
      </c>
      <c r="AG59" s="4"/>
      <c r="AH59" s="4">
        <v>250</v>
      </c>
      <c r="AI59" s="4"/>
      <c r="AJ59" s="4">
        <v>250</v>
      </c>
      <c r="AK59" s="4"/>
      <c r="AL59" s="4">
        <v>60</v>
      </c>
      <c r="AM59" s="4"/>
      <c r="AN59" s="4">
        <v>90</v>
      </c>
      <c r="AO59" s="4"/>
      <c r="AP59" s="4">
        <v>90</v>
      </c>
      <c r="AQ59" s="4"/>
      <c r="AR59" s="4">
        <v>60</v>
      </c>
      <c r="AS59" s="4"/>
      <c r="AT59" s="4">
        <v>30</v>
      </c>
      <c r="AU59" s="4"/>
      <c r="AV59" s="4">
        <v>30</v>
      </c>
      <c r="AW59" s="4">
        <v>30</v>
      </c>
      <c r="AX59" s="4">
        <v>30</v>
      </c>
      <c r="AY59" s="4">
        <v>60</v>
      </c>
      <c r="AZ59" s="4">
        <v>30</v>
      </c>
      <c r="BA59" s="4">
        <v>90</v>
      </c>
      <c r="BB59" s="4"/>
      <c r="BC59" s="4">
        <v>90</v>
      </c>
      <c r="BD59" s="4"/>
      <c r="BE59" s="4">
        <v>90</v>
      </c>
      <c r="BF59" s="4"/>
      <c r="BG59" s="4">
        <v>90</v>
      </c>
    </row>
    <row r="60" spans="1:64" ht="13.2" x14ac:dyDescent="0.25">
      <c r="W60" s="14">
        <f t="shared" ref="W60:Z60" si="3">W59-W58</f>
        <v>6</v>
      </c>
      <c r="X60" s="14">
        <f t="shared" si="3"/>
        <v>55</v>
      </c>
      <c r="Y60" s="14">
        <f t="shared" si="3"/>
        <v>220</v>
      </c>
      <c r="Z60" s="14">
        <f t="shared" si="3"/>
        <v>103</v>
      </c>
      <c r="AB60" s="14">
        <f>AB59-AB58</f>
        <v>-74</v>
      </c>
      <c r="AD60" s="14">
        <f>AD59-AD58</f>
        <v>2</v>
      </c>
      <c r="AF60" s="14">
        <f>AF59-AF58</f>
        <v>45</v>
      </c>
      <c r="AH60" s="14">
        <f>AH59-AH58</f>
        <v>171</v>
      </c>
      <c r="AJ60" s="14">
        <f>AJ59-AJ58</f>
        <v>225</v>
      </c>
      <c r="AL60" s="14">
        <f>AL59-AL58</f>
        <v>-13</v>
      </c>
      <c r="AN60" s="14">
        <f>AN59-AN58</f>
        <v>-98</v>
      </c>
      <c r="AP60" s="14">
        <f>AP59-AP58</f>
        <v>-6</v>
      </c>
      <c r="AR60" s="14">
        <f>AR59-AR58</f>
        <v>40</v>
      </c>
      <c r="AT60" s="14">
        <f>AT59-AT58</f>
        <v>-5</v>
      </c>
      <c r="AV60" s="14">
        <f t="shared" ref="AV60:BA60" si="4">AV59-AV58</f>
        <v>-5</v>
      </c>
      <c r="AW60" s="14">
        <f t="shared" si="4"/>
        <v>-2</v>
      </c>
      <c r="AX60" s="14">
        <f t="shared" si="4"/>
        <v>10</v>
      </c>
      <c r="AY60" s="14">
        <f t="shared" si="4"/>
        <v>30</v>
      </c>
      <c r="AZ60" s="14">
        <f t="shared" si="4"/>
        <v>0</v>
      </c>
      <c r="BA60" s="14">
        <f t="shared" si="4"/>
        <v>-5</v>
      </c>
      <c r="BC60" s="14">
        <f>BC59-BC58</f>
        <v>5</v>
      </c>
      <c r="BE60" s="14">
        <f>BE59-BE58</f>
        <v>65</v>
      </c>
      <c r="BG60" s="14">
        <f>BG59-BG58</f>
        <v>-15</v>
      </c>
    </row>
    <row r="62" spans="1:64" ht="13.2" x14ac:dyDescent="0.25">
      <c r="N62" s="39"/>
      <c r="BD62" s="4" t="s">
        <v>1276</v>
      </c>
    </row>
    <row r="63" spans="1:64" ht="13.2" x14ac:dyDescent="0.25">
      <c r="N63" s="39"/>
      <c r="W63" s="14">
        <f t="shared" ref="W63:X63" si="5">SUM(W2:W29)</f>
        <v>296</v>
      </c>
      <c r="X63" s="14">
        <f t="shared" si="5"/>
        <v>251</v>
      </c>
    </row>
    <row r="64" spans="1:64" ht="13.2" x14ac:dyDescent="0.25">
      <c r="N64" s="39"/>
    </row>
    <row r="65" spans="14:14" ht="13.2" x14ac:dyDescent="0.25">
      <c r="N65" s="39"/>
    </row>
    <row r="66" spans="14:14" ht="13.2" x14ac:dyDescent="0.25">
      <c r="N66" s="39"/>
    </row>
    <row r="67" spans="14:14" ht="13.2" x14ac:dyDescent="0.25">
      <c r="N67" s="39"/>
    </row>
    <row r="68" spans="14:14" ht="13.2" x14ac:dyDescent="0.25">
      <c r="N68" s="39"/>
    </row>
    <row r="69" spans="14:14" ht="13.2" x14ac:dyDescent="0.25">
      <c r="N69" s="39"/>
    </row>
    <row r="70" spans="14:14" ht="13.2" x14ac:dyDescent="0.25">
      <c r="N70" s="39"/>
    </row>
    <row r="71" spans="14:14" ht="13.2" x14ac:dyDescent="0.25">
      <c r="N71" s="39"/>
    </row>
    <row r="72" spans="14:14" ht="13.2" x14ac:dyDescent="0.25">
      <c r="N72" s="39"/>
    </row>
    <row r="73" spans="14:14" ht="13.2" x14ac:dyDescent="0.25">
      <c r="N73" s="39"/>
    </row>
    <row r="74" spans="14:14" ht="13.2" x14ac:dyDescent="0.25">
      <c r="N74" s="39"/>
    </row>
    <row r="75" spans="14:14" ht="13.2" x14ac:dyDescent="0.25">
      <c r="N75" s="39"/>
    </row>
    <row r="76" spans="14:14" ht="13.2" x14ac:dyDescent="0.25">
      <c r="N76" s="39"/>
    </row>
    <row r="77" spans="14:14" ht="13.2" x14ac:dyDescent="0.25">
      <c r="N77" s="39"/>
    </row>
    <row r="78" spans="14:14" ht="13.2" x14ac:dyDescent="0.25">
      <c r="N78" s="39"/>
    </row>
    <row r="79" spans="14:14" ht="13.2" x14ac:dyDescent="0.25">
      <c r="N79" s="39"/>
    </row>
    <row r="80" spans="14:14" ht="13.2" x14ac:dyDescent="0.25">
      <c r="N80" s="39"/>
    </row>
    <row r="81" spans="14:14" ht="13.2" x14ac:dyDescent="0.25">
      <c r="N81" s="39"/>
    </row>
    <row r="82" spans="14:14" ht="13.2" x14ac:dyDescent="0.25">
      <c r="N82" s="39"/>
    </row>
    <row r="83" spans="14:14" ht="13.2" x14ac:dyDescent="0.25">
      <c r="N83" s="39"/>
    </row>
    <row r="84" spans="14:14" ht="13.2" x14ac:dyDescent="0.25">
      <c r="N84" s="39"/>
    </row>
    <row r="85" spans="14:14" ht="13.2" x14ac:dyDescent="0.25">
      <c r="N85" s="39"/>
    </row>
    <row r="86" spans="14:14" ht="13.2" x14ac:dyDescent="0.25">
      <c r="N86" s="39"/>
    </row>
    <row r="87" spans="14:14" ht="13.2" x14ac:dyDescent="0.25">
      <c r="N87" s="39"/>
    </row>
    <row r="88" spans="14:14" ht="13.2" x14ac:dyDescent="0.25">
      <c r="N88" s="39"/>
    </row>
    <row r="89" spans="14:14" ht="13.2" x14ac:dyDescent="0.25">
      <c r="N89" s="39"/>
    </row>
    <row r="90" spans="14:14" ht="13.2" x14ac:dyDescent="0.25">
      <c r="N90" s="39"/>
    </row>
    <row r="91" spans="14:14" ht="13.2" x14ac:dyDescent="0.25">
      <c r="N91" s="39"/>
    </row>
    <row r="92" spans="14:14" ht="13.2" x14ac:dyDescent="0.25">
      <c r="N92" s="39"/>
    </row>
    <row r="93" spans="14:14" ht="13.2" x14ac:dyDescent="0.25">
      <c r="N93" s="39"/>
    </row>
    <row r="94" spans="14:14" ht="13.2" x14ac:dyDescent="0.25">
      <c r="N94" s="39"/>
    </row>
    <row r="95" spans="14:14" ht="13.2" x14ac:dyDescent="0.25">
      <c r="N95" s="39"/>
    </row>
    <row r="96" spans="14:14" ht="13.2" x14ac:dyDescent="0.25">
      <c r="N96" s="40"/>
    </row>
    <row r="97" spans="14:14" ht="13.2" x14ac:dyDescent="0.25">
      <c r="N97" s="40"/>
    </row>
  </sheetData>
  <autoFilter ref="A1:BL58">
    <filterColumn colId="2">
      <colorFilter dxfId="1"/>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V68"/>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1" max="1" width="12.6640625" hidden="1"/>
    <col min="9" max="12" width="12.6640625" hidden="1"/>
  </cols>
  <sheetData>
    <row r="1" spans="1:100" ht="61.5" customHeight="1" x14ac:dyDescent="0.25">
      <c r="A1" s="19" t="s">
        <v>0</v>
      </c>
      <c r="B1" s="19" t="s">
        <v>1</v>
      </c>
      <c r="C1" s="19" t="s">
        <v>2</v>
      </c>
      <c r="D1" s="19" t="s">
        <v>1198</v>
      </c>
      <c r="E1" s="19" t="s">
        <v>1199</v>
      </c>
      <c r="F1" s="19" t="s">
        <v>5</v>
      </c>
      <c r="G1" s="19" t="s">
        <v>6</v>
      </c>
      <c r="H1" s="19" t="s">
        <v>7</v>
      </c>
      <c r="I1" s="19" t="s">
        <v>8</v>
      </c>
      <c r="J1" s="19" t="s">
        <v>9</v>
      </c>
      <c r="K1" s="19" t="s">
        <v>10</v>
      </c>
      <c r="L1" s="19" t="s">
        <v>1200</v>
      </c>
      <c r="M1" s="19" t="s">
        <v>12</v>
      </c>
      <c r="N1" s="19" t="s">
        <v>1201</v>
      </c>
      <c r="O1" s="19" t="s">
        <v>1202</v>
      </c>
      <c r="P1" s="19" t="s">
        <v>15</v>
      </c>
      <c r="Q1" s="19" t="s">
        <v>16</v>
      </c>
      <c r="R1" s="19" t="s">
        <v>1203</v>
      </c>
      <c r="S1" s="19" t="s">
        <v>18</v>
      </c>
      <c r="T1" s="19" t="s">
        <v>19</v>
      </c>
      <c r="U1" s="19" t="s">
        <v>20</v>
      </c>
      <c r="V1" s="19" t="s">
        <v>1204</v>
      </c>
      <c r="W1" s="19" t="s">
        <v>23</v>
      </c>
      <c r="X1" s="19" t="s">
        <v>24</v>
      </c>
      <c r="Y1" s="19" t="s">
        <v>25</v>
      </c>
      <c r="Z1" s="19" t="s">
        <v>26</v>
      </c>
      <c r="AA1" s="19" t="s">
        <v>27</v>
      </c>
      <c r="AB1" s="19" t="s">
        <v>28</v>
      </c>
      <c r="AC1" s="19" t="s">
        <v>29</v>
      </c>
      <c r="AD1" s="19" t="s">
        <v>30</v>
      </c>
      <c r="AE1" s="19" t="s">
        <v>31</v>
      </c>
      <c r="AF1" s="19" t="s">
        <v>32</v>
      </c>
      <c r="AG1" s="19" t="s">
        <v>33</v>
      </c>
      <c r="AH1" s="19" t="s">
        <v>34</v>
      </c>
      <c r="AI1" s="19" t="s">
        <v>35</v>
      </c>
      <c r="AJ1" s="19" t="s">
        <v>36</v>
      </c>
      <c r="AK1" s="19" t="s">
        <v>37</v>
      </c>
      <c r="AL1" s="19" t="s">
        <v>38</v>
      </c>
      <c r="AM1" s="19" t="s">
        <v>39</v>
      </c>
      <c r="AN1" s="19" t="s">
        <v>40</v>
      </c>
      <c r="AO1" s="19" t="s">
        <v>41</v>
      </c>
      <c r="AP1" s="19" t="s">
        <v>42</v>
      </c>
      <c r="AQ1" s="19" t="s">
        <v>43</v>
      </c>
      <c r="AR1" s="19" t="s">
        <v>44</v>
      </c>
      <c r="AS1" s="19" t="s">
        <v>45</v>
      </c>
      <c r="AT1" s="19" t="s">
        <v>46</v>
      </c>
      <c r="AU1" s="19" t="s">
        <v>47</v>
      </c>
      <c r="AV1" s="19" t="s">
        <v>48</v>
      </c>
      <c r="AW1" s="19" t="s">
        <v>49</v>
      </c>
      <c r="AX1" s="19" t="s">
        <v>26</v>
      </c>
      <c r="AY1" s="19" t="s">
        <v>27</v>
      </c>
      <c r="AZ1" s="19" t="s">
        <v>28</v>
      </c>
      <c r="BA1" s="19" t="s">
        <v>29</v>
      </c>
      <c r="BB1" s="19" t="s">
        <v>30</v>
      </c>
      <c r="BC1" s="19" t="s">
        <v>31</v>
      </c>
      <c r="BD1" s="19" t="s">
        <v>50</v>
      </c>
      <c r="BE1" s="19" t="s">
        <v>33</v>
      </c>
      <c r="BF1" s="19" t="s">
        <v>34</v>
      </c>
      <c r="BG1" s="19" t="s">
        <v>35</v>
      </c>
      <c r="BH1" s="19" t="s">
        <v>36</v>
      </c>
      <c r="BI1" s="19" t="s">
        <v>37</v>
      </c>
      <c r="BJ1" s="19" t="s">
        <v>38</v>
      </c>
      <c r="BK1" s="19" t="s">
        <v>39</v>
      </c>
      <c r="BL1" s="19" t="s">
        <v>40</v>
      </c>
      <c r="BM1" s="19" t="s">
        <v>41</v>
      </c>
      <c r="BN1" s="19" t="s">
        <v>51</v>
      </c>
      <c r="BO1" s="19" t="s">
        <v>52</v>
      </c>
      <c r="BP1" s="19" t="s">
        <v>53</v>
      </c>
      <c r="BQ1" s="19" t="s">
        <v>54</v>
      </c>
      <c r="BR1" s="19" t="s">
        <v>46</v>
      </c>
      <c r="BS1" s="19" t="s">
        <v>55</v>
      </c>
      <c r="BT1" s="19" t="s">
        <v>56</v>
      </c>
      <c r="BU1" s="19" t="s">
        <v>57</v>
      </c>
      <c r="BV1" s="19" t="s">
        <v>26</v>
      </c>
      <c r="BW1" s="19" t="s">
        <v>27</v>
      </c>
      <c r="BX1" s="19" t="s">
        <v>28</v>
      </c>
      <c r="BY1" s="19" t="s">
        <v>29</v>
      </c>
      <c r="BZ1" s="19" t="s">
        <v>30</v>
      </c>
      <c r="CA1" s="19" t="s">
        <v>31</v>
      </c>
      <c r="CB1" s="19" t="s">
        <v>32</v>
      </c>
      <c r="CC1" s="19" t="s">
        <v>58</v>
      </c>
      <c r="CD1" s="19" t="s">
        <v>34</v>
      </c>
      <c r="CE1" s="19" t="s">
        <v>35</v>
      </c>
      <c r="CF1" s="19" t="s">
        <v>36</v>
      </c>
      <c r="CG1" s="19" t="s">
        <v>37</v>
      </c>
      <c r="CH1" s="19" t="s">
        <v>38</v>
      </c>
      <c r="CI1" s="19" t="s">
        <v>39</v>
      </c>
      <c r="CJ1" s="19" t="s">
        <v>40</v>
      </c>
      <c r="CK1" s="19" t="s">
        <v>41</v>
      </c>
      <c r="CL1" s="19" t="s">
        <v>51</v>
      </c>
      <c r="CM1" s="19" t="s">
        <v>52</v>
      </c>
      <c r="CN1" s="19" t="s">
        <v>53</v>
      </c>
      <c r="CO1" s="19" t="s">
        <v>54</v>
      </c>
      <c r="CP1" s="19" t="s">
        <v>46</v>
      </c>
      <c r="CQ1" s="21"/>
      <c r="CR1" s="21"/>
      <c r="CS1" s="21"/>
      <c r="CT1" s="21"/>
      <c r="CU1" s="21"/>
      <c r="CV1" s="21"/>
    </row>
    <row r="2" spans="1:100" ht="13.2" x14ac:dyDescent="0.25">
      <c r="A2" s="3">
        <v>45000.682377916666</v>
      </c>
      <c r="B2" s="4" t="s">
        <v>381</v>
      </c>
      <c r="C2" s="4" t="s">
        <v>382</v>
      </c>
      <c r="D2" s="5" t="s">
        <v>383</v>
      </c>
      <c r="E2" s="4" t="s">
        <v>103</v>
      </c>
      <c r="F2" s="4" t="s">
        <v>384</v>
      </c>
      <c r="G2" s="4" t="s">
        <v>64</v>
      </c>
      <c r="H2" s="4" t="s">
        <v>385</v>
      </c>
      <c r="I2" s="4" t="s">
        <v>386</v>
      </c>
      <c r="K2" s="4" t="s">
        <v>381</v>
      </c>
      <c r="L2" s="4" t="s">
        <v>67</v>
      </c>
      <c r="M2" s="4" t="s">
        <v>68</v>
      </c>
      <c r="N2" s="4">
        <v>30</v>
      </c>
      <c r="O2" s="4" t="s">
        <v>69</v>
      </c>
      <c r="P2" s="4">
        <v>2</v>
      </c>
      <c r="Q2" s="4">
        <v>3</v>
      </c>
      <c r="R2" s="4">
        <v>0</v>
      </c>
      <c r="T2" s="4" t="s">
        <v>70</v>
      </c>
      <c r="U2" s="4" t="s">
        <v>70</v>
      </c>
      <c r="V2" s="6" t="s">
        <v>73</v>
      </c>
      <c r="BS2" s="4" t="s">
        <v>70</v>
      </c>
      <c r="BT2" s="4" t="s">
        <v>70</v>
      </c>
      <c r="BU2" s="4" t="s">
        <v>70</v>
      </c>
      <c r="BV2" s="4" t="s">
        <v>70</v>
      </c>
      <c r="BW2" s="4" t="s">
        <v>70</v>
      </c>
      <c r="BX2" s="4" t="s">
        <v>70</v>
      </c>
      <c r="BY2" s="4" t="s">
        <v>70</v>
      </c>
      <c r="BZ2" s="4" t="s">
        <v>70</v>
      </c>
      <c r="CA2" s="4" t="s">
        <v>70</v>
      </c>
      <c r="CB2" s="4" t="s">
        <v>70</v>
      </c>
      <c r="CC2" s="4" t="s">
        <v>70</v>
      </c>
      <c r="CD2" s="4" t="s">
        <v>70</v>
      </c>
      <c r="CE2" s="4" t="s">
        <v>70</v>
      </c>
      <c r="CF2" s="4" t="s">
        <v>70</v>
      </c>
      <c r="CG2" s="4" t="s">
        <v>70</v>
      </c>
      <c r="CH2" s="4" t="s">
        <v>70</v>
      </c>
      <c r="CI2" s="4" t="s">
        <v>70</v>
      </c>
      <c r="CJ2" s="4" t="s">
        <v>70</v>
      </c>
      <c r="CK2" s="4" t="s">
        <v>70</v>
      </c>
      <c r="CL2" s="4" t="s">
        <v>70</v>
      </c>
      <c r="CM2" s="4" t="s">
        <v>70</v>
      </c>
      <c r="CN2" s="4" t="s">
        <v>70</v>
      </c>
      <c r="CO2" s="4" t="s">
        <v>70</v>
      </c>
    </row>
    <row r="3" spans="1:100" ht="13.2" x14ac:dyDescent="0.25">
      <c r="A3" s="3">
        <v>45000.769938599537</v>
      </c>
      <c r="B3" s="4" t="s">
        <v>325</v>
      </c>
      <c r="C3" s="4" t="s">
        <v>326</v>
      </c>
      <c r="D3" s="7" t="s">
        <v>327</v>
      </c>
      <c r="E3" s="4" t="s">
        <v>149</v>
      </c>
      <c r="F3" s="4" t="s">
        <v>328</v>
      </c>
      <c r="G3" s="4" t="s">
        <v>105</v>
      </c>
      <c r="H3" s="4" t="s">
        <v>329</v>
      </c>
      <c r="I3" s="4" t="s">
        <v>330</v>
      </c>
      <c r="K3" s="4" t="s">
        <v>325</v>
      </c>
      <c r="L3" s="4" t="s">
        <v>67</v>
      </c>
      <c r="M3" s="4" t="s">
        <v>228</v>
      </c>
      <c r="N3" s="4">
        <v>10</v>
      </c>
      <c r="O3" s="4" t="s">
        <v>69</v>
      </c>
      <c r="P3" s="4">
        <v>4</v>
      </c>
      <c r="Q3" s="4">
        <v>3</v>
      </c>
      <c r="R3" s="4">
        <v>30</v>
      </c>
      <c r="T3" s="4" t="s">
        <v>70</v>
      </c>
      <c r="U3" s="4" t="s">
        <v>70</v>
      </c>
      <c r="V3" s="6" t="s">
        <v>73</v>
      </c>
      <c r="BS3" s="4" t="s">
        <v>70</v>
      </c>
      <c r="BT3" s="4" t="s">
        <v>71</v>
      </c>
      <c r="BU3" s="4" t="s">
        <v>70</v>
      </c>
      <c r="BV3" s="4" t="s">
        <v>71</v>
      </c>
      <c r="BW3" s="4" t="s">
        <v>71</v>
      </c>
      <c r="BX3" s="4" t="s">
        <v>71</v>
      </c>
      <c r="BY3" s="4" t="s">
        <v>70</v>
      </c>
      <c r="BZ3" s="4" t="s">
        <v>71</v>
      </c>
      <c r="CA3" s="4" t="s">
        <v>71</v>
      </c>
      <c r="CB3" s="4" t="s">
        <v>71</v>
      </c>
      <c r="CC3" s="4" t="s">
        <v>71</v>
      </c>
      <c r="CD3" s="4" t="s">
        <v>70</v>
      </c>
      <c r="CE3" s="4" t="s">
        <v>71</v>
      </c>
      <c r="CF3" s="4" t="s">
        <v>71</v>
      </c>
      <c r="CG3" s="4" t="s">
        <v>71</v>
      </c>
      <c r="CH3" s="4" t="s">
        <v>71</v>
      </c>
      <c r="CI3" s="4" t="s">
        <v>71</v>
      </c>
      <c r="CJ3" s="4" t="s">
        <v>70</v>
      </c>
      <c r="CK3" s="4" t="s">
        <v>70</v>
      </c>
    </row>
    <row r="4" spans="1:100" ht="13.2" x14ac:dyDescent="0.25">
      <c r="A4" s="3">
        <v>45000.811150451387</v>
      </c>
      <c r="B4" s="4" t="s">
        <v>668</v>
      </c>
      <c r="C4" s="4" t="s">
        <v>669</v>
      </c>
      <c r="D4" s="5" t="s">
        <v>670</v>
      </c>
      <c r="E4" s="4" t="s">
        <v>149</v>
      </c>
      <c r="F4" s="4" t="s">
        <v>671</v>
      </c>
      <c r="G4" s="4" t="s">
        <v>64</v>
      </c>
      <c r="H4" s="4" t="s">
        <v>672</v>
      </c>
      <c r="I4" s="4" t="s">
        <v>673</v>
      </c>
      <c r="K4" s="4" t="s">
        <v>668</v>
      </c>
      <c r="L4" s="4" t="s">
        <v>656</v>
      </c>
      <c r="M4" s="4" t="s">
        <v>367</v>
      </c>
      <c r="N4" s="4">
        <v>30</v>
      </c>
      <c r="O4" s="4" t="s">
        <v>97</v>
      </c>
      <c r="P4" s="4">
        <v>5</v>
      </c>
      <c r="Q4" s="4">
        <v>2</v>
      </c>
      <c r="R4" s="4">
        <v>15</v>
      </c>
      <c r="T4" s="4" t="s">
        <v>71</v>
      </c>
      <c r="U4" s="4" t="s">
        <v>70</v>
      </c>
      <c r="V4" s="6" t="s">
        <v>73</v>
      </c>
      <c r="BS4" s="4" t="s">
        <v>71</v>
      </c>
      <c r="BT4" s="4" t="s">
        <v>71</v>
      </c>
      <c r="BU4" s="4" t="s">
        <v>71</v>
      </c>
      <c r="BV4" s="4" t="s">
        <v>71</v>
      </c>
      <c r="BW4" s="4" t="s">
        <v>71</v>
      </c>
      <c r="BX4" s="4" t="s">
        <v>71</v>
      </c>
      <c r="BY4" s="4" t="s">
        <v>71</v>
      </c>
      <c r="BZ4" s="4" t="s">
        <v>70</v>
      </c>
      <c r="CA4" s="4" t="s">
        <v>70</v>
      </c>
      <c r="CB4" s="4" t="s">
        <v>71</v>
      </c>
      <c r="CC4" s="4" t="s">
        <v>71</v>
      </c>
      <c r="CD4" s="4" t="s">
        <v>71</v>
      </c>
      <c r="CE4" s="4" t="s">
        <v>70</v>
      </c>
      <c r="CF4" s="4" t="s">
        <v>70</v>
      </c>
      <c r="CG4" s="4" t="s">
        <v>71</v>
      </c>
      <c r="CH4" s="4" t="s">
        <v>71</v>
      </c>
      <c r="CI4" s="4" t="s">
        <v>71</v>
      </c>
      <c r="CJ4" s="4" t="s">
        <v>70</v>
      </c>
      <c r="CK4" s="4" t="s">
        <v>70</v>
      </c>
      <c r="CL4" s="4" t="s">
        <v>71</v>
      </c>
      <c r="CM4" s="4" t="s">
        <v>71</v>
      </c>
      <c r="CN4" s="4" t="s">
        <v>71</v>
      </c>
      <c r="CO4" s="4" t="s">
        <v>70</v>
      </c>
    </row>
    <row r="5" spans="1:100" ht="13.2" x14ac:dyDescent="0.25">
      <c r="A5" s="3">
        <v>45000.830369236108</v>
      </c>
      <c r="B5" s="4" t="s">
        <v>154</v>
      </c>
      <c r="C5" s="4" t="s">
        <v>155</v>
      </c>
      <c r="D5" s="5" t="s">
        <v>156</v>
      </c>
      <c r="E5" s="4" t="s">
        <v>62</v>
      </c>
      <c r="F5" s="4" t="s">
        <v>157</v>
      </c>
      <c r="G5" s="4" t="s">
        <v>64</v>
      </c>
      <c r="H5" s="4" t="s">
        <v>158</v>
      </c>
      <c r="I5" s="4" t="s">
        <v>159</v>
      </c>
      <c r="J5" s="4" t="s">
        <v>160</v>
      </c>
      <c r="K5" s="4" t="s">
        <v>154</v>
      </c>
      <c r="L5" s="4" t="s">
        <v>67</v>
      </c>
      <c r="M5" s="4" t="s">
        <v>136</v>
      </c>
      <c r="N5" s="4">
        <v>20</v>
      </c>
      <c r="O5" s="4" t="s">
        <v>69</v>
      </c>
      <c r="P5" s="4">
        <v>5</v>
      </c>
      <c r="Q5" s="4">
        <v>4</v>
      </c>
      <c r="R5" s="4">
        <v>10</v>
      </c>
      <c r="T5" s="4" t="s">
        <v>70</v>
      </c>
      <c r="U5" s="4" t="s">
        <v>71</v>
      </c>
      <c r="V5" s="6" t="s">
        <v>73</v>
      </c>
      <c r="BS5" s="4" t="s">
        <v>70</v>
      </c>
      <c r="BT5" s="4" t="s">
        <v>71</v>
      </c>
      <c r="BU5" s="4" t="s">
        <v>71</v>
      </c>
      <c r="BV5" s="4" t="s">
        <v>71</v>
      </c>
      <c r="BW5" s="4" t="s">
        <v>71</v>
      </c>
      <c r="BX5" s="4" t="s">
        <v>70</v>
      </c>
      <c r="BY5" s="4" t="s">
        <v>71</v>
      </c>
      <c r="BZ5" s="4" t="s">
        <v>71</v>
      </c>
      <c r="CA5" s="4" t="s">
        <v>71</v>
      </c>
      <c r="CB5" s="4" t="s">
        <v>71</v>
      </c>
      <c r="CC5" s="4" t="s">
        <v>70</v>
      </c>
      <c r="CD5" s="4" t="s">
        <v>71</v>
      </c>
      <c r="CE5" s="4" t="s">
        <v>71</v>
      </c>
      <c r="CF5" s="4" t="s">
        <v>71</v>
      </c>
      <c r="CG5" s="4" t="s">
        <v>71</v>
      </c>
      <c r="CH5" s="4" t="s">
        <v>71</v>
      </c>
      <c r="CI5" s="4" t="s">
        <v>71</v>
      </c>
      <c r="CJ5" s="4" t="s">
        <v>71</v>
      </c>
      <c r="CK5" s="4" t="s">
        <v>71</v>
      </c>
      <c r="CL5" s="4" t="s">
        <v>71</v>
      </c>
      <c r="CM5" s="4" t="s">
        <v>71</v>
      </c>
      <c r="CN5" s="4" t="s">
        <v>71</v>
      </c>
      <c r="CO5" s="4" t="s">
        <v>71</v>
      </c>
    </row>
    <row r="6" spans="1:100" ht="13.2" x14ac:dyDescent="0.25">
      <c r="A6" s="3">
        <v>45000.896914363431</v>
      </c>
      <c r="B6" s="4" t="s">
        <v>1078</v>
      </c>
      <c r="C6" s="4" t="s">
        <v>1079</v>
      </c>
      <c r="D6" s="5" t="s">
        <v>1080</v>
      </c>
      <c r="E6" s="4" t="s">
        <v>103</v>
      </c>
      <c r="F6" s="4" t="s">
        <v>1081</v>
      </c>
      <c r="G6" s="4" t="s">
        <v>105</v>
      </c>
      <c r="H6" s="4" t="s">
        <v>1082</v>
      </c>
      <c r="I6" s="4" t="s">
        <v>1083</v>
      </c>
      <c r="J6" s="4" t="s">
        <v>1084</v>
      </c>
      <c r="K6" s="4" t="s">
        <v>1078</v>
      </c>
      <c r="L6" s="4" t="s">
        <v>656</v>
      </c>
      <c r="M6" s="4" t="s">
        <v>579</v>
      </c>
      <c r="N6" s="4">
        <v>35</v>
      </c>
      <c r="O6" s="4" t="s">
        <v>69</v>
      </c>
      <c r="P6" s="4">
        <v>4</v>
      </c>
      <c r="Q6" s="4">
        <v>1</v>
      </c>
      <c r="R6" s="4">
        <v>95</v>
      </c>
      <c r="S6" s="4" t="s">
        <v>1085</v>
      </c>
      <c r="T6" s="4" t="s">
        <v>70</v>
      </c>
      <c r="U6" s="4" t="s">
        <v>70</v>
      </c>
      <c r="V6" s="6" t="s">
        <v>73</v>
      </c>
      <c r="BS6" s="4" t="s">
        <v>71</v>
      </c>
      <c r="BT6" s="4" t="s">
        <v>71</v>
      </c>
      <c r="BU6" s="4" t="s">
        <v>70</v>
      </c>
      <c r="BV6" s="4" t="s">
        <v>71</v>
      </c>
      <c r="BW6" s="4" t="s">
        <v>71</v>
      </c>
      <c r="BX6" s="4" t="s">
        <v>71</v>
      </c>
      <c r="BY6" s="4" t="s">
        <v>70</v>
      </c>
      <c r="BZ6" s="4" t="s">
        <v>71</v>
      </c>
      <c r="CA6" s="4" t="s">
        <v>71</v>
      </c>
      <c r="CB6" s="4" t="s">
        <v>71</v>
      </c>
      <c r="CC6" s="4" t="s">
        <v>71</v>
      </c>
      <c r="CD6" s="4" t="s">
        <v>70</v>
      </c>
      <c r="CE6" s="4" t="s">
        <v>71</v>
      </c>
      <c r="CF6" s="4" t="s">
        <v>71</v>
      </c>
      <c r="CG6" s="4" t="s">
        <v>71</v>
      </c>
      <c r="CH6" s="4" t="s">
        <v>70</v>
      </c>
      <c r="CI6" s="4" t="s">
        <v>71</v>
      </c>
      <c r="CJ6" s="4" t="s">
        <v>71</v>
      </c>
      <c r="CK6" s="4" t="s">
        <v>71</v>
      </c>
      <c r="CL6" s="4" t="s">
        <v>71</v>
      </c>
      <c r="CM6" s="4" t="s">
        <v>71</v>
      </c>
      <c r="CN6" s="4" t="s">
        <v>71</v>
      </c>
      <c r="CO6" s="4" t="s">
        <v>70</v>
      </c>
      <c r="CP6" s="4" t="s">
        <v>1086</v>
      </c>
    </row>
    <row r="7" spans="1:100" ht="13.2" x14ac:dyDescent="0.25">
      <c r="A7" s="3">
        <v>45000.91059049769</v>
      </c>
      <c r="B7" s="4" t="s">
        <v>306</v>
      </c>
      <c r="C7" s="4" t="s">
        <v>307</v>
      </c>
      <c r="D7" s="5" t="s">
        <v>308</v>
      </c>
      <c r="E7" s="4" t="s">
        <v>62</v>
      </c>
      <c r="F7" s="4" t="s">
        <v>309</v>
      </c>
      <c r="G7" s="4" t="s">
        <v>105</v>
      </c>
      <c r="H7" s="4" t="s">
        <v>310</v>
      </c>
      <c r="I7" s="4" t="s">
        <v>311</v>
      </c>
      <c r="K7" s="4" t="s">
        <v>306</v>
      </c>
      <c r="L7" s="4" t="s">
        <v>67</v>
      </c>
      <c r="M7" s="4" t="s">
        <v>220</v>
      </c>
      <c r="N7" s="4">
        <v>30</v>
      </c>
      <c r="O7" s="4" t="s">
        <v>97</v>
      </c>
      <c r="P7" s="4">
        <v>5</v>
      </c>
      <c r="Q7" s="4">
        <v>3</v>
      </c>
      <c r="R7" s="4">
        <v>40</v>
      </c>
      <c r="S7" s="4" t="s">
        <v>313</v>
      </c>
      <c r="T7" s="4" t="s">
        <v>70</v>
      </c>
      <c r="U7" s="4" t="s">
        <v>71</v>
      </c>
      <c r="V7" s="6" t="s">
        <v>73</v>
      </c>
      <c r="BS7" s="4" t="s">
        <v>70</v>
      </c>
      <c r="BT7" s="4" t="s">
        <v>70</v>
      </c>
      <c r="BU7" s="4" t="s">
        <v>71</v>
      </c>
      <c r="BV7" s="4" t="s">
        <v>71</v>
      </c>
      <c r="BW7" s="4" t="s">
        <v>70</v>
      </c>
      <c r="BX7" s="4" t="s">
        <v>71</v>
      </c>
      <c r="BY7" s="4" t="s">
        <v>71</v>
      </c>
      <c r="BZ7" s="4" t="s">
        <v>71</v>
      </c>
      <c r="CA7" s="4" t="s">
        <v>71</v>
      </c>
      <c r="CB7" s="4" t="s">
        <v>71</v>
      </c>
      <c r="CC7" s="4" t="s">
        <v>71</v>
      </c>
      <c r="CD7" s="4" t="s">
        <v>70</v>
      </c>
      <c r="CE7" s="4" t="s">
        <v>71</v>
      </c>
      <c r="CF7" s="4" t="s">
        <v>71</v>
      </c>
      <c r="CG7" s="4" t="s">
        <v>71</v>
      </c>
      <c r="CH7" s="4" t="s">
        <v>71</v>
      </c>
      <c r="CI7" s="4" t="s">
        <v>70</v>
      </c>
      <c r="CJ7" s="4" t="s">
        <v>71</v>
      </c>
      <c r="CK7" s="4" t="s">
        <v>71</v>
      </c>
      <c r="CL7" s="4" t="s">
        <v>71</v>
      </c>
      <c r="CM7" s="4" t="s">
        <v>71</v>
      </c>
      <c r="CN7" s="4" t="s">
        <v>71</v>
      </c>
      <c r="CO7" s="4" t="s">
        <v>71</v>
      </c>
      <c r="CP7" s="4" t="s">
        <v>314</v>
      </c>
    </row>
    <row r="8" spans="1:100" ht="13.2" x14ac:dyDescent="0.25">
      <c r="A8" s="3">
        <v>45001.3768016088</v>
      </c>
      <c r="B8" s="4" t="s">
        <v>252</v>
      </c>
      <c r="C8" s="4" t="s">
        <v>253</v>
      </c>
      <c r="D8" s="5" t="s">
        <v>254</v>
      </c>
      <c r="E8" s="4" t="s">
        <v>103</v>
      </c>
      <c r="F8" s="4" t="s">
        <v>255</v>
      </c>
      <c r="G8" s="4" t="s">
        <v>105</v>
      </c>
      <c r="H8" s="4" t="s">
        <v>256</v>
      </c>
      <c r="I8" s="4" t="s">
        <v>257</v>
      </c>
      <c r="J8" s="4" t="s">
        <v>258</v>
      </c>
      <c r="K8" s="4" t="s">
        <v>252</v>
      </c>
      <c r="L8" s="4" t="s">
        <v>67</v>
      </c>
      <c r="M8" s="4" t="s">
        <v>189</v>
      </c>
      <c r="N8" s="4">
        <v>40</v>
      </c>
      <c r="O8" s="4" t="s">
        <v>69</v>
      </c>
      <c r="P8" s="4">
        <v>4</v>
      </c>
      <c r="Q8" s="4">
        <v>3</v>
      </c>
      <c r="R8" s="4">
        <v>80</v>
      </c>
      <c r="T8" s="4" t="s">
        <v>70</v>
      </c>
      <c r="U8" s="4" t="s">
        <v>70</v>
      </c>
      <c r="V8" s="6" t="s">
        <v>73</v>
      </c>
      <c r="BS8" s="4" t="s">
        <v>70</v>
      </c>
      <c r="BT8" s="4" t="s">
        <v>70</v>
      </c>
      <c r="BU8" s="4" t="s">
        <v>70</v>
      </c>
      <c r="BV8" s="4" t="s">
        <v>70</v>
      </c>
      <c r="BW8" s="4" t="s">
        <v>70</v>
      </c>
      <c r="BX8" s="4" t="s">
        <v>70</v>
      </c>
      <c r="BY8" s="4" t="s">
        <v>70</v>
      </c>
      <c r="BZ8" s="4" t="s">
        <v>70</v>
      </c>
      <c r="CA8" s="4" t="s">
        <v>70</v>
      </c>
      <c r="CB8" s="4" t="s">
        <v>70</v>
      </c>
      <c r="CC8" s="4" t="s">
        <v>70</v>
      </c>
      <c r="CD8" s="4" t="s">
        <v>70</v>
      </c>
      <c r="CE8" s="4" t="s">
        <v>70</v>
      </c>
      <c r="CF8" s="4" t="s">
        <v>70</v>
      </c>
      <c r="CG8" s="4" t="s">
        <v>71</v>
      </c>
      <c r="CH8" s="4" t="s">
        <v>71</v>
      </c>
      <c r="CI8" s="4" t="s">
        <v>71</v>
      </c>
      <c r="CJ8" s="4" t="s">
        <v>71</v>
      </c>
      <c r="CK8" s="4" t="s">
        <v>71</v>
      </c>
      <c r="CL8" s="4" t="s">
        <v>70</v>
      </c>
      <c r="CM8" s="4" t="s">
        <v>70</v>
      </c>
      <c r="CN8" s="4" t="s">
        <v>70</v>
      </c>
      <c r="CO8" s="4" t="s">
        <v>70</v>
      </c>
    </row>
    <row r="9" spans="1:100" ht="13.2" x14ac:dyDescent="0.25">
      <c r="A9" s="3">
        <v>45001.394554814819</v>
      </c>
      <c r="B9" s="4" t="s">
        <v>1056</v>
      </c>
      <c r="C9" s="4" t="s">
        <v>1057</v>
      </c>
      <c r="D9" s="5" t="s">
        <v>1058</v>
      </c>
      <c r="E9" s="4" t="s">
        <v>103</v>
      </c>
      <c r="F9" s="4" t="s">
        <v>723</v>
      </c>
      <c r="G9" s="4" t="s">
        <v>105</v>
      </c>
      <c r="H9" s="4" t="s">
        <v>1059</v>
      </c>
      <c r="I9" s="4" t="s">
        <v>1060</v>
      </c>
      <c r="J9" s="4" t="s">
        <v>1061</v>
      </c>
      <c r="K9" s="4" t="s">
        <v>1056</v>
      </c>
      <c r="L9" s="4" t="s">
        <v>656</v>
      </c>
      <c r="M9" s="4" t="s">
        <v>648</v>
      </c>
      <c r="N9" s="4">
        <v>11</v>
      </c>
      <c r="O9" s="4" t="s">
        <v>69</v>
      </c>
      <c r="P9" s="4">
        <v>2</v>
      </c>
      <c r="Q9" s="4">
        <v>1</v>
      </c>
      <c r="R9" s="4">
        <v>30</v>
      </c>
      <c r="T9" s="4" t="s">
        <v>70</v>
      </c>
      <c r="U9" s="4" t="s">
        <v>71</v>
      </c>
      <c r="V9" s="6" t="s">
        <v>73</v>
      </c>
      <c r="BS9" s="4" t="s">
        <v>70</v>
      </c>
      <c r="BT9" s="4" t="s">
        <v>71</v>
      </c>
      <c r="BU9" s="4" t="s">
        <v>71</v>
      </c>
      <c r="BV9" s="4" t="s">
        <v>71</v>
      </c>
      <c r="BW9" s="4" t="s">
        <v>70</v>
      </c>
      <c r="BX9" s="4" t="s">
        <v>71</v>
      </c>
      <c r="BY9" s="4" t="s">
        <v>71</v>
      </c>
      <c r="BZ9" s="4" t="s">
        <v>71</v>
      </c>
      <c r="CA9" s="4" t="s">
        <v>71</v>
      </c>
      <c r="CB9" s="4" t="s">
        <v>71</v>
      </c>
      <c r="CC9" s="4" t="s">
        <v>71</v>
      </c>
      <c r="CD9" s="4" t="s">
        <v>71</v>
      </c>
      <c r="CE9" s="4" t="s">
        <v>71</v>
      </c>
      <c r="CF9" s="4" t="s">
        <v>71</v>
      </c>
      <c r="CG9" s="4" t="s">
        <v>71</v>
      </c>
      <c r="CH9" s="4" t="s">
        <v>71</v>
      </c>
      <c r="CI9" s="4" t="s">
        <v>70</v>
      </c>
      <c r="CJ9" s="4" t="s">
        <v>71</v>
      </c>
      <c r="CK9" s="4" t="s">
        <v>71</v>
      </c>
      <c r="CL9" s="4" t="s">
        <v>71</v>
      </c>
      <c r="CM9" s="4" t="s">
        <v>71</v>
      </c>
      <c r="CN9" s="4" t="s">
        <v>71</v>
      </c>
      <c r="CO9" s="4" t="s">
        <v>71</v>
      </c>
    </row>
    <row r="10" spans="1:100" ht="13.2" x14ac:dyDescent="0.25">
      <c r="A10" s="3">
        <v>45001.406216307871</v>
      </c>
      <c r="B10" s="4" t="s">
        <v>535</v>
      </c>
      <c r="C10" s="4" t="s">
        <v>536</v>
      </c>
      <c r="D10" s="7" t="s">
        <v>537</v>
      </c>
      <c r="E10" s="4" t="s">
        <v>103</v>
      </c>
      <c r="F10" s="4" t="s">
        <v>555</v>
      </c>
      <c r="G10" s="4" t="s">
        <v>64</v>
      </c>
      <c r="H10" s="4" t="s">
        <v>539</v>
      </c>
      <c r="I10" s="4" t="s">
        <v>540</v>
      </c>
      <c r="K10" s="4" t="s">
        <v>535</v>
      </c>
      <c r="L10" s="4" t="s">
        <v>67</v>
      </c>
      <c r="M10" s="4" t="s">
        <v>331</v>
      </c>
      <c r="N10" s="4">
        <v>36</v>
      </c>
      <c r="O10" s="4" t="s">
        <v>200</v>
      </c>
      <c r="P10" s="4">
        <v>4</v>
      </c>
      <c r="Q10" s="4">
        <v>3</v>
      </c>
      <c r="R10" s="4">
        <v>10</v>
      </c>
      <c r="S10" s="4" t="s">
        <v>548</v>
      </c>
      <c r="T10" s="4" t="s">
        <v>70</v>
      </c>
      <c r="U10" s="4" t="s">
        <v>71</v>
      </c>
      <c r="V10" s="6" t="s">
        <v>73</v>
      </c>
      <c r="BS10" s="4" t="s">
        <v>70</v>
      </c>
      <c r="BT10" s="4" t="s">
        <v>70</v>
      </c>
      <c r="BU10" s="4" t="s">
        <v>71</v>
      </c>
      <c r="BV10" s="4" t="s">
        <v>70</v>
      </c>
      <c r="BW10" s="4" t="s">
        <v>70</v>
      </c>
      <c r="BX10" s="4" t="s">
        <v>70</v>
      </c>
      <c r="BY10" s="4" t="s">
        <v>71</v>
      </c>
      <c r="BZ10" s="4" t="s">
        <v>71</v>
      </c>
      <c r="CA10" s="4" t="s">
        <v>71</v>
      </c>
      <c r="CB10" s="4" t="s">
        <v>70</v>
      </c>
      <c r="CC10" s="4" t="s">
        <v>70</v>
      </c>
      <c r="CD10" s="4" t="s">
        <v>70</v>
      </c>
      <c r="CE10" s="4" t="s">
        <v>71</v>
      </c>
      <c r="CF10" s="4" t="s">
        <v>71</v>
      </c>
      <c r="CG10" s="4" t="s">
        <v>70</v>
      </c>
      <c r="CH10" s="4" t="s">
        <v>70</v>
      </c>
      <c r="CI10" s="4" t="s">
        <v>70</v>
      </c>
      <c r="CJ10" s="4" t="s">
        <v>71</v>
      </c>
      <c r="CK10" s="4" t="s">
        <v>71</v>
      </c>
      <c r="CL10" s="4" t="s">
        <v>70</v>
      </c>
      <c r="CM10" s="4" t="s">
        <v>70</v>
      </c>
      <c r="CN10" s="4" t="s">
        <v>71</v>
      </c>
      <c r="CO10" s="4" t="s">
        <v>71</v>
      </c>
      <c r="CP10" s="4" t="s">
        <v>557</v>
      </c>
    </row>
    <row r="11" spans="1:100" ht="13.2" x14ac:dyDescent="0.25">
      <c r="A11" s="3">
        <v>45001.40658141204</v>
      </c>
      <c r="B11" s="4" t="s">
        <v>202</v>
      </c>
      <c r="C11" s="4" t="s">
        <v>203</v>
      </c>
      <c r="D11" s="5" t="s">
        <v>204</v>
      </c>
      <c r="E11" s="4" t="s">
        <v>149</v>
      </c>
      <c r="F11" s="4" t="s">
        <v>205</v>
      </c>
      <c r="G11" s="4" t="s">
        <v>64</v>
      </c>
      <c r="H11" s="4" t="s">
        <v>206</v>
      </c>
      <c r="I11" s="4" t="s">
        <v>207</v>
      </c>
      <c r="J11" s="4" t="s">
        <v>208</v>
      </c>
      <c r="K11" s="4" t="s">
        <v>202</v>
      </c>
      <c r="L11" s="4" t="s">
        <v>67</v>
      </c>
      <c r="M11" s="4" t="s">
        <v>174</v>
      </c>
      <c r="N11" s="4">
        <v>30</v>
      </c>
      <c r="O11" s="4" t="s">
        <v>97</v>
      </c>
      <c r="P11" s="4">
        <v>4</v>
      </c>
      <c r="Q11" s="4">
        <v>4</v>
      </c>
      <c r="R11" s="4">
        <v>20</v>
      </c>
      <c r="T11" s="4" t="s">
        <v>70</v>
      </c>
      <c r="U11" s="4" t="s">
        <v>71</v>
      </c>
      <c r="V11" s="6" t="s">
        <v>73</v>
      </c>
      <c r="BS11" s="4" t="s">
        <v>70</v>
      </c>
      <c r="BT11" s="4" t="s">
        <v>71</v>
      </c>
      <c r="BU11" s="4" t="s">
        <v>71</v>
      </c>
      <c r="BV11" s="4" t="s">
        <v>71</v>
      </c>
      <c r="BW11" s="4" t="s">
        <v>70</v>
      </c>
      <c r="BX11" s="4" t="s">
        <v>70</v>
      </c>
      <c r="BY11" s="4" t="s">
        <v>71</v>
      </c>
      <c r="BZ11" s="4" t="s">
        <v>71</v>
      </c>
      <c r="CA11" s="4" t="s">
        <v>71</v>
      </c>
      <c r="CB11" s="4" t="s">
        <v>71</v>
      </c>
      <c r="CC11" s="4" t="s">
        <v>70</v>
      </c>
      <c r="CD11" s="4" t="s">
        <v>70</v>
      </c>
      <c r="CE11" s="4" t="s">
        <v>71</v>
      </c>
      <c r="CF11" s="4" t="s">
        <v>71</v>
      </c>
      <c r="CG11" s="4" t="s">
        <v>71</v>
      </c>
      <c r="CH11" s="4" t="s">
        <v>70</v>
      </c>
      <c r="CI11" s="4" t="s">
        <v>70</v>
      </c>
      <c r="CJ11" s="4" t="s">
        <v>71</v>
      </c>
      <c r="CK11" s="4" t="s">
        <v>71</v>
      </c>
      <c r="CL11" s="4" t="s">
        <v>71</v>
      </c>
      <c r="CM11" s="4" t="s">
        <v>71</v>
      </c>
      <c r="CN11" s="4" t="s">
        <v>71</v>
      </c>
      <c r="CO11" s="4" t="s">
        <v>71</v>
      </c>
    </row>
    <row r="12" spans="1:100" ht="13.2" x14ac:dyDescent="0.25">
      <c r="A12" s="3">
        <v>45001.410837557865</v>
      </c>
      <c r="B12" s="4" t="s">
        <v>210</v>
      </c>
      <c r="C12" s="4" t="s">
        <v>203</v>
      </c>
      <c r="D12" s="5" t="s">
        <v>204</v>
      </c>
      <c r="E12" s="4" t="s">
        <v>62</v>
      </c>
      <c r="F12" s="4" t="s">
        <v>211</v>
      </c>
      <c r="G12" s="4" t="s">
        <v>64</v>
      </c>
      <c r="H12" s="4" t="s">
        <v>208</v>
      </c>
      <c r="I12" s="4" t="s">
        <v>206</v>
      </c>
      <c r="J12" s="4" t="s">
        <v>207</v>
      </c>
      <c r="K12" s="4" t="s">
        <v>210</v>
      </c>
      <c r="L12" s="4" t="s">
        <v>67</v>
      </c>
      <c r="M12" s="4" t="s">
        <v>174</v>
      </c>
      <c r="N12" s="4">
        <v>34</v>
      </c>
      <c r="O12" s="4" t="s">
        <v>97</v>
      </c>
      <c r="P12" s="4">
        <v>4</v>
      </c>
      <c r="Q12" s="4">
        <v>4</v>
      </c>
      <c r="R12" s="4">
        <v>10</v>
      </c>
      <c r="T12" s="4" t="s">
        <v>70</v>
      </c>
      <c r="U12" s="4" t="s">
        <v>71</v>
      </c>
      <c r="V12" s="6" t="s">
        <v>73</v>
      </c>
      <c r="BS12" s="4" t="s">
        <v>70</v>
      </c>
      <c r="BT12" s="4" t="s">
        <v>71</v>
      </c>
      <c r="BU12" s="4" t="s">
        <v>71</v>
      </c>
      <c r="BV12" s="4" t="s">
        <v>71</v>
      </c>
      <c r="BW12" s="4" t="s">
        <v>70</v>
      </c>
      <c r="BX12" s="4" t="s">
        <v>70</v>
      </c>
      <c r="BY12" s="4" t="s">
        <v>71</v>
      </c>
      <c r="BZ12" s="4" t="s">
        <v>71</v>
      </c>
      <c r="CA12" s="4" t="s">
        <v>71</v>
      </c>
      <c r="CB12" s="4" t="s">
        <v>71</v>
      </c>
      <c r="CC12" s="4" t="s">
        <v>70</v>
      </c>
      <c r="CD12" s="4" t="s">
        <v>70</v>
      </c>
      <c r="CE12" s="4" t="s">
        <v>71</v>
      </c>
      <c r="CF12" s="4" t="s">
        <v>71</v>
      </c>
      <c r="CG12" s="4" t="s">
        <v>71</v>
      </c>
      <c r="CH12" s="4" t="s">
        <v>70</v>
      </c>
      <c r="CI12" s="4" t="s">
        <v>70</v>
      </c>
      <c r="CJ12" s="4" t="s">
        <v>71</v>
      </c>
      <c r="CK12" s="4" t="s">
        <v>71</v>
      </c>
      <c r="CL12" s="4" t="s">
        <v>71</v>
      </c>
      <c r="CM12" s="4" t="s">
        <v>71</v>
      </c>
      <c r="CN12" s="4" t="s">
        <v>71</v>
      </c>
      <c r="CO12" s="4" t="s">
        <v>71</v>
      </c>
    </row>
    <row r="13" spans="1:100" ht="13.2" x14ac:dyDescent="0.25">
      <c r="A13" s="3">
        <v>45001.434614201389</v>
      </c>
      <c r="B13" s="4" t="s">
        <v>535</v>
      </c>
      <c r="C13" s="4" t="s">
        <v>536</v>
      </c>
      <c r="D13" s="7" t="s">
        <v>537</v>
      </c>
      <c r="E13" s="4" t="s">
        <v>103</v>
      </c>
      <c r="F13" s="4" t="s">
        <v>555</v>
      </c>
      <c r="G13" s="4" t="s">
        <v>64</v>
      </c>
      <c r="H13" s="4" t="s">
        <v>539</v>
      </c>
      <c r="I13" s="4" t="s">
        <v>540</v>
      </c>
      <c r="K13" s="4" t="s">
        <v>535</v>
      </c>
      <c r="L13" s="4" t="s">
        <v>67</v>
      </c>
      <c r="M13" s="4" t="s">
        <v>331</v>
      </c>
      <c r="N13" s="4">
        <v>34</v>
      </c>
      <c r="O13" s="4" t="s">
        <v>97</v>
      </c>
      <c r="P13" s="4">
        <v>4</v>
      </c>
      <c r="Q13" s="4">
        <v>3</v>
      </c>
      <c r="R13" s="4">
        <v>10</v>
      </c>
      <c r="S13" s="4" t="s">
        <v>559</v>
      </c>
      <c r="T13" s="4" t="s">
        <v>71</v>
      </c>
      <c r="U13" s="4" t="s">
        <v>70</v>
      </c>
      <c r="V13" s="6" t="s">
        <v>73</v>
      </c>
      <c r="BS13" s="4" t="s">
        <v>71</v>
      </c>
      <c r="BT13" s="4" t="s">
        <v>71</v>
      </c>
      <c r="BU13" s="4" t="s">
        <v>70</v>
      </c>
      <c r="BV13" s="4" t="s">
        <v>71</v>
      </c>
      <c r="BW13" s="4" t="s">
        <v>71</v>
      </c>
      <c r="BX13" s="4" t="s">
        <v>71</v>
      </c>
      <c r="BY13" s="4" t="s">
        <v>71</v>
      </c>
      <c r="BZ13" s="4" t="s">
        <v>70</v>
      </c>
      <c r="CA13" s="4" t="s">
        <v>70</v>
      </c>
      <c r="CB13" s="4" t="s">
        <v>71</v>
      </c>
      <c r="CC13" s="4" t="s">
        <v>71</v>
      </c>
      <c r="CD13" s="4" t="s">
        <v>71</v>
      </c>
      <c r="CE13" s="4" t="s">
        <v>70</v>
      </c>
      <c r="CF13" s="4" t="s">
        <v>70</v>
      </c>
      <c r="CG13" s="4" t="s">
        <v>71</v>
      </c>
      <c r="CH13" s="4" t="s">
        <v>71</v>
      </c>
      <c r="CI13" s="4" t="s">
        <v>71</v>
      </c>
      <c r="CJ13" s="4" t="s">
        <v>70</v>
      </c>
      <c r="CK13" s="4" t="s">
        <v>70</v>
      </c>
      <c r="CL13" s="4" t="s">
        <v>71</v>
      </c>
      <c r="CM13" s="4" t="s">
        <v>71</v>
      </c>
      <c r="CN13" s="4" t="s">
        <v>70</v>
      </c>
      <c r="CO13" s="4" t="s">
        <v>70</v>
      </c>
      <c r="CP13" s="4" t="s">
        <v>560</v>
      </c>
    </row>
    <row r="14" spans="1:100" ht="13.2" x14ac:dyDescent="0.25">
      <c r="A14" s="3">
        <v>45001.486748229167</v>
      </c>
      <c r="B14" s="4" t="s">
        <v>162</v>
      </c>
      <c r="C14" s="4" t="s">
        <v>163</v>
      </c>
      <c r="D14" s="5" t="s">
        <v>164</v>
      </c>
      <c r="E14" s="4" t="s">
        <v>62</v>
      </c>
      <c r="F14" s="4" t="s">
        <v>165</v>
      </c>
      <c r="G14" s="4" t="s">
        <v>64</v>
      </c>
      <c r="H14" s="4" t="s">
        <v>166</v>
      </c>
      <c r="I14" s="4" t="s">
        <v>167</v>
      </c>
      <c r="J14" s="4" t="s">
        <v>168</v>
      </c>
      <c r="K14" s="4" t="s">
        <v>162</v>
      </c>
      <c r="L14" s="4" t="s">
        <v>67</v>
      </c>
      <c r="M14" s="4" t="s">
        <v>144</v>
      </c>
      <c r="N14" s="4">
        <v>32</v>
      </c>
      <c r="O14" s="4" t="s">
        <v>97</v>
      </c>
      <c r="P14" s="4">
        <v>4</v>
      </c>
      <c r="Q14" s="4">
        <v>4</v>
      </c>
      <c r="R14" s="4">
        <v>0</v>
      </c>
      <c r="T14" s="4" t="s">
        <v>70</v>
      </c>
      <c r="U14" s="4" t="s">
        <v>71</v>
      </c>
      <c r="V14" s="6" t="s">
        <v>73</v>
      </c>
      <c r="BS14" s="4" t="s">
        <v>70</v>
      </c>
      <c r="BT14" s="4" t="s">
        <v>71</v>
      </c>
      <c r="BU14" s="4" t="s">
        <v>71</v>
      </c>
      <c r="BV14" s="4" t="s">
        <v>71</v>
      </c>
      <c r="BW14" s="4" t="s">
        <v>71</v>
      </c>
      <c r="BX14" s="4" t="s">
        <v>71</v>
      </c>
      <c r="BY14" s="4" t="s">
        <v>71</v>
      </c>
      <c r="BZ14" s="4" t="s">
        <v>71</v>
      </c>
      <c r="CA14" s="4" t="s">
        <v>71</v>
      </c>
      <c r="CB14" s="4" t="s">
        <v>71</v>
      </c>
      <c r="CC14" s="4" t="s">
        <v>70</v>
      </c>
      <c r="CD14" s="4" t="s">
        <v>71</v>
      </c>
      <c r="CE14" s="4" t="s">
        <v>71</v>
      </c>
      <c r="CF14" s="4" t="s">
        <v>71</v>
      </c>
      <c r="CG14" s="4" t="s">
        <v>71</v>
      </c>
      <c r="CH14" s="4" t="s">
        <v>71</v>
      </c>
      <c r="CI14" s="4" t="s">
        <v>70</v>
      </c>
      <c r="CJ14" s="4" t="s">
        <v>71</v>
      </c>
      <c r="CK14" s="4" t="s">
        <v>71</v>
      </c>
      <c r="CL14" s="4" t="s">
        <v>71</v>
      </c>
      <c r="CM14" s="4" t="s">
        <v>71</v>
      </c>
      <c r="CN14" s="4" t="s">
        <v>71</v>
      </c>
      <c r="CO14" s="4" t="s">
        <v>71</v>
      </c>
    </row>
    <row r="15" spans="1:100" ht="13.2" x14ac:dyDescent="0.25">
      <c r="A15" s="3">
        <v>45001.488910428241</v>
      </c>
      <c r="B15" s="4" t="s">
        <v>162</v>
      </c>
      <c r="C15" s="4" t="s">
        <v>170</v>
      </c>
      <c r="D15" s="5" t="s">
        <v>164</v>
      </c>
      <c r="E15" s="4" t="s">
        <v>62</v>
      </c>
      <c r="F15" s="4" t="s">
        <v>171</v>
      </c>
      <c r="G15" s="4" t="s">
        <v>64</v>
      </c>
      <c r="H15" s="4" t="s">
        <v>172</v>
      </c>
      <c r="I15" s="4" t="s">
        <v>167</v>
      </c>
      <c r="J15" s="4" t="s">
        <v>173</v>
      </c>
      <c r="K15" s="4" t="s">
        <v>162</v>
      </c>
      <c r="L15" s="4" t="s">
        <v>67</v>
      </c>
      <c r="M15" s="4" t="s">
        <v>153</v>
      </c>
      <c r="N15" s="4">
        <v>32</v>
      </c>
      <c r="O15" s="4" t="s">
        <v>97</v>
      </c>
      <c r="P15" s="4">
        <v>4</v>
      </c>
      <c r="Q15" s="4">
        <v>4</v>
      </c>
      <c r="R15" s="4">
        <v>0</v>
      </c>
      <c r="T15" s="4" t="s">
        <v>70</v>
      </c>
      <c r="U15" s="4" t="s">
        <v>71</v>
      </c>
      <c r="V15" s="6" t="s">
        <v>73</v>
      </c>
      <c r="BS15" s="4" t="s">
        <v>70</v>
      </c>
      <c r="BT15" s="4" t="s">
        <v>71</v>
      </c>
      <c r="BU15" s="4" t="s">
        <v>71</v>
      </c>
      <c r="BV15" s="4" t="s">
        <v>71</v>
      </c>
      <c r="BW15" s="4" t="s">
        <v>71</v>
      </c>
      <c r="BX15" s="4" t="s">
        <v>71</v>
      </c>
      <c r="BY15" s="4" t="s">
        <v>71</v>
      </c>
      <c r="BZ15" s="4" t="s">
        <v>71</v>
      </c>
      <c r="CA15" s="4" t="s">
        <v>71</v>
      </c>
      <c r="CB15" s="4" t="s">
        <v>71</v>
      </c>
      <c r="CC15" s="4" t="s">
        <v>70</v>
      </c>
      <c r="CD15" s="4" t="s">
        <v>71</v>
      </c>
      <c r="CE15" s="4" t="s">
        <v>71</v>
      </c>
      <c r="CF15" s="4" t="s">
        <v>71</v>
      </c>
      <c r="CG15" s="4" t="s">
        <v>71</v>
      </c>
      <c r="CH15" s="4" t="s">
        <v>71</v>
      </c>
      <c r="CI15" s="4" t="s">
        <v>70</v>
      </c>
      <c r="CJ15" s="4" t="s">
        <v>71</v>
      </c>
      <c r="CK15" s="4" t="s">
        <v>71</v>
      </c>
      <c r="CL15" s="4" t="s">
        <v>71</v>
      </c>
      <c r="CM15" s="4" t="s">
        <v>71</v>
      </c>
      <c r="CN15" s="4" t="s">
        <v>71</v>
      </c>
      <c r="CO15" s="4" t="s">
        <v>71</v>
      </c>
    </row>
    <row r="16" spans="1:100" ht="13.2" x14ac:dyDescent="0.25">
      <c r="A16" s="3">
        <v>45001.498919201389</v>
      </c>
      <c r="B16" s="4" t="s">
        <v>260</v>
      </c>
      <c r="C16" s="4" t="s">
        <v>268</v>
      </c>
      <c r="D16" s="5" t="s">
        <v>262</v>
      </c>
      <c r="E16" s="4" t="s">
        <v>62</v>
      </c>
      <c r="F16" s="4" t="s">
        <v>269</v>
      </c>
      <c r="G16" s="4" t="s">
        <v>64</v>
      </c>
      <c r="H16" s="4" t="s">
        <v>270</v>
      </c>
      <c r="I16" s="4" t="s">
        <v>271</v>
      </c>
      <c r="K16" s="4" t="s">
        <v>260</v>
      </c>
      <c r="L16" s="4" t="s">
        <v>67</v>
      </c>
      <c r="M16" s="4" t="s">
        <v>199</v>
      </c>
      <c r="N16" s="4">
        <v>35</v>
      </c>
      <c r="O16" s="4" t="s">
        <v>69</v>
      </c>
      <c r="P16" s="4">
        <v>3</v>
      </c>
      <c r="Q16" s="4">
        <v>2</v>
      </c>
      <c r="R16" s="4">
        <v>20</v>
      </c>
      <c r="T16" s="4" t="s">
        <v>70</v>
      </c>
      <c r="U16" s="4" t="s">
        <v>71</v>
      </c>
      <c r="V16" s="6" t="s">
        <v>73</v>
      </c>
      <c r="BS16" s="4" t="s">
        <v>70</v>
      </c>
      <c r="BT16" s="4" t="s">
        <v>70</v>
      </c>
      <c r="BU16" s="4" t="s">
        <v>71</v>
      </c>
      <c r="BV16" s="4" t="s">
        <v>70</v>
      </c>
      <c r="BW16" s="4" t="s">
        <v>70</v>
      </c>
      <c r="BX16" s="4" t="s">
        <v>70</v>
      </c>
      <c r="BY16" s="4" t="s">
        <v>71</v>
      </c>
      <c r="BZ16" s="4" t="s">
        <v>71</v>
      </c>
      <c r="CA16" s="4" t="s">
        <v>71</v>
      </c>
      <c r="CB16" s="4" t="s">
        <v>70</v>
      </c>
      <c r="CC16" s="4" t="s">
        <v>70</v>
      </c>
      <c r="CD16" s="4" t="s">
        <v>70</v>
      </c>
      <c r="CE16" s="4" t="s">
        <v>71</v>
      </c>
      <c r="CF16" s="4" t="s">
        <v>71</v>
      </c>
      <c r="CG16" s="4" t="s">
        <v>70</v>
      </c>
      <c r="CH16" s="4" t="s">
        <v>70</v>
      </c>
      <c r="CI16" s="4" t="s">
        <v>70</v>
      </c>
      <c r="CJ16" s="4" t="s">
        <v>71</v>
      </c>
      <c r="CK16" s="4" t="s">
        <v>71</v>
      </c>
      <c r="CL16" s="4" t="s">
        <v>70</v>
      </c>
      <c r="CM16" s="4" t="s">
        <v>70</v>
      </c>
      <c r="CN16" s="4" t="s">
        <v>71</v>
      </c>
      <c r="CO16" s="4" t="s">
        <v>71</v>
      </c>
    </row>
    <row r="17" spans="1:94" ht="13.2" x14ac:dyDescent="0.25">
      <c r="A17" s="3">
        <v>45001.52091958333</v>
      </c>
      <c r="B17" s="4" t="s">
        <v>115</v>
      </c>
      <c r="C17" s="4" t="s">
        <v>116</v>
      </c>
      <c r="D17" s="7" t="s">
        <v>102</v>
      </c>
      <c r="E17" s="4" t="s">
        <v>103</v>
      </c>
      <c r="F17" s="4" t="s">
        <v>117</v>
      </c>
      <c r="G17" s="4" t="s">
        <v>105</v>
      </c>
      <c r="H17" s="4" t="s">
        <v>118</v>
      </c>
      <c r="I17" s="4" t="s">
        <v>119</v>
      </c>
      <c r="K17" s="4" t="s">
        <v>115</v>
      </c>
      <c r="L17" s="4" t="s">
        <v>67</v>
      </c>
      <c r="M17" s="4" t="s">
        <v>98</v>
      </c>
      <c r="N17" s="4">
        <v>35</v>
      </c>
      <c r="O17" s="4" t="s">
        <v>69</v>
      </c>
      <c r="P17" s="4">
        <v>4</v>
      </c>
      <c r="Q17" s="4">
        <v>1</v>
      </c>
      <c r="R17" s="4">
        <v>50</v>
      </c>
      <c r="T17" s="4" t="s">
        <v>71</v>
      </c>
      <c r="U17" s="4" t="s">
        <v>70</v>
      </c>
      <c r="V17" s="6" t="s">
        <v>73</v>
      </c>
      <c r="BS17" s="4" t="s">
        <v>71</v>
      </c>
      <c r="BT17" s="4" t="s">
        <v>70</v>
      </c>
      <c r="BU17" s="4" t="s">
        <v>70</v>
      </c>
      <c r="BV17" s="4" t="s">
        <v>71</v>
      </c>
      <c r="BW17" s="4" t="s">
        <v>71</v>
      </c>
      <c r="BX17" s="4" t="s">
        <v>71</v>
      </c>
      <c r="BY17" s="4" t="s">
        <v>70</v>
      </c>
      <c r="BZ17" s="4" t="s">
        <v>71</v>
      </c>
      <c r="CA17" s="4" t="s">
        <v>71</v>
      </c>
      <c r="CB17" s="4" t="s">
        <v>71</v>
      </c>
      <c r="CC17" s="4" t="s">
        <v>71</v>
      </c>
      <c r="CD17" s="4" t="s">
        <v>71</v>
      </c>
      <c r="CE17" s="4" t="s">
        <v>71</v>
      </c>
      <c r="CF17" s="4" t="s">
        <v>70</v>
      </c>
      <c r="CG17" s="4" t="s">
        <v>71</v>
      </c>
      <c r="CH17" s="4" t="s">
        <v>71</v>
      </c>
      <c r="CI17" s="4" t="s">
        <v>71</v>
      </c>
      <c r="CJ17" s="4" t="s">
        <v>71</v>
      </c>
      <c r="CK17" s="4" t="s">
        <v>70</v>
      </c>
      <c r="CL17" s="4" t="s">
        <v>71</v>
      </c>
      <c r="CM17" s="4" t="s">
        <v>71</v>
      </c>
      <c r="CN17" s="4" t="s">
        <v>71</v>
      </c>
      <c r="CO17" s="4" t="s">
        <v>70</v>
      </c>
    </row>
    <row r="18" spans="1:94" ht="13.2" x14ac:dyDescent="0.25">
      <c r="A18" s="3">
        <v>45001.527672581018</v>
      </c>
      <c r="B18" s="4" t="s">
        <v>301</v>
      </c>
      <c r="C18" s="4" t="s">
        <v>292</v>
      </c>
      <c r="D18" s="5" t="s">
        <v>293</v>
      </c>
      <c r="E18" s="4" t="s">
        <v>62</v>
      </c>
      <c r="F18" s="4" t="s">
        <v>294</v>
      </c>
      <c r="G18" s="4" t="s">
        <v>64</v>
      </c>
      <c r="H18" s="4" t="s">
        <v>295</v>
      </c>
      <c r="I18" s="4" t="s">
        <v>296</v>
      </c>
      <c r="J18" s="4" t="s">
        <v>302</v>
      </c>
      <c r="K18" s="4" t="s">
        <v>301</v>
      </c>
      <c r="L18" s="4" t="s">
        <v>67</v>
      </c>
      <c r="M18" s="4" t="s">
        <v>212</v>
      </c>
      <c r="N18" s="4">
        <v>35</v>
      </c>
      <c r="O18" s="4" t="s">
        <v>69</v>
      </c>
      <c r="P18" s="4">
        <v>5</v>
      </c>
      <c r="Q18" s="4">
        <v>5</v>
      </c>
      <c r="R18" s="4">
        <v>0</v>
      </c>
      <c r="S18" s="4" t="s">
        <v>304</v>
      </c>
      <c r="T18" s="4" t="s">
        <v>70</v>
      </c>
      <c r="U18" s="4" t="s">
        <v>71</v>
      </c>
      <c r="V18" s="6" t="s">
        <v>73</v>
      </c>
      <c r="BS18" s="4" t="s">
        <v>70</v>
      </c>
      <c r="BT18" s="4" t="s">
        <v>71</v>
      </c>
      <c r="BU18" s="4" t="s">
        <v>71</v>
      </c>
      <c r="BV18" s="4" t="s">
        <v>71</v>
      </c>
      <c r="BW18" s="4" t="s">
        <v>70</v>
      </c>
      <c r="BX18" s="4" t="s">
        <v>71</v>
      </c>
      <c r="BY18" s="4" t="s">
        <v>71</v>
      </c>
      <c r="BZ18" s="4" t="s">
        <v>71</v>
      </c>
      <c r="CA18" s="4" t="s">
        <v>71</v>
      </c>
      <c r="CB18" s="4" t="s">
        <v>71</v>
      </c>
      <c r="CC18" s="4" t="s">
        <v>71</v>
      </c>
      <c r="CD18" s="4" t="s">
        <v>71</v>
      </c>
      <c r="CE18" s="4" t="s">
        <v>71</v>
      </c>
      <c r="CF18" s="4" t="s">
        <v>71</v>
      </c>
      <c r="CG18" s="4" t="s">
        <v>71</v>
      </c>
      <c r="CH18" s="4" t="s">
        <v>70</v>
      </c>
      <c r="CI18" s="4" t="s">
        <v>71</v>
      </c>
      <c r="CJ18" s="4" t="s">
        <v>71</v>
      </c>
      <c r="CK18" s="4" t="s">
        <v>71</v>
      </c>
      <c r="CL18" s="4" t="s">
        <v>71</v>
      </c>
      <c r="CM18" s="4" t="s">
        <v>70</v>
      </c>
      <c r="CN18" s="4" t="s">
        <v>71</v>
      </c>
      <c r="CO18" s="4" t="s">
        <v>71</v>
      </c>
      <c r="CP18" s="4" t="s">
        <v>305</v>
      </c>
    </row>
    <row r="19" spans="1:94" ht="13.2" x14ac:dyDescent="0.25">
      <c r="A19" s="3">
        <v>45001.576777476846</v>
      </c>
      <c r="B19" s="4" t="s">
        <v>619</v>
      </c>
      <c r="C19" s="4" t="s">
        <v>620</v>
      </c>
      <c r="D19" s="7" t="s">
        <v>621</v>
      </c>
      <c r="E19" s="4" t="s">
        <v>140</v>
      </c>
      <c r="F19" s="4" t="s">
        <v>622</v>
      </c>
      <c r="G19" s="4" t="s">
        <v>105</v>
      </c>
      <c r="H19" s="4" t="s">
        <v>623</v>
      </c>
      <c r="I19" s="4" t="s">
        <v>624</v>
      </c>
      <c r="K19" s="4" t="s">
        <v>619</v>
      </c>
      <c r="L19" s="4" t="s">
        <v>67</v>
      </c>
      <c r="M19" s="4" t="s">
        <v>350</v>
      </c>
      <c r="N19" s="4">
        <v>35</v>
      </c>
      <c r="O19" s="4" t="s">
        <v>97</v>
      </c>
      <c r="P19" s="4">
        <v>5</v>
      </c>
      <c r="Q19" s="4">
        <v>2</v>
      </c>
      <c r="R19" s="4">
        <v>70</v>
      </c>
      <c r="T19" s="4" t="s">
        <v>70</v>
      </c>
      <c r="U19" s="4" t="s">
        <v>71</v>
      </c>
      <c r="V19" s="6" t="s">
        <v>73</v>
      </c>
      <c r="BS19" s="4" t="s">
        <v>70</v>
      </c>
      <c r="BT19" s="4" t="s">
        <v>70</v>
      </c>
      <c r="BU19" s="4" t="s">
        <v>70</v>
      </c>
      <c r="BV19" s="4" t="s">
        <v>70</v>
      </c>
      <c r="BW19" s="4" t="s">
        <v>70</v>
      </c>
      <c r="BX19" s="4" t="s">
        <v>70</v>
      </c>
      <c r="BY19" s="4" t="s">
        <v>71</v>
      </c>
      <c r="BZ19" s="4" t="s">
        <v>71</v>
      </c>
      <c r="CA19" s="4" t="s">
        <v>71</v>
      </c>
      <c r="CB19" s="4" t="s">
        <v>70</v>
      </c>
      <c r="CC19" s="4" t="s">
        <v>70</v>
      </c>
      <c r="CD19" s="4" t="s">
        <v>70</v>
      </c>
      <c r="CE19" s="4" t="s">
        <v>71</v>
      </c>
      <c r="CF19" s="4" t="s">
        <v>71</v>
      </c>
      <c r="CG19" s="4" t="s">
        <v>70</v>
      </c>
      <c r="CH19" s="4" t="s">
        <v>70</v>
      </c>
      <c r="CI19" s="4" t="s">
        <v>70</v>
      </c>
      <c r="CJ19" s="4" t="s">
        <v>71</v>
      </c>
      <c r="CK19" s="4" t="s">
        <v>71</v>
      </c>
      <c r="CL19" s="4" t="s">
        <v>70</v>
      </c>
      <c r="CM19" s="4" t="s">
        <v>70</v>
      </c>
      <c r="CN19" s="4" t="s">
        <v>71</v>
      </c>
      <c r="CO19" s="4" t="s">
        <v>71</v>
      </c>
    </row>
    <row r="20" spans="1:94" ht="13.2" x14ac:dyDescent="0.25">
      <c r="A20" s="3">
        <v>45001.647660289353</v>
      </c>
      <c r="B20" s="4" t="s">
        <v>675</v>
      </c>
      <c r="C20" s="4" t="s">
        <v>676</v>
      </c>
      <c r="D20" s="5" t="s">
        <v>670</v>
      </c>
      <c r="E20" s="4" t="s">
        <v>103</v>
      </c>
      <c r="F20" s="4" t="s">
        <v>671</v>
      </c>
      <c r="G20" s="4" t="s">
        <v>64</v>
      </c>
      <c r="H20" s="4" t="s">
        <v>677</v>
      </c>
      <c r="I20" s="4" t="s">
        <v>678</v>
      </c>
      <c r="J20" s="4" t="s">
        <v>679</v>
      </c>
      <c r="K20" s="4" t="s">
        <v>675</v>
      </c>
      <c r="L20" s="4" t="s">
        <v>656</v>
      </c>
      <c r="M20" s="4" t="s">
        <v>375</v>
      </c>
      <c r="N20" s="4">
        <v>31</v>
      </c>
      <c r="O20" s="4" t="s">
        <v>69</v>
      </c>
      <c r="P20" s="4">
        <v>4</v>
      </c>
      <c r="Q20" s="4">
        <v>1</v>
      </c>
      <c r="R20" s="4">
        <v>25</v>
      </c>
      <c r="T20" s="4" t="s">
        <v>70</v>
      </c>
      <c r="U20" s="4" t="s">
        <v>70</v>
      </c>
      <c r="V20" s="6" t="s">
        <v>73</v>
      </c>
      <c r="BS20" s="4" t="s">
        <v>71</v>
      </c>
      <c r="BT20" s="4" t="s">
        <v>71</v>
      </c>
      <c r="BU20" s="4" t="s">
        <v>70</v>
      </c>
      <c r="BV20" s="4" t="s">
        <v>70</v>
      </c>
      <c r="BW20" s="4" t="s">
        <v>71</v>
      </c>
      <c r="BX20" s="4" t="s">
        <v>71</v>
      </c>
      <c r="BY20" s="4" t="s">
        <v>71</v>
      </c>
      <c r="BZ20" s="4" t="s">
        <v>71</v>
      </c>
      <c r="CA20" s="4" t="s">
        <v>71</v>
      </c>
      <c r="CB20" s="4" t="s">
        <v>71</v>
      </c>
      <c r="CC20" s="4" t="s">
        <v>71</v>
      </c>
      <c r="CD20" s="4" t="s">
        <v>70</v>
      </c>
      <c r="CE20" s="4" t="s">
        <v>71</v>
      </c>
      <c r="CF20" s="4" t="s">
        <v>71</v>
      </c>
      <c r="CG20" s="4" t="s">
        <v>71</v>
      </c>
      <c r="CH20" s="4" t="s">
        <v>70</v>
      </c>
      <c r="CI20" s="4" t="s">
        <v>71</v>
      </c>
      <c r="CJ20" s="4" t="s">
        <v>71</v>
      </c>
      <c r="CK20" s="4" t="s">
        <v>71</v>
      </c>
      <c r="CL20" s="4" t="s">
        <v>70</v>
      </c>
      <c r="CM20" s="4" t="s">
        <v>71</v>
      </c>
      <c r="CN20" s="4" t="s">
        <v>71</v>
      </c>
      <c r="CO20" s="4" t="s">
        <v>71</v>
      </c>
    </row>
    <row r="21" spans="1:94" ht="13.2" x14ac:dyDescent="0.25">
      <c r="A21" s="3">
        <v>45001.648040856482</v>
      </c>
      <c r="B21" s="4" t="s">
        <v>162</v>
      </c>
      <c r="C21" s="4" t="s">
        <v>170</v>
      </c>
      <c r="D21" s="5" t="s">
        <v>164</v>
      </c>
      <c r="E21" s="4" t="s">
        <v>62</v>
      </c>
      <c r="F21" s="4" t="s">
        <v>165</v>
      </c>
      <c r="G21" s="4" t="s">
        <v>64</v>
      </c>
      <c r="H21" s="4" t="s">
        <v>172</v>
      </c>
      <c r="I21" s="4" t="s">
        <v>175</v>
      </c>
      <c r="J21" s="4" t="s">
        <v>173</v>
      </c>
      <c r="K21" s="4" t="s">
        <v>162</v>
      </c>
      <c r="L21" s="4" t="s">
        <v>67</v>
      </c>
      <c r="M21" s="4" t="s">
        <v>153</v>
      </c>
      <c r="N21" s="4">
        <v>30</v>
      </c>
      <c r="O21" s="4" t="s">
        <v>97</v>
      </c>
      <c r="P21" s="4">
        <v>4</v>
      </c>
      <c r="Q21" s="4">
        <v>4</v>
      </c>
      <c r="R21" s="4">
        <v>0</v>
      </c>
      <c r="S21" s="4" t="s">
        <v>177</v>
      </c>
      <c r="T21" s="4" t="s">
        <v>70</v>
      </c>
      <c r="U21" s="4" t="s">
        <v>71</v>
      </c>
      <c r="V21" s="6" t="s">
        <v>73</v>
      </c>
      <c r="BS21" s="4" t="s">
        <v>70</v>
      </c>
      <c r="BT21" s="4" t="s">
        <v>71</v>
      </c>
      <c r="BU21" s="4" t="s">
        <v>71</v>
      </c>
      <c r="BV21" s="4" t="s">
        <v>71</v>
      </c>
      <c r="BW21" s="4" t="s">
        <v>71</v>
      </c>
      <c r="BX21" s="4" t="s">
        <v>71</v>
      </c>
      <c r="BY21" s="4" t="s">
        <v>71</v>
      </c>
      <c r="BZ21" s="4" t="s">
        <v>71</v>
      </c>
      <c r="CA21" s="4" t="s">
        <v>71</v>
      </c>
      <c r="CB21" s="4" t="s">
        <v>71</v>
      </c>
      <c r="CC21" s="4" t="s">
        <v>70</v>
      </c>
      <c r="CD21" s="4" t="s">
        <v>71</v>
      </c>
      <c r="CE21" s="4" t="s">
        <v>71</v>
      </c>
      <c r="CF21" s="4" t="s">
        <v>71</v>
      </c>
      <c r="CG21" s="4" t="s">
        <v>71</v>
      </c>
      <c r="CH21" s="4" t="s">
        <v>71</v>
      </c>
      <c r="CI21" s="4" t="s">
        <v>70</v>
      </c>
      <c r="CJ21" s="4" t="s">
        <v>71</v>
      </c>
      <c r="CK21" s="4" t="s">
        <v>71</v>
      </c>
      <c r="CL21" s="4" t="s">
        <v>71</v>
      </c>
      <c r="CM21" s="4" t="s">
        <v>71</v>
      </c>
      <c r="CN21" s="4" t="s">
        <v>71</v>
      </c>
      <c r="CO21" s="4" t="s">
        <v>71</v>
      </c>
      <c r="CP21" s="4" t="s">
        <v>178</v>
      </c>
    </row>
    <row r="22" spans="1:94" ht="13.2" x14ac:dyDescent="0.25">
      <c r="A22" s="3">
        <v>45001.649417465276</v>
      </c>
      <c r="B22" s="4" t="s">
        <v>675</v>
      </c>
      <c r="C22" s="4" t="s">
        <v>676</v>
      </c>
      <c r="D22" s="5" t="s">
        <v>670</v>
      </c>
      <c r="E22" s="4" t="s">
        <v>103</v>
      </c>
      <c r="F22" s="4" t="s">
        <v>671</v>
      </c>
      <c r="G22" s="4" t="s">
        <v>64</v>
      </c>
      <c r="H22" s="4" t="s">
        <v>677</v>
      </c>
      <c r="I22" s="4" t="s">
        <v>678</v>
      </c>
      <c r="J22" s="4" t="s">
        <v>679</v>
      </c>
      <c r="K22" s="4" t="s">
        <v>675</v>
      </c>
      <c r="L22" s="4" t="s">
        <v>656</v>
      </c>
      <c r="M22" s="4" t="s">
        <v>380</v>
      </c>
      <c r="N22" s="4">
        <v>25</v>
      </c>
      <c r="O22" s="4" t="s">
        <v>69</v>
      </c>
      <c r="P22" s="4">
        <v>4</v>
      </c>
      <c r="Q22" s="4">
        <v>1</v>
      </c>
      <c r="R22" s="4">
        <v>25</v>
      </c>
      <c r="T22" s="4" t="s">
        <v>70</v>
      </c>
      <c r="U22" s="4" t="s">
        <v>70</v>
      </c>
      <c r="V22" s="6" t="s">
        <v>73</v>
      </c>
      <c r="BS22" s="4" t="s">
        <v>71</v>
      </c>
      <c r="BT22" s="4" t="s">
        <v>71</v>
      </c>
      <c r="BU22" s="4" t="s">
        <v>70</v>
      </c>
      <c r="BV22" s="4" t="s">
        <v>70</v>
      </c>
      <c r="BW22" s="4" t="s">
        <v>71</v>
      </c>
      <c r="BX22" s="4" t="s">
        <v>71</v>
      </c>
      <c r="BY22" s="4" t="s">
        <v>71</v>
      </c>
      <c r="BZ22" s="4" t="s">
        <v>71</v>
      </c>
      <c r="CA22" s="4" t="s">
        <v>71</v>
      </c>
      <c r="CB22" s="4" t="s">
        <v>71</v>
      </c>
      <c r="CC22" s="4" t="s">
        <v>71</v>
      </c>
      <c r="CD22" s="4" t="s">
        <v>70</v>
      </c>
      <c r="CE22" s="4" t="s">
        <v>71</v>
      </c>
      <c r="CF22" s="4" t="s">
        <v>71</v>
      </c>
      <c r="CG22" s="4" t="s">
        <v>71</v>
      </c>
      <c r="CH22" s="4" t="s">
        <v>70</v>
      </c>
      <c r="CI22" s="4" t="s">
        <v>71</v>
      </c>
      <c r="CJ22" s="4" t="s">
        <v>71</v>
      </c>
      <c r="CK22" s="4" t="s">
        <v>71</v>
      </c>
      <c r="CL22" s="4" t="s">
        <v>70</v>
      </c>
      <c r="CM22" s="4" t="s">
        <v>71</v>
      </c>
      <c r="CN22" s="4" t="s">
        <v>71</v>
      </c>
      <c r="CO22" s="4" t="s">
        <v>71</v>
      </c>
    </row>
    <row r="23" spans="1:94" ht="13.2" x14ac:dyDescent="0.25">
      <c r="A23" s="3">
        <v>45001.670601956022</v>
      </c>
      <c r="B23" s="4" t="s">
        <v>936</v>
      </c>
      <c r="C23" s="4" t="s">
        <v>937</v>
      </c>
      <c r="D23" s="5" t="s">
        <v>938</v>
      </c>
      <c r="E23" s="4" t="s">
        <v>62</v>
      </c>
      <c r="F23" s="4" t="s">
        <v>211</v>
      </c>
      <c r="G23" s="4" t="s">
        <v>105</v>
      </c>
      <c r="H23" s="4" t="s">
        <v>939</v>
      </c>
      <c r="I23" s="4" t="s">
        <v>940</v>
      </c>
      <c r="J23" s="4" t="s">
        <v>941</v>
      </c>
      <c r="K23" s="4" t="s">
        <v>942</v>
      </c>
      <c r="L23" s="4" t="s">
        <v>656</v>
      </c>
      <c r="M23" s="4" t="s">
        <v>558</v>
      </c>
      <c r="N23" s="4">
        <v>35</v>
      </c>
      <c r="O23" s="4" t="s">
        <v>200</v>
      </c>
      <c r="P23" s="4">
        <v>3</v>
      </c>
      <c r="Q23" s="4">
        <v>1</v>
      </c>
      <c r="R23" s="4">
        <v>90</v>
      </c>
      <c r="T23" s="4" t="s">
        <v>70</v>
      </c>
      <c r="U23" s="4" t="s">
        <v>71</v>
      </c>
      <c r="V23" s="6" t="s">
        <v>73</v>
      </c>
      <c r="BS23" s="4" t="s">
        <v>70</v>
      </c>
      <c r="BT23" s="4" t="s">
        <v>70</v>
      </c>
      <c r="BU23" s="4" t="s">
        <v>71</v>
      </c>
      <c r="BV23" s="4" t="s">
        <v>70</v>
      </c>
      <c r="BW23" s="4" t="s">
        <v>70</v>
      </c>
      <c r="BX23" s="4" t="s">
        <v>71</v>
      </c>
      <c r="BY23" s="4" t="s">
        <v>71</v>
      </c>
      <c r="BZ23" s="4" t="s">
        <v>71</v>
      </c>
      <c r="CA23" s="4" t="s">
        <v>71</v>
      </c>
      <c r="CB23" s="4" t="s">
        <v>70</v>
      </c>
      <c r="CC23" s="4" t="s">
        <v>70</v>
      </c>
      <c r="CD23" s="4" t="s">
        <v>70</v>
      </c>
      <c r="CE23" s="4" t="s">
        <v>71</v>
      </c>
      <c r="CF23" s="4" t="s">
        <v>71</v>
      </c>
      <c r="CG23" s="4" t="s">
        <v>70</v>
      </c>
      <c r="CH23" s="4" t="s">
        <v>70</v>
      </c>
      <c r="CI23" s="4" t="s">
        <v>70</v>
      </c>
      <c r="CJ23" s="4" t="s">
        <v>71</v>
      </c>
      <c r="CK23" s="4" t="s">
        <v>71</v>
      </c>
      <c r="CL23" s="4" t="s">
        <v>70</v>
      </c>
      <c r="CM23" s="4" t="s">
        <v>70</v>
      </c>
      <c r="CN23" s="4" t="s">
        <v>71</v>
      </c>
      <c r="CO23" s="4" t="s">
        <v>71</v>
      </c>
    </row>
    <row r="24" spans="1:94" ht="13.2" x14ac:dyDescent="0.25">
      <c r="A24" s="3">
        <v>45001.805744733792</v>
      </c>
      <c r="B24" s="4" t="s">
        <v>192</v>
      </c>
      <c r="C24" s="4" t="s">
        <v>193</v>
      </c>
      <c r="D24" s="5" t="s">
        <v>194</v>
      </c>
      <c r="E24" s="4" t="s">
        <v>149</v>
      </c>
      <c r="F24" s="4" t="s">
        <v>195</v>
      </c>
      <c r="G24" s="4" t="s">
        <v>64</v>
      </c>
      <c r="H24" s="4" t="s">
        <v>196</v>
      </c>
      <c r="I24" s="4" t="s">
        <v>197</v>
      </c>
      <c r="J24" s="4" t="s">
        <v>198</v>
      </c>
      <c r="K24" s="4" t="s">
        <v>192</v>
      </c>
      <c r="L24" s="4" t="s">
        <v>67</v>
      </c>
      <c r="M24" s="4" t="s">
        <v>169</v>
      </c>
      <c r="N24" s="4">
        <v>29</v>
      </c>
      <c r="O24" s="4" t="s">
        <v>200</v>
      </c>
      <c r="P24" s="4">
        <v>3</v>
      </c>
      <c r="Q24" s="4">
        <v>3</v>
      </c>
      <c r="R24" s="4">
        <v>50</v>
      </c>
      <c r="S24" s="4" t="s">
        <v>201</v>
      </c>
      <c r="T24" s="4" t="s">
        <v>70</v>
      </c>
      <c r="U24" s="4" t="s">
        <v>71</v>
      </c>
      <c r="V24" s="6" t="s">
        <v>73</v>
      </c>
      <c r="BS24" s="4" t="s">
        <v>71</v>
      </c>
      <c r="BT24" s="4" t="s">
        <v>70</v>
      </c>
      <c r="BU24" s="4" t="s">
        <v>70</v>
      </c>
      <c r="BV24" s="4" t="s">
        <v>70</v>
      </c>
      <c r="BW24" s="4" t="s">
        <v>70</v>
      </c>
      <c r="BX24" s="4" t="s">
        <v>70</v>
      </c>
      <c r="BY24" s="4" t="s">
        <v>71</v>
      </c>
      <c r="BZ24" s="4" t="s">
        <v>71</v>
      </c>
      <c r="CA24" s="4" t="s">
        <v>71</v>
      </c>
      <c r="CB24" s="4" t="s">
        <v>70</v>
      </c>
      <c r="CC24" s="4" t="s">
        <v>70</v>
      </c>
      <c r="CD24" s="4" t="s">
        <v>70</v>
      </c>
      <c r="CE24" s="4" t="s">
        <v>71</v>
      </c>
      <c r="CF24" s="4" t="s">
        <v>71</v>
      </c>
      <c r="CG24" s="4" t="s">
        <v>70</v>
      </c>
      <c r="CH24" s="4" t="s">
        <v>70</v>
      </c>
      <c r="CI24" s="4" t="s">
        <v>70</v>
      </c>
      <c r="CJ24" s="4" t="s">
        <v>71</v>
      </c>
      <c r="CK24" s="4" t="s">
        <v>71</v>
      </c>
      <c r="CL24" s="4" t="s">
        <v>71</v>
      </c>
      <c r="CM24" s="4" t="s">
        <v>71</v>
      </c>
      <c r="CN24" s="4" t="s">
        <v>71</v>
      </c>
      <c r="CO24" s="4" t="s">
        <v>71</v>
      </c>
    </row>
    <row r="25" spans="1:94" ht="13.2" x14ac:dyDescent="0.25">
      <c r="A25" s="3">
        <v>45001.828354224534</v>
      </c>
      <c r="B25" s="4" t="s">
        <v>658</v>
      </c>
      <c r="C25" s="4" t="s">
        <v>659</v>
      </c>
      <c r="D25" s="7" t="s">
        <v>660</v>
      </c>
      <c r="E25" s="4" t="s">
        <v>604</v>
      </c>
      <c r="F25" s="4" t="s">
        <v>661</v>
      </c>
      <c r="G25" s="4" t="s">
        <v>64</v>
      </c>
      <c r="H25" s="4" t="s">
        <v>662</v>
      </c>
      <c r="I25" s="4" t="s">
        <v>663</v>
      </c>
      <c r="K25" s="4" t="s">
        <v>664</v>
      </c>
      <c r="L25" s="4" t="s">
        <v>665</v>
      </c>
      <c r="M25" s="4" t="s">
        <v>364</v>
      </c>
      <c r="N25" s="4">
        <v>30</v>
      </c>
      <c r="O25" s="4" t="s">
        <v>69</v>
      </c>
      <c r="P25" s="4">
        <v>5</v>
      </c>
      <c r="Q25" s="4">
        <v>4</v>
      </c>
      <c r="R25" s="4">
        <v>30</v>
      </c>
      <c r="S25" s="4" t="s">
        <v>667</v>
      </c>
      <c r="T25" s="4" t="s">
        <v>70</v>
      </c>
      <c r="U25" s="4" t="s">
        <v>71</v>
      </c>
      <c r="V25" s="6" t="s">
        <v>73</v>
      </c>
      <c r="BS25" s="4" t="s">
        <v>70</v>
      </c>
      <c r="BT25" s="4" t="s">
        <v>71</v>
      </c>
      <c r="BU25" s="4" t="s">
        <v>71</v>
      </c>
      <c r="BV25" s="4" t="s">
        <v>70</v>
      </c>
      <c r="BW25" s="4" t="s">
        <v>71</v>
      </c>
      <c r="BX25" s="4" t="s">
        <v>70</v>
      </c>
      <c r="BY25" s="4" t="s">
        <v>71</v>
      </c>
      <c r="BZ25" s="4" t="s">
        <v>71</v>
      </c>
      <c r="CA25" s="4" t="s">
        <v>71</v>
      </c>
      <c r="CB25" s="4" t="s">
        <v>70</v>
      </c>
      <c r="CC25" s="4" t="s">
        <v>71</v>
      </c>
      <c r="CD25" s="4" t="s">
        <v>71</v>
      </c>
      <c r="CE25" s="4" t="s">
        <v>71</v>
      </c>
      <c r="CF25" s="4" t="s">
        <v>71</v>
      </c>
      <c r="CG25" s="4" t="s">
        <v>70</v>
      </c>
      <c r="CH25" s="4" t="s">
        <v>70</v>
      </c>
      <c r="CI25" s="4" t="s">
        <v>71</v>
      </c>
      <c r="CJ25" s="4" t="s">
        <v>71</v>
      </c>
      <c r="CK25" s="4" t="s">
        <v>71</v>
      </c>
      <c r="CM25" s="4" t="s">
        <v>70</v>
      </c>
    </row>
    <row r="26" spans="1:94" ht="13.2" x14ac:dyDescent="0.25">
      <c r="A26" s="3">
        <v>45001.937873287039</v>
      </c>
      <c r="B26" s="4" t="s">
        <v>584</v>
      </c>
      <c r="C26" s="4" t="s">
        <v>585</v>
      </c>
      <c r="D26" s="7" t="s">
        <v>586</v>
      </c>
      <c r="E26" s="4" t="s">
        <v>103</v>
      </c>
      <c r="F26" s="4" t="s">
        <v>587</v>
      </c>
      <c r="G26" s="4" t="s">
        <v>64</v>
      </c>
      <c r="H26" s="4" t="s">
        <v>588</v>
      </c>
      <c r="I26" s="4" t="s">
        <v>589</v>
      </c>
      <c r="J26" s="4" t="s">
        <v>590</v>
      </c>
      <c r="K26" s="4" t="s">
        <v>591</v>
      </c>
      <c r="L26" s="4" t="s">
        <v>67</v>
      </c>
      <c r="M26" s="4" t="s">
        <v>228</v>
      </c>
      <c r="N26" s="4">
        <v>25</v>
      </c>
      <c r="O26" s="4" t="s">
        <v>69</v>
      </c>
      <c r="P26" s="4">
        <v>5</v>
      </c>
      <c r="Q26" s="4">
        <v>5</v>
      </c>
      <c r="R26" s="4">
        <v>10</v>
      </c>
      <c r="T26" s="4" t="s">
        <v>70</v>
      </c>
      <c r="U26" s="4" t="s">
        <v>70</v>
      </c>
      <c r="V26" s="6" t="s">
        <v>73</v>
      </c>
      <c r="BS26" s="4" t="s">
        <v>71</v>
      </c>
      <c r="BT26" s="4" t="s">
        <v>71</v>
      </c>
      <c r="BU26" s="4" t="s">
        <v>71</v>
      </c>
      <c r="BV26" s="4" t="s">
        <v>71</v>
      </c>
      <c r="BW26" s="4" t="s">
        <v>71</v>
      </c>
      <c r="BX26" s="4" t="s">
        <v>70</v>
      </c>
      <c r="BY26" s="4" t="s">
        <v>70</v>
      </c>
      <c r="BZ26" s="4" t="s">
        <v>70</v>
      </c>
      <c r="CA26" s="4" t="s">
        <v>70</v>
      </c>
      <c r="CB26" s="4" t="s">
        <v>71</v>
      </c>
      <c r="CC26" s="4" t="s">
        <v>71</v>
      </c>
      <c r="CD26" s="4" t="s">
        <v>71</v>
      </c>
      <c r="CE26" s="4" t="s">
        <v>71</v>
      </c>
      <c r="CF26" s="4" t="s">
        <v>71</v>
      </c>
      <c r="CG26" s="4" t="s">
        <v>70</v>
      </c>
      <c r="CH26" s="4" t="s">
        <v>70</v>
      </c>
      <c r="CI26" s="4" t="s">
        <v>70</v>
      </c>
      <c r="CJ26" s="4" t="s">
        <v>70</v>
      </c>
      <c r="CK26" s="4" t="s">
        <v>70</v>
      </c>
      <c r="CL26" s="4" t="s">
        <v>70</v>
      </c>
      <c r="CM26" s="4" t="s">
        <v>70</v>
      </c>
      <c r="CN26" s="4" t="s">
        <v>70</v>
      </c>
      <c r="CO26" s="4" t="s">
        <v>70</v>
      </c>
      <c r="CP26" s="4" t="s">
        <v>593</v>
      </c>
    </row>
    <row r="27" spans="1:94" ht="13.2" x14ac:dyDescent="0.25">
      <c r="A27" s="3">
        <v>45001.94058819444</v>
      </c>
      <c r="B27" s="4" t="s">
        <v>591</v>
      </c>
      <c r="C27" s="4" t="s">
        <v>585</v>
      </c>
      <c r="D27" s="7" t="s">
        <v>586</v>
      </c>
      <c r="E27" s="4" t="s">
        <v>149</v>
      </c>
      <c r="F27" s="4" t="s">
        <v>594</v>
      </c>
      <c r="G27" s="4" t="s">
        <v>64</v>
      </c>
      <c r="H27" s="4" t="s">
        <v>595</v>
      </c>
      <c r="I27" s="4" t="s">
        <v>589</v>
      </c>
      <c r="J27" s="4" t="s">
        <v>590</v>
      </c>
      <c r="K27" s="4" t="s">
        <v>591</v>
      </c>
      <c r="L27" s="4" t="s">
        <v>67</v>
      </c>
      <c r="M27" s="4" t="s">
        <v>228</v>
      </c>
      <c r="N27" s="4">
        <v>30</v>
      </c>
      <c r="O27" s="4" t="s">
        <v>69</v>
      </c>
      <c r="P27" s="4">
        <v>5</v>
      </c>
      <c r="Q27" s="4">
        <v>5</v>
      </c>
      <c r="R27" s="4">
        <v>10</v>
      </c>
      <c r="T27" s="4" t="s">
        <v>70</v>
      </c>
      <c r="U27" s="4" t="s">
        <v>70</v>
      </c>
      <c r="V27" s="6" t="s">
        <v>73</v>
      </c>
      <c r="BS27" s="4" t="s">
        <v>71</v>
      </c>
      <c r="BT27" s="4" t="s">
        <v>71</v>
      </c>
      <c r="BU27" s="4" t="s">
        <v>71</v>
      </c>
      <c r="BV27" s="4" t="s">
        <v>71</v>
      </c>
      <c r="BW27" s="4" t="s">
        <v>71</v>
      </c>
      <c r="BX27" s="4" t="s">
        <v>70</v>
      </c>
      <c r="BY27" s="4" t="s">
        <v>70</v>
      </c>
      <c r="BZ27" s="4" t="s">
        <v>70</v>
      </c>
      <c r="CA27" s="4" t="s">
        <v>70</v>
      </c>
      <c r="CB27" s="4" t="s">
        <v>71</v>
      </c>
      <c r="CC27" s="4" t="s">
        <v>71</v>
      </c>
      <c r="CD27" s="4" t="s">
        <v>71</v>
      </c>
      <c r="CE27" s="4" t="s">
        <v>71</v>
      </c>
      <c r="CF27" s="4" t="s">
        <v>71</v>
      </c>
      <c r="CG27" s="4" t="s">
        <v>70</v>
      </c>
      <c r="CH27" s="4" t="s">
        <v>70</v>
      </c>
      <c r="CI27" s="4" t="s">
        <v>70</v>
      </c>
      <c r="CJ27" s="4" t="s">
        <v>70</v>
      </c>
      <c r="CK27" s="4" t="s">
        <v>70</v>
      </c>
      <c r="CL27" s="4" t="s">
        <v>70</v>
      </c>
      <c r="CM27" s="4" t="s">
        <v>70</v>
      </c>
      <c r="CN27" s="4" t="s">
        <v>70</v>
      </c>
      <c r="CO27" s="4" t="s">
        <v>70</v>
      </c>
      <c r="CP27" s="4" t="s">
        <v>597</v>
      </c>
    </row>
    <row r="28" spans="1:94" ht="13.2" x14ac:dyDescent="0.25">
      <c r="A28" s="3">
        <v>45001.944243252314</v>
      </c>
      <c r="B28" s="4" t="s">
        <v>591</v>
      </c>
      <c r="C28" s="4" t="s">
        <v>598</v>
      </c>
      <c r="D28" s="7" t="s">
        <v>586</v>
      </c>
      <c r="E28" s="4" t="s">
        <v>103</v>
      </c>
      <c r="F28" s="4" t="s">
        <v>599</v>
      </c>
      <c r="G28" s="4" t="s">
        <v>64</v>
      </c>
      <c r="H28" s="4" t="s">
        <v>595</v>
      </c>
      <c r="I28" s="4" t="s">
        <v>589</v>
      </c>
      <c r="J28" s="4" t="s">
        <v>590</v>
      </c>
      <c r="K28" s="4" t="s">
        <v>591</v>
      </c>
      <c r="L28" s="4" t="s">
        <v>67</v>
      </c>
      <c r="M28" s="4" t="s">
        <v>228</v>
      </c>
      <c r="N28" s="4">
        <v>30</v>
      </c>
      <c r="O28" s="4" t="s">
        <v>69</v>
      </c>
      <c r="P28" s="4">
        <v>5</v>
      </c>
      <c r="Q28" s="4">
        <v>5</v>
      </c>
      <c r="R28" s="4">
        <v>10</v>
      </c>
      <c r="T28" s="4" t="s">
        <v>70</v>
      </c>
      <c r="U28" s="4" t="s">
        <v>70</v>
      </c>
      <c r="V28" s="6" t="s">
        <v>73</v>
      </c>
      <c r="BS28" s="4" t="s">
        <v>71</v>
      </c>
      <c r="BT28" s="4" t="s">
        <v>71</v>
      </c>
      <c r="BU28" s="4" t="s">
        <v>71</v>
      </c>
      <c r="BV28" s="4" t="s">
        <v>70</v>
      </c>
      <c r="BW28" s="4" t="s">
        <v>70</v>
      </c>
      <c r="BX28" s="4" t="s">
        <v>70</v>
      </c>
      <c r="BY28" s="4" t="s">
        <v>70</v>
      </c>
      <c r="BZ28" s="4" t="s">
        <v>70</v>
      </c>
      <c r="CA28" s="4" t="s">
        <v>70</v>
      </c>
      <c r="CB28" s="4" t="s">
        <v>71</v>
      </c>
      <c r="CC28" s="4" t="s">
        <v>71</v>
      </c>
      <c r="CD28" s="4" t="s">
        <v>71</v>
      </c>
      <c r="CE28" s="4" t="s">
        <v>71</v>
      </c>
      <c r="CF28" s="4" t="s">
        <v>71</v>
      </c>
      <c r="CG28" s="4" t="s">
        <v>70</v>
      </c>
      <c r="CH28" s="4" t="s">
        <v>70</v>
      </c>
      <c r="CI28" s="4" t="s">
        <v>70</v>
      </c>
      <c r="CJ28" s="4" t="s">
        <v>70</v>
      </c>
      <c r="CK28" s="4" t="s">
        <v>70</v>
      </c>
      <c r="CL28" s="4" t="s">
        <v>70</v>
      </c>
      <c r="CM28" s="4" t="s">
        <v>70</v>
      </c>
      <c r="CN28" s="4" t="s">
        <v>70</v>
      </c>
      <c r="CO28" s="4" t="s">
        <v>70</v>
      </c>
      <c r="CP28" s="4" t="s">
        <v>597</v>
      </c>
    </row>
    <row r="29" spans="1:94" ht="13.2" x14ac:dyDescent="0.25">
      <c r="A29" s="3">
        <v>45002.439637488424</v>
      </c>
      <c r="B29" s="4" t="s">
        <v>1181</v>
      </c>
      <c r="C29" s="4" t="s">
        <v>1182</v>
      </c>
      <c r="D29" s="7" t="s">
        <v>1183</v>
      </c>
      <c r="E29" s="4" t="s">
        <v>103</v>
      </c>
      <c r="F29" s="4" t="s">
        <v>446</v>
      </c>
      <c r="G29" s="4" t="s">
        <v>105</v>
      </c>
      <c r="H29" s="4" t="s">
        <v>1184</v>
      </c>
      <c r="I29" s="4" t="s">
        <v>1185</v>
      </c>
      <c r="J29" s="4" t="s">
        <v>1186</v>
      </c>
      <c r="K29" s="4" t="s">
        <v>1181</v>
      </c>
      <c r="L29" s="4" t="s">
        <v>656</v>
      </c>
      <c r="M29" s="4" t="s">
        <v>727</v>
      </c>
      <c r="N29" s="4">
        <v>23</v>
      </c>
      <c r="O29" s="4" t="s">
        <v>69</v>
      </c>
      <c r="P29" s="4">
        <v>4</v>
      </c>
      <c r="Q29" s="4">
        <v>3</v>
      </c>
      <c r="R29" s="4">
        <v>15</v>
      </c>
      <c r="T29" s="4" t="s">
        <v>70</v>
      </c>
      <c r="U29" s="4" t="s">
        <v>71</v>
      </c>
      <c r="V29" s="6" t="s">
        <v>73</v>
      </c>
      <c r="BS29" s="4" t="s">
        <v>70</v>
      </c>
      <c r="BT29" s="4" t="s">
        <v>70</v>
      </c>
      <c r="BU29" s="4" t="s">
        <v>71</v>
      </c>
      <c r="BV29" s="4" t="s">
        <v>70</v>
      </c>
      <c r="BW29" s="4" t="s">
        <v>70</v>
      </c>
      <c r="BX29" s="4" t="s">
        <v>71</v>
      </c>
      <c r="BY29" s="4" t="s">
        <v>71</v>
      </c>
      <c r="BZ29" s="4" t="s">
        <v>71</v>
      </c>
      <c r="CA29" s="4" t="s">
        <v>71</v>
      </c>
      <c r="CB29" s="4" t="s">
        <v>70</v>
      </c>
      <c r="CC29" s="4" t="s">
        <v>70</v>
      </c>
      <c r="CD29" s="4" t="s">
        <v>71</v>
      </c>
      <c r="CE29" s="4" t="s">
        <v>71</v>
      </c>
      <c r="CF29" s="4" t="s">
        <v>71</v>
      </c>
      <c r="CG29" s="4" t="s">
        <v>70</v>
      </c>
      <c r="CH29" s="4" t="s">
        <v>70</v>
      </c>
      <c r="CI29" s="4" t="s">
        <v>71</v>
      </c>
      <c r="CJ29" s="4" t="s">
        <v>71</v>
      </c>
      <c r="CK29" s="4" t="s">
        <v>71</v>
      </c>
      <c r="CL29" s="4" t="s">
        <v>70</v>
      </c>
      <c r="CM29" s="4" t="s">
        <v>71</v>
      </c>
      <c r="CN29" s="4" t="s">
        <v>71</v>
      </c>
      <c r="CO29" s="4" t="s">
        <v>71</v>
      </c>
    </row>
    <row r="30" spans="1:94" ht="13.2" x14ac:dyDescent="0.25">
      <c r="A30" s="3">
        <v>45002.442378414351</v>
      </c>
      <c r="B30" s="4" t="s">
        <v>1181</v>
      </c>
      <c r="C30" s="4" t="s">
        <v>1182</v>
      </c>
      <c r="D30" s="7" t="s">
        <v>1183</v>
      </c>
      <c r="E30" s="4" t="s">
        <v>103</v>
      </c>
      <c r="F30" s="4" t="s">
        <v>384</v>
      </c>
      <c r="G30" s="4" t="s">
        <v>105</v>
      </c>
      <c r="H30" s="4" t="s">
        <v>1187</v>
      </c>
      <c r="I30" s="4" t="s">
        <v>1188</v>
      </c>
      <c r="J30" s="4" t="s">
        <v>1186</v>
      </c>
      <c r="K30" s="4" t="s">
        <v>1181</v>
      </c>
      <c r="L30" s="4" t="s">
        <v>656</v>
      </c>
      <c r="M30" s="4" t="s">
        <v>467</v>
      </c>
      <c r="N30" s="4">
        <v>22</v>
      </c>
      <c r="O30" s="4" t="s">
        <v>97</v>
      </c>
      <c r="P30" s="4">
        <v>4</v>
      </c>
      <c r="Q30" s="4">
        <v>3</v>
      </c>
      <c r="R30" s="4">
        <v>15</v>
      </c>
      <c r="T30" s="4" t="s">
        <v>70</v>
      </c>
      <c r="U30" s="4" t="s">
        <v>71</v>
      </c>
      <c r="V30" s="6" t="s">
        <v>73</v>
      </c>
      <c r="BS30" s="4" t="s">
        <v>70</v>
      </c>
      <c r="BT30" s="4" t="s">
        <v>70</v>
      </c>
      <c r="BU30" s="4" t="s">
        <v>71</v>
      </c>
      <c r="BV30" s="4" t="s">
        <v>70</v>
      </c>
      <c r="BW30" s="4" t="s">
        <v>70</v>
      </c>
      <c r="BX30" s="4" t="s">
        <v>71</v>
      </c>
      <c r="BY30" s="4" t="s">
        <v>71</v>
      </c>
      <c r="BZ30" s="4" t="s">
        <v>71</v>
      </c>
      <c r="CA30" s="4" t="s">
        <v>71</v>
      </c>
      <c r="CB30" s="4" t="s">
        <v>70</v>
      </c>
      <c r="CC30" s="4" t="s">
        <v>70</v>
      </c>
      <c r="CD30" s="4" t="s">
        <v>71</v>
      </c>
      <c r="CE30" s="4" t="s">
        <v>71</v>
      </c>
      <c r="CF30" s="4" t="s">
        <v>71</v>
      </c>
      <c r="CG30" s="4" t="s">
        <v>70</v>
      </c>
      <c r="CH30" s="4" t="s">
        <v>70</v>
      </c>
      <c r="CI30" s="4" t="s">
        <v>71</v>
      </c>
      <c r="CJ30" s="4" t="s">
        <v>71</v>
      </c>
      <c r="CK30" s="4" t="s">
        <v>71</v>
      </c>
      <c r="CL30" s="4" t="s">
        <v>70</v>
      </c>
      <c r="CM30" s="4" t="s">
        <v>71</v>
      </c>
      <c r="CN30" s="4" t="s">
        <v>71</v>
      </c>
      <c r="CO30" s="4" t="s">
        <v>71</v>
      </c>
    </row>
    <row r="31" spans="1:94" ht="13.2" x14ac:dyDescent="0.25">
      <c r="A31" s="3">
        <v>45002.451774247689</v>
      </c>
      <c r="B31" s="4" t="s">
        <v>690</v>
      </c>
      <c r="C31" s="4" t="s">
        <v>683</v>
      </c>
      <c r="D31" s="5" t="s">
        <v>684</v>
      </c>
      <c r="E31" s="4" t="s">
        <v>62</v>
      </c>
      <c r="F31" s="4" t="s">
        <v>691</v>
      </c>
      <c r="G31" s="4" t="s">
        <v>64</v>
      </c>
      <c r="H31" s="4" t="s">
        <v>687</v>
      </c>
      <c r="I31" s="4" t="s">
        <v>692</v>
      </c>
      <c r="J31" s="4" t="s">
        <v>688</v>
      </c>
      <c r="K31" s="4" t="s">
        <v>690</v>
      </c>
      <c r="L31" s="4" t="s">
        <v>656</v>
      </c>
      <c r="M31" s="4" t="s">
        <v>387</v>
      </c>
      <c r="N31" s="4">
        <v>35</v>
      </c>
      <c r="O31" s="4" t="s">
        <v>433</v>
      </c>
      <c r="P31" s="4">
        <v>1</v>
      </c>
      <c r="Q31" s="4">
        <v>1</v>
      </c>
      <c r="R31" s="4">
        <v>50</v>
      </c>
      <c r="T31" s="4" t="s">
        <v>70</v>
      </c>
      <c r="U31" s="4" t="s">
        <v>70</v>
      </c>
      <c r="V31" s="6" t="s">
        <v>73</v>
      </c>
      <c r="BS31" s="4" t="s">
        <v>70</v>
      </c>
      <c r="BT31" s="4" t="s">
        <v>70</v>
      </c>
      <c r="BU31" s="4" t="s">
        <v>71</v>
      </c>
      <c r="BV31" s="4" t="s">
        <v>70</v>
      </c>
      <c r="BW31" s="4" t="s">
        <v>70</v>
      </c>
      <c r="BX31" s="4" t="s">
        <v>70</v>
      </c>
      <c r="BY31" s="4" t="s">
        <v>70</v>
      </c>
      <c r="BZ31" s="4" t="s">
        <v>71</v>
      </c>
      <c r="CA31" s="4" t="s">
        <v>71</v>
      </c>
      <c r="CB31" s="4" t="s">
        <v>70</v>
      </c>
      <c r="CC31" s="4" t="s">
        <v>71</v>
      </c>
      <c r="CD31" s="4" t="s">
        <v>70</v>
      </c>
      <c r="CE31" s="4" t="s">
        <v>71</v>
      </c>
      <c r="CF31" s="4" t="s">
        <v>71</v>
      </c>
      <c r="CG31" s="4" t="s">
        <v>71</v>
      </c>
      <c r="CH31" s="4" t="s">
        <v>71</v>
      </c>
      <c r="CI31" s="4" t="s">
        <v>71</v>
      </c>
      <c r="CJ31" s="4" t="s">
        <v>71</v>
      </c>
      <c r="CK31" s="4" t="s">
        <v>71</v>
      </c>
      <c r="CL31" s="4" t="s">
        <v>71</v>
      </c>
      <c r="CM31" s="4" t="s">
        <v>71</v>
      </c>
      <c r="CN31" s="4" t="s">
        <v>71</v>
      </c>
      <c r="CO31" s="4" t="s">
        <v>71</v>
      </c>
    </row>
    <row r="32" spans="1:94" ht="13.2" x14ac:dyDescent="0.25">
      <c r="A32" s="3">
        <v>45002.557698680554</v>
      </c>
      <c r="B32" s="4" t="s">
        <v>1014</v>
      </c>
      <c r="C32" s="4" t="s">
        <v>1015</v>
      </c>
      <c r="D32" s="5" t="s">
        <v>1016</v>
      </c>
      <c r="E32" s="4" t="s">
        <v>149</v>
      </c>
      <c r="F32" s="4" t="s">
        <v>1017</v>
      </c>
      <c r="G32" s="4" t="s">
        <v>105</v>
      </c>
      <c r="H32" s="4" t="s">
        <v>1018</v>
      </c>
      <c r="I32" s="4" t="s">
        <v>1019</v>
      </c>
      <c r="K32" s="4" t="s">
        <v>1014</v>
      </c>
      <c r="L32" s="4" t="s">
        <v>656</v>
      </c>
      <c r="M32" s="4" t="s">
        <v>617</v>
      </c>
      <c r="N32" s="4">
        <v>35</v>
      </c>
      <c r="O32" s="4" t="s">
        <v>69</v>
      </c>
      <c r="P32" s="4">
        <v>3</v>
      </c>
      <c r="Q32" s="4">
        <v>1</v>
      </c>
      <c r="R32" s="4">
        <v>75</v>
      </c>
      <c r="T32" s="4" t="s">
        <v>70</v>
      </c>
      <c r="U32" s="4" t="s">
        <v>71</v>
      </c>
      <c r="V32" s="6" t="s">
        <v>73</v>
      </c>
      <c r="BS32" s="4" t="s">
        <v>70</v>
      </c>
      <c r="BT32" s="4" t="s">
        <v>70</v>
      </c>
      <c r="BU32" s="4" t="s">
        <v>71</v>
      </c>
      <c r="BV32" s="4" t="s">
        <v>71</v>
      </c>
      <c r="BW32" s="4" t="s">
        <v>70</v>
      </c>
      <c r="BX32" s="4" t="s">
        <v>71</v>
      </c>
      <c r="BY32" s="4" t="s">
        <v>70</v>
      </c>
      <c r="BZ32" s="4" t="s">
        <v>70</v>
      </c>
      <c r="CA32" s="4" t="s">
        <v>70</v>
      </c>
      <c r="CD32" s="4" t="s">
        <v>70</v>
      </c>
      <c r="CJ32" s="4" t="s">
        <v>70</v>
      </c>
      <c r="CO32" s="4" t="s">
        <v>70</v>
      </c>
    </row>
    <row r="33" spans="1:94" ht="13.2" x14ac:dyDescent="0.25">
      <c r="A33" s="3">
        <v>45002.77232319444</v>
      </c>
      <c r="B33" s="4" t="s">
        <v>354</v>
      </c>
      <c r="C33" s="4" t="s">
        <v>355</v>
      </c>
      <c r="D33" s="5" t="s">
        <v>356</v>
      </c>
      <c r="E33" s="4" t="s">
        <v>140</v>
      </c>
      <c r="F33" s="4" t="s">
        <v>357</v>
      </c>
      <c r="G33" s="4" t="s">
        <v>105</v>
      </c>
      <c r="H33" s="4" t="s">
        <v>358</v>
      </c>
      <c r="I33" s="4" t="s">
        <v>359</v>
      </c>
      <c r="J33" s="4" t="s">
        <v>360</v>
      </c>
      <c r="K33" s="4" t="s">
        <v>354</v>
      </c>
      <c r="L33" s="4" t="s">
        <v>67</v>
      </c>
      <c r="M33" s="4" t="s">
        <v>246</v>
      </c>
      <c r="N33" s="4">
        <v>30</v>
      </c>
      <c r="O33" s="4" t="s">
        <v>97</v>
      </c>
      <c r="P33" s="4">
        <v>4</v>
      </c>
      <c r="Q33" s="4">
        <v>4</v>
      </c>
      <c r="R33" s="4">
        <v>20</v>
      </c>
      <c r="T33" s="4" t="s">
        <v>70</v>
      </c>
      <c r="U33" s="4" t="s">
        <v>71</v>
      </c>
      <c r="V33" s="6" t="s">
        <v>73</v>
      </c>
      <c r="BS33" s="4" t="s">
        <v>71</v>
      </c>
      <c r="BT33" s="4" t="s">
        <v>71</v>
      </c>
      <c r="BU33" s="4" t="s">
        <v>70</v>
      </c>
      <c r="BV33" s="4" t="s">
        <v>71</v>
      </c>
      <c r="BW33" s="4" t="s">
        <v>70</v>
      </c>
      <c r="BX33" s="4" t="s">
        <v>70</v>
      </c>
      <c r="BY33" s="4" t="s">
        <v>71</v>
      </c>
      <c r="BZ33" s="4" t="s">
        <v>71</v>
      </c>
      <c r="CA33" s="4" t="s">
        <v>71</v>
      </c>
      <c r="CD33" s="4" t="s">
        <v>70</v>
      </c>
      <c r="CG33" s="4" t="s">
        <v>70</v>
      </c>
    </row>
    <row r="34" spans="1:94" ht="13.2" x14ac:dyDescent="0.25">
      <c r="A34" s="3">
        <v>45002.783732395837</v>
      </c>
      <c r="B34" s="4" t="s">
        <v>920</v>
      </c>
      <c r="C34" s="4" t="s">
        <v>977</v>
      </c>
      <c r="D34" s="5" t="s">
        <v>978</v>
      </c>
      <c r="E34" s="4" t="s">
        <v>427</v>
      </c>
      <c r="F34" s="4" t="s">
        <v>979</v>
      </c>
      <c r="G34" s="4" t="s">
        <v>64</v>
      </c>
      <c r="H34" s="4" t="s">
        <v>980</v>
      </c>
      <c r="I34" s="4" t="s">
        <v>981</v>
      </c>
      <c r="J34" s="4" t="s">
        <v>982</v>
      </c>
      <c r="K34" s="4" t="s">
        <v>983</v>
      </c>
      <c r="L34" s="4" t="s">
        <v>665</v>
      </c>
      <c r="M34" s="4" t="s">
        <v>583</v>
      </c>
      <c r="N34" s="4">
        <v>37</v>
      </c>
      <c r="O34" s="4" t="s">
        <v>69</v>
      </c>
      <c r="P34" s="4">
        <v>3</v>
      </c>
      <c r="Q34" s="4">
        <v>2</v>
      </c>
      <c r="R34" s="4">
        <v>95</v>
      </c>
      <c r="S34" s="4" t="s">
        <v>984</v>
      </c>
      <c r="T34" s="4" t="s">
        <v>71</v>
      </c>
      <c r="U34" s="4" t="s">
        <v>70</v>
      </c>
      <c r="V34" s="6" t="s">
        <v>73</v>
      </c>
      <c r="BS34" s="4" t="s">
        <v>71</v>
      </c>
      <c r="BT34" s="4" t="s">
        <v>70</v>
      </c>
      <c r="BU34" s="4" t="s">
        <v>70</v>
      </c>
      <c r="BV34" s="4" t="s">
        <v>71</v>
      </c>
      <c r="BW34" s="4" t="s">
        <v>71</v>
      </c>
      <c r="BX34" s="4" t="s">
        <v>71</v>
      </c>
      <c r="BY34" s="4" t="s">
        <v>70</v>
      </c>
      <c r="BZ34" s="4" t="s">
        <v>70</v>
      </c>
      <c r="CA34" s="4" t="s">
        <v>70</v>
      </c>
      <c r="CE34" s="4" t="s">
        <v>70</v>
      </c>
      <c r="CF34" s="4" t="s">
        <v>70</v>
      </c>
      <c r="CJ34" s="4" t="s">
        <v>70</v>
      </c>
      <c r="CK34" s="4" t="s">
        <v>70</v>
      </c>
      <c r="CN34" s="4" t="s">
        <v>70</v>
      </c>
      <c r="CO34" s="4" t="s">
        <v>70</v>
      </c>
      <c r="CP34" s="4" t="s">
        <v>985</v>
      </c>
    </row>
    <row r="35" spans="1:94" ht="13.2" x14ac:dyDescent="0.25">
      <c r="A35" s="3">
        <v>45002.812788946758</v>
      </c>
      <c r="B35" s="4" t="s">
        <v>1087</v>
      </c>
      <c r="C35" s="4" t="s">
        <v>1088</v>
      </c>
      <c r="D35" s="7" t="s">
        <v>1089</v>
      </c>
      <c r="E35" s="4" t="s">
        <v>103</v>
      </c>
      <c r="F35" s="4" t="s">
        <v>594</v>
      </c>
      <c r="G35" s="4" t="s">
        <v>105</v>
      </c>
      <c r="H35" s="4" t="s">
        <v>1090</v>
      </c>
      <c r="I35" s="4" t="s">
        <v>1091</v>
      </c>
      <c r="J35" s="4" t="s">
        <v>1092</v>
      </c>
      <c r="K35" s="4" t="s">
        <v>1087</v>
      </c>
      <c r="L35" s="4" t="s">
        <v>656</v>
      </c>
      <c r="M35" s="4" t="s">
        <v>674</v>
      </c>
      <c r="N35" s="4">
        <v>35</v>
      </c>
      <c r="O35" s="4" t="s">
        <v>69</v>
      </c>
      <c r="P35" s="4">
        <v>2</v>
      </c>
      <c r="Q35" s="4">
        <v>3</v>
      </c>
      <c r="R35" s="4">
        <v>80</v>
      </c>
      <c r="S35" s="4" t="s">
        <v>1093</v>
      </c>
      <c r="T35" s="4" t="s">
        <v>71</v>
      </c>
      <c r="U35" s="4" t="s">
        <v>70</v>
      </c>
      <c r="V35" s="6" t="s">
        <v>73</v>
      </c>
      <c r="BS35" s="4" t="s">
        <v>71</v>
      </c>
      <c r="BT35" s="4" t="s">
        <v>70</v>
      </c>
      <c r="BU35" s="4" t="s">
        <v>70</v>
      </c>
      <c r="BV35" s="4" t="s">
        <v>71</v>
      </c>
      <c r="BW35" s="4" t="s">
        <v>71</v>
      </c>
      <c r="BX35" s="4" t="s">
        <v>70</v>
      </c>
      <c r="BY35" s="4" t="s">
        <v>70</v>
      </c>
      <c r="BZ35" s="4" t="s">
        <v>70</v>
      </c>
      <c r="CA35" s="4" t="s">
        <v>70</v>
      </c>
      <c r="CB35" s="4" t="s">
        <v>71</v>
      </c>
      <c r="CC35" s="4" t="s">
        <v>71</v>
      </c>
      <c r="CD35" s="4" t="s">
        <v>70</v>
      </c>
      <c r="CE35" s="4" t="s">
        <v>70</v>
      </c>
      <c r="CF35" s="4" t="s">
        <v>70</v>
      </c>
      <c r="CG35" s="4" t="s">
        <v>71</v>
      </c>
      <c r="CH35" s="4" t="s">
        <v>70</v>
      </c>
      <c r="CI35" s="4" t="s">
        <v>70</v>
      </c>
      <c r="CJ35" s="4" t="s">
        <v>70</v>
      </c>
      <c r="CK35" s="4" t="s">
        <v>70</v>
      </c>
      <c r="CL35" s="4" t="s">
        <v>71</v>
      </c>
      <c r="CM35" s="4" t="s">
        <v>70</v>
      </c>
      <c r="CN35" s="4" t="s">
        <v>70</v>
      </c>
      <c r="CO35" s="4" t="s">
        <v>70</v>
      </c>
      <c r="CP35" s="4" t="s">
        <v>1094</v>
      </c>
    </row>
    <row r="36" spans="1:94" ht="13.2" x14ac:dyDescent="0.25">
      <c r="A36" s="3">
        <v>45002.915442592595</v>
      </c>
      <c r="B36" s="4" t="s">
        <v>1095</v>
      </c>
      <c r="C36" s="4" t="s">
        <v>1096</v>
      </c>
      <c r="D36" s="5" t="s">
        <v>1089</v>
      </c>
      <c r="E36" s="4" t="s">
        <v>62</v>
      </c>
      <c r="F36" s="4" t="s">
        <v>1097</v>
      </c>
      <c r="G36" s="4" t="s">
        <v>105</v>
      </c>
      <c r="H36" s="4" t="s">
        <v>1090</v>
      </c>
      <c r="I36" s="4" t="s">
        <v>1098</v>
      </c>
      <c r="J36" s="4" t="s">
        <v>1099</v>
      </c>
      <c r="K36" s="4" t="s">
        <v>1095</v>
      </c>
      <c r="L36" s="4" t="s">
        <v>656</v>
      </c>
      <c r="M36" s="4" t="s">
        <v>458</v>
      </c>
      <c r="N36" s="4">
        <v>35</v>
      </c>
      <c r="O36" s="4" t="s">
        <v>69</v>
      </c>
      <c r="P36" s="4">
        <v>2</v>
      </c>
      <c r="Q36" s="4">
        <v>3</v>
      </c>
      <c r="R36" s="4">
        <v>80</v>
      </c>
      <c r="S36" s="4" t="s">
        <v>1100</v>
      </c>
      <c r="T36" s="4" t="s">
        <v>70</v>
      </c>
      <c r="U36" s="4" t="s">
        <v>70</v>
      </c>
      <c r="V36" s="6" t="s">
        <v>73</v>
      </c>
      <c r="BS36" s="4" t="s">
        <v>71</v>
      </c>
      <c r="BT36" s="4" t="s">
        <v>70</v>
      </c>
      <c r="BU36" s="4" t="s">
        <v>70</v>
      </c>
      <c r="BV36" s="4" t="s">
        <v>71</v>
      </c>
      <c r="BW36" s="4" t="s">
        <v>71</v>
      </c>
      <c r="BX36" s="4" t="s">
        <v>70</v>
      </c>
      <c r="BY36" s="4" t="s">
        <v>70</v>
      </c>
      <c r="BZ36" s="4" t="s">
        <v>70</v>
      </c>
      <c r="CA36" s="4" t="s">
        <v>70</v>
      </c>
      <c r="CB36" s="4" t="s">
        <v>71</v>
      </c>
      <c r="CC36" s="4" t="s">
        <v>71</v>
      </c>
      <c r="CD36" s="4" t="s">
        <v>70</v>
      </c>
      <c r="CE36" s="4" t="s">
        <v>70</v>
      </c>
      <c r="CF36" s="4" t="s">
        <v>70</v>
      </c>
      <c r="CG36" s="4" t="s">
        <v>71</v>
      </c>
      <c r="CH36" s="4" t="s">
        <v>70</v>
      </c>
      <c r="CI36" s="4" t="s">
        <v>70</v>
      </c>
      <c r="CJ36" s="4" t="s">
        <v>70</v>
      </c>
      <c r="CK36" s="4" t="s">
        <v>70</v>
      </c>
      <c r="CL36" s="4" t="s">
        <v>71</v>
      </c>
      <c r="CM36" s="4" t="s">
        <v>70</v>
      </c>
      <c r="CN36" s="4" t="s">
        <v>70</v>
      </c>
      <c r="CO36" s="4" t="s">
        <v>70</v>
      </c>
      <c r="CP36" s="4" t="s">
        <v>1101</v>
      </c>
    </row>
    <row r="37" spans="1:94" ht="13.2" x14ac:dyDescent="0.25">
      <c r="A37" s="3">
        <v>45002.927558981479</v>
      </c>
      <c r="B37" s="4" t="s">
        <v>1143</v>
      </c>
      <c r="C37" s="4" t="s">
        <v>1144</v>
      </c>
      <c r="D37" s="5" t="s">
        <v>1145</v>
      </c>
      <c r="E37" s="4" t="s">
        <v>62</v>
      </c>
      <c r="F37" s="4" t="s">
        <v>1146</v>
      </c>
      <c r="G37" s="4" t="s">
        <v>64</v>
      </c>
      <c r="H37" s="4" t="s">
        <v>1147</v>
      </c>
      <c r="I37" s="4" t="s">
        <v>1148</v>
      </c>
      <c r="J37" s="4" t="s">
        <v>1149</v>
      </c>
      <c r="K37" s="4" t="s">
        <v>1143</v>
      </c>
      <c r="L37" s="4" t="s">
        <v>656</v>
      </c>
      <c r="M37" s="4" t="s">
        <v>411</v>
      </c>
      <c r="N37" s="4">
        <v>21</v>
      </c>
      <c r="O37" s="4" t="s">
        <v>69</v>
      </c>
      <c r="P37" s="4">
        <v>5</v>
      </c>
      <c r="Q37" s="4">
        <v>5</v>
      </c>
      <c r="R37" s="4">
        <v>0</v>
      </c>
      <c r="T37" s="4" t="s">
        <v>70</v>
      </c>
      <c r="U37" s="4" t="s">
        <v>70</v>
      </c>
      <c r="V37" s="6" t="s">
        <v>73</v>
      </c>
      <c r="BS37" s="4" t="s">
        <v>71</v>
      </c>
      <c r="BT37" s="4" t="s">
        <v>70</v>
      </c>
      <c r="BU37" s="4" t="s">
        <v>71</v>
      </c>
      <c r="BV37" s="4" t="s">
        <v>70</v>
      </c>
      <c r="BW37" s="4" t="s">
        <v>70</v>
      </c>
      <c r="BX37" s="4" t="s">
        <v>71</v>
      </c>
      <c r="BY37" s="4" t="s">
        <v>71</v>
      </c>
      <c r="BZ37" s="4" t="s">
        <v>71</v>
      </c>
      <c r="CA37" s="4" t="s">
        <v>71</v>
      </c>
      <c r="CB37" s="4" t="s">
        <v>71</v>
      </c>
      <c r="CC37" s="4" t="s">
        <v>71</v>
      </c>
      <c r="CD37" s="4" t="s">
        <v>71</v>
      </c>
      <c r="CE37" s="4" t="s">
        <v>71</v>
      </c>
      <c r="CF37" s="4" t="s">
        <v>71</v>
      </c>
      <c r="CG37" s="4" t="s">
        <v>71</v>
      </c>
      <c r="CH37" s="4" t="s">
        <v>71</v>
      </c>
      <c r="CI37" s="4" t="s">
        <v>71</v>
      </c>
      <c r="CJ37" s="4" t="s">
        <v>71</v>
      </c>
      <c r="CK37" s="4" t="s">
        <v>71</v>
      </c>
      <c r="CL37" s="4" t="s">
        <v>70</v>
      </c>
      <c r="CM37" s="4" t="s">
        <v>71</v>
      </c>
      <c r="CN37" s="4" t="s">
        <v>71</v>
      </c>
      <c r="CO37" s="4" t="s">
        <v>71</v>
      </c>
    </row>
    <row r="38" spans="1:94" ht="13.2" x14ac:dyDescent="0.25">
      <c r="A38" s="3">
        <v>45002.930021296299</v>
      </c>
      <c r="B38" s="4" t="s">
        <v>1143</v>
      </c>
      <c r="C38" s="4" t="s">
        <v>1150</v>
      </c>
      <c r="D38" s="5" t="s">
        <v>1145</v>
      </c>
      <c r="E38" s="4" t="s">
        <v>62</v>
      </c>
      <c r="F38" s="4" t="s">
        <v>391</v>
      </c>
      <c r="G38" s="4" t="s">
        <v>64</v>
      </c>
      <c r="H38" s="4" t="s">
        <v>1151</v>
      </c>
      <c r="I38" s="4" t="s">
        <v>1152</v>
      </c>
      <c r="J38" s="4" t="s">
        <v>1149</v>
      </c>
      <c r="K38" s="4" t="s">
        <v>1143</v>
      </c>
      <c r="L38" s="4" t="s">
        <v>656</v>
      </c>
      <c r="M38" s="4" t="s">
        <v>411</v>
      </c>
      <c r="N38" s="4">
        <v>26</v>
      </c>
      <c r="O38" s="4" t="s">
        <v>69</v>
      </c>
      <c r="P38" s="4">
        <v>5</v>
      </c>
      <c r="Q38" s="4">
        <v>5</v>
      </c>
      <c r="R38" s="4">
        <v>0</v>
      </c>
      <c r="T38" s="4" t="s">
        <v>70</v>
      </c>
      <c r="U38" s="4" t="s">
        <v>70</v>
      </c>
      <c r="V38" s="6" t="s">
        <v>73</v>
      </c>
      <c r="BS38" s="4" t="s">
        <v>71</v>
      </c>
      <c r="BT38" s="4" t="s">
        <v>70</v>
      </c>
      <c r="BU38" s="4" t="s">
        <v>71</v>
      </c>
      <c r="BV38" s="4" t="s">
        <v>70</v>
      </c>
      <c r="BW38" s="4" t="s">
        <v>70</v>
      </c>
      <c r="BX38" s="4" t="s">
        <v>71</v>
      </c>
      <c r="BY38" s="4" t="s">
        <v>71</v>
      </c>
      <c r="BZ38" s="4" t="s">
        <v>71</v>
      </c>
      <c r="CA38" s="4" t="s">
        <v>71</v>
      </c>
      <c r="CB38" s="4" t="s">
        <v>71</v>
      </c>
      <c r="CC38" s="4" t="s">
        <v>71</v>
      </c>
      <c r="CD38" s="4" t="s">
        <v>71</v>
      </c>
      <c r="CE38" s="4" t="s">
        <v>71</v>
      </c>
      <c r="CF38" s="4" t="s">
        <v>71</v>
      </c>
      <c r="CG38" s="4" t="s">
        <v>71</v>
      </c>
      <c r="CH38" s="4" t="s">
        <v>71</v>
      </c>
      <c r="CI38" s="4" t="s">
        <v>71</v>
      </c>
      <c r="CJ38" s="4" t="s">
        <v>71</v>
      </c>
      <c r="CK38" s="4" t="s">
        <v>71</v>
      </c>
      <c r="CL38" s="4" t="s">
        <v>70</v>
      </c>
      <c r="CM38" s="4" t="s">
        <v>71</v>
      </c>
      <c r="CN38" s="4" t="s">
        <v>71</v>
      </c>
      <c r="CO38" s="4" t="s">
        <v>71</v>
      </c>
    </row>
    <row r="39" spans="1:94" ht="13.2" x14ac:dyDescent="0.25">
      <c r="A39" s="3">
        <v>45002.946039270828</v>
      </c>
      <c r="B39" s="4" t="s">
        <v>712</v>
      </c>
      <c r="C39" s="4" t="s">
        <v>713</v>
      </c>
      <c r="D39" s="7" t="s">
        <v>714</v>
      </c>
      <c r="E39" s="4" t="s">
        <v>140</v>
      </c>
      <c r="F39" s="4" t="s">
        <v>715</v>
      </c>
      <c r="G39" s="4" t="s">
        <v>105</v>
      </c>
      <c r="H39" s="4" t="s">
        <v>716</v>
      </c>
      <c r="I39" s="4" t="s">
        <v>717</v>
      </c>
      <c r="J39" s="4" t="s">
        <v>718</v>
      </c>
      <c r="K39" s="4" t="s">
        <v>712</v>
      </c>
      <c r="L39" s="4" t="s">
        <v>656</v>
      </c>
      <c r="M39" s="4" t="s">
        <v>415</v>
      </c>
      <c r="N39" s="4">
        <v>35</v>
      </c>
      <c r="O39" s="4" t="s">
        <v>433</v>
      </c>
      <c r="P39" s="4">
        <v>3</v>
      </c>
      <c r="Q39" s="4">
        <v>3</v>
      </c>
      <c r="R39" s="4">
        <v>70</v>
      </c>
      <c r="T39" s="4" t="s">
        <v>71</v>
      </c>
      <c r="U39" s="4" t="s">
        <v>70</v>
      </c>
      <c r="V39" s="6" t="s">
        <v>73</v>
      </c>
      <c r="BS39" s="4" t="s">
        <v>71</v>
      </c>
      <c r="BT39" s="4" t="s">
        <v>71</v>
      </c>
      <c r="BU39" s="4" t="s">
        <v>70</v>
      </c>
      <c r="BV39" s="4" t="s">
        <v>71</v>
      </c>
      <c r="BW39" s="4" t="s">
        <v>71</v>
      </c>
      <c r="BX39" s="4" t="s">
        <v>71</v>
      </c>
      <c r="BY39" s="4" t="s">
        <v>70</v>
      </c>
      <c r="BZ39" s="4" t="s">
        <v>71</v>
      </c>
      <c r="CA39" s="4" t="s">
        <v>71</v>
      </c>
      <c r="CB39" s="4" t="s">
        <v>71</v>
      </c>
      <c r="CC39" s="4" t="s">
        <v>71</v>
      </c>
      <c r="CD39" s="4" t="s">
        <v>71</v>
      </c>
      <c r="CE39" s="4" t="s">
        <v>71</v>
      </c>
      <c r="CF39" s="4" t="s">
        <v>70</v>
      </c>
    </row>
    <row r="40" spans="1:94" ht="13.2" x14ac:dyDescent="0.25">
      <c r="A40" s="3">
        <v>45003.415186446757</v>
      </c>
      <c r="B40" s="4" t="s">
        <v>78</v>
      </c>
      <c r="C40" s="4" t="s">
        <v>79</v>
      </c>
      <c r="D40" s="5" t="s">
        <v>80</v>
      </c>
      <c r="E40" s="4" t="s">
        <v>62</v>
      </c>
      <c r="F40" s="4" t="s">
        <v>81</v>
      </c>
      <c r="G40" s="4" t="s">
        <v>64</v>
      </c>
      <c r="H40" s="4" t="s">
        <v>82</v>
      </c>
      <c r="I40" s="4" t="s">
        <v>83</v>
      </c>
      <c r="J40" s="4" t="s">
        <v>84</v>
      </c>
      <c r="K40" s="4" t="s">
        <v>78</v>
      </c>
      <c r="L40" s="4" t="s">
        <v>67</v>
      </c>
      <c r="M40" s="4" t="s">
        <v>77</v>
      </c>
      <c r="N40" s="4">
        <v>15</v>
      </c>
      <c r="O40" s="4" t="s">
        <v>69</v>
      </c>
      <c r="P40" s="4">
        <v>3</v>
      </c>
      <c r="Q40" s="4">
        <v>2</v>
      </c>
      <c r="R40" s="4">
        <v>40</v>
      </c>
      <c r="S40" s="4" t="s">
        <v>86</v>
      </c>
      <c r="T40" s="4" t="s">
        <v>71</v>
      </c>
      <c r="U40" s="4" t="s">
        <v>70</v>
      </c>
      <c r="V40" s="6" t="s">
        <v>73</v>
      </c>
      <c r="BS40" s="4" t="s">
        <v>71</v>
      </c>
      <c r="BT40" s="4" t="s">
        <v>71</v>
      </c>
      <c r="BU40" s="4" t="s">
        <v>70</v>
      </c>
      <c r="BV40" s="4" t="s">
        <v>71</v>
      </c>
      <c r="BW40" s="4" t="s">
        <v>71</v>
      </c>
      <c r="BX40" s="4" t="s">
        <v>71</v>
      </c>
      <c r="BY40" s="4" t="s">
        <v>71</v>
      </c>
      <c r="BZ40" s="4" t="s">
        <v>70</v>
      </c>
      <c r="CA40" s="4" t="s">
        <v>70</v>
      </c>
      <c r="CB40" s="4" t="s">
        <v>71</v>
      </c>
      <c r="CC40" s="4" t="s">
        <v>71</v>
      </c>
      <c r="CD40" s="4" t="s">
        <v>71</v>
      </c>
      <c r="CE40" s="4" t="s">
        <v>70</v>
      </c>
      <c r="CF40" s="4" t="s">
        <v>70</v>
      </c>
      <c r="CG40" s="4" t="s">
        <v>71</v>
      </c>
      <c r="CH40" s="4" t="s">
        <v>71</v>
      </c>
      <c r="CI40" s="4" t="s">
        <v>71</v>
      </c>
      <c r="CJ40" s="4" t="s">
        <v>70</v>
      </c>
      <c r="CK40" s="4" t="s">
        <v>70</v>
      </c>
      <c r="CL40" s="4" t="s">
        <v>71</v>
      </c>
      <c r="CM40" s="4" t="s">
        <v>71</v>
      </c>
      <c r="CN40" s="4" t="s">
        <v>70</v>
      </c>
      <c r="CO40" s="4" t="s">
        <v>70</v>
      </c>
    </row>
    <row r="41" spans="1:94" ht="13.2" x14ac:dyDescent="0.25">
      <c r="A41" s="3">
        <v>45003.473190891207</v>
      </c>
      <c r="B41" s="4" t="s">
        <v>332</v>
      </c>
      <c r="C41" s="4" t="s">
        <v>333</v>
      </c>
      <c r="D41" s="7" t="s">
        <v>327</v>
      </c>
      <c r="E41" s="4" t="s">
        <v>103</v>
      </c>
      <c r="F41" s="4" t="s">
        <v>334</v>
      </c>
      <c r="G41" s="4" t="s">
        <v>105</v>
      </c>
      <c r="H41" s="4" t="s">
        <v>335</v>
      </c>
      <c r="I41" s="4" t="s">
        <v>336</v>
      </c>
      <c r="J41" s="4" t="s">
        <v>337</v>
      </c>
      <c r="K41" s="4" t="s">
        <v>332</v>
      </c>
      <c r="L41" s="4" t="s">
        <v>67</v>
      </c>
      <c r="M41" s="4" t="s">
        <v>228</v>
      </c>
      <c r="N41" s="4">
        <v>35</v>
      </c>
      <c r="O41" s="4" t="s">
        <v>97</v>
      </c>
      <c r="P41" s="4">
        <v>4</v>
      </c>
      <c r="Q41" s="4">
        <v>4</v>
      </c>
      <c r="R41" s="4">
        <v>10</v>
      </c>
      <c r="T41" s="4" t="s">
        <v>70</v>
      </c>
      <c r="U41" s="4" t="s">
        <v>71</v>
      </c>
      <c r="V41" s="6" t="s">
        <v>73</v>
      </c>
      <c r="BS41" s="4" t="s">
        <v>70</v>
      </c>
      <c r="BT41" s="4" t="s">
        <v>71</v>
      </c>
      <c r="BU41" s="4" t="s">
        <v>71</v>
      </c>
      <c r="BV41" s="4" t="s">
        <v>71</v>
      </c>
      <c r="BW41" s="4" t="s">
        <v>70</v>
      </c>
      <c r="BX41" s="4" t="s">
        <v>71</v>
      </c>
      <c r="BY41" s="4" t="s">
        <v>70</v>
      </c>
      <c r="BZ41" s="4" t="s">
        <v>71</v>
      </c>
      <c r="CA41" s="4" t="s">
        <v>71</v>
      </c>
      <c r="CB41" s="4" t="s">
        <v>71</v>
      </c>
      <c r="CC41" s="4" t="s">
        <v>70</v>
      </c>
      <c r="CD41" s="4" t="s">
        <v>70</v>
      </c>
      <c r="CE41" s="4" t="s">
        <v>71</v>
      </c>
      <c r="CF41" s="4" t="s">
        <v>71</v>
      </c>
      <c r="CG41" s="4" t="s">
        <v>71</v>
      </c>
      <c r="CH41" s="4" t="s">
        <v>70</v>
      </c>
      <c r="CI41" s="4" t="s">
        <v>70</v>
      </c>
      <c r="CJ41" s="4" t="s">
        <v>71</v>
      </c>
      <c r="CK41" s="4" t="s">
        <v>71</v>
      </c>
      <c r="CL41" s="4" t="s">
        <v>70</v>
      </c>
      <c r="CM41" s="4" t="s">
        <v>70</v>
      </c>
      <c r="CN41" s="4" t="s">
        <v>71</v>
      </c>
      <c r="CO41" s="4" t="s">
        <v>71</v>
      </c>
    </row>
    <row r="42" spans="1:94" ht="13.2" x14ac:dyDescent="0.25">
      <c r="A42" s="3">
        <v>45004.537609432868</v>
      </c>
      <c r="B42" s="4" t="s">
        <v>632</v>
      </c>
      <c r="C42" s="4" t="s">
        <v>633</v>
      </c>
      <c r="D42" s="7" t="s">
        <v>634</v>
      </c>
      <c r="E42" s="4" t="s">
        <v>103</v>
      </c>
      <c r="F42" s="4" t="s">
        <v>635</v>
      </c>
      <c r="G42" s="4" t="s">
        <v>105</v>
      </c>
      <c r="H42" s="4" t="s">
        <v>636</v>
      </c>
      <c r="I42" s="4" t="s">
        <v>637</v>
      </c>
      <c r="J42" s="4" t="s">
        <v>638</v>
      </c>
      <c r="K42" s="4" t="s">
        <v>632</v>
      </c>
      <c r="L42" s="4" t="s">
        <v>67</v>
      </c>
      <c r="M42" s="4" t="s">
        <v>353</v>
      </c>
      <c r="N42" s="4">
        <v>35</v>
      </c>
      <c r="O42" s="4" t="s">
        <v>69</v>
      </c>
      <c r="P42" s="4">
        <v>5</v>
      </c>
      <c r="Q42" s="4">
        <v>5</v>
      </c>
      <c r="R42" s="4">
        <v>20</v>
      </c>
      <c r="T42" s="4" t="s">
        <v>70</v>
      </c>
      <c r="U42" s="4" t="s">
        <v>71</v>
      </c>
      <c r="V42" s="6" t="s">
        <v>73</v>
      </c>
      <c r="BS42" s="4" t="s">
        <v>70</v>
      </c>
      <c r="BT42" s="4" t="s">
        <v>70</v>
      </c>
      <c r="BU42" s="4" t="s">
        <v>71</v>
      </c>
      <c r="BV42" s="4" t="s">
        <v>70</v>
      </c>
      <c r="BW42" s="4" t="s">
        <v>70</v>
      </c>
      <c r="BX42" s="4" t="s">
        <v>70</v>
      </c>
      <c r="BY42" s="4" t="s">
        <v>71</v>
      </c>
      <c r="BZ42" s="4" t="s">
        <v>71</v>
      </c>
      <c r="CA42" s="4" t="s">
        <v>71</v>
      </c>
      <c r="CB42" s="4" t="s">
        <v>70</v>
      </c>
      <c r="CC42" s="4" t="s">
        <v>70</v>
      </c>
      <c r="CD42" s="4" t="s">
        <v>70</v>
      </c>
      <c r="CE42" s="4" t="s">
        <v>71</v>
      </c>
      <c r="CF42" s="4" t="s">
        <v>71</v>
      </c>
      <c r="CG42" s="4" t="s">
        <v>70</v>
      </c>
      <c r="CH42" s="4" t="s">
        <v>70</v>
      </c>
      <c r="CI42" s="4" t="s">
        <v>70</v>
      </c>
      <c r="CJ42" s="4" t="s">
        <v>71</v>
      </c>
      <c r="CK42" s="4" t="s">
        <v>71</v>
      </c>
      <c r="CL42" s="4" t="s">
        <v>70</v>
      </c>
      <c r="CM42" s="4" t="s">
        <v>70</v>
      </c>
      <c r="CN42" s="4" t="s">
        <v>71</v>
      </c>
      <c r="CO42" s="4" t="s">
        <v>71</v>
      </c>
    </row>
    <row r="43" spans="1:94" ht="13.2" x14ac:dyDescent="0.25">
      <c r="A43" s="3">
        <v>45005.366519571762</v>
      </c>
      <c r="B43" s="4" t="s">
        <v>876</v>
      </c>
      <c r="C43" s="4" t="s">
        <v>877</v>
      </c>
      <c r="D43" s="5" t="s">
        <v>878</v>
      </c>
      <c r="E43" s="4" t="s">
        <v>149</v>
      </c>
      <c r="F43" s="4" t="s">
        <v>879</v>
      </c>
      <c r="G43" s="4" t="s">
        <v>64</v>
      </c>
      <c r="H43" s="4" t="s">
        <v>880</v>
      </c>
      <c r="I43" s="4" t="s">
        <v>881</v>
      </c>
      <c r="J43" s="4" t="s">
        <v>882</v>
      </c>
      <c r="K43" s="4" t="s">
        <v>876</v>
      </c>
      <c r="L43" s="4" t="s">
        <v>665</v>
      </c>
      <c r="M43" s="4" t="s">
        <v>534</v>
      </c>
      <c r="N43" s="4">
        <v>18</v>
      </c>
      <c r="O43" s="4" t="s">
        <v>97</v>
      </c>
      <c r="P43" s="4">
        <v>5</v>
      </c>
      <c r="Q43" s="4">
        <v>4</v>
      </c>
      <c r="R43" s="4">
        <v>0</v>
      </c>
      <c r="T43" s="4" t="s">
        <v>70</v>
      </c>
      <c r="U43" s="4" t="s">
        <v>71</v>
      </c>
      <c r="V43" s="6" t="s">
        <v>73</v>
      </c>
      <c r="BS43" s="4" t="s">
        <v>70</v>
      </c>
      <c r="BT43" s="4" t="s">
        <v>71</v>
      </c>
      <c r="BU43" s="4" t="s">
        <v>71</v>
      </c>
      <c r="BV43" s="4" t="s">
        <v>71</v>
      </c>
      <c r="BW43" s="4" t="s">
        <v>70</v>
      </c>
      <c r="BX43" s="4" t="s">
        <v>71</v>
      </c>
      <c r="BY43" s="4" t="s">
        <v>71</v>
      </c>
      <c r="BZ43" s="4" t="s">
        <v>71</v>
      </c>
      <c r="CA43" s="4" t="s">
        <v>71</v>
      </c>
      <c r="CB43" s="4" t="s">
        <v>71</v>
      </c>
      <c r="CC43" s="4" t="s">
        <v>71</v>
      </c>
      <c r="CD43" s="4" t="s">
        <v>71</v>
      </c>
      <c r="CE43" s="4" t="s">
        <v>71</v>
      </c>
      <c r="CF43" s="4" t="s">
        <v>71</v>
      </c>
      <c r="CG43" s="4" t="s">
        <v>71</v>
      </c>
      <c r="CH43" s="4" t="s">
        <v>71</v>
      </c>
      <c r="CI43" s="4" t="s">
        <v>70</v>
      </c>
      <c r="CJ43" s="4" t="s">
        <v>71</v>
      </c>
      <c r="CK43" s="4" t="s">
        <v>71</v>
      </c>
      <c r="CL43" s="4" t="s">
        <v>70</v>
      </c>
      <c r="CM43" s="4" t="s">
        <v>71</v>
      </c>
      <c r="CO43" s="4" t="s">
        <v>71</v>
      </c>
    </row>
    <row r="44" spans="1:94" ht="13.2" x14ac:dyDescent="0.25">
      <c r="A44" s="3">
        <v>45005.480772754629</v>
      </c>
      <c r="B44" s="4" t="s">
        <v>986</v>
      </c>
      <c r="C44" s="4" t="s">
        <v>987</v>
      </c>
      <c r="D44" s="5" t="s">
        <v>988</v>
      </c>
      <c r="E44" s="4" t="s">
        <v>149</v>
      </c>
      <c r="F44" s="4" t="s">
        <v>384</v>
      </c>
      <c r="G44" s="4" t="s">
        <v>64</v>
      </c>
      <c r="H44" s="4" t="s">
        <v>989</v>
      </c>
      <c r="I44" s="4" t="s">
        <v>990</v>
      </c>
      <c r="K44" s="4" t="s">
        <v>986</v>
      </c>
      <c r="L44" s="4" t="s">
        <v>656</v>
      </c>
      <c r="M44" s="4" t="s">
        <v>592</v>
      </c>
      <c r="N44" s="4">
        <v>35</v>
      </c>
      <c r="O44" s="4" t="s">
        <v>69</v>
      </c>
      <c r="P44" s="4">
        <v>5</v>
      </c>
      <c r="Q44" s="4">
        <v>1</v>
      </c>
      <c r="R44" s="4">
        <v>0</v>
      </c>
      <c r="S44" s="4" t="s">
        <v>991</v>
      </c>
      <c r="T44" s="4" t="s">
        <v>70</v>
      </c>
      <c r="U44" s="4" t="s">
        <v>70</v>
      </c>
      <c r="V44" s="6" t="s">
        <v>73</v>
      </c>
      <c r="BS44" s="4" t="s">
        <v>71</v>
      </c>
      <c r="BT44" s="4" t="s">
        <v>70</v>
      </c>
      <c r="BU44" s="4" t="s">
        <v>71</v>
      </c>
      <c r="BV44" s="4" t="s">
        <v>71</v>
      </c>
      <c r="BW44" s="4" t="s">
        <v>71</v>
      </c>
      <c r="BX44" s="4" t="s">
        <v>71</v>
      </c>
      <c r="BY44" s="4" t="s">
        <v>70</v>
      </c>
      <c r="BZ44" s="4" t="s">
        <v>71</v>
      </c>
      <c r="CA44" s="4" t="s">
        <v>71</v>
      </c>
      <c r="CB44" s="4" t="s">
        <v>70</v>
      </c>
      <c r="CC44" s="4" t="s">
        <v>71</v>
      </c>
      <c r="CD44" s="4" t="s">
        <v>71</v>
      </c>
      <c r="CE44" s="4" t="s">
        <v>71</v>
      </c>
      <c r="CF44" s="4" t="s">
        <v>71</v>
      </c>
      <c r="CG44" s="4" t="s">
        <v>71</v>
      </c>
      <c r="CH44" s="4" t="s">
        <v>70</v>
      </c>
      <c r="CI44" s="4" t="s">
        <v>71</v>
      </c>
      <c r="CJ44" s="4" t="s">
        <v>71</v>
      </c>
      <c r="CK44" s="4" t="s">
        <v>71</v>
      </c>
      <c r="CL44" s="4" t="s">
        <v>71</v>
      </c>
      <c r="CM44" s="4" t="s">
        <v>71</v>
      </c>
      <c r="CN44" s="4" t="s">
        <v>70</v>
      </c>
      <c r="CO44" s="4" t="s">
        <v>71</v>
      </c>
      <c r="CP44" s="4" t="s">
        <v>992</v>
      </c>
    </row>
    <row r="45" spans="1:94" ht="13.2" x14ac:dyDescent="0.25">
      <c r="A45" s="3">
        <v>45005.497309247687</v>
      </c>
      <c r="B45" s="4" t="s">
        <v>354</v>
      </c>
      <c r="C45" s="4" t="s">
        <v>355</v>
      </c>
      <c r="D45" s="5" t="s">
        <v>356</v>
      </c>
      <c r="E45" s="4" t="s">
        <v>140</v>
      </c>
      <c r="F45" s="4" t="s">
        <v>362</v>
      </c>
      <c r="G45" s="4" t="s">
        <v>105</v>
      </c>
      <c r="H45" s="4" t="s">
        <v>363</v>
      </c>
      <c r="I45" s="4" t="s">
        <v>359</v>
      </c>
      <c r="J45" s="4" t="s">
        <v>360</v>
      </c>
      <c r="K45" s="4" t="s">
        <v>354</v>
      </c>
      <c r="L45" s="4" t="s">
        <v>67</v>
      </c>
      <c r="M45" s="4" t="s">
        <v>251</v>
      </c>
      <c r="N45" s="4">
        <v>35</v>
      </c>
      <c r="O45" s="4" t="s">
        <v>200</v>
      </c>
      <c r="P45" s="4">
        <v>4</v>
      </c>
      <c r="Q45" s="4">
        <v>4</v>
      </c>
      <c r="R45" s="4">
        <v>30</v>
      </c>
      <c r="S45" s="4" t="s">
        <v>365</v>
      </c>
      <c r="T45" s="4" t="s">
        <v>70</v>
      </c>
      <c r="U45" s="4" t="s">
        <v>71</v>
      </c>
      <c r="V45" s="6" t="s">
        <v>73</v>
      </c>
      <c r="BS45" s="4" t="s">
        <v>71</v>
      </c>
      <c r="BT45" s="4" t="s">
        <v>71</v>
      </c>
      <c r="BU45" s="4" t="s">
        <v>71</v>
      </c>
      <c r="BV45" s="4" t="s">
        <v>71</v>
      </c>
      <c r="BW45" s="4" t="s">
        <v>70</v>
      </c>
      <c r="BX45" s="4" t="s">
        <v>71</v>
      </c>
      <c r="BY45" s="4" t="s">
        <v>71</v>
      </c>
      <c r="BZ45" s="4" t="s">
        <v>71</v>
      </c>
      <c r="CA45" s="4" t="s">
        <v>71</v>
      </c>
      <c r="CD45" s="4" t="s">
        <v>70</v>
      </c>
      <c r="CG45" s="4" t="s">
        <v>70</v>
      </c>
      <c r="CL45" s="4" t="s">
        <v>71</v>
      </c>
      <c r="CM45" s="4" t="s">
        <v>71</v>
      </c>
      <c r="CN45" s="4" t="s">
        <v>71</v>
      </c>
      <c r="CO45" s="4" t="s">
        <v>71</v>
      </c>
      <c r="CP45" s="4" t="s">
        <v>366</v>
      </c>
    </row>
    <row r="46" spans="1:94" ht="13.2" x14ac:dyDescent="0.25">
      <c r="A46" s="3">
        <v>45005.501624016208</v>
      </c>
      <c r="B46" s="4" t="s">
        <v>354</v>
      </c>
      <c r="C46" s="4" t="s">
        <v>355</v>
      </c>
      <c r="D46" s="5" t="s">
        <v>356</v>
      </c>
      <c r="E46" s="4" t="s">
        <v>140</v>
      </c>
      <c r="F46" s="4" t="s">
        <v>362</v>
      </c>
      <c r="G46" s="4" t="s">
        <v>105</v>
      </c>
      <c r="H46" s="4" t="s">
        <v>358</v>
      </c>
      <c r="I46" s="4" t="s">
        <v>359</v>
      </c>
      <c r="J46" s="4" t="s">
        <v>360</v>
      </c>
      <c r="K46" s="4" t="s">
        <v>354</v>
      </c>
      <c r="L46" s="4" t="s">
        <v>67</v>
      </c>
      <c r="M46" s="4" t="s">
        <v>251</v>
      </c>
      <c r="N46" s="4">
        <v>35</v>
      </c>
      <c r="O46" s="4" t="s">
        <v>97</v>
      </c>
      <c r="P46" s="4">
        <v>4</v>
      </c>
      <c r="Q46" s="4">
        <v>4</v>
      </c>
      <c r="R46" s="4">
        <v>30</v>
      </c>
      <c r="T46" s="4" t="s">
        <v>70</v>
      </c>
      <c r="U46" s="4" t="s">
        <v>71</v>
      </c>
      <c r="V46" s="6" t="s">
        <v>73</v>
      </c>
      <c r="BS46" s="4" t="s">
        <v>71</v>
      </c>
      <c r="BT46" s="4" t="s">
        <v>71</v>
      </c>
      <c r="BU46" s="4" t="s">
        <v>71</v>
      </c>
      <c r="BV46" s="4" t="s">
        <v>71</v>
      </c>
      <c r="BW46" s="4" t="s">
        <v>70</v>
      </c>
      <c r="BX46" s="4" t="s">
        <v>71</v>
      </c>
      <c r="BY46" s="4" t="s">
        <v>71</v>
      </c>
      <c r="BZ46" s="4" t="s">
        <v>71</v>
      </c>
      <c r="CA46" s="4" t="s">
        <v>71</v>
      </c>
      <c r="CD46" s="4" t="s">
        <v>70</v>
      </c>
      <c r="CG46" s="4" t="s">
        <v>70</v>
      </c>
      <c r="CL46" s="4" t="s">
        <v>71</v>
      </c>
      <c r="CM46" s="4" t="s">
        <v>71</v>
      </c>
      <c r="CN46" s="4" t="s">
        <v>71</v>
      </c>
      <c r="CO46" s="4" t="s">
        <v>71</v>
      </c>
      <c r="CP46" s="4" t="s">
        <v>368</v>
      </c>
    </row>
    <row r="47" spans="1:94" ht="13.2" x14ac:dyDescent="0.25">
      <c r="A47" s="3">
        <v>45005.509885416672</v>
      </c>
      <c r="B47" s="4" t="s">
        <v>728</v>
      </c>
      <c r="C47" s="4" t="s">
        <v>729</v>
      </c>
      <c r="D47" s="7" t="s">
        <v>730</v>
      </c>
      <c r="E47" s="4" t="s">
        <v>149</v>
      </c>
      <c r="F47" s="4" t="s">
        <v>731</v>
      </c>
      <c r="G47" s="4" t="s">
        <v>64</v>
      </c>
      <c r="H47" s="4" t="s">
        <v>732</v>
      </c>
      <c r="I47" s="4" t="s">
        <v>733</v>
      </c>
      <c r="J47" s="4" t="s">
        <v>734</v>
      </c>
      <c r="K47" s="4" t="s">
        <v>728</v>
      </c>
      <c r="L47" s="4" t="s">
        <v>656</v>
      </c>
      <c r="M47" s="4" t="s">
        <v>423</v>
      </c>
      <c r="N47" s="4">
        <v>40</v>
      </c>
      <c r="O47" s="4" t="s">
        <v>69</v>
      </c>
      <c r="P47" s="4">
        <v>3</v>
      </c>
      <c r="Q47" s="4">
        <v>3</v>
      </c>
      <c r="R47" s="4">
        <v>50</v>
      </c>
      <c r="S47" s="4" t="s">
        <v>735</v>
      </c>
      <c r="T47" s="4" t="s">
        <v>70</v>
      </c>
      <c r="U47" s="4" t="s">
        <v>70</v>
      </c>
      <c r="V47" s="6" t="s">
        <v>73</v>
      </c>
      <c r="BS47" s="4" t="s">
        <v>70</v>
      </c>
      <c r="BT47" s="4" t="s">
        <v>71</v>
      </c>
      <c r="BU47" s="4" t="s">
        <v>70</v>
      </c>
      <c r="BV47" s="4" t="s">
        <v>71</v>
      </c>
      <c r="BW47" s="4" t="s">
        <v>70</v>
      </c>
      <c r="BX47" s="4" t="s">
        <v>71</v>
      </c>
      <c r="BY47" s="4" t="s">
        <v>71</v>
      </c>
      <c r="BZ47" s="4" t="s">
        <v>71</v>
      </c>
      <c r="CA47" s="4" t="s">
        <v>71</v>
      </c>
      <c r="CB47" s="4" t="s">
        <v>71</v>
      </c>
      <c r="CC47" s="4" t="s">
        <v>71</v>
      </c>
      <c r="CD47" s="4" t="s">
        <v>70</v>
      </c>
      <c r="CE47" s="4" t="s">
        <v>71</v>
      </c>
      <c r="CF47" s="4" t="s">
        <v>71</v>
      </c>
      <c r="CG47" s="4" t="s">
        <v>71</v>
      </c>
      <c r="CH47" s="4" t="s">
        <v>71</v>
      </c>
      <c r="CI47" s="4" t="s">
        <v>71</v>
      </c>
      <c r="CJ47" s="4" t="s">
        <v>71</v>
      </c>
      <c r="CK47" s="4" t="s">
        <v>70</v>
      </c>
      <c r="CL47" s="4" t="s">
        <v>71</v>
      </c>
      <c r="CM47" s="4" t="s">
        <v>71</v>
      </c>
      <c r="CN47" s="4" t="s">
        <v>71</v>
      </c>
      <c r="CO47" s="4" t="s">
        <v>71</v>
      </c>
    </row>
    <row r="48" spans="1:94" ht="13.2" x14ac:dyDescent="0.25">
      <c r="A48" s="3">
        <v>45005.519819282403</v>
      </c>
      <c r="B48" s="4" t="s">
        <v>1205</v>
      </c>
      <c r="C48" s="4" t="s">
        <v>1206</v>
      </c>
      <c r="D48" s="7" t="s">
        <v>1207</v>
      </c>
      <c r="E48" s="4" t="s">
        <v>103</v>
      </c>
      <c r="F48" s="4" t="s">
        <v>1208</v>
      </c>
      <c r="G48" s="4" t="s">
        <v>105</v>
      </c>
      <c r="H48" s="4" t="s">
        <v>1209</v>
      </c>
      <c r="I48" s="4" t="s">
        <v>1210</v>
      </c>
      <c r="K48" s="4" t="s">
        <v>1205</v>
      </c>
      <c r="L48" s="4" t="s">
        <v>656</v>
      </c>
      <c r="M48" s="4" t="s">
        <v>1211</v>
      </c>
      <c r="N48" s="4">
        <v>30</v>
      </c>
      <c r="O48" s="4" t="s">
        <v>69</v>
      </c>
      <c r="P48" s="4">
        <v>3</v>
      </c>
      <c r="Q48" s="4">
        <v>3</v>
      </c>
      <c r="R48" s="4">
        <v>70</v>
      </c>
      <c r="T48" s="4" t="s">
        <v>71</v>
      </c>
      <c r="U48" s="4" t="s">
        <v>71</v>
      </c>
      <c r="V48" s="6" t="s">
        <v>73</v>
      </c>
      <c r="BS48" s="4" t="s">
        <v>70</v>
      </c>
      <c r="BT48" s="4" t="s">
        <v>70</v>
      </c>
      <c r="BU48" s="4" t="s">
        <v>70</v>
      </c>
      <c r="BV48" s="4" t="s">
        <v>71</v>
      </c>
      <c r="BW48" s="4" t="s">
        <v>71</v>
      </c>
      <c r="BX48" s="4" t="s">
        <v>71</v>
      </c>
      <c r="BY48" s="4" t="s">
        <v>70</v>
      </c>
      <c r="BZ48" s="4" t="s">
        <v>71</v>
      </c>
      <c r="CA48" s="4" t="s">
        <v>71</v>
      </c>
      <c r="CB48" s="4" t="s">
        <v>71</v>
      </c>
      <c r="CC48" s="4" t="s">
        <v>71</v>
      </c>
      <c r="CD48" s="4" t="s">
        <v>71</v>
      </c>
      <c r="CE48" s="4" t="s">
        <v>71</v>
      </c>
      <c r="CF48" s="4" t="s">
        <v>70</v>
      </c>
      <c r="CJ48" s="4" t="s">
        <v>70</v>
      </c>
      <c r="CM48" s="4" t="s">
        <v>71</v>
      </c>
      <c r="CP48" s="4" t="s">
        <v>1212</v>
      </c>
    </row>
    <row r="49" spans="1:94" ht="13.2" x14ac:dyDescent="0.25">
      <c r="A49" s="3">
        <v>45005.552069733792</v>
      </c>
      <c r="B49" s="4" t="s">
        <v>88</v>
      </c>
      <c r="C49" s="4" t="s">
        <v>89</v>
      </c>
      <c r="D49" s="5" t="s">
        <v>90</v>
      </c>
      <c r="E49" s="4" t="s">
        <v>91</v>
      </c>
      <c r="F49" s="4" t="s">
        <v>92</v>
      </c>
      <c r="G49" s="4" t="s">
        <v>64</v>
      </c>
      <c r="H49" s="4" t="s">
        <v>93</v>
      </c>
      <c r="I49" s="4" t="s">
        <v>94</v>
      </c>
      <c r="J49" s="4" t="s">
        <v>95</v>
      </c>
      <c r="K49" s="4" t="s">
        <v>88</v>
      </c>
      <c r="L49" s="4" t="s">
        <v>67</v>
      </c>
      <c r="M49" s="4" t="s">
        <v>85</v>
      </c>
      <c r="N49" s="4">
        <v>29</v>
      </c>
      <c r="O49" s="4" t="s">
        <v>97</v>
      </c>
      <c r="P49" s="4">
        <v>5</v>
      </c>
      <c r="Q49" s="4">
        <v>4</v>
      </c>
      <c r="R49" s="4">
        <v>0</v>
      </c>
      <c r="T49" s="4" t="s">
        <v>70</v>
      </c>
      <c r="U49" s="4" t="s">
        <v>71</v>
      </c>
      <c r="V49" s="6" t="s">
        <v>73</v>
      </c>
      <c r="BS49" s="4" t="s">
        <v>71</v>
      </c>
      <c r="BT49" s="4" t="s">
        <v>70</v>
      </c>
      <c r="BU49" s="4" t="s">
        <v>71</v>
      </c>
      <c r="BV49" s="4" t="s">
        <v>71</v>
      </c>
      <c r="BW49" s="4" t="s">
        <v>70</v>
      </c>
      <c r="BX49" s="4" t="s">
        <v>71</v>
      </c>
      <c r="BY49" s="4" t="s">
        <v>71</v>
      </c>
      <c r="BZ49" s="4" t="s">
        <v>71</v>
      </c>
      <c r="CA49" s="4" t="s">
        <v>71</v>
      </c>
      <c r="CB49" s="4" t="s">
        <v>70</v>
      </c>
      <c r="CC49" s="4" t="s">
        <v>71</v>
      </c>
      <c r="CD49" s="4" t="s">
        <v>71</v>
      </c>
      <c r="CE49" s="4" t="s">
        <v>71</v>
      </c>
      <c r="CF49" s="4" t="s">
        <v>71</v>
      </c>
      <c r="CG49" s="4" t="s">
        <v>71</v>
      </c>
      <c r="CH49" s="4" t="s">
        <v>71</v>
      </c>
      <c r="CI49" s="4" t="s">
        <v>71</v>
      </c>
      <c r="CJ49" s="4" t="s">
        <v>71</v>
      </c>
      <c r="CK49" s="4" t="s">
        <v>71</v>
      </c>
      <c r="CL49" s="4" t="s">
        <v>71</v>
      </c>
      <c r="CM49" s="4" t="s">
        <v>71</v>
      </c>
      <c r="CN49" s="4" t="s">
        <v>71</v>
      </c>
      <c r="CO49" s="4" t="s">
        <v>71</v>
      </c>
    </row>
    <row r="50" spans="1:94" ht="13.2" x14ac:dyDescent="0.25">
      <c r="A50" s="3">
        <v>45005.588681226851</v>
      </c>
      <c r="B50" s="4" t="s">
        <v>213</v>
      </c>
      <c r="C50" s="4" t="s">
        <v>214</v>
      </c>
      <c r="D50" s="7" t="s">
        <v>215</v>
      </c>
      <c r="E50" s="4" t="s">
        <v>62</v>
      </c>
      <c r="F50" s="4" t="s">
        <v>216</v>
      </c>
      <c r="G50" s="4" t="s">
        <v>105</v>
      </c>
      <c r="H50" s="4" t="s">
        <v>217</v>
      </c>
      <c r="I50" s="4" t="s">
        <v>218</v>
      </c>
      <c r="J50" s="4" t="s">
        <v>219</v>
      </c>
      <c r="K50" s="4" t="s">
        <v>213</v>
      </c>
      <c r="L50" s="4" t="s">
        <v>67</v>
      </c>
      <c r="M50" s="4" t="s">
        <v>176</v>
      </c>
      <c r="N50" s="4">
        <v>35</v>
      </c>
      <c r="O50" s="4" t="s">
        <v>69</v>
      </c>
      <c r="P50" s="4">
        <v>4</v>
      </c>
      <c r="Q50" s="4">
        <v>4</v>
      </c>
      <c r="R50" s="4">
        <v>40</v>
      </c>
      <c r="T50" s="4" t="s">
        <v>70</v>
      </c>
      <c r="U50" s="4" t="s">
        <v>71</v>
      </c>
      <c r="V50" s="6" t="s">
        <v>73</v>
      </c>
      <c r="BS50" s="4" t="s">
        <v>70</v>
      </c>
      <c r="BT50" s="4" t="s">
        <v>71</v>
      </c>
      <c r="BU50" s="4" t="s">
        <v>71</v>
      </c>
      <c r="BV50" s="4" t="s">
        <v>71</v>
      </c>
      <c r="BW50" s="4" t="s">
        <v>70</v>
      </c>
      <c r="BX50" s="4" t="s">
        <v>71</v>
      </c>
      <c r="BY50" s="4" t="s">
        <v>71</v>
      </c>
      <c r="BZ50" s="4" t="s">
        <v>71</v>
      </c>
      <c r="CA50" s="4" t="s">
        <v>71</v>
      </c>
      <c r="CB50" s="4" t="s">
        <v>71</v>
      </c>
      <c r="CC50" s="4" t="s">
        <v>71</v>
      </c>
      <c r="CD50" s="4" t="s">
        <v>70</v>
      </c>
      <c r="CE50" s="4" t="s">
        <v>71</v>
      </c>
      <c r="CF50" s="4" t="s">
        <v>71</v>
      </c>
      <c r="CG50" s="4" t="s">
        <v>71</v>
      </c>
      <c r="CH50" s="4" t="s">
        <v>71</v>
      </c>
      <c r="CI50" s="4" t="s">
        <v>71</v>
      </c>
      <c r="CJ50" s="4" t="s">
        <v>71</v>
      </c>
      <c r="CK50" s="4" t="s">
        <v>71</v>
      </c>
      <c r="CL50" s="4" t="s">
        <v>70</v>
      </c>
      <c r="CM50" s="4" t="s">
        <v>70</v>
      </c>
      <c r="CN50" s="4" t="s">
        <v>71</v>
      </c>
      <c r="CO50" s="4" t="s">
        <v>71</v>
      </c>
    </row>
    <row r="51" spans="1:94" ht="13.2" x14ac:dyDescent="0.25">
      <c r="A51" s="3">
        <v>45005.654650277778</v>
      </c>
      <c r="B51" s="4" t="s">
        <v>815</v>
      </c>
      <c r="C51" s="4" t="s">
        <v>816</v>
      </c>
      <c r="D51" s="6" t="s">
        <v>817</v>
      </c>
      <c r="E51" s="4" t="s">
        <v>140</v>
      </c>
      <c r="F51" s="4" t="s">
        <v>818</v>
      </c>
      <c r="G51" s="4" t="s">
        <v>64</v>
      </c>
      <c r="H51" s="4" t="s">
        <v>819</v>
      </c>
      <c r="I51" s="4" t="s">
        <v>819</v>
      </c>
      <c r="K51" s="4" t="s">
        <v>815</v>
      </c>
      <c r="L51" s="4" t="s">
        <v>656</v>
      </c>
      <c r="M51" s="4" t="s">
        <v>499</v>
      </c>
      <c r="N51" s="4">
        <v>35</v>
      </c>
      <c r="O51" s="4" t="s">
        <v>200</v>
      </c>
      <c r="P51" s="4">
        <v>4</v>
      </c>
      <c r="Q51" s="4">
        <v>1</v>
      </c>
      <c r="R51" s="4">
        <v>50</v>
      </c>
      <c r="S51" s="4" t="s">
        <v>820</v>
      </c>
      <c r="T51" s="4" t="s">
        <v>70</v>
      </c>
      <c r="U51" s="4" t="s">
        <v>71</v>
      </c>
      <c r="V51" s="6" t="s">
        <v>73</v>
      </c>
      <c r="BS51" s="4" t="s">
        <v>70</v>
      </c>
      <c r="BT51" s="4" t="s">
        <v>71</v>
      </c>
      <c r="BU51" s="4" t="s">
        <v>71</v>
      </c>
      <c r="BV51" s="4" t="s">
        <v>70</v>
      </c>
      <c r="BW51" s="4" t="s">
        <v>70</v>
      </c>
      <c r="BX51" s="4" t="s">
        <v>70</v>
      </c>
      <c r="BY51" s="4" t="s">
        <v>71</v>
      </c>
      <c r="BZ51" s="4" t="s">
        <v>71</v>
      </c>
      <c r="CA51" s="4" t="s">
        <v>71</v>
      </c>
      <c r="CB51" s="4" t="s">
        <v>70</v>
      </c>
      <c r="CC51" s="4" t="s">
        <v>70</v>
      </c>
      <c r="CD51" s="4" t="s">
        <v>70</v>
      </c>
      <c r="CE51" s="4" t="s">
        <v>71</v>
      </c>
      <c r="CF51" s="4" t="s">
        <v>71</v>
      </c>
      <c r="CG51" s="4" t="s">
        <v>70</v>
      </c>
      <c r="CH51" s="4" t="s">
        <v>70</v>
      </c>
      <c r="CI51" s="4" t="s">
        <v>70</v>
      </c>
      <c r="CJ51" s="4" t="s">
        <v>71</v>
      </c>
      <c r="CK51" s="4" t="s">
        <v>71</v>
      </c>
      <c r="CL51" s="4" t="s">
        <v>71</v>
      </c>
      <c r="CM51" s="4" t="s">
        <v>71</v>
      </c>
      <c r="CN51" s="4" t="s">
        <v>71</v>
      </c>
      <c r="CO51" s="4" t="s">
        <v>71</v>
      </c>
    </row>
    <row r="52" spans="1:94" ht="13.2" x14ac:dyDescent="0.25">
      <c r="A52" s="3">
        <v>45005.666444849536</v>
      </c>
      <c r="B52" s="4" t="s">
        <v>701</v>
      </c>
      <c r="C52" s="4" t="s">
        <v>838</v>
      </c>
      <c r="D52" s="6" t="s">
        <v>839</v>
      </c>
      <c r="E52" s="4" t="s">
        <v>263</v>
      </c>
      <c r="F52" s="4" t="s">
        <v>840</v>
      </c>
      <c r="G52" s="4" t="s">
        <v>64</v>
      </c>
      <c r="H52" s="4" t="s">
        <v>704</v>
      </c>
      <c r="I52" s="4" t="s">
        <v>841</v>
      </c>
      <c r="K52" s="4" t="s">
        <v>701</v>
      </c>
      <c r="L52" s="4" t="s">
        <v>656</v>
      </c>
      <c r="M52" s="4" t="s">
        <v>411</v>
      </c>
      <c r="N52" s="4">
        <v>35</v>
      </c>
      <c r="O52" s="4" t="s">
        <v>69</v>
      </c>
      <c r="P52" s="4">
        <v>3</v>
      </c>
      <c r="Q52" s="4">
        <v>2</v>
      </c>
      <c r="R52" s="4">
        <v>25</v>
      </c>
      <c r="T52" s="4" t="s">
        <v>70</v>
      </c>
      <c r="U52" s="4" t="s">
        <v>71</v>
      </c>
      <c r="V52" s="6" t="s">
        <v>73</v>
      </c>
      <c r="BS52" s="4" t="s">
        <v>70</v>
      </c>
      <c r="BT52" s="4" t="s">
        <v>70</v>
      </c>
      <c r="BU52" s="4" t="s">
        <v>71</v>
      </c>
      <c r="BV52" s="4" t="s">
        <v>70</v>
      </c>
      <c r="BW52" s="4" t="s">
        <v>70</v>
      </c>
      <c r="BX52" s="4" t="s">
        <v>70</v>
      </c>
      <c r="BY52" s="4" t="s">
        <v>71</v>
      </c>
      <c r="BZ52" s="4" t="s">
        <v>71</v>
      </c>
      <c r="CA52" s="4" t="s">
        <v>71</v>
      </c>
      <c r="CB52" s="4" t="s">
        <v>70</v>
      </c>
      <c r="CC52" s="4" t="s">
        <v>70</v>
      </c>
      <c r="CD52" s="4" t="s">
        <v>70</v>
      </c>
      <c r="CE52" s="4" t="s">
        <v>71</v>
      </c>
      <c r="CF52" s="4" t="s">
        <v>71</v>
      </c>
      <c r="CG52" s="4" t="s">
        <v>70</v>
      </c>
      <c r="CH52" s="4" t="s">
        <v>70</v>
      </c>
      <c r="CI52" s="4" t="s">
        <v>70</v>
      </c>
      <c r="CJ52" s="4" t="s">
        <v>71</v>
      </c>
      <c r="CK52" s="4" t="s">
        <v>71</v>
      </c>
      <c r="CL52" s="4" t="s">
        <v>70</v>
      </c>
      <c r="CM52" s="4" t="s">
        <v>70</v>
      </c>
      <c r="CN52" s="4" t="s">
        <v>71</v>
      </c>
      <c r="CO52" s="4" t="s">
        <v>71</v>
      </c>
    </row>
    <row r="53" spans="1:94" ht="13.2" x14ac:dyDescent="0.25">
      <c r="A53" s="3">
        <v>45005.668450393518</v>
      </c>
      <c r="B53" s="4" t="s">
        <v>701</v>
      </c>
      <c r="C53" s="4" t="s">
        <v>838</v>
      </c>
      <c r="D53" s="6" t="s">
        <v>839</v>
      </c>
      <c r="E53" s="4" t="s">
        <v>149</v>
      </c>
      <c r="F53" s="4" t="s">
        <v>205</v>
      </c>
      <c r="G53" s="4" t="s">
        <v>64</v>
      </c>
      <c r="H53" s="4" t="s">
        <v>709</v>
      </c>
      <c r="I53" s="4" t="s">
        <v>842</v>
      </c>
      <c r="K53" s="4" t="s">
        <v>701</v>
      </c>
      <c r="L53" s="4" t="s">
        <v>656</v>
      </c>
      <c r="M53" s="4" t="s">
        <v>411</v>
      </c>
      <c r="N53" s="4">
        <v>35</v>
      </c>
      <c r="O53" s="4" t="s">
        <v>69</v>
      </c>
      <c r="P53" s="4">
        <v>3</v>
      </c>
      <c r="Q53" s="4">
        <v>2</v>
      </c>
      <c r="R53" s="4">
        <v>25</v>
      </c>
      <c r="T53" s="4" t="s">
        <v>70</v>
      </c>
      <c r="U53" s="4" t="s">
        <v>71</v>
      </c>
      <c r="V53" s="6" t="s">
        <v>73</v>
      </c>
      <c r="BS53" s="4" t="s">
        <v>70</v>
      </c>
      <c r="BT53" s="4" t="s">
        <v>70</v>
      </c>
      <c r="BU53" s="4" t="s">
        <v>71</v>
      </c>
      <c r="BV53" s="4" t="s">
        <v>70</v>
      </c>
      <c r="BW53" s="4" t="s">
        <v>70</v>
      </c>
      <c r="BX53" s="4" t="s">
        <v>70</v>
      </c>
      <c r="BY53" s="4" t="s">
        <v>71</v>
      </c>
      <c r="BZ53" s="4" t="s">
        <v>71</v>
      </c>
      <c r="CA53" s="4" t="s">
        <v>71</v>
      </c>
      <c r="CB53" s="4" t="s">
        <v>70</v>
      </c>
      <c r="CC53" s="4" t="s">
        <v>70</v>
      </c>
      <c r="CD53" s="4" t="s">
        <v>70</v>
      </c>
      <c r="CE53" s="4" t="s">
        <v>71</v>
      </c>
      <c r="CF53" s="4" t="s">
        <v>71</v>
      </c>
      <c r="CG53" s="4" t="s">
        <v>70</v>
      </c>
      <c r="CH53" s="4" t="s">
        <v>70</v>
      </c>
      <c r="CI53" s="4" t="s">
        <v>70</v>
      </c>
      <c r="CJ53" s="4" t="s">
        <v>71</v>
      </c>
      <c r="CK53" s="4" t="s">
        <v>71</v>
      </c>
      <c r="CL53" s="4" t="s">
        <v>70</v>
      </c>
      <c r="CM53" s="4" t="s">
        <v>70</v>
      </c>
      <c r="CN53" s="4" t="s">
        <v>71</v>
      </c>
      <c r="CO53" s="4" t="s">
        <v>71</v>
      </c>
    </row>
    <row r="54" spans="1:94" ht="13.2" x14ac:dyDescent="0.25">
      <c r="A54" s="3">
        <v>45005.686679189814</v>
      </c>
      <c r="B54" s="4" t="s">
        <v>626</v>
      </c>
      <c r="C54" s="4" t="s">
        <v>627</v>
      </c>
      <c r="D54" s="6" t="s">
        <v>628</v>
      </c>
      <c r="E54" s="4" t="s">
        <v>149</v>
      </c>
      <c r="F54" s="4" t="s">
        <v>124</v>
      </c>
      <c r="G54" s="4" t="s">
        <v>105</v>
      </c>
      <c r="H54" s="4" t="s">
        <v>629</v>
      </c>
      <c r="I54" s="4" t="s">
        <v>630</v>
      </c>
      <c r="K54" s="4" t="s">
        <v>626</v>
      </c>
      <c r="L54" s="4" t="s">
        <v>67</v>
      </c>
      <c r="M54" s="4" t="s">
        <v>169</v>
      </c>
      <c r="N54" s="4">
        <v>20</v>
      </c>
      <c r="O54" s="4" t="s">
        <v>69</v>
      </c>
      <c r="P54" s="4">
        <v>5</v>
      </c>
      <c r="Q54" s="4">
        <v>4</v>
      </c>
      <c r="R54" s="4">
        <v>10</v>
      </c>
      <c r="T54" s="4" t="s">
        <v>70</v>
      </c>
      <c r="U54" s="4" t="s">
        <v>71</v>
      </c>
      <c r="V54" s="6" t="s">
        <v>73</v>
      </c>
      <c r="BS54" s="4" t="s">
        <v>71</v>
      </c>
      <c r="BT54" s="4" t="s">
        <v>70</v>
      </c>
      <c r="BU54" s="4" t="s">
        <v>71</v>
      </c>
      <c r="BV54" s="4" t="s">
        <v>70</v>
      </c>
      <c r="BW54" s="4" t="s">
        <v>71</v>
      </c>
      <c r="BX54" s="4" t="s">
        <v>71</v>
      </c>
      <c r="BY54" s="4" t="s">
        <v>71</v>
      </c>
      <c r="BZ54" s="4" t="s">
        <v>71</v>
      </c>
      <c r="CA54" s="4" t="s">
        <v>71</v>
      </c>
      <c r="CB54" s="4" t="s">
        <v>71</v>
      </c>
      <c r="CC54" s="4" t="s">
        <v>70</v>
      </c>
      <c r="CL54" s="4" t="s">
        <v>71</v>
      </c>
      <c r="CM54" s="4" t="s">
        <v>70</v>
      </c>
      <c r="CN54" s="4" t="s">
        <v>71</v>
      </c>
      <c r="CO54" s="4" t="s">
        <v>71</v>
      </c>
    </row>
    <row r="55" spans="1:94" ht="13.2" x14ac:dyDescent="0.25">
      <c r="A55" s="3">
        <v>45005.708227210649</v>
      </c>
      <c r="B55" s="4" t="s">
        <v>821</v>
      </c>
      <c r="C55" s="4" t="s">
        <v>822</v>
      </c>
      <c r="D55" s="6" t="s">
        <v>823</v>
      </c>
      <c r="E55" s="4" t="s">
        <v>140</v>
      </c>
      <c r="F55" s="4" t="s">
        <v>824</v>
      </c>
      <c r="G55" s="4" t="s">
        <v>64</v>
      </c>
      <c r="H55" s="4" t="s">
        <v>825</v>
      </c>
      <c r="I55" s="4" t="s">
        <v>826</v>
      </c>
      <c r="K55" s="4" t="s">
        <v>827</v>
      </c>
      <c r="L55" s="4" t="s">
        <v>656</v>
      </c>
      <c r="M55" s="4" t="s">
        <v>504</v>
      </c>
      <c r="N55" s="4">
        <v>35</v>
      </c>
      <c r="O55" s="4" t="s">
        <v>97</v>
      </c>
      <c r="P55" s="4">
        <v>3</v>
      </c>
      <c r="Q55" s="4">
        <v>1</v>
      </c>
      <c r="R55" s="4">
        <v>90</v>
      </c>
      <c r="T55" s="4" t="s">
        <v>70</v>
      </c>
      <c r="U55" s="4" t="s">
        <v>70</v>
      </c>
      <c r="V55" s="6" t="s">
        <v>73</v>
      </c>
      <c r="BS55" s="4" t="s">
        <v>71</v>
      </c>
      <c r="BT55" s="4" t="s">
        <v>71</v>
      </c>
      <c r="BU55" s="4" t="s">
        <v>71</v>
      </c>
      <c r="BV55" s="4" t="s">
        <v>70</v>
      </c>
      <c r="BW55" s="4" t="s">
        <v>70</v>
      </c>
      <c r="BX55" s="4" t="s">
        <v>71</v>
      </c>
      <c r="BY55" s="4" t="s">
        <v>71</v>
      </c>
      <c r="BZ55" s="4" t="s">
        <v>71</v>
      </c>
      <c r="CA55" s="4" t="s">
        <v>71</v>
      </c>
      <c r="CB55" s="4" t="s">
        <v>71</v>
      </c>
      <c r="CC55" s="4" t="s">
        <v>71</v>
      </c>
      <c r="CD55" s="4" t="s">
        <v>70</v>
      </c>
      <c r="CE55" s="4" t="s">
        <v>71</v>
      </c>
      <c r="CF55" s="4" t="s">
        <v>71</v>
      </c>
      <c r="CG55" s="4" t="s">
        <v>71</v>
      </c>
      <c r="CH55" s="4" t="s">
        <v>71</v>
      </c>
      <c r="CI55" s="4" t="s">
        <v>70</v>
      </c>
      <c r="CJ55" s="4" t="s">
        <v>71</v>
      </c>
      <c r="CK55" s="4" t="s">
        <v>71</v>
      </c>
      <c r="CL55" s="4" t="s">
        <v>71</v>
      </c>
      <c r="CM55" s="4" t="s">
        <v>70</v>
      </c>
      <c r="CN55" s="4" t="s">
        <v>71</v>
      </c>
      <c r="CO55" s="4" t="s">
        <v>71</v>
      </c>
    </row>
    <row r="56" spans="1:94" ht="13.2" x14ac:dyDescent="0.25">
      <c r="A56" s="3">
        <v>45005.741089270829</v>
      </c>
      <c r="B56" s="4" t="s">
        <v>993</v>
      </c>
      <c r="C56" s="4" t="s">
        <v>994</v>
      </c>
      <c r="D56" s="6" t="s">
        <v>988</v>
      </c>
      <c r="E56" s="4" t="s">
        <v>149</v>
      </c>
      <c r="F56" s="4" t="s">
        <v>205</v>
      </c>
      <c r="G56" s="4" t="s">
        <v>64</v>
      </c>
      <c r="H56" s="4" t="s">
        <v>989</v>
      </c>
      <c r="I56" s="4" t="s">
        <v>995</v>
      </c>
      <c r="K56" s="4" t="s">
        <v>993</v>
      </c>
      <c r="L56" s="4" t="s">
        <v>656</v>
      </c>
      <c r="M56" s="4" t="s">
        <v>596</v>
      </c>
      <c r="N56" s="4">
        <v>31</v>
      </c>
      <c r="O56" s="4" t="s">
        <v>69</v>
      </c>
      <c r="P56" s="4">
        <v>5</v>
      </c>
      <c r="Q56" s="4">
        <v>3</v>
      </c>
      <c r="R56" s="4">
        <v>20</v>
      </c>
      <c r="T56" s="4" t="s">
        <v>70</v>
      </c>
      <c r="U56" s="4" t="s">
        <v>71</v>
      </c>
      <c r="V56" s="6" t="s">
        <v>73</v>
      </c>
      <c r="BS56" s="4" t="s">
        <v>70</v>
      </c>
      <c r="BT56" s="4" t="s">
        <v>71</v>
      </c>
      <c r="BU56" s="4" t="s">
        <v>71</v>
      </c>
      <c r="BV56" s="4" t="s">
        <v>71</v>
      </c>
      <c r="BW56" s="4" t="s">
        <v>70</v>
      </c>
      <c r="BX56" s="4" t="s">
        <v>70</v>
      </c>
      <c r="BY56" s="4" t="s">
        <v>71</v>
      </c>
      <c r="BZ56" s="4" t="s">
        <v>71</v>
      </c>
      <c r="CA56" s="4" t="s">
        <v>71</v>
      </c>
      <c r="CB56" s="4" t="s">
        <v>71</v>
      </c>
      <c r="CC56" s="4" t="s">
        <v>70</v>
      </c>
      <c r="CD56" s="4" t="s">
        <v>70</v>
      </c>
      <c r="CE56" s="4" t="s">
        <v>71</v>
      </c>
      <c r="CF56" s="4" t="s">
        <v>71</v>
      </c>
      <c r="CG56" s="4" t="s">
        <v>70</v>
      </c>
      <c r="CH56" s="4" t="s">
        <v>70</v>
      </c>
      <c r="CJ56" s="4" t="s">
        <v>71</v>
      </c>
      <c r="CK56" s="4" t="s">
        <v>71</v>
      </c>
      <c r="CL56" s="4" t="s">
        <v>70</v>
      </c>
      <c r="CM56" s="4" t="s">
        <v>70</v>
      </c>
      <c r="CN56" s="4" t="s">
        <v>71</v>
      </c>
      <c r="CO56" s="4" t="s">
        <v>71</v>
      </c>
    </row>
    <row r="57" spans="1:94" ht="13.2" x14ac:dyDescent="0.25">
      <c r="A57" s="3">
        <v>45005.821687916672</v>
      </c>
      <c r="B57" s="4" t="s">
        <v>229</v>
      </c>
      <c r="C57" s="4" t="s">
        <v>230</v>
      </c>
      <c r="D57" s="6" t="s">
        <v>231</v>
      </c>
      <c r="E57" s="4" t="s">
        <v>140</v>
      </c>
      <c r="F57" s="4" t="s">
        <v>232</v>
      </c>
      <c r="G57" s="4" t="s">
        <v>64</v>
      </c>
      <c r="H57" s="4" t="s">
        <v>233</v>
      </c>
      <c r="I57" s="4" t="s">
        <v>234</v>
      </c>
      <c r="J57" s="4" t="s">
        <v>235</v>
      </c>
      <c r="K57" s="4" t="s">
        <v>229</v>
      </c>
      <c r="L57" s="4" t="s">
        <v>67</v>
      </c>
      <c r="M57" s="4" t="s">
        <v>186</v>
      </c>
      <c r="N57" s="4">
        <v>25</v>
      </c>
      <c r="O57" s="4" t="s">
        <v>69</v>
      </c>
      <c r="P57" s="4">
        <v>4</v>
      </c>
      <c r="Q57" s="4">
        <v>3</v>
      </c>
      <c r="R57" s="4">
        <v>40</v>
      </c>
      <c r="T57" s="4" t="s">
        <v>70</v>
      </c>
      <c r="U57" s="4" t="s">
        <v>70</v>
      </c>
      <c r="V57" s="6" t="s">
        <v>73</v>
      </c>
      <c r="BS57" s="4" t="s">
        <v>70</v>
      </c>
      <c r="BT57" s="4" t="s">
        <v>70</v>
      </c>
      <c r="BU57" s="4" t="s">
        <v>70</v>
      </c>
      <c r="BV57" s="4" t="s">
        <v>71</v>
      </c>
      <c r="BW57" s="4" t="s">
        <v>70</v>
      </c>
      <c r="BX57" s="4" t="s">
        <v>70</v>
      </c>
      <c r="BY57" s="4" t="s">
        <v>70</v>
      </c>
      <c r="BZ57" s="4" t="s">
        <v>70</v>
      </c>
      <c r="CA57" s="4" t="s">
        <v>70</v>
      </c>
      <c r="CB57" s="4" t="s">
        <v>71</v>
      </c>
      <c r="CC57" s="4" t="s">
        <v>70</v>
      </c>
      <c r="CD57" s="4" t="s">
        <v>70</v>
      </c>
      <c r="CE57" s="4" t="s">
        <v>70</v>
      </c>
      <c r="CF57" s="4" t="s">
        <v>70</v>
      </c>
      <c r="CG57" s="4" t="s">
        <v>71</v>
      </c>
      <c r="CH57" s="4" t="s">
        <v>70</v>
      </c>
      <c r="CI57" s="4" t="s">
        <v>70</v>
      </c>
      <c r="CJ57" s="4" t="s">
        <v>70</v>
      </c>
      <c r="CK57" s="4" t="s">
        <v>70</v>
      </c>
      <c r="CL57" s="4" t="s">
        <v>70</v>
      </c>
      <c r="CM57" s="4" t="s">
        <v>70</v>
      </c>
      <c r="CN57" s="4" t="s">
        <v>70</v>
      </c>
      <c r="CO57" s="4" t="s">
        <v>70</v>
      </c>
      <c r="CP57" s="4" t="s">
        <v>238</v>
      </c>
    </row>
    <row r="58" spans="1:94" ht="13.2" x14ac:dyDescent="0.25">
      <c r="A58" s="3">
        <v>45005.896399722224</v>
      </c>
      <c r="B58" s="4" t="s">
        <v>899</v>
      </c>
      <c r="C58" s="4" t="s">
        <v>900</v>
      </c>
      <c r="D58" s="5" t="s">
        <v>901</v>
      </c>
      <c r="E58" s="4" t="s">
        <v>140</v>
      </c>
      <c r="F58" s="4" t="s">
        <v>902</v>
      </c>
      <c r="G58" s="4" t="s">
        <v>105</v>
      </c>
      <c r="H58" s="4" t="s">
        <v>836</v>
      </c>
      <c r="I58" s="4" t="s">
        <v>903</v>
      </c>
      <c r="K58" s="4" t="s">
        <v>899</v>
      </c>
      <c r="L58" s="4" t="s">
        <v>656</v>
      </c>
      <c r="M58" s="4" t="s">
        <v>550</v>
      </c>
      <c r="N58" s="4">
        <v>35</v>
      </c>
      <c r="O58" s="4" t="s">
        <v>69</v>
      </c>
      <c r="P58" s="4">
        <v>5</v>
      </c>
      <c r="Q58" s="4">
        <v>4</v>
      </c>
      <c r="R58" s="4">
        <v>80</v>
      </c>
      <c r="T58" s="4" t="s">
        <v>70</v>
      </c>
      <c r="U58" s="4" t="s">
        <v>70</v>
      </c>
      <c r="V58" s="6" t="s">
        <v>73</v>
      </c>
      <c r="BS58" s="4" t="s">
        <v>70</v>
      </c>
      <c r="BT58" s="4" t="s">
        <v>71</v>
      </c>
      <c r="BU58" s="4" t="s">
        <v>70</v>
      </c>
      <c r="BV58" s="4" t="s">
        <v>71</v>
      </c>
      <c r="BW58" s="4" t="s">
        <v>70</v>
      </c>
      <c r="BX58" s="4" t="s">
        <v>71</v>
      </c>
      <c r="BY58" s="4" t="s">
        <v>70</v>
      </c>
      <c r="BZ58" s="4" t="s">
        <v>71</v>
      </c>
      <c r="CA58" s="4" t="s">
        <v>70</v>
      </c>
      <c r="CD58" s="4" t="s">
        <v>70</v>
      </c>
      <c r="CE58" s="4" t="s">
        <v>70</v>
      </c>
      <c r="CH58" s="4" t="s">
        <v>70</v>
      </c>
      <c r="CK58" s="4" t="s">
        <v>70</v>
      </c>
      <c r="CN58" s="4" t="s">
        <v>70</v>
      </c>
      <c r="CP58" s="4" t="s">
        <v>904</v>
      </c>
    </row>
    <row r="59" spans="1:94" ht="13.2" x14ac:dyDescent="0.25">
      <c r="A59" s="3">
        <v>45005.920085729165</v>
      </c>
      <c r="B59" s="4" t="s">
        <v>1045</v>
      </c>
      <c r="C59" s="4" t="s">
        <v>1046</v>
      </c>
      <c r="D59" s="5" t="s">
        <v>1047</v>
      </c>
      <c r="E59" s="4" t="s">
        <v>103</v>
      </c>
      <c r="F59" s="4" t="s">
        <v>1048</v>
      </c>
      <c r="G59" s="4" t="s">
        <v>105</v>
      </c>
      <c r="H59" s="4" t="s">
        <v>1049</v>
      </c>
      <c r="I59" s="4" t="s">
        <v>1050</v>
      </c>
      <c r="J59" s="4" t="s">
        <v>1051</v>
      </c>
      <c r="K59" s="4" t="s">
        <v>1045</v>
      </c>
      <c r="L59" s="4" t="s">
        <v>656</v>
      </c>
      <c r="M59" s="4" t="s">
        <v>643</v>
      </c>
      <c r="N59" s="4">
        <v>28</v>
      </c>
      <c r="O59" s="4" t="s">
        <v>97</v>
      </c>
      <c r="P59" s="4">
        <v>3</v>
      </c>
      <c r="Q59" s="4">
        <v>3</v>
      </c>
      <c r="R59" s="4">
        <v>80</v>
      </c>
      <c r="T59" s="4" t="s">
        <v>70</v>
      </c>
      <c r="U59" s="4" t="s">
        <v>71</v>
      </c>
      <c r="V59" s="6" t="s">
        <v>73</v>
      </c>
      <c r="BS59" s="4" t="s">
        <v>70</v>
      </c>
      <c r="BT59" s="4" t="s">
        <v>70</v>
      </c>
      <c r="BU59" s="4" t="s">
        <v>70</v>
      </c>
      <c r="BV59" s="4" t="s">
        <v>71</v>
      </c>
      <c r="BW59" s="4" t="s">
        <v>71</v>
      </c>
      <c r="BX59" s="4" t="s">
        <v>70</v>
      </c>
      <c r="BY59" s="4" t="s">
        <v>70</v>
      </c>
      <c r="BZ59" s="4" t="s">
        <v>70</v>
      </c>
      <c r="CA59" s="4" t="s">
        <v>71</v>
      </c>
      <c r="CC59" s="4" t="s">
        <v>70</v>
      </c>
      <c r="CD59" s="4" t="s">
        <v>70</v>
      </c>
      <c r="CE59" s="4" t="s">
        <v>70</v>
      </c>
      <c r="CH59" s="4" t="s">
        <v>70</v>
      </c>
      <c r="CI59" s="4" t="s">
        <v>70</v>
      </c>
      <c r="CJ59" s="4" t="s">
        <v>70</v>
      </c>
      <c r="CL59" s="4" t="s">
        <v>70</v>
      </c>
      <c r="CM59" s="4" t="s">
        <v>70</v>
      </c>
      <c r="CN59" s="4" t="s">
        <v>70</v>
      </c>
    </row>
    <row r="60" spans="1:94" ht="13.2" x14ac:dyDescent="0.25">
      <c r="A60" s="3">
        <v>45005.923197476848</v>
      </c>
      <c r="B60" s="4" t="s">
        <v>1045</v>
      </c>
      <c r="C60" s="4" t="s">
        <v>1052</v>
      </c>
      <c r="D60" s="5" t="s">
        <v>1047</v>
      </c>
      <c r="E60" s="4" t="s">
        <v>103</v>
      </c>
      <c r="F60" s="4" t="s">
        <v>1053</v>
      </c>
      <c r="G60" s="4" t="s">
        <v>105</v>
      </c>
      <c r="H60" s="4" t="s">
        <v>1050</v>
      </c>
      <c r="I60" s="4" t="s">
        <v>1054</v>
      </c>
      <c r="J60" s="4" t="s">
        <v>1055</v>
      </c>
      <c r="K60" s="4" t="s">
        <v>1045</v>
      </c>
      <c r="L60" s="4" t="s">
        <v>656</v>
      </c>
      <c r="M60" s="4" t="s">
        <v>643</v>
      </c>
      <c r="N60" s="4">
        <v>28</v>
      </c>
      <c r="O60" s="4" t="s">
        <v>69</v>
      </c>
      <c r="P60" s="4">
        <v>3</v>
      </c>
      <c r="Q60" s="4">
        <v>3</v>
      </c>
      <c r="R60" s="4">
        <v>80</v>
      </c>
      <c r="T60" s="4" t="s">
        <v>70</v>
      </c>
      <c r="U60" s="4" t="s">
        <v>71</v>
      </c>
      <c r="V60" s="6" t="s">
        <v>73</v>
      </c>
      <c r="BS60" s="4" t="s">
        <v>70</v>
      </c>
      <c r="BT60" s="4" t="s">
        <v>70</v>
      </c>
      <c r="BU60" s="4" t="s">
        <v>70</v>
      </c>
      <c r="BV60" s="4" t="s">
        <v>71</v>
      </c>
      <c r="BW60" s="4" t="s">
        <v>70</v>
      </c>
      <c r="BX60" s="4" t="s">
        <v>70</v>
      </c>
      <c r="BY60" s="4" t="s">
        <v>70</v>
      </c>
      <c r="BZ60" s="4" t="s">
        <v>70</v>
      </c>
      <c r="CA60" s="4" t="s">
        <v>71</v>
      </c>
      <c r="CC60" s="4" t="s">
        <v>70</v>
      </c>
      <c r="CD60" s="4" t="s">
        <v>70</v>
      </c>
      <c r="CE60" s="4" t="s">
        <v>70</v>
      </c>
      <c r="CH60" s="4" t="s">
        <v>70</v>
      </c>
      <c r="CI60" s="4" t="s">
        <v>70</v>
      </c>
      <c r="CJ60" s="4" t="s">
        <v>70</v>
      </c>
      <c r="CL60" s="4" t="s">
        <v>70</v>
      </c>
      <c r="CM60" s="4" t="s">
        <v>70</v>
      </c>
      <c r="CN60" s="4" t="s">
        <v>70</v>
      </c>
    </row>
    <row r="61" spans="1:94" ht="13.2" x14ac:dyDescent="0.25">
      <c r="A61" s="3">
        <v>45006.405131215273</v>
      </c>
      <c r="B61" s="4" t="s">
        <v>649</v>
      </c>
      <c r="C61" s="4" t="s">
        <v>650</v>
      </c>
      <c r="D61" s="5" t="s">
        <v>651</v>
      </c>
      <c r="E61" s="4" t="s">
        <v>62</v>
      </c>
      <c r="F61" s="4" t="s">
        <v>652</v>
      </c>
      <c r="G61" s="4" t="s">
        <v>64</v>
      </c>
      <c r="H61" s="4" t="s">
        <v>653</v>
      </c>
      <c r="I61" s="4" t="s">
        <v>654</v>
      </c>
      <c r="J61" s="4" t="s">
        <v>655</v>
      </c>
      <c r="K61" s="4" t="s">
        <v>649</v>
      </c>
      <c r="L61" s="4" t="s">
        <v>656</v>
      </c>
      <c r="M61" s="4" t="s">
        <v>361</v>
      </c>
      <c r="N61" s="4">
        <v>34</v>
      </c>
      <c r="O61" s="4" t="s">
        <v>69</v>
      </c>
      <c r="P61" s="4">
        <v>3</v>
      </c>
      <c r="Q61" s="4">
        <v>3</v>
      </c>
      <c r="R61" s="4">
        <v>0</v>
      </c>
      <c r="T61" s="4" t="s">
        <v>70</v>
      </c>
      <c r="U61" s="4" t="s">
        <v>70</v>
      </c>
      <c r="V61" s="6" t="s">
        <v>73</v>
      </c>
      <c r="BS61" s="4" t="s">
        <v>70</v>
      </c>
      <c r="BT61" s="4" t="s">
        <v>70</v>
      </c>
      <c r="BU61" s="4" t="s">
        <v>71</v>
      </c>
      <c r="BV61" s="4" t="s">
        <v>71</v>
      </c>
      <c r="BW61" s="4" t="s">
        <v>70</v>
      </c>
      <c r="BX61" s="4" t="s">
        <v>71</v>
      </c>
      <c r="BY61" s="4" t="s">
        <v>70</v>
      </c>
      <c r="BZ61" s="4" t="s">
        <v>71</v>
      </c>
      <c r="CA61" s="4" t="s">
        <v>71</v>
      </c>
      <c r="CE61" s="4" t="s">
        <v>70</v>
      </c>
      <c r="CK61" s="4" t="s">
        <v>70</v>
      </c>
    </row>
    <row r="62" spans="1:94" ht="13.2" x14ac:dyDescent="0.25">
      <c r="A62" s="3">
        <v>45006.424964826394</v>
      </c>
      <c r="B62" s="4" t="s">
        <v>343</v>
      </c>
      <c r="C62" s="4" t="s">
        <v>344</v>
      </c>
      <c r="D62" s="6" t="s">
        <v>345</v>
      </c>
      <c r="E62" s="4" t="s">
        <v>62</v>
      </c>
      <c r="F62" s="4" t="s">
        <v>346</v>
      </c>
      <c r="G62" s="4" t="s">
        <v>64</v>
      </c>
      <c r="H62" s="4" t="s">
        <v>347</v>
      </c>
      <c r="I62" s="4" t="s">
        <v>348</v>
      </c>
      <c r="J62" s="4" t="s">
        <v>349</v>
      </c>
      <c r="K62" s="4" t="s">
        <v>343</v>
      </c>
      <c r="L62" s="4" t="s">
        <v>67</v>
      </c>
      <c r="M62" s="4" t="s">
        <v>236</v>
      </c>
      <c r="N62" s="4">
        <v>30</v>
      </c>
      <c r="O62" s="4" t="s">
        <v>97</v>
      </c>
      <c r="P62" s="4">
        <v>5</v>
      </c>
      <c r="Q62" s="4">
        <v>4</v>
      </c>
      <c r="R62" s="4">
        <v>50</v>
      </c>
      <c r="T62" s="4" t="s">
        <v>70</v>
      </c>
      <c r="U62" s="4" t="s">
        <v>71</v>
      </c>
      <c r="V62" s="6" t="s">
        <v>73</v>
      </c>
      <c r="BS62" s="4" t="s">
        <v>70</v>
      </c>
      <c r="BT62" s="4" t="s">
        <v>71</v>
      </c>
      <c r="BU62" s="4" t="s">
        <v>71</v>
      </c>
      <c r="BV62" s="4" t="s">
        <v>71</v>
      </c>
      <c r="BW62" s="4" t="s">
        <v>70</v>
      </c>
      <c r="BX62" s="4" t="s">
        <v>71</v>
      </c>
      <c r="BY62" s="4" t="s">
        <v>71</v>
      </c>
      <c r="BZ62" s="4" t="s">
        <v>71</v>
      </c>
      <c r="CA62" s="4" t="s">
        <v>71</v>
      </c>
      <c r="CB62" s="4" t="s">
        <v>71</v>
      </c>
      <c r="CC62" s="4" t="s">
        <v>71</v>
      </c>
      <c r="CD62" s="4" t="s">
        <v>71</v>
      </c>
      <c r="CE62" s="4" t="s">
        <v>71</v>
      </c>
      <c r="CF62" s="4" t="s">
        <v>71</v>
      </c>
      <c r="CG62" s="4" t="s">
        <v>71</v>
      </c>
      <c r="CH62" s="4" t="s">
        <v>71</v>
      </c>
      <c r="CI62" s="4" t="s">
        <v>71</v>
      </c>
      <c r="CJ62" s="4" t="s">
        <v>71</v>
      </c>
      <c r="CK62" s="4" t="s">
        <v>71</v>
      </c>
      <c r="CL62" s="4" t="s">
        <v>71</v>
      </c>
      <c r="CM62" s="4" t="s">
        <v>70</v>
      </c>
      <c r="CN62" s="4" t="s">
        <v>71</v>
      </c>
      <c r="CO62" s="4" t="s">
        <v>71</v>
      </c>
    </row>
    <row r="63" spans="1:94" ht="13.2" x14ac:dyDescent="0.25">
      <c r="A63" s="3">
        <v>45006.433339212963</v>
      </c>
      <c r="B63" s="4" t="s">
        <v>343</v>
      </c>
      <c r="C63" s="4" t="s">
        <v>344</v>
      </c>
      <c r="D63" s="6" t="s">
        <v>345</v>
      </c>
      <c r="E63" s="4" t="s">
        <v>62</v>
      </c>
      <c r="F63" s="4" t="s">
        <v>351</v>
      </c>
      <c r="G63" s="4" t="s">
        <v>64</v>
      </c>
      <c r="H63" s="4" t="s">
        <v>347</v>
      </c>
      <c r="I63" s="4" t="s">
        <v>352</v>
      </c>
      <c r="J63" s="4" t="s">
        <v>349</v>
      </c>
      <c r="K63" s="4" t="s">
        <v>343</v>
      </c>
      <c r="L63" s="4" t="s">
        <v>67</v>
      </c>
      <c r="M63" s="4" t="s">
        <v>236</v>
      </c>
      <c r="N63" s="4">
        <v>30</v>
      </c>
      <c r="O63" s="4" t="s">
        <v>69</v>
      </c>
      <c r="P63" s="4">
        <v>5</v>
      </c>
      <c r="Q63" s="4">
        <v>4</v>
      </c>
      <c r="R63" s="4">
        <v>50</v>
      </c>
      <c r="T63" s="4" t="s">
        <v>70</v>
      </c>
      <c r="U63" s="4" t="s">
        <v>71</v>
      </c>
      <c r="V63" s="6" t="s">
        <v>73</v>
      </c>
      <c r="BS63" s="4" t="s">
        <v>70</v>
      </c>
      <c r="BT63" s="4" t="s">
        <v>71</v>
      </c>
      <c r="BU63" s="4" t="s">
        <v>71</v>
      </c>
      <c r="BV63" s="4" t="s">
        <v>71</v>
      </c>
      <c r="BW63" s="4" t="s">
        <v>70</v>
      </c>
      <c r="BX63" s="4" t="s">
        <v>71</v>
      </c>
      <c r="BY63" s="4" t="s">
        <v>71</v>
      </c>
      <c r="BZ63" s="4" t="s">
        <v>71</v>
      </c>
      <c r="CA63" s="4" t="s">
        <v>71</v>
      </c>
      <c r="CB63" s="4" t="s">
        <v>71</v>
      </c>
      <c r="CC63" s="4" t="s">
        <v>71</v>
      </c>
      <c r="CD63" s="4" t="s">
        <v>71</v>
      </c>
      <c r="CE63" s="4" t="s">
        <v>71</v>
      </c>
      <c r="CF63" s="4" t="s">
        <v>71</v>
      </c>
      <c r="CG63" s="4" t="s">
        <v>71</v>
      </c>
      <c r="CH63" s="4" t="s">
        <v>71</v>
      </c>
      <c r="CI63" s="4" t="s">
        <v>71</v>
      </c>
      <c r="CJ63" s="4" t="s">
        <v>71</v>
      </c>
      <c r="CK63" s="4" t="s">
        <v>71</v>
      </c>
      <c r="CL63" s="4" t="s">
        <v>71</v>
      </c>
      <c r="CM63" s="4" t="s">
        <v>70</v>
      </c>
      <c r="CN63" s="4" t="s">
        <v>71</v>
      </c>
      <c r="CO63" s="4" t="s">
        <v>71</v>
      </c>
    </row>
    <row r="64" spans="1:94" ht="13.2" x14ac:dyDescent="0.25">
      <c r="A64" s="3">
        <v>45006.451086111112</v>
      </c>
      <c r="B64" s="4" t="s">
        <v>59</v>
      </c>
      <c r="C64" s="4" t="s">
        <v>60</v>
      </c>
      <c r="D64" s="5" t="s">
        <v>61</v>
      </c>
      <c r="E64" s="4" t="s">
        <v>62</v>
      </c>
      <c r="F64" s="4" t="s">
        <v>63</v>
      </c>
      <c r="G64" s="4" t="s">
        <v>64</v>
      </c>
      <c r="H64" s="4" t="s">
        <v>65</v>
      </c>
      <c r="I64" s="4" t="s">
        <v>66</v>
      </c>
      <c r="K64" s="4" t="s">
        <v>59</v>
      </c>
      <c r="L64" s="4" t="s">
        <v>67</v>
      </c>
      <c r="M64" s="4" t="s">
        <v>68</v>
      </c>
      <c r="N64" s="4">
        <v>19</v>
      </c>
      <c r="O64" s="4" t="s">
        <v>69</v>
      </c>
      <c r="P64" s="4">
        <v>5</v>
      </c>
      <c r="Q64" s="4">
        <v>5</v>
      </c>
      <c r="R64" s="4">
        <v>0</v>
      </c>
      <c r="T64" s="4" t="s">
        <v>70</v>
      </c>
      <c r="U64" s="4" t="s">
        <v>71</v>
      </c>
      <c r="V64" s="6" t="s">
        <v>73</v>
      </c>
      <c r="BS64" s="4" t="s">
        <v>70</v>
      </c>
      <c r="BT64" s="4" t="s">
        <v>71</v>
      </c>
      <c r="BU64" s="4" t="s">
        <v>71</v>
      </c>
      <c r="BV64" s="4" t="s">
        <v>71</v>
      </c>
      <c r="BW64" s="4" t="s">
        <v>70</v>
      </c>
      <c r="BX64" s="4" t="s">
        <v>70</v>
      </c>
      <c r="BY64" s="4" t="s">
        <v>71</v>
      </c>
      <c r="BZ64" s="4" t="s">
        <v>71</v>
      </c>
      <c r="CA64" s="4" t="s">
        <v>71</v>
      </c>
      <c r="CB64" s="4" t="s">
        <v>71</v>
      </c>
      <c r="CC64" s="4" t="s">
        <v>70</v>
      </c>
      <c r="CD64" s="4" t="s">
        <v>70</v>
      </c>
      <c r="CE64" s="4" t="s">
        <v>71</v>
      </c>
      <c r="CF64" s="4" t="s">
        <v>71</v>
      </c>
      <c r="CG64" s="4" t="s">
        <v>71</v>
      </c>
      <c r="CH64" s="4" t="s">
        <v>71</v>
      </c>
      <c r="CI64" s="4" t="s">
        <v>71</v>
      </c>
      <c r="CJ64" s="4" t="s">
        <v>71</v>
      </c>
      <c r="CK64" s="4" t="s">
        <v>71</v>
      </c>
      <c r="CL64" s="4" t="s">
        <v>71</v>
      </c>
      <c r="CM64" s="4" t="s">
        <v>71</v>
      </c>
      <c r="CN64" s="4" t="s">
        <v>71</v>
      </c>
      <c r="CO64" s="4" t="s">
        <v>71</v>
      </c>
    </row>
    <row r="65" spans="1:93" ht="13.2" x14ac:dyDescent="0.25">
      <c r="A65" s="3">
        <v>45006.454249375005</v>
      </c>
      <c r="B65" s="4" t="s">
        <v>59</v>
      </c>
      <c r="C65" s="4" t="s">
        <v>74</v>
      </c>
      <c r="D65" s="5" t="s">
        <v>61</v>
      </c>
      <c r="E65" s="4" t="s">
        <v>62</v>
      </c>
      <c r="F65" s="4" t="s">
        <v>75</v>
      </c>
      <c r="G65" s="4" t="s">
        <v>64</v>
      </c>
      <c r="H65" s="4" t="s">
        <v>66</v>
      </c>
      <c r="I65" s="4" t="s">
        <v>76</v>
      </c>
      <c r="K65" s="4" t="s">
        <v>59</v>
      </c>
      <c r="L65" s="4" t="s">
        <v>67</v>
      </c>
      <c r="M65" s="4" t="s">
        <v>68</v>
      </c>
      <c r="N65" s="4">
        <v>23</v>
      </c>
      <c r="O65" s="4" t="s">
        <v>69</v>
      </c>
      <c r="P65" s="4">
        <v>5</v>
      </c>
      <c r="Q65" s="4">
        <v>5</v>
      </c>
      <c r="R65" s="4">
        <v>0</v>
      </c>
      <c r="T65" s="4" t="s">
        <v>70</v>
      </c>
      <c r="U65" s="4" t="s">
        <v>71</v>
      </c>
      <c r="V65" s="6" t="s">
        <v>73</v>
      </c>
      <c r="BS65" s="4" t="s">
        <v>70</v>
      </c>
      <c r="BT65" s="4" t="s">
        <v>71</v>
      </c>
      <c r="BU65" s="4" t="s">
        <v>71</v>
      </c>
      <c r="BV65" s="4" t="s">
        <v>71</v>
      </c>
      <c r="BW65" s="4" t="s">
        <v>70</v>
      </c>
      <c r="BX65" s="4" t="s">
        <v>70</v>
      </c>
      <c r="BY65" s="4" t="s">
        <v>71</v>
      </c>
      <c r="BZ65" s="4" t="s">
        <v>71</v>
      </c>
      <c r="CA65" s="4" t="s">
        <v>71</v>
      </c>
      <c r="CB65" s="4" t="s">
        <v>71</v>
      </c>
      <c r="CC65" s="4" t="s">
        <v>70</v>
      </c>
      <c r="CD65" s="4" t="s">
        <v>70</v>
      </c>
      <c r="CE65" s="4" t="s">
        <v>71</v>
      </c>
      <c r="CF65" s="4" t="s">
        <v>71</v>
      </c>
      <c r="CG65" s="4" t="s">
        <v>71</v>
      </c>
      <c r="CH65" s="4" t="s">
        <v>71</v>
      </c>
      <c r="CI65" s="4" t="s">
        <v>71</v>
      </c>
      <c r="CJ65" s="4" t="s">
        <v>71</v>
      </c>
      <c r="CK65" s="4" t="s">
        <v>71</v>
      </c>
      <c r="CL65" s="4" t="s">
        <v>71</v>
      </c>
      <c r="CM65" s="4" t="s">
        <v>71</v>
      </c>
      <c r="CN65" s="4" t="s">
        <v>71</v>
      </c>
      <c r="CO65" s="4" t="s">
        <v>71</v>
      </c>
    </row>
    <row r="66" spans="1:93" ht="13.2" x14ac:dyDescent="0.25">
      <c r="A66" s="3">
        <v>45006.473578217592</v>
      </c>
      <c r="B66" s="4" t="s">
        <v>899</v>
      </c>
      <c r="C66" s="4" t="s">
        <v>905</v>
      </c>
      <c r="D66" s="5" t="s">
        <v>901</v>
      </c>
      <c r="E66" s="4" t="s">
        <v>140</v>
      </c>
      <c r="F66" s="4" t="s">
        <v>902</v>
      </c>
      <c r="G66" s="4" t="s">
        <v>105</v>
      </c>
      <c r="H66" s="4" t="s">
        <v>836</v>
      </c>
      <c r="I66" s="4" t="s">
        <v>903</v>
      </c>
      <c r="K66" s="4" t="s">
        <v>899</v>
      </c>
      <c r="L66" s="4" t="s">
        <v>656</v>
      </c>
      <c r="M66" s="4" t="s">
        <v>550</v>
      </c>
      <c r="N66" s="4">
        <v>35</v>
      </c>
      <c r="O66" s="4" t="s">
        <v>69</v>
      </c>
      <c r="P66" s="4">
        <v>5</v>
      </c>
      <c r="Q66" s="4">
        <v>4</v>
      </c>
      <c r="R66" s="4">
        <v>80</v>
      </c>
      <c r="S66" s="4" t="s">
        <v>835</v>
      </c>
      <c r="T66" s="4" t="s">
        <v>70</v>
      </c>
      <c r="U66" s="4" t="s">
        <v>70</v>
      </c>
      <c r="V66" s="6" t="s">
        <v>73</v>
      </c>
      <c r="BS66" s="4" t="s">
        <v>70</v>
      </c>
      <c r="BT66" s="4" t="s">
        <v>71</v>
      </c>
      <c r="BU66" s="4" t="s">
        <v>70</v>
      </c>
      <c r="BV66" s="4" t="s">
        <v>70</v>
      </c>
      <c r="BW66" s="4" t="s">
        <v>71</v>
      </c>
      <c r="BX66" s="4" t="s">
        <v>70</v>
      </c>
      <c r="BY66" s="4" t="s">
        <v>71</v>
      </c>
      <c r="BZ66" s="4" t="s">
        <v>70</v>
      </c>
      <c r="CA66" s="4" t="s">
        <v>71</v>
      </c>
      <c r="CC66" s="4" t="s">
        <v>70</v>
      </c>
      <c r="CE66" s="4" t="s">
        <v>70</v>
      </c>
      <c r="CI66" s="4" t="s">
        <v>70</v>
      </c>
      <c r="CK66" s="4" t="s">
        <v>70</v>
      </c>
      <c r="CL66" s="4" t="s">
        <v>70</v>
      </c>
      <c r="CO66" s="4" t="s">
        <v>70</v>
      </c>
    </row>
    <row r="68" spans="1:93" ht="13.2" x14ac:dyDescent="0.25">
      <c r="N68" s="14">
        <f>SUM(N1:N66)</f>
        <v>1963</v>
      </c>
    </row>
  </sheetData>
  <autoFilter ref="A1:CV6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O119"/>
  <sheetViews>
    <sheetView workbookViewId="0">
      <pane xSplit="21" ySplit="1" topLeftCell="V2" activePane="bottomRight" state="frozen"/>
      <selection pane="topRight" activeCell="V1" sqref="V1"/>
      <selection pane="bottomLeft" activeCell="A2" sqref="A2"/>
      <selection pane="bottomRight" activeCell="V2" sqref="V2"/>
    </sheetView>
  </sheetViews>
  <sheetFormatPr baseColWidth="10" defaultColWidth="12.6640625" defaultRowHeight="15.75" customHeight="1" x14ac:dyDescent="0.25"/>
  <cols>
    <col min="1" max="1" width="12.6640625" hidden="1"/>
    <col min="3" max="3" width="23" customWidth="1"/>
    <col min="4" max="5" width="12.6640625" hidden="1"/>
    <col min="9" max="12" width="12.6640625" hidden="1"/>
    <col min="14" max="14" width="6.44140625" customWidth="1"/>
    <col min="16" max="19" width="12.6640625" hidden="1"/>
    <col min="20" max="20" width="8.6640625" customWidth="1"/>
    <col min="21" max="21" width="6.21875" customWidth="1"/>
    <col min="22" max="22" width="12.6640625" hidden="1"/>
    <col min="27" max="27" width="4.6640625" customWidth="1"/>
  </cols>
  <sheetData>
    <row r="1" spans="1:67" ht="69.75" customHeight="1" x14ac:dyDescent="0.25">
      <c r="A1" s="19" t="s">
        <v>0</v>
      </c>
      <c r="B1" s="19" t="s">
        <v>1</v>
      </c>
      <c r="C1" s="20" t="s">
        <v>1277</v>
      </c>
      <c r="D1" s="19" t="s">
        <v>1198</v>
      </c>
      <c r="E1" s="19" t="s">
        <v>1199</v>
      </c>
      <c r="F1" s="19" t="s">
        <v>5</v>
      </c>
      <c r="G1" s="19" t="s">
        <v>6</v>
      </c>
      <c r="H1" s="20" t="s">
        <v>1278</v>
      </c>
      <c r="I1" s="19" t="s">
        <v>8</v>
      </c>
      <c r="J1" s="19" t="s">
        <v>9</v>
      </c>
      <c r="K1" s="19" t="s">
        <v>10</v>
      </c>
      <c r="L1" s="19" t="s">
        <v>1200</v>
      </c>
      <c r="M1" s="19" t="s">
        <v>12</v>
      </c>
      <c r="N1" s="19" t="s">
        <v>1201</v>
      </c>
      <c r="O1" s="19" t="s">
        <v>1202</v>
      </c>
      <c r="P1" s="19" t="s">
        <v>15</v>
      </c>
      <c r="Q1" s="19" t="s">
        <v>16</v>
      </c>
      <c r="R1" s="20" t="s">
        <v>1279</v>
      </c>
      <c r="S1" s="19" t="s">
        <v>18</v>
      </c>
      <c r="T1" s="20" t="s">
        <v>1280</v>
      </c>
      <c r="U1" s="20" t="s">
        <v>1281</v>
      </c>
      <c r="V1" s="19" t="s">
        <v>1204</v>
      </c>
      <c r="W1" s="19" t="s">
        <v>55</v>
      </c>
      <c r="X1" s="19" t="s">
        <v>56</v>
      </c>
      <c r="Y1" s="19" t="s">
        <v>57</v>
      </c>
      <c r="Z1" s="19" t="s">
        <v>26</v>
      </c>
      <c r="AA1" s="20" t="s">
        <v>1218</v>
      </c>
      <c r="AB1" s="19" t="s">
        <v>27</v>
      </c>
      <c r="AC1" s="19"/>
      <c r="AD1" s="19" t="s">
        <v>28</v>
      </c>
      <c r="AE1" s="20" t="s">
        <v>1218</v>
      </c>
      <c r="AF1" s="19" t="s">
        <v>29</v>
      </c>
      <c r="AG1" s="20" t="s">
        <v>1218</v>
      </c>
      <c r="AH1" s="19" t="s">
        <v>30</v>
      </c>
      <c r="AI1" s="20" t="s">
        <v>1218</v>
      </c>
      <c r="AJ1" s="19" t="s">
        <v>31</v>
      </c>
      <c r="AK1" s="20" t="s">
        <v>1218</v>
      </c>
      <c r="AL1" s="19" t="s">
        <v>32</v>
      </c>
      <c r="AM1" s="20" t="s">
        <v>1220</v>
      </c>
      <c r="AN1" s="19" t="s">
        <v>58</v>
      </c>
      <c r="AO1" s="20" t="s">
        <v>1221</v>
      </c>
      <c r="AP1" s="19" t="s">
        <v>34</v>
      </c>
      <c r="AQ1" s="20" t="s">
        <v>1222</v>
      </c>
      <c r="AR1" s="19" t="s">
        <v>35</v>
      </c>
      <c r="AS1" s="20" t="s">
        <v>1223</v>
      </c>
      <c r="AT1" s="41" t="s">
        <v>36</v>
      </c>
      <c r="AU1" s="20" t="s">
        <v>1224</v>
      </c>
      <c r="AV1" s="19" t="s">
        <v>37</v>
      </c>
      <c r="AW1" s="19" t="s">
        <v>38</v>
      </c>
      <c r="AX1" s="19" t="s">
        <v>39</v>
      </c>
      <c r="AY1" s="19" t="s">
        <v>40</v>
      </c>
      <c r="AZ1" s="19" t="s">
        <v>41</v>
      </c>
      <c r="BA1" s="19" t="s">
        <v>51</v>
      </c>
      <c r="BB1" s="20" t="s">
        <v>1225</v>
      </c>
      <c r="BC1" s="19" t="s">
        <v>52</v>
      </c>
      <c r="BD1" s="20" t="s">
        <v>1225</v>
      </c>
      <c r="BE1" s="19" t="s">
        <v>53</v>
      </c>
      <c r="BF1" s="20" t="s">
        <v>1225</v>
      </c>
      <c r="BG1" s="19" t="s">
        <v>54</v>
      </c>
      <c r="BH1" s="20" t="s">
        <v>1225</v>
      </c>
      <c r="BI1" s="19" t="s">
        <v>46</v>
      </c>
      <c r="BJ1" s="46" t="s">
        <v>1226</v>
      </c>
      <c r="BK1" s="21"/>
      <c r="BL1" s="21"/>
      <c r="BM1" s="21"/>
      <c r="BN1" s="21"/>
      <c r="BO1" s="21"/>
    </row>
    <row r="2" spans="1:67" ht="13.2" x14ac:dyDescent="0.25">
      <c r="A2" s="22">
        <v>45000.682377916666</v>
      </c>
      <c r="B2" s="23" t="s">
        <v>381</v>
      </c>
      <c r="C2" s="23" t="s">
        <v>382</v>
      </c>
      <c r="D2" s="29" t="s">
        <v>383</v>
      </c>
      <c r="E2" s="23" t="s">
        <v>103</v>
      </c>
      <c r="F2" s="23" t="s">
        <v>384</v>
      </c>
      <c r="G2" s="23" t="s">
        <v>64</v>
      </c>
      <c r="H2" s="23" t="s">
        <v>385</v>
      </c>
      <c r="I2" s="23" t="s">
        <v>386</v>
      </c>
      <c r="J2" s="25"/>
      <c r="K2" s="23" t="s">
        <v>381</v>
      </c>
      <c r="L2" s="23" t="s">
        <v>67</v>
      </c>
      <c r="M2" s="23" t="s">
        <v>68</v>
      </c>
      <c r="N2" s="23">
        <v>30</v>
      </c>
      <c r="O2" s="23" t="s">
        <v>69</v>
      </c>
      <c r="P2" s="23">
        <v>2</v>
      </c>
      <c r="Q2" s="23">
        <v>3</v>
      </c>
      <c r="R2" s="23">
        <v>0</v>
      </c>
      <c r="S2" s="25"/>
      <c r="T2" s="23" t="s">
        <v>70</v>
      </c>
      <c r="U2" s="23" t="s">
        <v>70</v>
      </c>
      <c r="V2" s="26" t="s">
        <v>73</v>
      </c>
      <c r="W2" s="28">
        <v>0</v>
      </c>
      <c r="X2" s="28">
        <v>0</v>
      </c>
      <c r="Y2" s="27">
        <f>IF('CRUDO JUEVES'!BU2="Si",$N2,)</f>
        <v>30</v>
      </c>
      <c r="Z2" s="28">
        <v>0</v>
      </c>
      <c r="AA2" s="28"/>
      <c r="AB2" s="28">
        <v>0</v>
      </c>
      <c r="AC2" s="28"/>
      <c r="AD2" s="28">
        <v>0</v>
      </c>
      <c r="AE2" s="27"/>
      <c r="AF2" s="27">
        <f>IF('CRUDO JUEVES'!BY2="Si",$N2,)</f>
        <v>30</v>
      </c>
      <c r="AG2" s="28" t="s">
        <v>1233</v>
      </c>
      <c r="AH2" s="28">
        <v>0</v>
      </c>
      <c r="AI2" s="28"/>
      <c r="AJ2" s="28">
        <v>30</v>
      </c>
      <c r="AK2" s="28" t="s">
        <v>1227</v>
      </c>
      <c r="AL2" s="28">
        <v>0</v>
      </c>
      <c r="AM2" s="28"/>
      <c r="AN2" s="28">
        <v>0</v>
      </c>
      <c r="AO2" s="28"/>
      <c r="AP2" s="28">
        <v>0</v>
      </c>
      <c r="AQ2" s="28"/>
      <c r="AR2" s="28">
        <v>0</v>
      </c>
      <c r="AS2" s="28"/>
      <c r="AT2" s="28">
        <v>0</v>
      </c>
      <c r="AU2" s="28"/>
      <c r="AV2" s="28">
        <v>0</v>
      </c>
      <c r="AW2" s="28">
        <v>0</v>
      </c>
      <c r="AX2" s="28">
        <v>0</v>
      </c>
      <c r="AY2" s="28">
        <v>0</v>
      </c>
      <c r="AZ2" s="28">
        <v>0</v>
      </c>
      <c r="BA2" s="28">
        <v>0</v>
      </c>
      <c r="BB2" s="28"/>
      <c r="BC2" s="28">
        <v>0</v>
      </c>
      <c r="BD2" s="28"/>
      <c r="BE2" s="28">
        <v>0</v>
      </c>
      <c r="BF2" s="28"/>
      <c r="BG2" s="28">
        <v>0</v>
      </c>
      <c r="BH2" s="25"/>
      <c r="BI2" s="25"/>
      <c r="BJ2" s="23" t="s">
        <v>1229</v>
      </c>
      <c r="BK2" s="23">
        <v>1</v>
      </c>
      <c r="BL2" s="25"/>
      <c r="BM2" s="25"/>
      <c r="BN2" s="25"/>
      <c r="BO2" s="25"/>
    </row>
    <row r="3" spans="1:67" ht="13.2" x14ac:dyDescent="0.25">
      <c r="A3" s="22">
        <v>45000.769938599537</v>
      </c>
      <c r="B3" s="23" t="s">
        <v>325</v>
      </c>
      <c r="C3" s="23" t="s">
        <v>326</v>
      </c>
      <c r="D3" s="24" t="s">
        <v>327</v>
      </c>
      <c r="E3" s="23" t="s">
        <v>149</v>
      </c>
      <c r="F3" s="23" t="s">
        <v>328</v>
      </c>
      <c r="G3" s="23" t="s">
        <v>105</v>
      </c>
      <c r="H3" s="23" t="s">
        <v>329</v>
      </c>
      <c r="I3" s="23" t="s">
        <v>330</v>
      </c>
      <c r="J3" s="25"/>
      <c r="K3" s="23" t="s">
        <v>325</v>
      </c>
      <c r="L3" s="23" t="s">
        <v>67</v>
      </c>
      <c r="M3" s="23" t="s">
        <v>228</v>
      </c>
      <c r="N3" s="23">
        <v>10</v>
      </c>
      <c r="O3" s="23" t="s">
        <v>69</v>
      </c>
      <c r="P3" s="23">
        <v>4</v>
      </c>
      <c r="Q3" s="23">
        <v>3</v>
      </c>
      <c r="R3" s="23">
        <v>30</v>
      </c>
      <c r="S3" s="25"/>
      <c r="T3" s="23" t="s">
        <v>70</v>
      </c>
      <c r="U3" s="23" t="s">
        <v>70</v>
      </c>
      <c r="V3" s="26" t="s">
        <v>73</v>
      </c>
      <c r="W3" s="27">
        <f>IF('CRUDO JUEVES'!BS3="Si",$N3,)</f>
        <v>10</v>
      </c>
      <c r="X3" s="27">
        <f>IF('CRUDO JUEVES'!BT3="Si",$N3,)</f>
        <v>0</v>
      </c>
      <c r="Y3" s="27">
        <f>IF('CRUDO JUEVES'!BU3="Si",$N3,)</f>
        <v>10</v>
      </c>
      <c r="Z3" s="27">
        <f>IF('CRUDO JUEVES'!BV3="Si",$N3,)</f>
        <v>0</v>
      </c>
      <c r="AA3" s="27"/>
      <c r="AB3" s="27">
        <f>IF('CRUDO JUEVES'!BW3="Si",$N3,)</f>
        <v>0</v>
      </c>
      <c r="AC3" s="27"/>
      <c r="AD3" s="27">
        <f>IF('CRUDO JUEVES'!BX3="Si",$N3,)</f>
        <v>0</v>
      </c>
      <c r="AE3" s="27"/>
      <c r="AF3" s="27">
        <f>IF('CRUDO JUEVES'!BY3="Si",$N3,)</f>
        <v>10</v>
      </c>
      <c r="AG3" s="28" t="s">
        <v>1233</v>
      </c>
      <c r="AH3" s="27">
        <f>IF('CRUDO JUEVES'!BZ3="Si",$N3,)</f>
        <v>0</v>
      </c>
      <c r="AI3" s="27"/>
      <c r="AJ3" s="27">
        <f>IF('CRUDO JUEVES'!CA3="Si",$N3,)</f>
        <v>0</v>
      </c>
      <c r="AK3" s="27"/>
      <c r="AL3" s="27">
        <f>IF('CRUDO JUEVES'!CB3="Si",$N3,)</f>
        <v>0</v>
      </c>
      <c r="AM3" s="27"/>
      <c r="AN3" s="28">
        <v>10</v>
      </c>
      <c r="AO3" s="28" t="s">
        <v>1230</v>
      </c>
      <c r="AP3" s="27">
        <f>IF('CRUDO JUEVES'!CD3="Si",$N3,)</f>
        <v>10</v>
      </c>
      <c r="AQ3" s="28" t="s">
        <v>1282</v>
      </c>
      <c r="AR3" s="27">
        <f>IF('CRUDO JUEVES'!CE3="Si",$N3,)</f>
        <v>0</v>
      </c>
      <c r="AS3" s="27"/>
      <c r="AT3" s="27">
        <f>IF('CRUDO JUEVES'!CF3="Si",$N3,)</f>
        <v>0</v>
      </c>
      <c r="AU3" s="27"/>
      <c r="AV3" s="27">
        <f>IF('CRUDO JUEVES'!CG3="Si",$N3,)</f>
        <v>0</v>
      </c>
      <c r="AW3" s="27">
        <f>IF('CRUDO JUEVES'!CH3="Si",$N3,)</f>
        <v>0</v>
      </c>
      <c r="AX3" s="27">
        <f>IF('CRUDO JUEVES'!CI3="Si",$N3,)</f>
        <v>0</v>
      </c>
      <c r="AY3" s="28">
        <v>0</v>
      </c>
      <c r="AZ3" s="28">
        <v>0</v>
      </c>
      <c r="BA3" s="27">
        <f>IF('CRUDO JUEVES'!CL3="Si",$N3,)</f>
        <v>0</v>
      </c>
      <c r="BB3" s="27"/>
      <c r="BC3" s="27">
        <f>IF('CRUDO JUEVES'!CM3="Si",$N3,)</f>
        <v>0</v>
      </c>
      <c r="BD3" s="27"/>
      <c r="BE3" s="27">
        <f>IF('CRUDO JUEVES'!CN3="Si",$N3,)</f>
        <v>0</v>
      </c>
      <c r="BF3" s="27"/>
      <c r="BG3" s="27">
        <f>IF('CRUDO JUEVES'!CO3="Si",$N3,)</f>
        <v>0</v>
      </c>
      <c r="BH3" s="25"/>
      <c r="BI3" s="25"/>
      <c r="BJ3" s="23" t="s">
        <v>1242</v>
      </c>
      <c r="BK3" s="23">
        <v>1</v>
      </c>
      <c r="BL3" s="25"/>
      <c r="BM3" s="25"/>
      <c r="BN3" s="25"/>
      <c r="BO3" s="25"/>
    </row>
    <row r="4" spans="1:67" ht="13.2" hidden="1" x14ac:dyDescent="0.25">
      <c r="A4" s="3">
        <v>45000.811150451387</v>
      </c>
      <c r="B4" s="4" t="s">
        <v>668</v>
      </c>
      <c r="C4" s="4" t="s">
        <v>669</v>
      </c>
      <c r="D4" s="5" t="s">
        <v>670</v>
      </c>
      <c r="E4" s="4" t="s">
        <v>149</v>
      </c>
      <c r="F4" s="4" t="s">
        <v>671</v>
      </c>
      <c r="G4" s="4" t="s">
        <v>64</v>
      </c>
      <c r="H4" s="4" t="s">
        <v>672</v>
      </c>
      <c r="I4" s="4" t="s">
        <v>673</v>
      </c>
      <c r="K4" s="4" t="s">
        <v>668</v>
      </c>
      <c r="L4" s="4" t="s">
        <v>656</v>
      </c>
      <c r="M4" s="4" t="s">
        <v>367</v>
      </c>
      <c r="N4" s="4">
        <v>0</v>
      </c>
      <c r="O4" s="4" t="s">
        <v>97</v>
      </c>
      <c r="P4" s="4">
        <v>5</v>
      </c>
      <c r="Q4" s="4">
        <v>2</v>
      </c>
      <c r="R4" s="4">
        <v>15</v>
      </c>
      <c r="T4" s="4" t="s">
        <v>71</v>
      </c>
      <c r="U4" s="4" t="s">
        <v>70</v>
      </c>
      <c r="V4" s="6" t="s">
        <v>73</v>
      </c>
      <c r="W4" s="37">
        <f>IF('CRUDO JUEVES'!BS4="Si",$N4,)</f>
        <v>0</v>
      </c>
      <c r="X4" s="37">
        <f>IF('CRUDO JUEVES'!BT4="Si",$N4,)</f>
        <v>0</v>
      </c>
      <c r="Y4" s="37">
        <f>IF('CRUDO JUEVES'!BU4="Si",$N4,)</f>
        <v>0</v>
      </c>
      <c r="Z4" s="37">
        <f>IF('CRUDO JUEVES'!BV4="Si",$N4,)</f>
        <v>0</v>
      </c>
      <c r="AA4" s="37"/>
      <c r="AB4" s="37">
        <f>IF('CRUDO JUEVES'!BW4="Si",$N4,)</f>
        <v>0</v>
      </c>
      <c r="AC4" s="37"/>
      <c r="AD4" s="37">
        <f>IF('CRUDO JUEVES'!BX4="Si",$N4,)</f>
        <v>0</v>
      </c>
      <c r="AE4" s="37"/>
      <c r="AF4" s="37">
        <f>IF('CRUDO JUEVES'!BY4="Si",$N4,)</f>
        <v>0</v>
      </c>
      <c r="AG4" s="37"/>
      <c r="AH4" s="37">
        <f>IF('CRUDO JUEVES'!BZ4="Si",$N4,)</f>
        <v>0</v>
      </c>
      <c r="AI4" s="37"/>
      <c r="AJ4" s="37">
        <f>IF('CRUDO JUEVES'!CA4="Si",$N4,)</f>
        <v>0</v>
      </c>
      <c r="AK4" s="37"/>
      <c r="AL4" s="37">
        <f>IF('CRUDO JUEVES'!CB4="Si",$N4,)</f>
        <v>0</v>
      </c>
      <c r="AM4" s="37"/>
      <c r="AN4" s="37">
        <f>IF('CRUDO JUEVES'!CC4="Si",$N4,)</f>
        <v>0</v>
      </c>
      <c r="AO4" s="37"/>
      <c r="AP4" s="37">
        <f>IF('CRUDO JUEVES'!CD4="Si",$N4,)</f>
        <v>0</v>
      </c>
      <c r="AQ4" s="37"/>
      <c r="AR4" s="37">
        <f>IF('CRUDO JUEVES'!CE4="Si",$N4,)</f>
        <v>0</v>
      </c>
      <c r="AS4" s="37"/>
      <c r="AT4" s="37">
        <f>IF('CRUDO JUEVES'!CF4="Si",$N4,)</f>
        <v>0</v>
      </c>
      <c r="AU4" s="37"/>
      <c r="AV4" s="37">
        <f>IF('CRUDO JUEVES'!CG4="Si",$N4,)</f>
        <v>0</v>
      </c>
      <c r="AW4" s="37">
        <f>IF('CRUDO JUEVES'!CH4="Si",$N4,)</f>
        <v>0</v>
      </c>
      <c r="AX4" s="37">
        <f>IF('CRUDO JUEVES'!CI4="Si",$N4,)</f>
        <v>0</v>
      </c>
      <c r="AY4" s="37">
        <f>IF('CRUDO JUEVES'!CJ4="Si",$N4,)</f>
        <v>0</v>
      </c>
      <c r="AZ4" s="37">
        <f>IF('CRUDO JUEVES'!CK4="Si",$N4,)</f>
        <v>0</v>
      </c>
      <c r="BA4" s="37">
        <f>IF('CRUDO JUEVES'!CL4="Si",$N4,)</f>
        <v>0</v>
      </c>
      <c r="BB4" s="37"/>
      <c r="BC4" s="37">
        <f>IF('CRUDO JUEVES'!CM4="Si",$N4,)</f>
        <v>0</v>
      </c>
      <c r="BD4" s="37"/>
      <c r="BE4" s="37">
        <f>IF('CRUDO JUEVES'!CN4="Si",$N4,)</f>
        <v>0</v>
      </c>
      <c r="BF4" s="37"/>
      <c r="BG4" s="37">
        <f>IF('CRUDO JUEVES'!CO4="Si",$N4,)</f>
        <v>0</v>
      </c>
    </row>
    <row r="5" spans="1:67" ht="13.2" x14ac:dyDescent="0.25">
      <c r="A5" s="30">
        <v>45000.830369236108</v>
      </c>
      <c r="B5" s="31" t="s">
        <v>154</v>
      </c>
      <c r="C5" s="31" t="s">
        <v>155</v>
      </c>
      <c r="D5" s="32" t="s">
        <v>156</v>
      </c>
      <c r="E5" s="31" t="s">
        <v>62</v>
      </c>
      <c r="F5" s="31" t="s">
        <v>157</v>
      </c>
      <c r="G5" s="31" t="s">
        <v>64</v>
      </c>
      <c r="H5" s="31" t="s">
        <v>158</v>
      </c>
      <c r="I5" s="31" t="s">
        <v>159</v>
      </c>
      <c r="J5" s="31" t="s">
        <v>160</v>
      </c>
      <c r="K5" s="31" t="s">
        <v>154</v>
      </c>
      <c r="L5" s="31" t="s">
        <v>67</v>
      </c>
      <c r="M5" s="31" t="s">
        <v>136</v>
      </c>
      <c r="N5" s="31">
        <v>0</v>
      </c>
      <c r="O5" s="31" t="s">
        <v>69</v>
      </c>
      <c r="P5" s="31">
        <v>5</v>
      </c>
      <c r="Q5" s="31">
        <v>4</v>
      </c>
      <c r="R5" s="31">
        <v>10</v>
      </c>
      <c r="S5" s="33"/>
      <c r="T5" s="31" t="s">
        <v>70</v>
      </c>
      <c r="U5" s="31" t="s">
        <v>71</v>
      </c>
      <c r="V5" s="8" t="s">
        <v>73</v>
      </c>
      <c r="W5" s="35">
        <f>IF('CRUDO JUEVES'!BS5="Si",$N5,)</f>
        <v>0</v>
      </c>
      <c r="X5" s="35">
        <f>IF('CRUDO JUEVES'!BT5="Si",$N5,)</f>
        <v>0</v>
      </c>
      <c r="Y5" s="35">
        <f>IF('CRUDO JUEVES'!BU5="Si",$N5,)</f>
        <v>0</v>
      </c>
      <c r="Z5" s="35">
        <f>IF('CRUDO JUEVES'!BV5="Si",$N5,)</f>
        <v>0</v>
      </c>
      <c r="AA5" s="35"/>
      <c r="AB5" s="35">
        <f>IF('CRUDO JUEVES'!BW5="Si",$N5,)</f>
        <v>0</v>
      </c>
      <c r="AC5" s="35"/>
      <c r="AD5" s="35">
        <f>IF('CRUDO JUEVES'!BX5="Si",$N5,)</f>
        <v>0</v>
      </c>
      <c r="AE5" s="34" t="s">
        <v>1227</v>
      </c>
      <c r="AF5" s="35">
        <f>IF('CRUDO JUEVES'!BY5="Si",$N5,)</f>
        <v>0</v>
      </c>
      <c r="AG5" s="35"/>
      <c r="AH5" s="35">
        <f>IF('CRUDO JUEVES'!BZ5="Si",$N5,)</f>
        <v>0</v>
      </c>
      <c r="AI5" s="35"/>
      <c r="AJ5" s="35">
        <f>IF('CRUDO JUEVES'!CA5="Si",$N5,)</f>
        <v>0</v>
      </c>
      <c r="AK5" s="35"/>
      <c r="AL5" s="35">
        <f>IF('CRUDO JUEVES'!CB5="Si",$N5,)</f>
        <v>0</v>
      </c>
      <c r="AM5" s="34"/>
      <c r="AN5" s="34">
        <v>0</v>
      </c>
      <c r="AO5" s="34" t="s">
        <v>1228</v>
      </c>
      <c r="AP5" s="35">
        <f>IF('CRUDO JUEVES'!CD5="Si",$N5,)</f>
        <v>0</v>
      </c>
      <c r="AQ5" s="35"/>
      <c r="AR5" s="35">
        <f>IF('CRUDO JUEVES'!CE5="Si",$N5,)</f>
        <v>0</v>
      </c>
      <c r="AS5" s="35"/>
      <c r="AT5" s="35">
        <f>IF('CRUDO JUEVES'!CF5="Si",$N5,)</f>
        <v>0</v>
      </c>
      <c r="AU5" s="35"/>
      <c r="AV5" s="35">
        <f>IF('CRUDO JUEVES'!CG5="Si",$N5,)</f>
        <v>0</v>
      </c>
      <c r="AW5" s="35">
        <f>IF('CRUDO JUEVES'!CH5="Si",$N5,)</f>
        <v>0</v>
      </c>
      <c r="AX5" s="35">
        <f>IF('CRUDO JUEVES'!CI5="Si",$N5,)</f>
        <v>0</v>
      </c>
      <c r="AY5" s="35">
        <f>IF('CRUDO JUEVES'!CJ5="Si",$N5,)</f>
        <v>0</v>
      </c>
      <c r="AZ5" s="35">
        <f>IF('CRUDO JUEVES'!CK5="Si",$N5,)</f>
        <v>0</v>
      </c>
      <c r="BA5" s="35">
        <f>IF('CRUDO JUEVES'!CL5="Si",$N5,)</f>
        <v>0</v>
      </c>
      <c r="BB5" s="35"/>
      <c r="BC5" s="35">
        <f>IF('CRUDO JUEVES'!CM5="Si",$N5,)</f>
        <v>0</v>
      </c>
      <c r="BD5" s="35"/>
      <c r="BE5" s="35">
        <f>IF('CRUDO JUEVES'!CN5="Si",$N5,)</f>
        <v>0</v>
      </c>
      <c r="BF5" s="35"/>
      <c r="BG5" s="35">
        <f>IF('CRUDO JUEVES'!CO5="Si",$N5,)</f>
        <v>0</v>
      </c>
      <c r="BH5" s="33"/>
      <c r="BI5" s="33"/>
      <c r="BJ5" s="31" t="s">
        <v>1231</v>
      </c>
      <c r="BK5" s="33"/>
      <c r="BL5" s="33"/>
      <c r="BM5" s="33"/>
      <c r="BN5" s="33"/>
      <c r="BO5" s="33"/>
    </row>
    <row r="6" spans="1:67" ht="13.2" x14ac:dyDescent="0.25">
      <c r="A6" s="22">
        <v>45000.896914363431</v>
      </c>
      <c r="B6" s="23" t="s">
        <v>1078</v>
      </c>
      <c r="C6" s="23" t="s">
        <v>1079</v>
      </c>
      <c r="D6" s="29" t="s">
        <v>1080</v>
      </c>
      <c r="E6" s="23" t="s">
        <v>103</v>
      </c>
      <c r="F6" s="23" t="s">
        <v>1081</v>
      </c>
      <c r="G6" s="23" t="s">
        <v>105</v>
      </c>
      <c r="H6" s="23" t="s">
        <v>1082</v>
      </c>
      <c r="I6" s="23" t="s">
        <v>1083</v>
      </c>
      <c r="J6" s="23" t="s">
        <v>1084</v>
      </c>
      <c r="K6" s="23" t="s">
        <v>1078</v>
      </c>
      <c r="L6" s="23" t="s">
        <v>656</v>
      </c>
      <c r="M6" s="23" t="s">
        <v>579</v>
      </c>
      <c r="N6" s="23">
        <v>35</v>
      </c>
      <c r="O6" s="23" t="s">
        <v>69</v>
      </c>
      <c r="P6" s="23">
        <v>4</v>
      </c>
      <c r="Q6" s="23">
        <v>1</v>
      </c>
      <c r="R6" s="23">
        <v>95</v>
      </c>
      <c r="S6" s="23" t="s">
        <v>1085</v>
      </c>
      <c r="T6" s="23" t="s">
        <v>70</v>
      </c>
      <c r="U6" s="23" t="s">
        <v>70</v>
      </c>
      <c r="V6" s="26" t="s">
        <v>73</v>
      </c>
      <c r="W6" s="27">
        <f>IF('CRUDO JUEVES'!BS6="Si",$N6,)</f>
        <v>0</v>
      </c>
      <c r="X6" s="27">
        <f>IF('CRUDO JUEVES'!BT6="Si",$N6,)</f>
        <v>0</v>
      </c>
      <c r="Y6" s="27">
        <f>IF('CRUDO JUEVES'!BU6="Si",$N6,)</f>
        <v>35</v>
      </c>
      <c r="Z6" s="27">
        <f>IF('CRUDO JUEVES'!BV6="Si",$N6,)</f>
        <v>0</v>
      </c>
      <c r="AA6" s="27"/>
      <c r="AB6" s="27">
        <f>IF('CRUDO JUEVES'!BW6="Si",$N6,)</f>
        <v>0</v>
      </c>
      <c r="AC6" s="27"/>
      <c r="AD6" s="27">
        <f>IF('CRUDO JUEVES'!BX6="Si",$N6,)</f>
        <v>0</v>
      </c>
      <c r="AE6" s="27"/>
      <c r="AF6" s="27">
        <f>IF('CRUDO JUEVES'!BY6="Si",$N6,)</f>
        <v>35</v>
      </c>
      <c r="AG6" s="28" t="s">
        <v>1233</v>
      </c>
      <c r="AH6" s="27">
        <f>IF('CRUDO JUEVES'!BZ6="Si",$N6,)</f>
        <v>0</v>
      </c>
      <c r="AI6" s="27"/>
      <c r="AJ6" s="27">
        <f>IF('CRUDO JUEVES'!CA6="Si",$N6,)</f>
        <v>0</v>
      </c>
      <c r="AK6" s="27"/>
      <c r="AL6" s="27">
        <f>IF('CRUDO JUEVES'!CB6="Si",$N6,)</f>
        <v>0</v>
      </c>
      <c r="AM6" s="27"/>
      <c r="AN6" s="27">
        <f>IF('CRUDO JUEVES'!CC6="Si",$N6,)</f>
        <v>0</v>
      </c>
      <c r="AO6" s="28"/>
      <c r="AP6" s="28">
        <v>0</v>
      </c>
      <c r="AQ6" s="27"/>
      <c r="AR6" s="27">
        <f>IF('CRUDO JUEVES'!CE6="Si",$N6,)</f>
        <v>0</v>
      </c>
      <c r="AS6" s="27"/>
      <c r="AT6" s="27">
        <f>IF('CRUDO JUEVES'!CF6="Si",$N6,)</f>
        <v>0</v>
      </c>
      <c r="AU6" s="27"/>
      <c r="AV6" s="27">
        <f>IF('CRUDO JUEVES'!CG6="Si",$N6,)</f>
        <v>0</v>
      </c>
      <c r="AW6" s="28">
        <v>0</v>
      </c>
      <c r="AX6" s="27">
        <f>IF('CRUDO JUEVES'!CI6="Si",$N6,)</f>
        <v>0</v>
      </c>
      <c r="AY6" s="27">
        <f>IF('CRUDO JUEVES'!CJ6="Si",$N6,)</f>
        <v>0</v>
      </c>
      <c r="AZ6" s="27">
        <f>IF('CRUDO JUEVES'!CK6="Si",$N6,)</f>
        <v>0</v>
      </c>
      <c r="BA6" s="27">
        <f>IF('CRUDO JUEVES'!CL6="Si",$N6,)</f>
        <v>0</v>
      </c>
      <c r="BB6" s="27"/>
      <c r="BC6" s="27">
        <f>IF('CRUDO JUEVES'!CM6="Si",$N6,)</f>
        <v>0</v>
      </c>
      <c r="BD6" s="27"/>
      <c r="BE6" s="27">
        <f>IF('CRUDO JUEVES'!CN6="Si",$N6,)</f>
        <v>0</v>
      </c>
      <c r="BF6" s="27"/>
      <c r="BG6" s="27">
        <f>IF('CRUDO JUEVES'!CO6="Si",$N6,)</f>
        <v>35</v>
      </c>
      <c r="BH6" s="28" t="s">
        <v>1239</v>
      </c>
      <c r="BI6" s="23" t="s">
        <v>1086</v>
      </c>
      <c r="BJ6" s="23" t="s">
        <v>1229</v>
      </c>
      <c r="BK6" s="23">
        <v>1</v>
      </c>
      <c r="BL6" s="25"/>
      <c r="BM6" s="25"/>
      <c r="BN6" s="25"/>
      <c r="BO6" s="25"/>
    </row>
    <row r="7" spans="1:67" ht="13.2" hidden="1" x14ac:dyDescent="0.25">
      <c r="A7" s="3">
        <v>45000.91059049769</v>
      </c>
      <c r="B7" s="4" t="s">
        <v>306</v>
      </c>
      <c r="C7" s="4" t="s">
        <v>307</v>
      </c>
      <c r="D7" s="5" t="s">
        <v>308</v>
      </c>
      <c r="E7" s="4" t="s">
        <v>62</v>
      </c>
      <c r="F7" s="4" t="s">
        <v>309</v>
      </c>
      <c r="G7" s="4" t="s">
        <v>105</v>
      </c>
      <c r="H7" s="4" t="s">
        <v>310</v>
      </c>
      <c r="I7" s="4" t="s">
        <v>311</v>
      </c>
      <c r="K7" s="4" t="s">
        <v>306</v>
      </c>
      <c r="L7" s="4" t="s">
        <v>67</v>
      </c>
      <c r="M7" s="4" t="s">
        <v>220</v>
      </c>
      <c r="N7" s="4">
        <v>0</v>
      </c>
      <c r="O7" s="4" t="s">
        <v>97</v>
      </c>
      <c r="P7" s="4">
        <v>5</v>
      </c>
      <c r="Q7" s="4">
        <v>3</v>
      </c>
      <c r="R7" s="4">
        <v>40</v>
      </c>
      <c r="S7" s="4" t="s">
        <v>313</v>
      </c>
      <c r="T7" s="4" t="s">
        <v>70</v>
      </c>
      <c r="U7" s="4" t="s">
        <v>71</v>
      </c>
      <c r="V7" s="6" t="s">
        <v>73</v>
      </c>
      <c r="W7" s="37">
        <f>IF('CRUDO JUEVES'!BS7="Si",$N7,)</f>
        <v>0</v>
      </c>
      <c r="X7" s="37">
        <f>IF('CRUDO JUEVES'!BT7="Si",$N7,)</f>
        <v>0</v>
      </c>
      <c r="Y7" s="37">
        <f>IF('CRUDO JUEVES'!BU7="Si",$N7,)</f>
        <v>0</v>
      </c>
      <c r="Z7" s="37">
        <f>IF('CRUDO JUEVES'!BV7="Si",$N7,)</f>
        <v>0</v>
      </c>
      <c r="AA7" s="37"/>
      <c r="AB7" s="37">
        <f>IF('CRUDO JUEVES'!BW7="Si",$N7,)</f>
        <v>0</v>
      </c>
      <c r="AC7" s="37"/>
      <c r="AD7" s="37">
        <f>IF('CRUDO JUEVES'!BX7="Si",$N7,)</f>
        <v>0</v>
      </c>
      <c r="AE7" s="37"/>
      <c r="AF7" s="37">
        <f>IF('CRUDO JUEVES'!BY7="Si",$N7,)</f>
        <v>0</v>
      </c>
      <c r="AG7" s="37"/>
      <c r="AH7" s="37">
        <f>IF('CRUDO JUEVES'!BZ7="Si",$N7,)</f>
        <v>0</v>
      </c>
      <c r="AI7" s="37"/>
      <c r="AJ7" s="37">
        <f>IF('CRUDO JUEVES'!CA7="Si",$N7,)</f>
        <v>0</v>
      </c>
      <c r="AK7" s="37"/>
      <c r="AL7" s="37">
        <f>IF('CRUDO JUEVES'!CB7="Si",$N7,)</f>
        <v>0</v>
      </c>
      <c r="AM7" s="37"/>
      <c r="AN7" s="37">
        <f>IF('CRUDO JUEVES'!CC7="Si",$N7,)</f>
        <v>0</v>
      </c>
      <c r="AO7" s="37"/>
      <c r="AP7" s="37">
        <f>IF('CRUDO JUEVES'!CD7="Si",$N7,)</f>
        <v>0</v>
      </c>
      <c r="AQ7" s="37"/>
      <c r="AR7" s="37">
        <f>IF('CRUDO JUEVES'!CE7="Si",$N7,)</f>
        <v>0</v>
      </c>
      <c r="AS7" s="37"/>
      <c r="AT7" s="37">
        <f>IF('CRUDO JUEVES'!CF7="Si",$N7,)</f>
        <v>0</v>
      </c>
      <c r="AU7" s="37"/>
      <c r="AV7" s="37">
        <f>IF('CRUDO JUEVES'!CG7="Si",$N7,)</f>
        <v>0</v>
      </c>
      <c r="AW7" s="37">
        <f>IF('CRUDO JUEVES'!CH7="Si",$N7,)</f>
        <v>0</v>
      </c>
      <c r="AX7" s="37">
        <f>IF('CRUDO JUEVES'!CI7="Si",$N7,)</f>
        <v>0</v>
      </c>
      <c r="AY7" s="37">
        <f>IF('CRUDO JUEVES'!CJ7="Si",$N7,)</f>
        <v>0</v>
      </c>
      <c r="AZ7" s="37">
        <f>IF('CRUDO JUEVES'!CK7="Si",$N7,)</f>
        <v>0</v>
      </c>
      <c r="BA7" s="37">
        <f>IF('CRUDO JUEVES'!CL7="Si",$N7,)</f>
        <v>0</v>
      </c>
      <c r="BB7" s="37"/>
      <c r="BC7" s="37">
        <f>IF('CRUDO JUEVES'!CM7="Si",$N7,)</f>
        <v>0</v>
      </c>
      <c r="BD7" s="37"/>
      <c r="BE7" s="37">
        <f>IF('CRUDO JUEVES'!CN7="Si",$N7,)</f>
        <v>0</v>
      </c>
      <c r="BF7" s="37"/>
      <c r="BG7" s="37">
        <f>IF('CRUDO JUEVES'!CO7="Si",$N7,)</f>
        <v>0</v>
      </c>
      <c r="BH7" s="4"/>
      <c r="BI7" s="4" t="s">
        <v>314</v>
      </c>
    </row>
    <row r="8" spans="1:67" ht="13.2" x14ac:dyDescent="0.25">
      <c r="A8" s="22">
        <v>45001.3768016088</v>
      </c>
      <c r="B8" s="23" t="s">
        <v>252</v>
      </c>
      <c r="C8" s="23" t="s">
        <v>253</v>
      </c>
      <c r="D8" s="29" t="s">
        <v>254</v>
      </c>
      <c r="E8" s="23" t="s">
        <v>103</v>
      </c>
      <c r="F8" s="23" t="s">
        <v>255</v>
      </c>
      <c r="G8" s="23" t="s">
        <v>105</v>
      </c>
      <c r="H8" s="23" t="s">
        <v>256</v>
      </c>
      <c r="I8" s="23" t="s">
        <v>257</v>
      </c>
      <c r="J8" s="23" t="s">
        <v>258</v>
      </c>
      <c r="K8" s="23" t="s">
        <v>252</v>
      </c>
      <c r="L8" s="23" t="s">
        <v>67</v>
      </c>
      <c r="M8" s="23" t="s">
        <v>189</v>
      </c>
      <c r="N8" s="23">
        <v>40</v>
      </c>
      <c r="O8" s="23" t="s">
        <v>69</v>
      </c>
      <c r="P8" s="23">
        <v>4</v>
      </c>
      <c r="Q8" s="23">
        <v>3</v>
      </c>
      <c r="R8" s="23">
        <v>80</v>
      </c>
      <c r="S8" s="25"/>
      <c r="T8" s="23" t="s">
        <v>70</v>
      </c>
      <c r="U8" s="23" t="s">
        <v>70</v>
      </c>
      <c r="V8" s="26" t="s">
        <v>73</v>
      </c>
      <c r="W8" s="28">
        <v>0</v>
      </c>
      <c r="X8" s="27">
        <f>IF('CRUDO JUEVES'!BT8="Si",$N8,)</f>
        <v>40</v>
      </c>
      <c r="Y8" s="28">
        <v>0</v>
      </c>
      <c r="Z8" s="27">
        <f>IF('CRUDO JUEVES'!BV8="Si",$N8,)</f>
        <v>40</v>
      </c>
      <c r="AA8" s="28" t="s">
        <v>1227</v>
      </c>
      <c r="AB8" s="28">
        <v>0</v>
      </c>
      <c r="AC8" s="28"/>
      <c r="AD8" s="28">
        <v>0</v>
      </c>
      <c r="AE8" s="28"/>
      <c r="AF8" s="28">
        <v>0</v>
      </c>
      <c r="AG8" s="27"/>
      <c r="AH8" s="27">
        <f>IF('CRUDO JUEVES'!BZ8="Si",$N8,)</f>
        <v>40</v>
      </c>
      <c r="AI8" s="28" t="s">
        <v>1227</v>
      </c>
      <c r="AJ8" s="28">
        <v>0</v>
      </c>
      <c r="AK8" s="28"/>
      <c r="AL8" s="28">
        <v>0</v>
      </c>
      <c r="AM8" s="28"/>
      <c r="AN8" s="28">
        <v>0</v>
      </c>
      <c r="AO8" s="28"/>
      <c r="AP8" s="28">
        <v>0</v>
      </c>
      <c r="AQ8" s="28"/>
      <c r="AR8" s="28">
        <v>0</v>
      </c>
      <c r="AS8" s="28"/>
      <c r="AT8" s="28">
        <v>0</v>
      </c>
      <c r="AU8" s="28"/>
      <c r="AV8" s="27">
        <f>IF('CRUDO JUEVES'!CG8="Si",$N8,)</f>
        <v>0</v>
      </c>
      <c r="AW8" s="27">
        <f>IF('CRUDO JUEVES'!CH8="Si",$N8,)</f>
        <v>0</v>
      </c>
      <c r="AX8" s="27">
        <f>IF('CRUDO JUEVES'!CI8="Si",$N8,)</f>
        <v>0</v>
      </c>
      <c r="AY8" s="27">
        <f>IF('CRUDO JUEVES'!CJ8="Si",$N8,)</f>
        <v>0</v>
      </c>
      <c r="AZ8" s="27">
        <f>IF('CRUDO JUEVES'!CK8="Si",$N8,)</f>
        <v>0</v>
      </c>
      <c r="BA8" s="27">
        <f>IF('CRUDO JUEVES'!CL8="Si",$N8,)</f>
        <v>40</v>
      </c>
      <c r="BB8" s="28" t="s">
        <v>1235</v>
      </c>
      <c r="BC8" s="28">
        <v>0</v>
      </c>
      <c r="BD8" s="28"/>
      <c r="BE8" s="28">
        <v>0</v>
      </c>
      <c r="BF8" s="28"/>
      <c r="BG8" s="28">
        <v>0</v>
      </c>
      <c r="BH8" s="25"/>
      <c r="BI8" s="25"/>
      <c r="BJ8" s="23" t="s">
        <v>1237</v>
      </c>
      <c r="BK8" s="23">
        <v>1</v>
      </c>
      <c r="BL8" s="25"/>
      <c r="BM8" s="25"/>
      <c r="BN8" s="25"/>
      <c r="BO8" s="25"/>
    </row>
    <row r="9" spans="1:67" ht="13.2" x14ac:dyDescent="0.25">
      <c r="A9" s="30">
        <v>45001.394554814819</v>
      </c>
      <c r="B9" s="31" t="s">
        <v>1056</v>
      </c>
      <c r="C9" s="31" t="s">
        <v>1057</v>
      </c>
      <c r="D9" s="32" t="s">
        <v>1058</v>
      </c>
      <c r="E9" s="31" t="s">
        <v>103</v>
      </c>
      <c r="F9" s="31" t="s">
        <v>723</v>
      </c>
      <c r="G9" s="31" t="s">
        <v>105</v>
      </c>
      <c r="H9" s="31" t="s">
        <v>1059</v>
      </c>
      <c r="I9" s="31" t="s">
        <v>1060</v>
      </c>
      <c r="J9" s="31" t="s">
        <v>1061</v>
      </c>
      <c r="K9" s="31" t="s">
        <v>1056</v>
      </c>
      <c r="L9" s="31" t="s">
        <v>656</v>
      </c>
      <c r="M9" s="31" t="s">
        <v>648</v>
      </c>
      <c r="N9" s="31">
        <v>0</v>
      </c>
      <c r="O9" s="31" t="s">
        <v>69</v>
      </c>
      <c r="P9" s="31">
        <v>2</v>
      </c>
      <c r="Q9" s="31">
        <v>1</v>
      </c>
      <c r="R9" s="31">
        <v>30</v>
      </c>
      <c r="S9" s="33"/>
      <c r="T9" s="31" t="s">
        <v>70</v>
      </c>
      <c r="U9" s="31" t="s">
        <v>71</v>
      </c>
      <c r="V9" s="8" t="s">
        <v>73</v>
      </c>
      <c r="W9" s="35">
        <f>IF('CRUDO JUEVES'!BS9="Si",$N9,)</f>
        <v>0</v>
      </c>
      <c r="X9" s="35">
        <f>IF('CRUDO JUEVES'!BT9="Si",$N9,)</f>
        <v>0</v>
      </c>
      <c r="Y9" s="35">
        <f>IF('CRUDO JUEVES'!BU9="Si",$N9,)</f>
        <v>0</v>
      </c>
      <c r="Z9" s="35">
        <f>IF('CRUDO JUEVES'!BV9="Si",$N9,)</f>
        <v>0</v>
      </c>
      <c r="AA9" s="34"/>
      <c r="AB9" s="34">
        <v>0</v>
      </c>
      <c r="AC9" s="34"/>
      <c r="AD9" s="34">
        <v>0</v>
      </c>
      <c r="AE9" s="34" t="s">
        <v>1227</v>
      </c>
      <c r="AF9" s="35">
        <f>IF('CRUDO JUEVES'!BY9="Si",$N9,)</f>
        <v>0</v>
      </c>
      <c r="AG9" s="35"/>
      <c r="AH9" s="35">
        <f>IF('CRUDO JUEVES'!BZ9="Si",$N9,)</f>
        <v>0</v>
      </c>
      <c r="AI9" s="35"/>
      <c r="AJ9" s="35">
        <f>IF('CRUDO JUEVES'!CA9="Si",$N9,)</f>
        <v>0</v>
      </c>
      <c r="AK9" s="35"/>
      <c r="AL9" s="35">
        <f>IF('CRUDO JUEVES'!CB9="Si",$N9,)</f>
        <v>0</v>
      </c>
      <c r="AM9" s="35"/>
      <c r="AN9" s="35">
        <f>IF('CRUDO JUEVES'!CC9="Si",$N9,)</f>
        <v>0</v>
      </c>
      <c r="AO9" s="35"/>
      <c r="AP9" s="35">
        <f>IF('CRUDO JUEVES'!CD9="Si",$N9,)</f>
        <v>0</v>
      </c>
      <c r="AQ9" s="35"/>
      <c r="AR9" s="35">
        <f>IF('CRUDO JUEVES'!CE9="Si",$N9,)</f>
        <v>0</v>
      </c>
      <c r="AS9" s="35"/>
      <c r="AT9" s="35">
        <f>IF('CRUDO JUEVES'!CF9="Si",$N9,)</f>
        <v>0</v>
      </c>
      <c r="AU9" s="35"/>
      <c r="AV9" s="35">
        <f>IF('CRUDO JUEVES'!CG9="Si",$N9,)</f>
        <v>0</v>
      </c>
      <c r="AW9" s="35">
        <f>IF('CRUDO JUEVES'!CI9="Si",$N9,)</f>
        <v>0</v>
      </c>
      <c r="AX9" s="33"/>
      <c r="AY9" s="35">
        <f>IF('CRUDO JUEVES'!CJ9="Si",$N9,)</f>
        <v>0</v>
      </c>
      <c r="AZ9" s="35">
        <f>IF('CRUDO JUEVES'!CK9="Si",$N9,)</f>
        <v>0</v>
      </c>
      <c r="BA9" s="35">
        <f>IF('CRUDO JUEVES'!CL9="Si",$N9,)</f>
        <v>0</v>
      </c>
      <c r="BB9" s="35"/>
      <c r="BC9" s="35">
        <f>IF('CRUDO JUEVES'!CM9="Si",$N9,)</f>
        <v>0</v>
      </c>
      <c r="BD9" s="35"/>
      <c r="BE9" s="35">
        <f>IF('CRUDO JUEVES'!CN9="Si",$N9,)</f>
        <v>0</v>
      </c>
      <c r="BF9" s="35"/>
      <c r="BG9" s="35">
        <f>IF('CRUDO JUEVES'!CO9="Si",$N9,)</f>
        <v>0</v>
      </c>
      <c r="BH9" s="33"/>
      <c r="BI9" s="33"/>
      <c r="BJ9" s="31" t="s">
        <v>1231</v>
      </c>
      <c r="BK9" s="33"/>
      <c r="BL9" s="33"/>
      <c r="BM9" s="33"/>
      <c r="BN9" s="33"/>
      <c r="BO9" s="33"/>
    </row>
    <row r="10" spans="1:67" ht="13.2" hidden="1" x14ac:dyDescent="0.25">
      <c r="A10" s="3">
        <v>45001.406216307871</v>
      </c>
      <c r="B10" s="4" t="s">
        <v>535</v>
      </c>
      <c r="C10" s="4" t="s">
        <v>536</v>
      </c>
      <c r="D10" s="7" t="s">
        <v>537</v>
      </c>
      <c r="E10" s="4" t="s">
        <v>103</v>
      </c>
      <c r="F10" s="4" t="s">
        <v>555</v>
      </c>
      <c r="G10" s="4" t="s">
        <v>64</v>
      </c>
      <c r="H10" s="4" t="s">
        <v>539</v>
      </c>
      <c r="I10" s="4" t="s">
        <v>540</v>
      </c>
      <c r="K10" s="4" t="s">
        <v>535</v>
      </c>
      <c r="L10" s="4" t="s">
        <v>67</v>
      </c>
      <c r="M10" s="4" t="s">
        <v>331</v>
      </c>
      <c r="N10" s="4">
        <v>0</v>
      </c>
      <c r="O10" s="4" t="s">
        <v>200</v>
      </c>
      <c r="P10" s="4">
        <v>4</v>
      </c>
      <c r="Q10" s="4">
        <v>3</v>
      </c>
      <c r="R10" s="4">
        <v>10</v>
      </c>
      <c r="S10" s="4" t="s">
        <v>548</v>
      </c>
      <c r="T10" s="4" t="s">
        <v>70</v>
      </c>
      <c r="U10" s="4" t="s">
        <v>71</v>
      </c>
      <c r="V10" s="6" t="s">
        <v>73</v>
      </c>
      <c r="W10" s="37">
        <f>IF('CRUDO JUEVES'!BS10="Si",$N10,)</f>
        <v>0</v>
      </c>
      <c r="X10" s="37">
        <f>IF('CRUDO JUEVES'!BT10="Si",$N10,)</f>
        <v>0</v>
      </c>
      <c r="Y10" s="37">
        <f>IF('CRUDO JUEVES'!BU10="Si",$N10,)</f>
        <v>0</v>
      </c>
      <c r="Z10" s="37">
        <f>IF('CRUDO JUEVES'!BV10="Si",$N10,)</f>
        <v>0</v>
      </c>
      <c r="AA10" s="37"/>
      <c r="AB10" s="37">
        <f>IF('CRUDO JUEVES'!BW10="Si",$N10,)</f>
        <v>0</v>
      </c>
      <c r="AC10" s="37"/>
      <c r="AD10" s="37">
        <f>IF('CRUDO JUEVES'!BX10="Si",$N10,)</f>
        <v>0</v>
      </c>
      <c r="AE10" s="37"/>
      <c r="AF10" s="37">
        <f>IF('CRUDO JUEVES'!BY10="Si",$N10,)</f>
        <v>0</v>
      </c>
      <c r="AG10" s="37"/>
      <c r="AH10" s="37">
        <f>IF('CRUDO JUEVES'!BZ10="Si",$N10,)</f>
        <v>0</v>
      </c>
      <c r="AI10" s="37"/>
      <c r="AJ10" s="37">
        <f>IF('CRUDO JUEVES'!CA10="Si",$N10,)</f>
        <v>0</v>
      </c>
      <c r="AK10" s="37"/>
      <c r="AL10" s="37">
        <f>IF('CRUDO JUEVES'!CB10="Si",$N10,)</f>
        <v>0</v>
      </c>
      <c r="AM10" s="37"/>
      <c r="AN10" s="37">
        <f>IF('CRUDO JUEVES'!CC10="Si",$N10,)</f>
        <v>0</v>
      </c>
      <c r="AO10" s="37"/>
      <c r="AP10" s="37">
        <f>IF('CRUDO JUEVES'!CD10="Si",$N10,)</f>
        <v>0</v>
      </c>
      <c r="AQ10" s="37"/>
      <c r="AR10" s="37">
        <f>IF('CRUDO JUEVES'!CE10="Si",$N10,)</f>
        <v>0</v>
      </c>
      <c r="AS10" s="37"/>
      <c r="AT10" s="37">
        <f>IF('CRUDO JUEVES'!CF10="Si",$N10,)</f>
        <v>0</v>
      </c>
      <c r="AU10" s="37"/>
      <c r="AV10" s="37">
        <f>IF('CRUDO JUEVES'!CG10="Si",$N10,)</f>
        <v>0</v>
      </c>
      <c r="AW10" s="37">
        <f>IF('CRUDO JUEVES'!CH10="Si",$N10,)</f>
        <v>0</v>
      </c>
      <c r="AX10" s="37">
        <f>IF('CRUDO JUEVES'!CI10="Si",$N10,)</f>
        <v>0</v>
      </c>
      <c r="AY10" s="37">
        <f>IF('CRUDO JUEVES'!CJ10="Si",$N10,)</f>
        <v>0</v>
      </c>
      <c r="AZ10" s="37">
        <f>IF('CRUDO JUEVES'!CK10="Si",$N10,)</f>
        <v>0</v>
      </c>
      <c r="BA10" s="37">
        <f>IF('CRUDO JUEVES'!CL10="Si",$N10,)</f>
        <v>0</v>
      </c>
      <c r="BB10" s="37"/>
      <c r="BC10" s="37">
        <f>IF('CRUDO JUEVES'!CM10="Si",$N10,)</f>
        <v>0</v>
      </c>
      <c r="BD10" s="37"/>
      <c r="BE10" s="37">
        <f>IF('CRUDO JUEVES'!CN10="Si",$N10,)</f>
        <v>0</v>
      </c>
      <c r="BF10" s="37"/>
      <c r="BG10" s="37">
        <f>IF('CRUDO JUEVES'!CO10="Si",$N10,)</f>
        <v>0</v>
      </c>
      <c r="BH10" s="4"/>
      <c r="BI10" s="4" t="s">
        <v>557</v>
      </c>
    </row>
    <row r="11" spans="1:67" ht="13.2" hidden="1" x14ac:dyDescent="0.25">
      <c r="A11" s="3">
        <v>45001.40658141204</v>
      </c>
      <c r="B11" s="4" t="s">
        <v>202</v>
      </c>
      <c r="C11" s="4" t="s">
        <v>203</v>
      </c>
      <c r="D11" s="5" t="s">
        <v>204</v>
      </c>
      <c r="E11" s="4" t="s">
        <v>149</v>
      </c>
      <c r="F11" s="4" t="s">
        <v>205</v>
      </c>
      <c r="G11" s="4" t="s">
        <v>64</v>
      </c>
      <c r="H11" s="4" t="s">
        <v>206</v>
      </c>
      <c r="I11" s="4" t="s">
        <v>207</v>
      </c>
      <c r="J11" s="4" t="s">
        <v>208</v>
      </c>
      <c r="K11" s="4" t="s">
        <v>202</v>
      </c>
      <c r="L11" s="4" t="s">
        <v>67</v>
      </c>
      <c r="M11" s="4" t="s">
        <v>174</v>
      </c>
      <c r="N11" s="4">
        <v>0</v>
      </c>
      <c r="O11" s="4" t="s">
        <v>97</v>
      </c>
      <c r="P11" s="4">
        <v>4</v>
      </c>
      <c r="Q11" s="4">
        <v>4</v>
      </c>
      <c r="R11" s="4">
        <v>20</v>
      </c>
      <c r="T11" s="4" t="s">
        <v>70</v>
      </c>
      <c r="U11" s="4" t="s">
        <v>71</v>
      </c>
      <c r="V11" s="6" t="s">
        <v>73</v>
      </c>
      <c r="W11" s="37">
        <f>IF('CRUDO JUEVES'!BS11="Si",$N11,)</f>
        <v>0</v>
      </c>
      <c r="X11" s="37">
        <f>IF('CRUDO JUEVES'!BT11="Si",$N11,)</f>
        <v>0</v>
      </c>
      <c r="Y11" s="37">
        <f>IF('CRUDO JUEVES'!BU11="Si",$N11,)</f>
        <v>0</v>
      </c>
      <c r="Z11" s="37">
        <f>IF('CRUDO JUEVES'!BV11="Si",$N11,)</f>
        <v>0</v>
      </c>
      <c r="AA11" s="37"/>
      <c r="AB11" s="37">
        <f>IF('CRUDO JUEVES'!BW11="Si",$N11,)</f>
        <v>0</v>
      </c>
      <c r="AC11" s="37"/>
      <c r="AD11" s="37">
        <f>IF('CRUDO JUEVES'!BX11="Si",$N11,)</f>
        <v>0</v>
      </c>
      <c r="AE11" s="37"/>
      <c r="AF11" s="37">
        <f>IF('CRUDO JUEVES'!BY11="Si",$N11,)</f>
        <v>0</v>
      </c>
      <c r="AG11" s="37"/>
      <c r="AH11" s="37">
        <f>IF('CRUDO JUEVES'!BZ11="Si",$N11,)</f>
        <v>0</v>
      </c>
      <c r="AI11" s="37"/>
      <c r="AJ11" s="37">
        <f>IF('CRUDO JUEVES'!CA11="Si",$N11,)</f>
        <v>0</v>
      </c>
      <c r="AK11" s="37"/>
      <c r="AL11" s="37">
        <f>IF('CRUDO JUEVES'!CB11="Si",$N11,)</f>
        <v>0</v>
      </c>
      <c r="AM11" s="37"/>
      <c r="AN11" s="37">
        <f>IF('CRUDO JUEVES'!CC11="Si",$N11,)</f>
        <v>0</v>
      </c>
      <c r="AO11" s="37"/>
      <c r="AP11" s="37">
        <f>IF('CRUDO JUEVES'!CD11="Si",$N11,)</f>
        <v>0</v>
      </c>
      <c r="AQ11" s="37"/>
      <c r="AR11" s="37">
        <f>IF('CRUDO JUEVES'!CE11="Si",$N11,)</f>
        <v>0</v>
      </c>
      <c r="AS11" s="37"/>
      <c r="AT11" s="37">
        <f>IF('CRUDO JUEVES'!CF11="Si",$N11,)</f>
        <v>0</v>
      </c>
      <c r="AU11" s="37"/>
      <c r="AV11" s="37">
        <f>IF('CRUDO JUEVES'!CG11="Si",$N11,)</f>
        <v>0</v>
      </c>
      <c r="AW11" s="37">
        <f>IF('CRUDO JUEVES'!CH11="Si",$N11,)</f>
        <v>0</v>
      </c>
      <c r="AX11" s="37">
        <f>IF('CRUDO JUEVES'!CI11="Si",$N11,)</f>
        <v>0</v>
      </c>
      <c r="AY11" s="37">
        <f>IF('CRUDO JUEVES'!CJ11="Si",$N11,)</f>
        <v>0</v>
      </c>
      <c r="AZ11" s="37">
        <f>IF('CRUDO JUEVES'!CK11="Si",$N11,)</f>
        <v>0</v>
      </c>
      <c r="BA11" s="37">
        <f>IF('CRUDO JUEVES'!CL11="Si",$N11,)</f>
        <v>0</v>
      </c>
      <c r="BB11" s="37"/>
      <c r="BC11" s="37">
        <f>IF('CRUDO JUEVES'!CM11="Si",$N11,)</f>
        <v>0</v>
      </c>
      <c r="BD11" s="37"/>
      <c r="BE11" s="37">
        <f>IF('CRUDO JUEVES'!CN11="Si",$N11,)</f>
        <v>0</v>
      </c>
      <c r="BF11" s="37"/>
      <c r="BG11" s="37">
        <f>IF('CRUDO JUEVES'!CO11="Si",$N11,)</f>
        <v>0</v>
      </c>
    </row>
    <row r="12" spans="1:67" ht="13.2" hidden="1" x14ac:dyDescent="0.25">
      <c r="A12" s="3">
        <v>45001.410837557865</v>
      </c>
      <c r="B12" s="4" t="s">
        <v>210</v>
      </c>
      <c r="C12" s="4" t="s">
        <v>203</v>
      </c>
      <c r="D12" s="5" t="s">
        <v>204</v>
      </c>
      <c r="E12" s="4" t="s">
        <v>62</v>
      </c>
      <c r="F12" s="4" t="s">
        <v>211</v>
      </c>
      <c r="G12" s="4" t="s">
        <v>64</v>
      </c>
      <c r="H12" s="4" t="s">
        <v>208</v>
      </c>
      <c r="I12" s="4" t="s">
        <v>206</v>
      </c>
      <c r="J12" s="4" t="s">
        <v>207</v>
      </c>
      <c r="K12" s="4" t="s">
        <v>210</v>
      </c>
      <c r="L12" s="4" t="s">
        <v>67</v>
      </c>
      <c r="M12" s="4" t="s">
        <v>174</v>
      </c>
      <c r="N12" s="4">
        <v>0</v>
      </c>
      <c r="O12" s="4" t="s">
        <v>97</v>
      </c>
      <c r="P12" s="4">
        <v>4</v>
      </c>
      <c r="Q12" s="4">
        <v>4</v>
      </c>
      <c r="R12" s="4">
        <v>10</v>
      </c>
      <c r="T12" s="4" t="s">
        <v>70</v>
      </c>
      <c r="U12" s="4" t="s">
        <v>71</v>
      </c>
      <c r="V12" s="6" t="s">
        <v>73</v>
      </c>
      <c r="W12" s="37">
        <f>IF('CRUDO JUEVES'!BS12="Si",$N12,)</f>
        <v>0</v>
      </c>
      <c r="X12" s="37">
        <f>IF('CRUDO JUEVES'!BT12="Si",$N12,)</f>
        <v>0</v>
      </c>
      <c r="Y12" s="37">
        <f>IF('CRUDO JUEVES'!BU12="Si",$N12,)</f>
        <v>0</v>
      </c>
      <c r="Z12" s="37">
        <f>IF('CRUDO JUEVES'!BV12="Si",$N12,)</f>
        <v>0</v>
      </c>
      <c r="AA12" s="37"/>
      <c r="AB12" s="37">
        <f>IF('CRUDO JUEVES'!BW12="Si",$N12,)</f>
        <v>0</v>
      </c>
      <c r="AC12" s="37"/>
      <c r="AD12" s="37">
        <f>IF('CRUDO JUEVES'!BX12="Si",$N12,)</f>
        <v>0</v>
      </c>
      <c r="AE12" s="37"/>
      <c r="AF12" s="37">
        <f>IF('CRUDO JUEVES'!BY12="Si",$N12,)</f>
        <v>0</v>
      </c>
      <c r="AG12" s="37"/>
      <c r="AH12" s="37">
        <f>IF('CRUDO JUEVES'!BZ12="Si",$N12,)</f>
        <v>0</v>
      </c>
      <c r="AI12" s="37"/>
      <c r="AJ12" s="37">
        <f>IF('CRUDO JUEVES'!CA12="Si",$N12,)</f>
        <v>0</v>
      </c>
      <c r="AK12" s="37"/>
      <c r="AL12" s="37">
        <f>IF('CRUDO JUEVES'!CB12="Si",$N12,)</f>
        <v>0</v>
      </c>
      <c r="AM12" s="37"/>
      <c r="AN12" s="37">
        <f>IF('CRUDO JUEVES'!CC12="Si",$N12,)</f>
        <v>0</v>
      </c>
      <c r="AO12" s="37"/>
      <c r="AP12" s="37">
        <f>IF('CRUDO JUEVES'!CD12="Si",$N12,)</f>
        <v>0</v>
      </c>
      <c r="AQ12" s="37"/>
      <c r="AR12" s="37">
        <f>IF('CRUDO JUEVES'!CE12="Si",$N12,)</f>
        <v>0</v>
      </c>
      <c r="AS12" s="37"/>
      <c r="AT12" s="37">
        <f>IF('CRUDO JUEVES'!CF12="Si",$N12,)</f>
        <v>0</v>
      </c>
      <c r="AU12" s="37"/>
      <c r="AV12" s="37">
        <f>IF('CRUDO JUEVES'!CG12="Si",$N12,)</f>
        <v>0</v>
      </c>
      <c r="AW12" s="37">
        <f>IF('CRUDO JUEVES'!CH12="Si",$N12,)</f>
        <v>0</v>
      </c>
      <c r="AX12" s="37">
        <f>IF('CRUDO JUEVES'!CI12="Si",$N12,)</f>
        <v>0</v>
      </c>
      <c r="AY12" s="37">
        <f>IF('CRUDO JUEVES'!CJ12="Si",$N12,)</f>
        <v>0</v>
      </c>
      <c r="AZ12" s="37">
        <f>IF('CRUDO JUEVES'!CK12="Si",$N12,)</f>
        <v>0</v>
      </c>
      <c r="BA12" s="37">
        <f>IF('CRUDO JUEVES'!CL12="Si",$N12,)</f>
        <v>0</v>
      </c>
      <c r="BB12" s="37"/>
      <c r="BC12" s="37">
        <f>IF('CRUDO JUEVES'!CM12="Si",$N12,)</f>
        <v>0</v>
      </c>
      <c r="BD12" s="37"/>
      <c r="BE12" s="37">
        <f>IF('CRUDO JUEVES'!CN12="Si",$N12,)</f>
        <v>0</v>
      </c>
      <c r="BF12" s="37"/>
      <c r="BG12" s="37">
        <f>IF('CRUDO JUEVES'!CO12="Si",$N12,)</f>
        <v>0</v>
      </c>
    </row>
    <row r="13" spans="1:67" ht="13.2" hidden="1" x14ac:dyDescent="0.25">
      <c r="A13" s="3">
        <v>45001.434614201389</v>
      </c>
      <c r="B13" s="4" t="s">
        <v>535</v>
      </c>
      <c r="C13" s="4" t="s">
        <v>536</v>
      </c>
      <c r="D13" s="7" t="s">
        <v>537</v>
      </c>
      <c r="E13" s="4" t="s">
        <v>103</v>
      </c>
      <c r="F13" s="4" t="s">
        <v>555</v>
      </c>
      <c r="G13" s="4" t="s">
        <v>64</v>
      </c>
      <c r="H13" s="4" t="s">
        <v>539</v>
      </c>
      <c r="I13" s="4" t="s">
        <v>540</v>
      </c>
      <c r="K13" s="4" t="s">
        <v>535</v>
      </c>
      <c r="L13" s="4" t="s">
        <v>67</v>
      </c>
      <c r="M13" s="4" t="s">
        <v>331</v>
      </c>
      <c r="N13" s="4">
        <v>0</v>
      </c>
      <c r="O13" s="4" t="s">
        <v>97</v>
      </c>
      <c r="P13" s="4">
        <v>4</v>
      </c>
      <c r="Q13" s="4">
        <v>3</v>
      </c>
      <c r="R13" s="4">
        <v>10</v>
      </c>
      <c r="S13" s="4" t="s">
        <v>559</v>
      </c>
      <c r="T13" s="4" t="s">
        <v>71</v>
      </c>
      <c r="U13" s="4" t="s">
        <v>70</v>
      </c>
      <c r="V13" s="6" t="s">
        <v>73</v>
      </c>
      <c r="W13" s="37">
        <f>IF('CRUDO JUEVES'!BS13="Si",$N13,)</f>
        <v>0</v>
      </c>
      <c r="X13" s="37">
        <f>IF('CRUDO JUEVES'!BT13="Si",$N13,)</f>
        <v>0</v>
      </c>
      <c r="Y13" s="37">
        <f>IF('CRUDO JUEVES'!BU13="Si",$N13,)</f>
        <v>0</v>
      </c>
      <c r="Z13" s="37">
        <f>IF('CRUDO JUEVES'!BV13="Si",$N13,)</f>
        <v>0</v>
      </c>
      <c r="AA13" s="37"/>
      <c r="AB13" s="37">
        <f>IF('CRUDO JUEVES'!BW13="Si",$N13,)</f>
        <v>0</v>
      </c>
      <c r="AC13" s="37"/>
      <c r="AD13" s="37">
        <f>IF('CRUDO JUEVES'!BX13="Si",$N13,)</f>
        <v>0</v>
      </c>
      <c r="AE13" s="37"/>
      <c r="AF13" s="37">
        <f>IF('CRUDO JUEVES'!BY13="Si",$N13,)</f>
        <v>0</v>
      </c>
      <c r="AG13" s="37"/>
      <c r="AH13" s="37">
        <f>IF('CRUDO JUEVES'!BZ13="Si",$N13,)</f>
        <v>0</v>
      </c>
      <c r="AI13" s="37"/>
      <c r="AJ13" s="37">
        <f>IF('CRUDO JUEVES'!CA13="Si",$N13,)</f>
        <v>0</v>
      </c>
      <c r="AK13" s="37"/>
      <c r="AL13" s="37">
        <f>IF('CRUDO JUEVES'!CB13="Si",$N13,)</f>
        <v>0</v>
      </c>
      <c r="AM13" s="37"/>
      <c r="AN13" s="37">
        <f>IF('CRUDO JUEVES'!CC13="Si",$N13,)</f>
        <v>0</v>
      </c>
      <c r="AO13" s="37"/>
      <c r="AP13" s="37">
        <f>IF('CRUDO JUEVES'!CD13="Si",$N13,)</f>
        <v>0</v>
      </c>
      <c r="AQ13" s="37"/>
      <c r="AR13" s="37">
        <f>IF('CRUDO JUEVES'!CE13="Si",$N13,)</f>
        <v>0</v>
      </c>
      <c r="AS13" s="37"/>
      <c r="AT13" s="37">
        <f>IF('CRUDO JUEVES'!CF13="Si",$N13,)</f>
        <v>0</v>
      </c>
      <c r="AU13" s="37"/>
      <c r="AV13" s="37">
        <f>IF('CRUDO JUEVES'!CG13="Si",$N13,)</f>
        <v>0</v>
      </c>
      <c r="AW13" s="37">
        <f>IF('CRUDO JUEVES'!CH13="Si",$N13,)</f>
        <v>0</v>
      </c>
      <c r="AX13" s="37">
        <f>IF('CRUDO JUEVES'!CI13="Si",$N13,)</f>
        <v>0</v>
      </c>
      <c r="AY13" s="37">
        <f>IF('CRUDO JUEVES'!CJ13="Si",$N13,)</f>
        <v>0</v>
      </c>
      <c r="AZ13" s="37">
        <f>IF('CRUDO JUEVES'!CK13="Si",$N13,)</f>
        <v>0</v>
      </c>
      <c r="BA13" s="37">
        <f>IF('CRUDO JUEVES'!CL13="Si",$N13,)</f>
        <v>0</v>
      </c>
      <c r="BB13" s="37"/>
      <c r="BC13" s="37">
        <f>IF('CRUDO JUEVES'!CM13="Si",$N13,)</f>
        <v>0</v>
      </c>
      <c r="BD13" s="37"/>
      <c r="BE13" s="37">
        <f>IF('CRUDO JUEVES'!CN13="Si",$N13,)</f>
        <v>0</v>
      </c>
      <c r="BF13" s="37"/>
      <c r="BG13" s="37">
        <f>IF('CRUDO JUEVES'!CO13="Si",$N13,)</f>
        <v>0</v>
      </c>
      <c r="BH13" s="4"/>
      <c r="BI13" s="4" t="s">
        <v>560</v>
      </c>
    </row>
    <row r="14" spans="1:67" ht="13.2" x14ac:dyDescent="0.25">
      <c r="A14" s="22">
        <v>45001.486748229167</v>
      </c>
      <c r="B14" s="23" t="s">
        <v>162</v>
      </c>
      <c r="C14" s="23" t="s">
        <v>163</v>
      </c>
      <c r="D14" s="29" t="s">
        <v>164</v>
      </c>
      <c r="E14" s="23" t="s">
        <v>62</v>
      </c>
      <c r="F14" s="23" t="s">
        <v>165</v>
      </c>
      <c r="G14" s="23" t="s">
        <v>64</v>
      </c>
      <c r="H14" s="23" t="s">
        <v>166</v>
      </c>
      <c r="I14" s="23" t="s">
        <v>167</v>
      </c>
      <c r="J14" s="23" t="s">
        <v>168</v>
      </c>
      <c r="K14" s="23" t="s">
        <v>162</v>
      </c>
      <c r="L14" s="23" t="s">
        <v>67</v>
      </c>
      <c r="M14" s="23" t="s">
        <v>144</v>
      </c>
      <c r="N14" s="23">
        <v>45</v>
      </c>
      <c r="O14" s="23" t="s">
        <v>97</v>
      </c>
      <c r="P14" s="23">
        <v>4</v>
      </c>
      <c r="Q14" s="23">
        <v>4</v>
      </c>
      <c r="R14" s="23">
        <v>0</v>
      </c>
      <c r="S14" s="25"/>
      <c r="T14" s="23" t="s">
        <v>70</v>
      </c>
      <c r="U14" s="23" t="s">
        <v>71</v>
      </c>
      <c r="V14" s="26" t="s">
        <v>73</v>
      </c>
      <c r="W14" s="27">
        <f>IF('CRUDO JUEVES'!BS14="Si",$N14,)</f>
        <v>45</v>
      </c>
      <c r="X14" s="27">
        <f>IF('CRUDO JUEVES'!BT14="Si",$N14,)</f>
        <v>0</v>
      </c>
      <c r="Y14" s="27">
        <f>IF('CRUDO JUEVES'!BU14="Si",$N14,)</f>
        <v>0</v>
      </c>
      <c r="Z14" s="27">
        <f>IF('CRUDO JUEVES'!BV14="Si",$N14,)</f>
        <v>0</v>
      </c>
      <c r="AA14" s="28"/>
      <c r="AB14" s="28">
        <v>45</v>
      </c>
      <c r="AC14" s="28" t="s">
        <v>1227</v>
      </c>
      <c r="AD14" s="27">
        <f>IF('CRUDO JUEVES'!BX14="Si",$N14,)</f>
        <v>0</v>
      </c>
      <c r="AE14" s="27"/>
      <c r="AF14" s="27">
        <f>IF('CRUDO JUEVES'!BY14="Si",$N14,)</f>
        <v>0</v>
      </c>
      <c r="AG14" s="27"/>
      <c r="AH14" s="27">
        <f>IF('CRUDO JUEVES'!BZ14="Si",$N14,)</f>
        <v>0</v>
      </c>
      <c r="AI14" s="27"/>
      <c r="AJ14" s="27">
        <f>IF('CRUDO JUEVES'!CA14="Si",$N14,)</f>
        <v>0</v>
      </c>
      <c r="AK14" s="27"/>
      <c r="AL14" s="27">
        <f>IF('CRUDO JUEVES'!CB14="Si",$N14,)</f>
        <v>0</v>
      </c>
      <c r="AM14" s="28"/>
      <c r="AN14" s="28">
        <v>0</v>
      </c>
      <c r="AO14" s="27"/>
      <c r="AP14" s="27">
        <f>IF('CRUDO JUEVES'!CD14="Si",$N14,)</f>
        <v>0</v>
      </c>
      <c r="AQ14" s="27"/>
      <c r="AR14" s="27">
        <f>IF('CRUDO JUEVES'!CE14="Si",$N14,)</f>
        <v>0</v>
      </c>
      <c r="AS14" s="27"/>
      <c r="AT14" s="27">
        <f>IF('CRUDO JUEVES'!CF14="Si",$N14,)</f>
        <v>0</v>
      </c>
      <c r="AU14" s="27"/>
      <c r="AV14" s="27">
        <f>IF('CRUDO JUEVES'!CG14="Si",$N14,)</f>
        <v>0</v>
      </c>
      <c r="AW14" s="27">
        <f>IF('CRUDO JUEVES'!CH14="Si",$N14,)</f>
        <v>0</v>
      </c>
      <c r="AX14" s="27">
        <f>IF('CRUDO JUEVES'!CI14="Si",$N14,)</f>
        <v>45</v>
      </c>
      <c r="AY14" s="27">
        <f>IF('CRUDO JUEVES'!CJ14="Si",$N14,)</f>
        <v>0</v>
      </c>
      <c r="AZ14" s="27">
        <f>IF('CRUDO JUEVES'!CK14="Si",$N14,)</f>
        <v>0</v>
      </c>
      <c r="BA14" s="27">
        <f>IF('CRUDO JUEVES'!CL14="Si",$N14,)</f>
        <v>0</v>
      </c>
      <c r="BB14" s="27"/>
      <c r="BC14" s="27">
        <f>IF('CRUDO JUEVES'!CM14="Si",$N14,)</f>
        <v>0</v>
      </c>
      <c r="BD14" s="27"/>
      <c r="BE14" s="27">
        <f>IF('CRUDO JUEVES'!CN14="Si",$N14,)</f>
        <v>0</v>
      </c>
      <c r="BF14" s="27"/>
      <c r="BG14" s="27">
        <f>IF('CRUDO JUEVES'!CO14="Si",$N14,)</f>
        <v>0</v>
      </c>
      <c r="BH14" s="25"/>
      <c r="BI14" s="25"/>
      <c r="BJ14" s="23" t="s">
        <v>1231</v>
      </c>
      <c r="BK14" s="23">
        <v>1</v>
      </c>
      <c r="BL14" s="25"/>
      <c r="BM14" s="25"/>
      <c r="BN14" s="25"/>
      <c r="BO14" s="25"/>
    </row>
    <row r="15" spans="1:67" ht="13.2" hidden="1" x14ac:dyDescent="0.25">
      <c r="A15" s="3">
        <v>45001.488910428241</v>
      </c>
      <c r="B15" s="4" t="s">
        <v>162</v>
      </c>
      <c r="C15" s="4" t="s">
        <v>170</v>
      </c>
      <c r="D15" s="5" t="s">
        <v>164</v>
      </c>
      <c r="E15" s="4" t="s">
        <v>62</v>
      </c>
      <c r="F15" s="4" t="s">
        <v>171</v>
      </c>
      <c r="G15" s="4" t="s">
        <v>64</v>
      </c>
      <c r="H15" s="4" t="s">
        <v>172</v>
      </c>
      <c r="I15" s="4" t="s">
        <v>167</v>
      </c>
      <c r="J15" s="4" t="s">
        <v>173</v>
      </c>
      <c r="K15" s="4" t="s">
        <v>162</v>
      </c>
      <c r="L15" s="4" t="s">
        <v>67</v>
      </c>
      <c r="M15" s="4" t="s">
        <v>153</v>
      </c>
      <c r="N15" s="4">
        <v>0</v>
      </c>
      <c r="O15" s="4" t="s">
        <v>97</v>
      </c>
      <c r="P15" s="4">
        <v>4</v>
      </c>
      <c r="Q15" s="4">
        <v>4</v>
      </c>
      <c r="R15" s="4">
        <v>0</v>
      </c>
      <c r="T15" s="4" t="s">
        <v>70</v>
      </c>
      <c r="U15" s="4" t="s">
        <v>71</v>
      </c>
      <c r="V15" s="6" t="s">
        <v>73</v>
      </c>
      <c r="W15" s="37">
        <f>IF('CRUDO JUEVES'!BS15="Si",$N15,)</f>
        <v>0</v>
      </c>
      <c r="X15" s="37">
        <f>IF('CRUDO JUEVES'!BT15="Si",$N15,)</f>
        <v>0</v>
      </c>
      <c r="Y15" s="37">
        <f>IF('CRUDO JUEVES'!BU15="Si",$N15,)</f>
        <v>0</v>
      </c>
      <c r="Z15" s="37">
        <f>IF('CRUDO JUEVES'!BV15="Si",$N15,)</f>
        <v>0</v>
      </c>
      <c r="AA15" s="37"/>
      <c r="AB15" s="37">
        <f>IF('CRUDO JUEVES'!BW15="Si",$N15,)</f>
        <v>0</v>
      </c>
      <c r="AC15" s="37"/>
      <c r="AD15" s="37">
        <f>IF('CRUDO JUEVES'!BX15="Si",$N15,)</f>
        <v>0</v>
      </c>
      <c r="AE15" s="37"/>
      <c r="AF15" s="37">
        <f>IF('CRUDO JUEVES'!BY15="Si",$N15,)</f>
        <v>0</v>
      </c>
      <c r="AG15" s="37"/>
      <c r="AH15" s="37">
        <f>IF('CRUDO JUEVES'!BZ15="Si",$N15,)</f>
        <v>0</v>
      </c>
      <c r="AI15" s="37"/>
      <c r="AJ15" s="37">
        <f>IF('CRUDO JUEVES'!CA15="Si",$N15,)</f>
        <v>0</v>
      </c>
      <c r="AK15" s="37"/>
      <c r="AL15" s="37">
        <f>IF('CRUDO JUEVES'!CB15="Si",$N15,)</f>
        <v>0</v>
      </c>
      <c r="AM15" s="37"/>
      <c r="AN15" s="37">
        <f>IF('CRUDO JUEVES'!CC15="Si",$N15,)</f>
        <v>0</v>
      </c>
      <c r="AO15" s="37"/>
      <c r="AP15" s="37">
        <f>IF('CRUDO JUEVES'!CD15="Si",$N15,)</f>
        <v>0</v>
      </c>
      <c r="AQ15" s="37"/>
      <c r="AR15" s="37">
        <f>IF('CRUDO JUEVES'!CE15="Si",$N15,)</f>
        <v>0</v>
      </c>
      <c r="AS15" s="37"/>
      <c r="AT15" s="37">
        <f>IF('CRUDO JUEVES'!CF15="Si",$N15,)</f>
        <v>0</v>
      </c>
      <c r="AU15" s="37"/>
      <c r="AV15" s="37">
        <f>IF('CRUDO JUEVES'!CG15="Si",$N15,)</f>
        <v>0</v>
      </c>
      <c r="AW15" s="37">
        <f>IF('CRUDO JUEVES'!CH15="Si",$N15,)</f>
        <v>0</v>
      </c>
      <c r="AX15" s="37">
        <f>IF('CRUDO JUEVES'!CI15="Si",$N15,)</f>
        <v>0</v>
      </c>
      <c r="AY15" s="37">
        <f>IF('CRUDO JUEVES'!CJ15="Si",$N15,)</f>
        <v>0</v>
      </c>
      <c r="AZ15" s="37">
        <f>IF('CRUDO JUEVES'!CK15="Si",$N15,)</f>
        <v>0</v>
      </c>
      <c r="BA15" s="37">
        <f>IF('CRUDO JUEVES'!CL15="Si",$N15,)</f>
        <v>0</v>
      </c>
      <c r="BB15" s="37"/>
      <c r="BC15" s="37">
        <f>IF('CRUDO JUEVES'!CM15="Si",$N15,)</f>
        <v>0</v>
      </c>
      <c r="BD15" s="37"/>
      <c r="BE15" s="37">
        <f>IF('CRUDO JUEVES'!CN15="Si",$N15,)</f>
        <v>0</v>
      </c>
      <c r="BF15" s="37"/>
      <c r="BG15" s="37">
        <f>IF('CRUDO JUEVES'!CO15="Si",$N15,)</f>
        <v>0</v>
      </c>
    </row>
    <row r="16" spans="1:67" ht="13.2" x14ac:dyDescent="0.25">
      <c r="A16" s="22">
        <v>45001.498919201389</v>
      </c>
      <c r="B16" s="23" t="s">
        <v>260</v>
      </c>
      <c r="C16" s="23" t="s">
        <v>268</v>
      </c>
      <c r="D16" s="29" t="s">
        <v>262</v>
      </c>
      <c r="E16" s="23" t="s">
        <v>62</v>
      </c>
      <c r="F16" s="23" t="s">
        <v>269</v>
      </c>
      <c r="G16" s="23" t="s">
        <v>64</v>
      </c>
      <c r="H16" s="23" t="s">
        <v>270</v>
      </c>
      <c r="I16" s="23" t="s">
        <v>271</v>
      </c>
      <c r="J16" s="25"/>
      <c r="K16" s="23" t="s">
        <v>260</v>
      </c>
      <c r="L16" s="23" t="s">
        <v>67</v>
      </c>
      <c r="M16" s="23" t="s">
        <v>199</v>
      </c>
      <c r="N16" s="23">
        <v>35</v>
      </c>
      <c r="O16" s="23" t="s">
        <v>69</v>
      </c>
      <c r="P16" s="23">
        <v>3</v>
      </c>
      <c r="Q16" s="23">
        <v>2</v>
      </c>
      <c r="R16" s="23">
        <v>20</v>
      </c>
      <c r="S16" s="25"/>
      <c r="T16" s="23" t="s">
        <v>70</v>
      </c>
      <c r="U16" s="23" t="s">
        <v>71</v>
      </c>
      <c r="V16" s="26" t="s">
        <v>73</v>
      </c>
      <c r="W16" s="28">
        <v>0</v>
      </c>
      <c r="X16" s="27">
        <f>IF('CRUDO JUEVES'!BT16="Si",$N16,)</f>
        <v>35</v>
      </c>
      <c r="Y16" s="27">
        <f>IF('CRUDO JUEVES'!BU16="Si",$N16,)</f>
        <v>0</v>
      </c>
      <c r="Z16" s="27">
        <f>IF('CRUDO JUEVES'!BV16="Si",$N16,)</f>
        <v>35</v>
      </c>
      <c r="AA16" s="28" t="s">
        <v>1227</v>
      </c>
      <c r="AB16" s="28">
        <v>0</v>
      </c>
      <c r="AC16" s="28"/>
      <c r="AD16" s="28">
        <v>0</v>
      </c>
      <c r="AE16" s="27"/>
      <c r="AF16" s="27">
        <f>IF('CRUDO JUEVES'!BY16="Si",$N16,)</f>
        <v>0</v>
      </c>
      <c r="AG16" s="27"/>
      <c r="AH16" s="27">
        <f>IF('CRUDO JUEVES'!BZ16="Si",$N16,)</f>
        <v>0</v>
      </c>
      <c r="AI16" s="27"/>
      <c r="AJ16" s="27">
        <f>IF('CRUDO JUEVES'!CA16="Si",$N16,)</f>
        <v>0</v>
      </c>
      <c r="AK16" s="28"/>
      <c r="AL16" s="28">
        <v>0</v>
      </c>
      <c r="AM16" s="28"/>
      <c r="AN16" s="28">
        <v>0</v>
      </c>
      <c r="AO16" s="28"/>
      <c r="AP16" s="28">
        <v>0</v>
      </c>
      <c r="AQ16" s="27"/>
      <c r="AR16" s="27">
        <f>IF('CRUDO JUEVES'!CE16="Si",$N16,)</f>
        <v>0</v>
      </c>
      <c r="AS16" s="27"/>
      <c r="AT16" s="27">
        <f>IF('CRUDO JUEVES'!CF16="Si",$N16,)</f>
        <v>0</v>
      </c>
      <c r="AU16" s="27"/>
      <c r="AV16" s="28">
        <v>0</v>
      </c>
      <c r="AW16" s="28">
        <v>0</v>
      </c>
      <c r="AX16" s="28">
        <v>0</v>
      </c>
      <c r="AY16" s="27">
        <f>IF('CRUDO JUEVES'!CJ16="Si",$N16,)</f>
        <v>0</v>
      </c>
      <c r="AZ16" s="27">
        <f>IF('CRUDO JUEVES'!CK16="Si",$N16,)</f>
        <v>0</v>
      </c>
      <c r="BA16" s="28">
        <v>0</v>
      </c>
      <c r="BB16" s="28"/>
      <c r="BC16" s="28">
        <v>0</v>
      </c>
      <c r="BD16" s="27"/>
      <c r="BE16" s="27">
        <f>IF('CRUDO JUEVES'!CN16="Si",$N16,)</f>
        <v>0</v>
      </c>
      <c r="BF16" s="27"/>
      <c r="BG16" s="27">
        <f>IF('CRUDO JUEVES'!CO16="Si",$N16,)</f>
        <v>0</v>
      </c>
      <c r="BH16" s="25"/>
      <c r="BI16" s="25"/>
      <c r="BJ16" s="23" t="s">
        <v>1231</v>
      </c>
      <c r="BK16" s="23">
        <v>1</v>
      </c>
      <c r="BL16" s="25"/>
      <c r="BM16" s="25"/>
      <c r="BN16" s="25"/>
      <c r="BO16" s="25"/>
    </row>
    <row r="17" spans="1:67" ht="13.2" hidden="1" x14ac:dyDescent="0.25">
      <c r="A17" s="30">
        <v>45001.52091958333</v>
      </c>
      <c r="B17" s="31" t="s">
        <v>115</v>
      </c>
      <c r="C17" s="31" t="s">
        <v>116</v>
      </c>
      <c r="D17" s="36" t="s">
        <v>102</v>
      </c>
      <c r="E17" s="31" t="s">
        <v>103</v>
      </c>
      <c r="F17" s="31" t="s">
        <v>117</v>
      </c>
      <c r="G17" s="31" t="s">
        <v>105</v>
      </c>
      <c r="H17" s="31" t="s">
        <v>118</v>
      </c>
      <c r="I17" s="31" t="s">
        <v>119</v>
      </c>
      <c r="J17" s="33"/>
      <c r="K17" s="31" t="s">
        <v>115</v>
      </c>
      <c r="L17" s="31" t="s">
        <v>67</v>
      </c>
      <c r="M17" s="31" t="s">
        <v>98</v>
      </c>
      <c r="N17" s="31">
        <v>0</v>
      </c>
      <c r="O17" s="31" t="s">
        <v>69</v>
      </c>
      <c r="P17" s="31">
        <v>4</v>
      </c>
      <c r="Q17" s="31">
        <v>1</v>
      </c>
      <c r="R17" s="31">
        <v>50</v>
      </c>
      <c r="S17" s="33"/>
      <c r="T17" s="31" t="s">
        <v>71</v>
      </c>
      <c r="U17" s="31" t="s">
        <v>70</v>
      </c>
      <c r="V17" s="8" t="s">
        <v>73</v>
      </c>
      <c r="W17" s="35">
        <f>IF('CRUDO JUEVES'!BS17="Si",$N17,)</f>
        <v>0</v>
      </c>
      <c r="X17" s="35">
        <f>IF('CRUDO JUEVES'!BT17="Si",$N17,)</f>
        <v>0</v>
      </c>
      <c r="Y17" s="35">
        <f>IF('CRUDO JUEVES'!BU17="Si",$N17,)</f>
        <v>0</v>
      </c>
      <c r="Z17" s="35">
        <f>IF('CRUDO JUEVES'!BV17="Si",$N17,)</f>
        <v>0</v>
      </c>
      <c r="AA17" s="35"/>
      <c r="AB17" s="35">
        <f>IF('CRUDO JUEVES'!BW17="Si",$N17,)</f>
        <v>0</v>
      </c>
      <c r="AC17" s="35"/>
      <c r="AD17" s="35">
        <f>IF('CRUDO JUEVES'!BX17="Si",$N17,)</f>
        <v>0</v>
      </c>
      <c r="AE17" s="35"/>
      <c r="AF17" s="35">
        <f>IF('CRUDO JUEVES'!BY17="Si",$N17,)</f>
        <v>0</v>
      </c>
      <c r="AG17" s="35"/>
      <c r="AH17" s="35">
        <f>IF('CRUDO JUEVES'!BZ17="Si",$N17,)</f>
        <v>0</v>
      </c>
      <c r="AI17" s="35"/>
      <c r="AJ17" s="35">
        <f>IF('CRUDO JUEVES'!CA17="Si",$N17,)</f>
        <v>0</v>
      </c>
      <c r="AK17" s="35"/>
      <c r="AL17" s="35">
        <f>IF('CRUDO JUEVES'!CB17="Si",$N17,)</f>
        <v>0</v>
      </c>
      <c r="AM17" s="35"/>
      <c r="AN17" s="35">
        <f>IF('CRUDO JUEVES'!CC17="Si",$N17,)</f>
        <v>0</v>
      </c>
      <c r="AO17" s="35"/>
      <c r="AP17" s="35">
        <f>IF('CRUDO JUEVES'!CD17="Si",$N17,)</f>
        <v>0</v>
      </c>
      <c r="AQ17" s="35"/>
      <c r="AR17" s="35">
        <f>IF('CRUDO JUEVES'!CE17="Si",$N17,)</f>
        <v>0</v>
      </c>
      <c r="AS17" s="35"/>
      <c r="AT17" s="35">
        <f>IF('CRUDO JUEVES'!CF17="Si",$N17,)</f>
        <v>0</v>
      </c>
      <c r="AU17" s="35"/>
      <c r="AV17" s="35">
        <f>IF('CRUDO JUEVES'!CG17="Si",$N17,)</f>
        <v>0</v>
      </c>
      <c r="AW17" s="35">
        <f>IF('CRUDO JUEVES'!CH17="Si",$N17,)</f>
        <v>0</v>
      </c>
      <c r="AX17" s="35">
        <f>IF('CRUDO JUEVES'!CI17="Si",$N17,)</f>
        <v>0</v>
      </c>
      <c r="AY17" s="35">
        <f>IF('CRUDO JUEVES'!CJ17="Si",$N17,)</f>
        <v>0</v>
      </c>
      <c r="AZ17" s="35">
        <f>IF('CRUDO JUEVES'!CK17="Si",$N17,)</f>
        <v>0</v>
      </c>
      <c r="BA17" s="35">
        <f>IF('CRUDO JUEVES'!CL17="Si",$N17,)</f>
        <v>0</v>
      </c>
      <c r="BB17" s="35"/>
      <c r="BC17" s="35">
        <f>IF('CRUDO JUEVES'!CM17="Si",$N17,)</f>
        <v>0</v>
      </c>
      <c r="BD17" s="35"/>
      <c r="BE17" s="35">
        <f>IF('CRUDO JUEVES'!CN17="Si",$N17,)</f>
        <v>0</v>
      </c>
      <c r="BF17" s="35"/>
      <c r="BG17" s="35">
        <f>IF('CRUDO JUEVES'!CO17="Si",$N17,)</f>
        <v>0</v>
      </c>
      <c r="BH17" s="33"/>
      <c r="BI17" s="33"/>
      <c r="BJ17" s="33"/>
      <c r="BK17" s="33"/>
      <c r="BL17" s="33"/>
      <c r="BM17" s="33"/>
      <c r="BN17" s="33"/>
      <c r="BO17" s="33"/>
    </row>
    <row r="18" spans="1:67" ht="13.2" x14ac:dyDescent="0.25">
      <c r="A18" s="22">
        <v>45001.527672581018</v>
      </c>
      <c r="B18" s="23" t="s">
        <v>301</v>
      </c>
      <c r="C18" s="23" t="s">
        <v>292</v>
      </c>
      <c r="D18" s="29" t="s">
        <v>293</v>
      </c>
      <c r="E18" s="23" t="s">
        <v>62</v>
      </c>
      <c r="F18" s="23" t="s">
        <v>294</v>
      </c>
      <c r="G18" s="23" t="s">
        <v>64</v>
      </c>
      <c r="H18" s="23" t="s">
        <v>295</v>
      </c>
      <c r="I18" s="23" t="s">
        <v>296</v>
      </c>
      <c r="J18" s="23" t="s">
        <v>302</v>
      </c>
      <c r="K18" s="23" t="s">
        <v>301</v>
      </c>
      <c r="L18" s="23" t="s">
        <v>67</v>
      </c>
      <c r="M18" s="23" t="s">
        <v>212</v>
      </c>
      <c r="N18" s="23">
        <v>35</v>
      </c>
      <c r="O18" s="23" t="s">
        <v>69</v>
      </c>
      <c r="P18" s="23">
        <v>5</v>
      </c>
      <c r="Q18" s="23">
        <v>5</v>
      </c>
      <c r="R18" s="23">
        <v>0</v>
      </c>
      <c r="S18" s="23" t="s">
        <v>304</v>
      </c>
      <c r="T18" s="23" t="s">
        <v>70</v>
      </c>
      <c r="U18" s="23" t="s">
        <v>71</v>
      </c>
      <c r="V18" s="26" t="s">
        <v>73</v>
      </c>
      <c r="W18" s="27">
        <f>IF('CRUDO JUEVES'!BS18="Si",$N18,)</f>
        <v>35</v>
      </c>
      <c r="X18" s="27">
        <f>IF('CRUDO JUEVES'!BT18="Si",$N18,)</f>
        <v>0</v>
      </c>
      <c r="Y18" s="27">
        <f>IF('CRUDO JUEVES'!BU18="Si",$N18,)</f>
        <v>0</v>
      </c>
      <c r="Z18" s="27">
        <f>IF('CRUDO JUEVES'!BV18="Si",$N18,)</f>
        <v>0</v>
      </c>
      <c r="AA18" s="27"/>
      <c r="AB18" s="27">
        <f>IF('CRUDO JUEVES'!BW18="Si",$N18,)</f>
        <v>35</v>
      </c>
      <c r="AC18" s="28" t="s">
        <v>1227</v>
      </c>
      <c r="AD18" s="27">
        <f>IF('CRUDO JUEVES'!BX18="Si",$N18,)</f>
        <v>0</v>
      </c>
      <c r="AE18" s="27"/>
      <c r="AF18" s="27">
        <f>IF('CRUDO JUEVES'!BY18="Si",$N18,)</f>
        <v>0</v>
      </c>
      <c r="AG18" s="27"/>
      <c r="AH18" s="27">
        <f>IF('CRUDO JUEVES'!BZ18="Si",$N18,)</f>
        <v>0</v>
      </c>
      <c r="AI18" s="27"/>
      <c r="AJ18" s="27">
        <f>IF('CRUDO JUEVES'!CA18="Si",$N18,)</f>
        <v>0</v>
      </c>
      <c r="AK18" s="27"/>
      <c r="AL18" s="27">
        <f>IF('CRUDO JUEVES'!CB18="Si",$N18,)</f>
        <v>0</v>
      </c>
      <c r="AM18" s="27"/>
      <c r="AN18" s="27">
        <f>IF('CRUDO JUEVES'!CC18="Si",$N18,)</f>
        <v>0</v>
      </c>
      <c r="AO18" s="27"/>
      <c r="AP18" s="27">
        <f>IF('CRUDO JUEVES'!CD18="Si",$N18,)</f>
        <v>0</v>
      </c>
      <c r="AQ18" s="27"/>
      <c r="AR18" s="27">
        <f>IF('CRUDO JUEVES'!CE18="Si",$N18,)</f>
        <v>0</v>
      </c>
      <c r="AS18" s="27"/>
      <c r="AT18" s="27">
        <f>IF('CRUDO JUEVES'!CF18="Si",$N18,)</f>
        <v>0</v>
      </c>
      <c r="AU18" s="27"/>
      <c r="AV18" s="27">
        <f>IF('CRUDO JUEVES'!CG18="Si",$N18,)</f>
        <v>0</v>
      </c>
      <c r="AW18" s="28">
        <v>0</v>
      </c>
      <c r="AX18" s="27">
        <f>IF('CRUDO JUEVES'!CI18="Si",$N18,)</f>
        <v>0</v>
      </c>
      <c r="AY18" s="27">
        <f>IF('CRUDO JUEVES'!CJ18="Si",$N18,)</f>
        <v>0</v>
      </c>
      <c r="AZ18" s="27">
        <f>IF('CRUDO JUEVES'!CK18="Si",$N18,)</f>
        <v>0</v>
      </c>
      <c r="BA18" s="27">
        <f>IF('CRUDO JUEVES'!CL18="Si",$N18,)</f>
        <v>0</v>
      </c>
      <c r="BB18" s="28"/>
      <c r="BC18" s="28">
        <v>35</v>
      </c>
      <c r="BD18" s="28" t="s">
        <v>1239</v>
      </c>
      <c r="BE18" s="27">
        <f>IF('CRUDO JUEVES'!CN18="Si",$N18,)</f>
        <v>0</v>
      </c>
      <c r="BF18" s="27"/>
      <c r="BG18" s="27">
        <f>IF('CRUDO JUEVES'!CO18="Si",$N18,)</f>
        <v>0</v>
      </c>
      <c r="BH18" s="23"/>
      <c r="BI18" s="23" t="s">
        <v>305</v>
      </c>
      <c r="BJ18" s="23" t="s">
        <v>1231</v>
      </c>
      <c r="BK18" s="23">
        <v>1</v>
      </c>
      <c r="BL18" s="25"/>
      <c r="BM18" s="25"/>
      <c r="BN18" s="25"/>
      <c r="BO18" s="25"/>
    </row>
    <row r="19" spans="1:67" ht="13.2" x14ac:dyDescent="0.25">
      <c r="A19" s="22">
        <v>45001.576777476846</v>
      </c>
      <c r="B19" s="23" t="s">
        <v>619</v>
      </c>
      <c r="C19" s="23" t="s">
        <v>620</v>
      </c>
      <c r="D19" s="24" t="s">
        <v>621</v>
      </c>
      <c r="E19" s="23" t="s">
        <v>140</v>
      </c>
      <c r="F19" s="23" t="s">
        <v>622</v>
      </c>
      <c r="G19" s="23" t="s">
        <v>105</v>
      </c>
      <c r="H19" s="23" t="s">
        <v>623</v>
      </c>
      <c r="I19" s="23" t="s">
        <v>624</v>
      </c>
      <c r="J19" s="25"/>
      <c r="K19" s="23" t="s">
        <v>619</v>
      </c>
      <c r="L19" s="23" t="s">
        <v>67</v>
      </c>
      <c r="M19" s="23" t="s">
        <v>350</v>
      </c>
      <c r="N19" s="23">
        <v>35</v>
      </c>
      <c r="O19" s="23" t="s">
        <v>97</v>
      </c>
      <c r="P19" s="23">
        <v>5</v>
      </c>
      <c r="Q19" s="23">
        <v>2</v>
      </c>
      <c r="R19" s="23">
        <v>70</v>
      </c>
      <c r="S19" s="25"/>
      <c r="T19" s="23" t="s">
        <v>70</v>
      </c>
      <c r="U19" s="23" t="s">
        <v>71</v>
      </c>
      <c r="V19" s="26" t="s">
        <v>73</v>
      </c>
      <c r="W19" s="28">
        <v>0</v>
      </c>
      <c r="X19" s="27">
        <f>IF('CRUDO JUEVES'!BT19="Si",$N19,)</f>
        <v>35</v>
      </c>
      <c r="Y19" s="28">
        <v>0</v>
      </c>
      <c r="Z19" s="28">
        <v>0</v>
      </c>
      <c r="AA19" s="28"/>
      <c r="AB19" s="28">
        <v>35</v>
      </c>
      <c r="AC19" s="28" t="s">
        <v>1227</v>
      </c>
      <c r="AD19" s="28">
        <v>0</v>
      </c>
      <c r="AE19" s="27"/>
      <c r="AF19" s="27">
        <f>IF('CRUDO JUEVES'!BY19="Si",$N19,)</f>
        <v>0</v>
      </c>
      <c r="AG19" s="27"/>
      <c r="AH19" s="27">
        <f>IF('CRUDO JUEVES'!BZ19="Si",$N19,)</f>
        <v>0</v>
      </c>
      <c r="AI19" s="27"/>
      <c r="AJ19" s="27">
        <f>IF('CRUDO JUEVES'!CA19="Si",$N19,)</f>
        <v>0</v>
      </c>
      <c r="AK19" s="28"/>
      <c r="AL19" s="28">
        <v>35</v>
      </c>
      <c r="AM19" s="28" t="s">
        <v>1228</v>
      </c>
      <c r="AN19" s="28">
        <v>0</v>
      </c>
      <c r="AO19" s="28"/>
      <c r="AP19" s="28">
        <v>0</v>
      </c>
      <c r="AQ19" s="27"/>
      <c r="AR19" s="27">
        <f>IF('CRUDO JUEVES'!CE19="Si",$N19,)</f>
        <v>0</v>
      </c>
      <c r="AS19" s="27"/>
      <c r="AT19" s="27">
        <f>IF('CRUDO JUEVES'!CF19="Si",$N19,)</f>
        <v>0</v>
      </c>
      <c r="AU19" s="27"/>
      <c r="AV19" s="28">
        <v>0</v>
      </c>
      <c r="AW19" s="28">
        <v>0</v>
      </c>
      <c r="AX19" s="28">
        <v>0</v>
      </c>
      <c r="AY19" s="27">
        <f>IF('CRUDO JUEVES'!CJ19="Si",$N19,)</f>
        <v>0</v>
      </c>
      <c r="AZ19" s="27">
        <f>IF('CRUDO JUEVES'!CK19="Si",$N19,)</f>
        <v>0</v>
      </c>
      <c r="BA19" s="28">
        <v>0</v>
      </c>
      <c r="BB19" s="28"/>
      <c r="BC19" s="28">
        <v>0</v>
      </c>
      <c r="BD19" s="27"/>
      <c r="BE19" s="27">
        <f>IF('CRUDO JUEVES'!CN19="Si",$N19,)</f>
        <v>0</v>
      </c>
      <c r="BF19" s="27"/>
      <c r="BG19" s="27">
        <f>IF('CRUDO JUEVES'!CO19="Si",$N19,)</f>
        <v>0</v>
      </c>
      <c r="BH19" s="25"/>
      <c r="BI19" s="25"/>
      <c r="BJ19" s="23" t="s">
        <v>1231</v>
      </c>
      <c r="BK19" s="23">
        <v>1</v>
      </c>
      <c r="BL19" s="25"/>
      <c r="BM19" s="25"/>
      <c r="BN19" s="25"/>
      <c r="BO19" s="25"/>
    </row>
    <row r="20" spans="1:67" ht="13.2" x14ac:dyDescent="0.25">
      <c r="A20" s="22">
        <v>45001.647660289353</v>
      </c>
      <c r="B20" s="23" t="s">
        <v>675</v>
      </c>
      <c r="C20" s="23" t="s">
        <v>676</v>
      </c>
      <c r="D20" s="29" t="s">
        <v>670</v>
      </c>
      <c r="E20" s="23" t="s">
        <v>103</v>
      </c>
      <c r="F20" s="23" t="s">
        <v>671</v>
      </c>
      <c r="G20" s="23" t="s">
        <v>64</v>
      </c>
      <c r="H20" s="23" t="s">
        <v>677</v>
      </c>
      <c r="I20" s="23" t="s">
        <v>678</v>
      </c>
      <c r="J20" s="23" t="s">
        <v>679</v>
      </c>
      <c r="K20" s="23" t="s">
        <v>675</v>
      </c>
      <c r="L20" s="23" t="s">
        <v>656</v>
      </c>
      <c r="M20" s="23" t="s">
        <v>375</v>
      </c>
      <c r="N20" s="23">
        <v>31</v>
      </c>
      <c r="O20" s="23" t="s">
        <v>69</v>
      </c>
      <c r="P20" s="23">
        <v>4</v>
      </c>
      <c r="Q20" s="23">
        <v>1</v>
      </c>
      <c r="R20" s="23">
        <v>25</v>
      </c>
      <c r="S20" s="25"/>
      <c r="T20" s="23" t="s">
        <v>70</v>
      </c>
      <c r="U20" s="23" t="s">
        <v>70</v>
      </c>
      <c r="V20" s="26" t="s">
        <v>73</v>
      </c>
      <c r="W20" s="27">
        <f>IF('CRUDO JUEVES'!BS20="Si",$N20,)</f>
        <v>0</v>
      </c>
      <c r="X20" s="27">
        <f>IF('CRUDO JUEVES'!BT20="Si",$N20,)</f>
        <v>0</v>
      </c>
      <c r="Y20" s="27">
        <f>IF('CRUDO JUEVES'!BU20="Si",$N20,)</f>
        <v>31</v>
      </c>
      <c r="Z20" s="28">
        <v>0</v>
      </c>
      <c r="AA20" s="28"/>
      <c r="AB20" s="28"/>
      <c r="AC20" s="28"/>
      <c r="AD20" s="28">
        <v>31</v>
      </c>
      <c r="AE20" s="28" t="s">
        <v>1227</v>
      </c>
      <c r="AF20" s="27">
        <f>IF('CRUDO JUEVES'!BY20="Si",$N20,)</f>
        <v>0</v>
      </c>
      <c r="AG20" s="27"/>
      <c r="AH20" s="27">
        <f>IF('CRUDO JUEVES'!BZ20="Si",$N20,)</f>
        <v>0</v>
      </c>
      <c r="AI20" s="27"/>
      <c r="AJ20" s="27">
        <f>IF('CRUDO JUEVES'!CA20="Si",$N20,)</f>
        <v>0</v>
      </c>
      <c r="AK20" s="27"/>
      <c r="AL20" s="27">
        <f>IF('CRUDO JUEVES'!CB20="Si",$N20,)</f>
        <v>0</v>
      </c>
      <c r="AM20" s="27"/>
      <c r="AN20" s="27">
        <f>IF('CRUDO JUEVES'!CC20="Si",$N20,)</f>
        <v>0</v>
      </c>
      <c r="AO20" s="28"/>
      <c r="AP20" s="28">
        <v>0</v>
      </c>
      <c r="AQ20" s="27"/>
      <c r="AR20" s="27">
        <f>IF('CRUDO JUEVES'!CE20="Si",$N20,)</f>
        <v>0</v>
      </c>
      <c r="AS20" s="27"/>
      <c r="AT20" s="27">
        <f>IF('CRUDO JUEVES'!CF20="Si",$N20,)</f>
        <v>0</v>
      </c>
      <c r="AU20" s="27"/>
      <c r="AV20" s="27">
        <f>IF('CRUDO JUEVES'!CG20="Si",$N20,)</f>
        <v>0</v>
      </c>
      <c r="AW20" s="28">
        <v>0</v>
      </c>
      <c r="AX20" s="27">
        <f>IF('CRUDO JUEVES'!CI20="Si",$N20,)</f>
        <v>0</v>
      </c>
      <c r="AY20" s="27">
        <f>IF('CRUDO JUEVES'!CJ20="Si",$N20,)</f>
        <v>0</v>
      </c>
      <c r="AZ20" s="27">
        <f>IF('CRUDO JUEVES'!CK20="Si",$N20,)</f>
        <v>0</v>
      </c>
      <c r="BA20" s="28">
        <v>0</v>
      </c>
      <c r="BB20" s="27"/>
      <c r="BC20" s="27">
        <f>IF('CRUDO JUEVES'!CM20="Si",$N20,)</f>
        <v>0</v>
      </c>
      <c r="BD20" s="27"/>
      <c r="BE20" s="27">
        <f>IF('CRUDO JUEVES'!CN20="Si",$N20,)</f>
        <v>0</v>
      </c>
      <c r="BF20" s="27"/>
      <c r="BG20" s="27">
        <f>IF('CRUDO JUEVES'!CO20="Si",$N20,)</f>
        <v>0</v>
      </c>
      <c r="BH20" s="25"/>
      <c r="BI20" s="25"/>
      <c r="BJ20" s="23" t="s">
        <v>1283</v>
      </c>
      <c r="BK20" s="23">
        <v>1</v>
      </c>
      <c r="BL20" s="25"/>
      <c r="BM20" s="25"/>
      <c r="BN20" s="25"/>
      <c r="BO20" s="25"/>
    </row>
    <row r="21" spans="1:67" ht="13.2" hidden="1" x14ac:dyDescent="0.25">
      <c r="A21" s="3">
        <v>45001.648040856482</v>
      </c>
      <c r="B21" s="4" t="s">
        <v>162</v>
      </c>
      <c r="C21" s="4" t="s">
        <v>170</v>
      </c>
      <c r="D21" s="5" t="s">
        <v>164</v>
      </c>
      <c r="E21" s="4" t="s">
        <v>62</v>
      </c>
      <c r="F21" s="4" t="s">
        <v>165</v>
      </c>
      <c r="G21" s="4" t="s">
        <v>64</v>
      </c>
      <c r="H21" s="4" t="s">
        <v>172</v>
      </c>
      <c r="I21" s="4" t="s">
        <v>175</v>
      </c>
      <c r="J21" s="4" t="s">
        <v>173</v>
      </c>
      <c r="K21" s="4" t="s">
        <v>162</v>
      </c>
      <c r="L21" s="4" t="s">
        <v>67</v>
      </c>
      <c r="M21" s="4" t="s">
        <v>153</v>
      </c>
      <c r="N21" s="4">
        <v>0</v>
      </c>
      <c r="O21" s="4" t="s">
        <v>97</v>
      </c>
      <c r="P21" s="4">
        <v>4</v>
      </c>
      <c r="Q21" s="4">
        <v>4</v>
      </c>
      <c r="R21" s="4">
        <v>0</v>
      </c>
      <c r="S21" s="4" t="s">
        <v>177</v>
      </c>
      <c r="T21" s="4" t="s">
        <v>70</v>
      </c>
      <c r="U21" s="4" t="s">
        <v>71</v>
      </c>
      <c r="V21" s="6" t="s">
        <v>73</v>
      </c>
      <c r="W21" s="37">
        <f>IF('CRUDO JUEVES'!BS21="Si",$N21,)</f>
        <v>0</v>
      </c>
      <c r="X21" s="37">
        <f>IF('CRUDO JUEVES'!BT21="Si",$N21,)</f>
        <v>0</v>
      </c>
      <c r="Y21" s="37">
        <f>IF('CRUDO JUEVES'!BU21="Si",$N21,)</f>
        <v>0</v>
      </c>
      <c r="Z21" s="37">
        <f>IF('CRUDO JUEVES'!BV21="Si",$N21,)</f>
        <v>0</v>
      </c>
      <c r="AA21" s="37"/>
      <c r="AB21" s="37">
        <f>IF('CRUDO JUEVES'!BW21="Si",$N21,)</f>
        <v>0</v>
      </c>
      <c r="AC21" s="37"/>
      <c r="AD21" s="37">
        <f>IF('CRUDO JUEVES'!BX21="Si",$N21,)</f>
        <v>0</v>
      </c>
      <c r="AE21" s="37"/>
      <c r="AF21" s="37">
        <f>IF('CRUDO JUEVES'!BY21="Si",$N21,)</f>
        <v>0</v>
      </c>
      <c r="AG21" s="37"/>
      <c r="AH21" s="37">
        <f>IF('CRUDO JUEVES'!BZ21="Si",$N21,)</f>
        <v>0</v>
      </c>
      <c r="AI21" s="37"/>
      <c r="AJ21" s="37">
        <f>IF('CRUDO JUEVES'!CA21="Si",$N21,)</f>
        <v>0</v>
      </c>
      <c r="AK21" s="37"/>
      <c r="AL21" s="37">
        <f>IF('CRUDO JUEVES'!CB21="Si",$N21,)</f>
        <v>0</v>
      </c>
      <c r="AM21" s="37"/>
      <c r="AN21" s="37">
        <f>IF('CRUDO JUEVES'!CC21="Si",$N21,)</f>
        <v>0</v>
      </c>
      <c r="AO21" s="37"/>
      <c r="AP21" s="37">
        <f>IF('CRUDO JUEVES'!CD21="Si",$N21,)</f>
        <v>0</v>
      </c>
      <c r="AQ21" s="37"/>
      <c r="AR21" s="37">
        <f>IF('CRUDO JUEVES'!CE21="Si",$N21,)</f>
        <v>0</v>
      </c>
      <c r="AS21" s="37"/>
      <c r="AT21" s="37">
        <f>IF('CRUDO JUEVES'!CF21="Si",$N21,)</f>
        <v>0</v>
      </c>
      <c r="AU21" s="37"/>
      <c r="AV21" s="37">
        <f>IF('CRUDO JUEVES'!CG21="Si",$N21,)</f>
        <v>0</v>
      </c>
      <c r="AW21" s="37">
        <f>IF('CRUDO JUEVES'!CH21="Si",$N21,)</f>
        <v>0</v>
      </c>
      <c r="AX21" s="37">
        <f>IF('CRUDO JUEVES'!CI21="Si",$N21,)</f>
        <v>0</v>
      </c>
      <c r="AY21" s="37">
        <f>IF('CRUDO JUEVES'!CJ21="Si",$N21,)</f>
        <v>0</v>
      </c>
      <c r="AZ21" s="37">
        <f>IF('CRUDO JUEVES'!CK21="Si",$N21,)</f>
        <v>0</v>
      </c>
      <c r="BA21" s="37">
        <f>IF('CRUDO JUEVES'!CL21="Si",$N21,)</f>
        <v>0</v>
      </c>
      <c r="BB21" s="37"/>
      <c r="BC21" s="37">
        <f>IF('CRUDO JUEVES'!CM21="Si",$N21,)</f>
        <v>0</v>
      </c>
      <c r="BD21" s="37"/>
      <c r="BE21" s="37">
        <f>IF('CRUDO JUEVES'!CN21="Si",$N21,)</f>
        <v>0</v>
      </c>
      <c r="BF21" s="37"/>
      <c r="BG21" s="37">
        <f>IF('CRUDO JUEVES'!CO21="Si",$N21,)</f>
        <v>0</v>
      </c>
      <c r="BH21" s="4"/>
      <c r="BI21" s="4" t="s">
        <v>178</v>
      </c>
    </row>
    <row r="22" spans="1:67" ht="13.2" x14ac:dyDescent="0.25">
      <c r="A22" s="22">
        <v>45001.649417465276</v>
      </c>
      <c r="B22" s="23" t="s">
        <v>675</v>
      </c>
      <c r="C22" s="23" t="s">
        <v>676</v>
      </c>
      <c r="D22" s="29" t="s">
        <v>670</v>
      </c>
      <c r="E22" s="23" t="s">
        <v>103</v>
      </c>
      <c r="F22" s="23" t="s">
        <v>671</v>
      </c>
      <c r="G22" s="23" t="s">
        <v>64</v>
      </c>
      <c r="H22" s="23" t="s">
        <v>677</v>
      </c>
      <c r="I22" s="23" t="s">
        <v>678</v>
      </c>
      <c r="J22" s="23" t="s">
        <v>679</v>
      </c>
      <c r="K22" s="23" t="s">
        <v>675</v>
      </c>
      <c r="L22" s="23" t="s">
        <v>656</v>
      </c>
      <c r="M22" s="23" t="s">
        <v>380</v>
      </c>
      <c r="N22" s="23">
        <v>25</v>
      </c>
      <c r="O22" s="23" t="s">
        <v>69</v>
      </c>
      <c r="P22" s="23">
        <v>4</v>
      </c>
      <c r="Q22" s="23">
        <v>1</v>
      </c>
      <c r="R22" s="23">
        <v>25</v>
      </c>
      <c r="S22" s="25"/>
      <c r="T22" s="23" t="s">
        <v>70</v>
      </c>
      <c r="U22" s="23" t="s">
        <v>70</v>
      </c>
      <c r="V22" s="26" t="s">
        <v>73</v>
      </c>
      <c r="W22" s="27">
        <f>IF('CRUDO JUEVES'!BS22="Si",$N22,)</f>
        <v>0</v>
      </c>
      <c r="X22" s="27">
        <f>IF('CRUDO JUEVES'!BT22="Si",$N22,)</f>
        <v>0</v>
      </c>
      <c r="Y22" s="27">
        <f>IF('CRUDO JUEVES'!BU22="Si",$N22,)</f>
        <v>25</v>
      </c>
      <c r="Z22" s="28">
        <v>0</v>
      </c>
      <c r="AA22" s="28"/>
      <c r="AB22" s="28"/>
      <c r="AC22" s="28"/>
      <c r="AD22" s="28">
        <v>25</v>
      </c>
      <c r="AE22" s="28" t="s">
        <v>1284</v>
      </c>
      <c r="AF22" s="27">
        <f>IF('CRUDO JUEVES'!BY22="Si",$N22,)</f>
        <v>0</v>
      </c>
      <c r="AG22" s="27"/>
      <c r="AH22" s="27">
        <f>IF('CRUDO JUEVES'!BZ22="Si",$N22,)</f>
        <v>0</v>
      </c>
      <c r="AI22" s="27"/>
      <c r="AJ22" s="27">
        <f>IF('CRUDO JUEVES'!CA22="Si",$N22,)</f>
        <v>0</v>
      </c>
      <c r="AK22" s="27"/>
      <c r="AL22" s="27">
        <f>IF('CRUDO JUEVES'!CB22="Si",$N22,)</f>
        <v>0</v>
      </c>
      <c r="AM22" s="27"/>
      <c r="AN22" s="27">
        <f>IF('CRUDO JUEVES'!CC22="Si",$N22,)</f>
        <v>0</v>
      </c>
      <c r="AO22" s="28"/>
      <c r="AP22" s="28">
        <v>0</v>
      </c>
      <c r="AQ22" s="27"/>
      <c r="AR22" s="27">
        <f>IF('CRUDO JUEVES'!CE22="Si",$N22,)</f>
        <v>0</v>
      </c>
      <c r="AS22" s="27"/>
      <c r="AT22" s="27">
        <f>IF('CRUDO JUEVES'!CF22="Si",$N22,)</f>
        <v>0</v>
      </c>
      <c r="AU22" s="27"/>
      <c r="AV22" s="27">
        <f>IF('CRUDO JUEVES'!CG22="Si",$N22,)</f>
        <v>0</v>
      </c>
      <c r="AW22" s="28">
        <v>0</v>
      </c>
      <c r="AX22" s="27">
        <f>IF('CRUDO JUEVES'!CI22="Si",$N22,)</f>
        <v>0</v>
      </c>
      <c r="AY22" s="27">
        <f>IF('CRUDO JUEVES'!CJ22="Si",$N22,)</f>
        <v>0</v>
      </c>
      <c r="AZ22" s="27">
        <f>IF('CRUDO JUEVES'!CK22="Si",$N22,)</f>
        <v>0</v>
      </c>
      <c r="BA22" s="28">
        <v>0</v>
      </c>
      <c r="BB22" s="27"/>
      <c r="BC22" s="27">
        <f>IF('CRUDO JUEVES'!CM22="Si",$N22,)</f>
        <v>0</v>
      </c>
      <c r="BD22" s="27"/>
      <c r="BE22" s="27">
        <f>IF('CRUDO JUEVES'!CN22="Si",$N22,)</f>
        <v>0</v>
      </c>
      <c r="BF22" s="27"/>
      <c r="BG22" s="27">
        <f>IF('CRUDO JUEVES'!CO22="Si",$N22,)</f>
        <v>0</v>
      </c>
      <c r="BH22" s="25"/>
      <c r="BI22" s="25"/>
      <c r="BJ22" s="23" t="s">
        <v>1283</v>
      </c>
      <c r="BK22" s="23">
        <v>1</v>
      </c>
      <c r="BL22" s="25"/>
      <c r="BM22" s="25"/>
      <c r="BN22" s="25"/>
      <c r="BO22" s="25"/>
    </row>
    <row r="23" spans="1:67" ht="13.2" hidden="1" x14ac:dyDescent="0.25">
      <c r="A23" s="3">
        <v>45001.670601956022</v>
      </c>
      <c r="B23" s="4" t="s">
        <v>936</v>
      </c>
      <c r="C23" s="4" t="s">
        <v>937</v>
      </c>
      <c r="D23" s="5" t="s">
        <v>938</v>
      </c>
      <c r="E23" s="4" t="s">
        <v>62</v>
      </c>
      <c r="F23" s="4" t="s">
        <v>211</v>
      </c>
      <c r="G23" s="4" t="s">
        <v>105</v>
      </c>
      <c r="H23" s="4" t="s">
        <v>939</v>
      </c>
      <c r="I23" s="4" t="s">
        <v>940</v>
      </c>
      <c r="J23" s="4" t="s">
        <v>941</v>
      </c>
      <c r="K23" s="4" t="s">
        <v>942</v>
      </c>
      <c r="L23" s="4" t="s">
        <v>656</v>
      </c>
      <c r="M23" s="4" t="s">
        <v>558</v>
      </c>
      <c r="N23" s="4">
        <v>0</v>
      </c>
      <c r="O23" s="4" t="s">
        <v>200</v>
      </c>
      <c r="P23" s="4">
        <v>3</v>
      </c>
      <c r="Q23" s="4">
        <v>1</v>
      </c>
      <c r="R23" s="4">
        <v>90</v>
      </c>
      <c r="T23" s="4" t="s">
        <v>70</v>
      </c>
      <c r="U23" s="4" t="s">
        <v>71</v>
      </c>
      <c r="V23" s="6" t="s">
        <v>73</v>
      </c>
      <c r="W23" s="37">
        <f>IF('CRUDO JUEVES'!BS23="Si",$N23,)</f>
        <v>0</v>
      </c>
      <c r="X23" s="37">
        <f>IF('CRUDO JUEVES'!BT23="Si",$N23,)</f>
        <v>0</v>
      </c>
      <c r="Y23" s="37">
        <f>IF('CRUDO JUEVES'!BU23="Si",$N23,)</f>
        <v>0</v>
      </c>
      <c r="Z23" s="37">
        <f>IF('CRUDO JUEVES'!BV23="Si",$N23,)</f>
        <v>0</v>
      </c>
      <c r="AA23" s="37"/>
      <c r="AB23" s="37">
        <f>IF('CRUDO JUEVES'!BW23="Si",$N23,)</f>
        <v>0</v>
      </c>
      <c r="AC23" s="37"/>
      <c r="AD23" s="37">
        <f>IF('CRUDO JUEVES'!BX23="Si",$N23,)</f>
        <v>0</v>
      </c>
      <c r="AE23" s="37"/>
      <c r="AF23" s="37">
        <f>IF('CRUDO JUEVES'!BY23="Si",$N23,)</f>
        <v>0</v>
      </c>
      <c r="AG23" s="37"/>
      <c r="AH23" s="37">
        <f>IF('CRUDO JUEVES'!BZ23="Si",$N23,)</f>
        <v>0</v>
      </c>
      <c r="AI23" s="37"/>
      <c r="AJ23" s="37">
        <f>IF('CRUDO JUEVES'!CA23="Si",$N23,)</f>
        <v>0</v>
      </c>
      <c r="AK23" s="37"/>
      <c r="AL23" s="37">
        <f>IF('CRUDO JUEVES'!CB23="Si",$N23,)</f>
        <v>0</v>
      </c>
      <c r="AM23" s="37"/>
      <c r="AN23" s="37">
        <f>IF('CRUDO JUEVES'!CC23="Si",$N23,)</f>
        <v>0</v>
      </c>
      <c r="AO23" s="37"/>
      <c r="AP23" s="37">
        <f>IF('CRUDO JUEVES'!CD23="Si",$N23,)</f>
        <v>0</v>
      </c>
      <c r="AQ23" s="37"/>
      <c r="AR23" s="37">
        <f>IF('CRUDO JUEVES'!CE23="Si",$N23,)</f>
        <v>0</v>
      </c>
      <c r="AS23" s="37"/>
      <c r="AT23" s="37">
        <f>IF('CRUDO JUEVES'!CF23="Si",$N23,)</f>
        <v>0</v>
      </c>
      <c r="AU23" s="37"/>
      <c r="AV23" s="37">
        <f>IF('CRUDO JUEVES'!CG23="Si",$N23,)</f>
        <v>0</v>
      </c>
      <c r="AW23" s="37">
        <f>IF('CRUDO JUEVES'!CH23="Si",$N23,)</f>
        <v>0</v>
      </c>
      <c r="AX23" s="37">
        <f>IF('CRUDO JUEVES'!CI23="Si",$N23,)</f>
        <v>0</v>
      </c>
      <c r="AY23" s="37">
        <f>IF('CRUDO JUEVES'!CJ23="Si",$N23,)</f>
        <v>0</v>
      </c>
      <c r="AZ23" s="37">
        <f>IF('CRUDO JUEVES'!CK23="Si",$N23,)</f>
        <v>0</v>
      </c>
      <c r="BA23" s="37">
        <f>IF('CRUDO JUEVES'!CL23="Si",$N23,)</f>
        <v>0</v>
      </c>
      <c r="BB23" s="37"/>
      <c r="BC23" s="37">
        <f>IF('CRUDO JUEVES'!CM23="Si",$N23,)</f>
        <v>0</v>
      </c>
      <c r="BD23" s="37"/>
      <c r="BE23" s="37">
        <f>IF('CRUDO JUEVES'!CN23="Si",$N23,)</f>
        <v>0</v>
      </c>
      <c r="BF23" s="37"/>
      <c r="BG23" s="37">
        <f>IF('CRUDO JUEVES'!CO23="Si",$N23,)</f>
        <v>0</v>
      </c>
    </row>
    <row r="24" spans="1:67" ht="13.2" hidden="1" x14ac:dyDescent="0.25">
      <c r="A24" s="3">
        <v>45001.805744733792</v>
      </c>
      <c r="B24" s="4" t="s">
        <v>192</v>
      </c>
      <c r="C24" s="4" t="s">
        <v>193</v>
      </c>
      <c r="D24" s="5" t="s">
        <v>194</v>
      </c>
      <c r="E24" s="4" t="s">
        <v>149</v>
      </c>
      <c r="F24" s="4" t="s">
        <v>195</v>
      </c>
      <c r="G24" s="4" t="s">
        <v>64</v>
      </c>
      <c r="H24" s="4" t="s">
        <v>196</v>
      </c>
      <c r="I24" s="4" t="s">
        <v>197</v>
      </c>
      <c r="J24" s="4" t="s">
        <v>198</v>
      </c>
      <c r="K24" s="4" t="s">
        <v>192</v>
      </c>
      <c r="L24" s="4" t="s">
        <v>67</v>
      </c>
      <c r="M24" s="4" t="s">
        <v>169</v>
      </c>
      <c r="N24" s="4">
        <v>0</v>
      </c>
      <c r="O24" s="4" t="s">
        <v>200</v>
      </c>
      <c r="P24" s="4">
        <v>3</v>
      </c>
      <c r="Q24" s="4">
        <v>3</v>
      </c>
      <c r="R24" s="4">
        <v>50</v>
      </c>
      <c r="S24" s="4" t="s">
        <v>201</v>
      </c>
      <c r="T24" s="4" t="s">
        <v>70</v>
      </c>
      <c r="U24" s="4" t="s">
        <v>71</v>
      </c>
      <c r="V24" s="6" t="s">
        <v>73</v>
      </c>
      <c r="W24" s="37">
        <f>IF('CRUDO JUEVES'!BS24="Si",$N24,)</f>
        <v>0</v>
      </c>
      <c r="X24" s="37">
        <f>IF('CRUDO JUEVES'!BT24="Si",$N24,)</f>
        <v>0</v>
      </c>
      <c r="Y24" s="37">
        <f>IF('CRUDO JUEVES'!BU24="Si",$N24,)</f>
        <v>0</v>
      </c>
      <c r="Z24" s="37">
        <f>IF('CRUDO JUEVES'!BV24="Si",$N24,)</f>
        <v>0</v>
      </c>
      <c r="AA24" s="37"/>
      <c r="AB24" s="37">
        <f>IF('CRUDO JUEVES'!BW24="Si",$N24,)</f>
        <v>0</v>
      </c>
      <c r="AC24" s="37"/>
      <c r="AD24" s="37">
        <f>IF('CRUDO JUEVES'!BX24="Si",$N24,)</f>
        <v>0</v>
      </c>
      <c r="AE24" s="37"/>
      <c r="AF24" s="37">
        <f>IF('CRUDO JUEVES'!BY24="Si",$N24,)</f>
        <v>0</v>
      </c>
      <c r="AG24" s="37"/>
      <c r="AH24" s="37">
        <f>IF('CRUDO JUEVES'!BZ24="Si",$N24,)</f>
        <v>0</v>
      </c>
      <c r="AI24" s="37"/>
      <c r="AJ24" s="37">
        <f>IF('CRUDO JUEVES'!CA24="Si",$N24,)</f>
        <v>0</v>
      </c>
      <c r="AK24" s="37"/>
      <c r="AL24" s="37">
        <f>IF('CRUDO JUEVES'!CB24="Si",$N24,)</f>
        <v>0</v>
      </c>
      <c r="AM24" s="37"/>
      <c r="AN24" s="37">
        <f>IF('CRUDO JUEVES'!CC24="Si",$N24,)</f>
        <v>0</v>
      </c>
      <c r="AO24" s="37"/>
      <c r="AP24" s="37">
        <f>IF('CRUDO JUEVES'!CD24="Si",$N24,)</f>
        <v>0</v>
      </c>
      <c r="AQ24" s="37"/>
      <c r="AR24" s="37">
        <f>IF('CRUDO JUEVES'!CE24="Si",$N24,)</f>
        <v>0</v>
      </c>
      <c r="AS24" s="37"/>
      <c r="AT24" s="37">
        <f>IF('CRUDO JUEVES'!CF24="Si",$N24,)</f>
        <v>0</v>
      </c>
      <c r="AU24" s="37"/>
      <c r="AV24" s="37">
        <f>IF('CRUDO JUEVES'!CG24="Si",$N24,)</f>
        <v>0</v>
      </c>
      <c r="AW24" s="37">
        <f>IF('CRUDO JUEVES'!CH24="Si",$N24,)</f>
        <v>0</v>
      </c>
      <c r="AX24" s="37">
        <f>IF('CRUDO JUEVES'!CI24="Si",$N24,)</f>
        <v>0</v>
      </c>
      <c r="AY24" s="37">
        <f>IF('CRUDO JUEVES'!CJ24="Si",$N24,)</f>
        <v>0</v>
      </c>
      <c r="AZ24" s="37">
        <f>IF('CRUDO JUEVES'!CK24="Si",$N24,)</f>
        <v>0</v>
      </c>
      <c r="BA24" s="37">
        <f>IF('CRUDO JUEVES'!CL24="Si",$N24,)</f>
        <v>0</v>
      </c>
      <c r="BB24" s="37"/>
      <c r="BC24" s="37">
        <f>IF('CRUDO JUEVES'!CM24="Si",$N24,)</f>
        <v>0</v>
      </c>
      <c r="BD24" s="37"/>
      <c r="BE24" s="37">
        <f>IF('CRUDO JUEVES'!CN24="Si",$N24,)</f>
        <v>0</v>
      </c>
      <c r="BF24" s="37"/>
      <c r="BG24" s="37">
        <f>IF('CRUDO JUEVES'!CO24="Si",$N24,)</f>
        <v>0</v>
      </c>
    </row>
    <row r="25" spans="1:67" ht="13.2" x14ac:dyDescent="0.25">
      <c r="A25" s="22">
        <v>45001.828354224534</v>
      </c>
      <c r="B25" s="23" t="s">
        <v>658</v>
      </c>
      <c r="C25" s="23" t="s">
        <v>659</v>
      </c>
      <c r="D25" s="24" t="s">
        <v>660</v>
      </c>
      <c r="E25" s="23" t="s">
        <v>604</v>
      </c>
      <c r="F25" s="23" t="s">
        <v>661</v>
      </c>
      <c r="G25" s="23" t="s">
        <v>64</v>
      </c>
      <c r="H25" s="23" t="s">
        <v>662</v>
      </c>
      <c r="I25" s="23" t="s">
        <v>663</v>
      </c>
      <c r="J25" s="25"/>
      <c r="K25" s="23" t="s">
        <v>664</v>
      </c>
      <c r="L25" s="23" t="s">
        <v>665</v>
      </c>
      <c r="M25" s="23" t="s">
        <v>364</v>
      </c>
      <c r="N25" s="23">
        <v>30</v>
      </c>
      <c r="O25" s="23" t="s">
        <v>69</v>
      </c>
      <c r="P25" s="23">
        <v>5</v>
      </c>
      <c r="Q25" s="23">
        <v>4</v>
      </c>
      <c r="R25" s="23">
        <v>30</v>
      </c>
      <c r="S25" s="23" t="s">
        <v>667</v>
      </c>
      <c r="T25" s="23" t="s">
        <v>70</v>
      </c>
      <c r="U25" s="23" t="s">
        <v>71</v>
      </c>
      <c r="V25" s="26" t="s">
        <v>73</v>
      </c>
      <c r="W25" s="27">
        <f>IF('CRUDO JUEVES'!BS25="Si",$N25,)</f>
        <v>30</v>
      </c>
      <c r="X25" s="27">
        <f>IF('CRUDO JUEVES'!BT25="Si",$N25,)</f>
        <v>0</v>
      </c>
      <c r="Y25" s="27">
        <f>IF('CRUDO JUEVES'!BU25="Si",$N25,)</f>
        <v>0</v>
      </c>
      <c r="Z25" s="28">
        <v>0</v>
      </c>
      <c r="AA25" s="27"/>
      <c r="AB25" s="27">
        <f>IF('CRUDO JUEVES'!BW25="Si",$N25,)</f>
        <v>0</v>
      </c>
      <c r="AC25" s="27"/>
      <c r="AD25" s="27">
        <f>IF('CRUDO JUEVES'!BX25="Si",$N25,)</f>
        <v>30</v>
      </c>
      <c r="AE25" s="28" t="s">
        <v>1227</v>
      </c>
      <c r="AF25" s="27">
        <f>IF('CRUDO JUEVES'!BY25="Si",$N25,)</f>
        <v>0</v>
      </c>
      <c r="AG25" s="27"/>
      <c r="AH25" s="27">
        <f>IF('CRUDO JUEVES'!BZ25="Si",$N25,)</f>
        <v>0</v>
      </c>
      <c r="AI25" s="27"/>
      <c r="AJ25" s="27">
        <f>IF('CRUDO JUEVES'!CA25="Si",$N25,)</f>
        <v>0</v>
      </c>
      <c r="AK25" s="28"/>
      <c r="AL25" s="28">
        <v>0</v>
      </c>
      <c r="AM25" s="27"/>
      <c r="AN25" s="28">
        <v>30</v>
      </c>
      <c r="AO25" s="28" t="s">
        <v>1230</v>
      </c>
      <c r="AP25" s="27">
        <f>IF('CRUDO JUEVES'!CD25="Si",$N25,)</f>
        <v>0</v>
      </c>
      <c r="AQ25" s="27"/>
      <c r="AR25" s="27">
        <f>IF('CRUDO JUEVES'!CE25="Si",$N25,)</f>
        <v>0</v>
      </c>
      <c r="AS25" s="27"/>
      <c r="AT25" s="27">
        <f>IF('CRUDO JUEVES'!CF25="Si",$N25,)</f>
        <v>0</v>
      </c>
      <c r="AU25" s="27"/>
      <c r="AV25" s="28">
        <v>0</v>
      </c>
      <c r="AW25" s="28">
        <v>0</v>
      </c>
      <c r="AX25" s="27">
        <f>IF('CRUDO JUEVES'!CI25="Si",$N25,)</f>
        <v>0</v>
      </c>
      <c r="AY25" s="27">
        <f>IF('CRUDO JUEVES'!CJ25="Si",$N25,)</f>
        <v>0</v>
      </c>
      <c r="AZ25" s="27">
        <f>IF('CRUDO JUEVES'!CK25="Si",$N25,)</f>
        <v>0</v>
      </c>
      <c r="BA25" s="27">
        <f>IF('CRUDO JUEVES'!CL25="Si",$N25,)</f>
        <v>0</v>
      </c>
      <c r="BB25" s="28"/>
      <c r="BC25" s="28">
        <v>0</v>
      </c>
      <c r="BD25" s="27"/>
      <c r="BE25" s="27">
        <f>IF('CRUDO JUEVES'!CN25="Si",$N25,)</f>
        <v>0</v>
      </c>
      <c r="BF25" s="27"/>
      <c r="BG25" s="27">
        <f>IF('CRUDO JUEVES'!CO25="Si",$N25,)</f>
        <v>0</v>
      </c>
      <c r="BH25" s="25"/>
      <c r="BI25" s="25"/>
      <c r="BJ25" s="23" t="s">
        <v>1231</v>
      </c>
      <c r="BK25" s="23">
        <v>1</v>
      </c>
      <c r="BL25" s="25"/>
      <c r="BM25" s="25"/>
      <c r="BN25" s="25"/>
      <c r="BO25" s="25"/>
    </row>
    <row r="26" spans="1:67" ht="13.2" x14ac:dyDescent="0.25">
      <c r="A26" s="22">
        <v>45001.937873287039</v>
      </c>
      <c r="B26" s="23" t="s">
        <v>584</v>
      </c>
      <c r="C26" s="23" t="s">
        <v>585</v>
      </c>
      <c r="D26" s="24" t="s">
        <v>586</v>
      </c>
      <c r="E26" s="23" t="s">
        <v>103</v>
      </c>
      <c r="F26" s="23" t="s">
        <v>587</v>
      </c>
      <c r="G26" s="23" t="s">
        <v>64</v>
      </c>
      <c r="H26" s="23" t="s">
        <v>588</v>
      </c>
      <c r="I26" s="23" t="s">
        <v>589</v>
      </c>
      <c r="J26" s="23" t="s">
        <v>590</v>
      </c>
      <c r="K26" s="23" t="s">
        <v>591</v>
      </c>
      <c r="L26" s="23" t="s">
        <v>67</v>
      </c>
      <c r="M26" s="23" t="s">
        <v>228</v>
      </c>
      <c r="N26" s="23">
        <v>25</v>
      </c>
      <c r="O26" s="23" t="s">
        <v>69</v>
      </c>
      <c r="P26" s="23">
        <v>5</v>
      </c>
      <c r="Q26" s="23">
        <v>5</v>
      </c>
      <c r="R26" s="23">
        <v>10</v>
      </c>
      <c r="S26" s="25"/>
      <c r="T26" s="23" t="s">
        <v>70</v>
      </c>
      <c r="U26" s="23" t="s">
        <v>70</v>
      </c>
      <c r="V26" s="26" t="s">
        <v>73</v>
      </c>
      <c r="W26" s="27">
        <f>IF('CRUDO JUEVES'!BS26="Si",$N26,)</f>
        <v>0</v>
      </c>
      <c r="X26" s="28">
        <v>25</v>
      </c>
      <c r="Y26" s="27">
        <f>IF('CRUDO JUEVES'!BU26="Si",$N26,)</f>
        <v>0</v>
      </c>
      <c r="Z26" s="27">
        <f>IF('CRUDO JUEVES'!BV26="Si",$N26,)</f>
        <v>0</v>
      </c>
      <c r="AA26" s="27"/>
      <c r="AB26" s="27">
        <f>IF('CRUDO JUEVES'!BW26="Si",$N26,)</f>
        <v>0</v>
      </c>
      <c r="AC26" s="28"/>
      <c r="AD26" s="28">
        <v>0</v>
      </c>
      <c r="AE26" s="28"/>
      <c r="AF26" s="28">
        <v>0</v>
      </c>
      <c r="AG26" s="28"/>
      <c r="AH26" s="28">
        <v>0</v>
      </c>
      <c r="AI26" s="27"/>
      <c r="AJ26" s="27">
        <f>IF('CRUDO JUEVES'!CA26="Si",$N26,)</f>
        <v>25</v>
      </c>
      <c r="AK26" s="28" t="s">
        <v>1233</v>
      </c>
      <c r="AL26" s="27">
        <f>IF('CRUDO JUEVES'!CB26="Si",$N26,)</f>
        <v>0</v>
      </c>
      <c r="AM26" s="27"/>
      <c r="AN26" s="27">
        <f>IF('CRUDO JUEVES'!CC26="Si",$N26,)</f>
        <v>0</v>
      </c>
      <c r="AO26" s="27"/>
      <c r="AP26" s="27">
        <f>IF('CRUDO JUEVES'!CD26="Si",$N26,)</f>
        <v>0</v>
      </c>
      <c r="AQ26" s="27"/>
      <c r="AR26" s="27">
        <f>IF('CRUDO JUEVES'!CE26="Si",$N26,)</f>
        <v>0</v>
      </c>
      <c r="AS26" s="27"/>
      <c r="AT26" s="27">
        <f>IF('CRUDO JUEVES'!CF26="Si",$N26,)</f>
        <v>0</v>
      </c>
      <c r="AU26" s="27"/>
      <c r="AV26" s="28">
        <v>0</v>
      </c>
      <c r="AW26" s="28">
        <v>0</v>
      </c>
      <c r="AX26" s="28">
        <v>0</v>
      </c>
      <c r="AY26" s="28">
        <v>0</v>
      </c>
      <c r="AZ26" s="28">
        <v>0</v>
      </c>
      <c r="BA26" s="28">
        <v>0</v>
      </c>
      <c r="BB26" s="28"/>
      <c r="BC26" s="28">
        <v>0</v>
      </c>
      <c r="BD26" s="27"/>
      <c r="BE26" s="27">
        <f>IF('CRUDO JUEVES'!CN26="Si",$N26,)</f>
        <v>25</v>
      </c>
      <c r="BF26" s="28" t="s">
        <v>1239</v>
      </c>
      <c r="BG26" s="28">
        <v>0</v>
      </c>
      <c r="BH26" s="23"/>
      <c r="BI26" s="23" t="s">
        <v>593</v>
      </c>
      <c r="BJ26" s="23" t="s">
        <v>1245</v>
      </c>
      <c r="BK26" s="23">
        <v>1</v>
      </c>
      <c r="BL26" s="25"/>
      <c r="BM26" s="25"/>
      <c r="BN26" s="25"/>
      <c r="BO26" s="25"/>
    </row>
    <row r="27" spans="1:67" ht="13.2" hidden="1" x14ac:dyDescent="0.25">
      <c r="A27" s="30">
        <v>45001.94058819444</v>
      </c>
      <c r="B27" s="31" t="s">
        <v>591</v>
      </c>
      <c r="C27" s="31" t="s">
        <v>585</v>
      </c>
      <c r="D27" s="36" t="s">
        <v>586</v>
      </c>
      <c r="E27" s="31" t="s">
        <v>149</v>
      </c>
      <c r="F27" s="31" t="s">
        <v>594</v>
      </c>
      <c r="G27" s="31" t="s">
        <v>64</v>
      </c>
      <c r="H27" s="31" t="s">
        <v>595</v>
      </c>
      <c r="I27" s="31" t="s">
        <v>589</v>
      </c>
      <c r="J27" s="31" t="s">
        <v>590</v>
      </c>
      <c r="K27" s="31" t="s">
        <v>591</v>
      </c>
      <c r="L27" s="31" t="s">
        <v>67</v>
      </c>
      <c r="M27" s="31" t="s">
        <v>228</v>
      </c>
      <c r="N27" s="31">
        <v>0</v>
      </c>
      <c r="O27" s="31" t="s">
        <v>69</v>
      </c>
      <c r="P27" s="31">
        <v>5</v>
      </c>
      <c r="Q27" s="31">
        <v>5</v>
      </c>
      <c r="R27" s="31">
        <v>10</v>
      </c>
      <c r="S27" s="33"/>
      <c r="T27" s="31" t="s">
        <v>70</v>
      </c>
      <c r="U27" s="31" t="s">
        <v>70</v>
      </c>
      <c r="V27" s="8" t="s">
        <v>73</v>
      </c>
      <c r="W27" s="35">
        <f>IF('CRUDO JUEVES'!BS27="Si",$N27,)</f>
        <v>0</v>
      </c>
      <c r="X27" s="35">
        <f>IF('CRUDO JUEVES'!BT27="Si",$N27,)</f>
        <v>0</v>
      </c>
      <c r="Y27" s="35">
        <f>IF('CRUDO JUEVES'!BU27="Si",$N27,)</f>
        <v>0</v>
      </c>
      <c r="Z27" s="35">
        <f>IF('CRUDO JUEVES'!BV27="Si",$N27,)</f>
        <v>0</v>
      </c>
      <c r="AA27" s="35"/>
      <c r="AB27" s="35">
        <f>IF('CRUDO JUEVES'!BW27="Si",$N27,)</f>
        <v>0</v>
      </c>
      <c r="AC27" s="35"/>
      <c r="AD27" s="35">
        <f>IF('CRUDO JUEVES'!BX27="Si",$N27,)</f>
        <v>0</v>
      </c>
      <c r="AE27" s="35"/>
      <c r="AF27" s="35">
        <f>IF('CRUDO JUEVES'!BY27="Si",$N27,)</f>
        <v>0</v>
      </c>
      <c r="AG27" s="35"/>
      <c r="AH27" s="35">
        <f>IF('CRUDO JUEVES'!BZ27="Si",$N27,)</f>
        <v>0</v>
      </c>
      <c r="AI27" s="35"/>
      <c r="AJ27" s="35">
        <f>IF('CRUDO JUEVES'!CA27="Si",$N27,)</f>
        <v>0</v>
      </c>
      <c r="AK27" s="35"/>
      <c r="AL27" s="35">
        <f>IF('CRUDO JUEVES'!CB27="Si",$N27,)</f>
        <v>0</v>
      </c>
      <c r="AM27" s="35"/>
      <c r="AN27" s="35">
        <f>IF('CRUDO JUEVES'!CC27="Si",$N27,)</f>
        <v>0</v>
      </c>
      <c r="AO27" s="35"/>
      <c r="AP27" s="35">
        <f>IF('CRUDO JUEVES'!CD27="Si",$N27,)</f>
        <v>0</v>
      </c>
      <c r="AQ27" s="35"/>
      <c r="AR27" s="35">
        <f>IF('CRUDO JUEVES'!CE27="Si",$N27,)</f>
        <v>0</v>
      </c>
      <c r="AS27" s="35"/>
      <c r="AT27" s="35">
        <f>IF('CRUDO JUEVES'!CF27="Si",$N27,)</f>
        <v>0</v>
      </c>
      <c r="AU27" s="35"/>
      <c r="AV27" s="35">
        <f>IF('CRUDO JUEVES'!CG27="Si",$N27,)</f>
        <v>0</v>
      </c>
      <c r="AW27" s="35">
        <f>IF('CRUDO JUEVES'!CH27="Si",$N27,)</f>
        <v>0</v>
      </c>
      <c r="AX27" s="35">
        <f>IF('CRUDO JUEVES'!CI27="Si",$N27,)</f>
        <v>0</v>
      </c>
      <c r="AY27" s="35">
        <f>IF('CRUDO JUEVES'!CJ27="Si",$N27,)</f>
        <v>0</v>
      </c>
      <c r="AZ27" s="35">
        <f>IF('CRUDO JUEVES'!CK27="Si",$N27,)</f>
        <v>0</v>
      </c>
      <c r="BA27" s="35">
        <f>IF('CRUDO JUEVES'!CL27="Si",$N27,)</f>
        <v>0</v>
      </c>
      <c r="BB27" s="35"/>
      <c r="BC27" s="35">
        <f>IF('CRUDO JUEVES'!CM27="Si",$N27,)</f>
        <v>0</v>
      </c>
      <c r="BD27" s="35"/>
      <c r="BE27" s="35">
        <f>IF('CRUDO JUEVES'!CN27="Si",$N27,)</f>
        <v>0</v>
      </c>
      <c r="BF27" s="35"/>
      <c r="BG27" s="35">
        <f>IF('CRUDO JUEVES'!CO27="Si",$N27,)</f>
        <v>0</v>
      </c>
      <c r="BH27" s="31"/>
      <c r="BI27" s="31" t="s">
        <v>597</v>
      </c>
      <c r="BJ27" s="33"/>
      <c r="BK27" s="33"/>
      <c r="BL27" s="33"/>
      <c r="BM27" s="33"/>
      <c r="BN27" s="33"/>
      <c r="BO27" s="33"/>
    </row>
    <row r="28" spans="1:67" ht="13.2" x14ac:dyDescent="0.25">
      <c r="A28" s="22">
        <v>45001.944243252314</v>
      </c>
      <c r="B28" s="23" t="s">
        <v>591</v>
      </c>
      <c r="C28" s="23" t="s">
        <v>598</v>
      </c>
      <c r="D28" s="24" t="s">
        <v>586</v>
      </c>
      <c r="E28" s="23" t="s">
        <v>103</v>
      </c>
      <c r="F28" s="23" t="s">
        <v>599</v>
      </c>
      <c r="G28" s="23" t="s">
        <v>64</v>
      </c>
      <c r="H28" s="23" t="s">
        <v>595</v>
      </c>
      <c r="I28" s="23" t="s">
        <v>589</v>
      </c>
      <c r="J28" s="23" t="s">
        <v>590</v>
      </c>
      <c r="K28" s="23" t="s">
        <v>591</v>
      </c>
      <c r="L28" s="23" t="s">
        <v>67</v>
      </c>
      <c r="M28" s="23" t="s">
        <v>228</v>
      </c>
      <c r="N28" s="23">
        <v>30</v>
      </c>
      <c r="O28" s="23" t="s">
        <v>69</v>
      </c>
      <c r="P28" s="23">
        <v>5</v>
      </c>
      <c r="Q28" s="23">
        <v>5</v>
      </c>
      <c r="R28" s="23">
        <v>10</v>
      </c>
      <c r="S28" s="25"/>
      <c r="T28" s="23" t="s">
        <v>70</v>
      </c>
      <c r="U28" s="23" t="s">
        <v>70</v>
      </c>
      <c r="V28" s="26" t="s">
        <v>73</v>
      </c>
      <c r="W28" s="27">
        <f>IF('CRUDO JUEVES'!BS28="Si",$N28,)</f>
        <v>0</v>
      </c>
      <c r="X28" s="28">
        <v>30</v>
      </c>
      <c r="Y28" s="27">
        <f>IF('CRUDO JUEVES'!BU28="Si",$N28,)</f>
        <v>0</v>
      </c>
      <c r="Z28" s="28">
        <v>0</v>
      </c>
      <c r="AA28" s="28"/>
      <c r="AB28" s="28">
        <v>0</v>
      </c>
      <c r="AC28" s="28"/>
      <c r="AD28" s="28">
        <v>0</v>
      </c>
      <c r="AE28" s="28"/>
      <c r="AF28" s="28">
        <v>0</v>
      </c>
      <c r="AG28" s="28"/>
      <c r="AH28" s="28">
        <v>30</v>
      </c>
      <c r="AI28" s="28" t="s">
        <v>1227</v>
      </c>
      <c r="AJ28" s="27">
        <f>IF('CRUDO JUEVES'!CA28="Si",$N28,)</f>
        <v>30</v>
      </c>
      <c r="AK28" s="28" t="s">
        <v>1233</v>
      </c>
      <c r="AL28" s="27">
        <f>IF('CRUDO JUEVES'!CB28="Si",$N28,)</f>
        <v>0</v>
      </c>
      <c r="AM28" s="27"/>
      <c r="AN28" s="27">
        <f>IF('CRUDO JUEVES'!CC28="Si",$N28,)</f>
        <v>0</v>
      </c>
      <c r="AO28" s="27"/>
      <c r="AP28" s="27">
        <f>IF('CRUDO JUEVES'!CD28="Si",$N28,)</f>
        <v>0</v>
      </c>
      <c r="AQ28" s="27"/>
      <c r="AR28" s="27">
        <f>IF('CRUDO JUEVES'!CE28="Si",$N28,)</f>
        <v>0</v>
      </c>
      <c r="AS28" s="27"/>
      <c r="AT28" s="27">
        <f>IF('CRUDO JUEVES'!CF28="Si",$N28,)</f>
        <v>0</v>
      </c>
      <c r="AU28" s="27"/>
      <c r="AV28" s="28">
        <v>0</v>
      </c>
      <c r="AW28" s="28">
        <v>0</v>
      </c>
      <c r="AX28" s="28">
        <v>0</v>
      </c>
      <c r="AY28" s="28">
        <v>0</v>
      </c>
      <c r="AZ28" s="28">
        <v>0</v>
      </c>
      <c r="BA28" s="28">
        <v>0</v>
      </c>
      <c r="BB28" s="28"/>
      <c r="BC28" s="28">
        <v>0</v>
      </c>
      <c r="BD28" s="28"/>
      <c r="BE28" s="28">
        <v>0</v>
      </c>
      <c r="BF28" s="28"/>
      <c r="BG28" s="28">
        <v>0</v>
      </c>
      <c r="BH28" s="23"/>
      <c r="BI28" s="23" t="s">
        <v>597</v>
      </c>
      <c r="BJ28" s="23" t="s">
        <v>1245</v>
      </c>
      <c r="BK28" s="23">
        <v>1</v>
      </c>
      <c r="BL28" s="25"/>
      <c r="BM28" s="25"/>
      <c r="BN28" s="25"/>
      <c r="BO28" s="25"/>
    </row>
    <row r="29" spans="1:67" ht="13.2" x14ac:dyDescent="0.25">
      <c r="A29" s="22">
        <v>45002.439637488424</v>
      </c>
      <c r="B29" s="23" t="s">
        <v>1181</v>
      </c>
      <c r="C29" s="23" t="s">
        <v>1182</v>
      </c>
      <c r="D29" s="24" t="s">
        <v>1183</v>
      </c>
      <c r="E29" s="23" t="s">
        <v>103</v>
      </c>
      <c r="F29" s="23" t="s">
        <v>446</v>
      </c>
      <c r="G29" s="23" t="s">
        <v>105</v>
      </c>
      <c r="H29" s="23" t="s">
        <v>1184</v>
      </c>
      <c r="I29" s="23" t="s">
        <v>1185</v>
      </c>
      <c r="J29" s="23" t="s">
        <v>1186</v>
      </c>
      <c r="K29" s="23" t="s">
        <v>1181</v>
      </c>
      <c r="L29" s="23" t="s">
        <v>656</v>
      </c>
      <c r="M29" s="23" t="s">
        <v>727</v>
      </c>
      <c r="N29" s="23">
        <v>23</v>
      </c>
      <c r="O29" s="23" t="s">
        <v>69</v>
      </c>
      <c r="P29" s="23">
        <v>4</v>
      </c>
      <c r="Q29" s="23">
        <v>3</v>
      </c>
      <c r="R29" s="23">
        <v>15</v>
      </c>
      <c r="S29" s="25"/>
      <c r="T29" s="23" t="s">
        <v>70</v>
      </c>
      <c r="U29" s="23" t="s">
        <v>71</v>
      </c>
      <c r="V29" s="26" t="s">
        <v>73</v>
      </c>
      <c r="W29" s="28">
        <v>0</v>
      </c>
      <c r="X29" s="27">
        <f>IF('CRUDO JUEVES'!BT29="Si",$N29,)</f>
        <v>23</v>
      </c>
      <c r="Y29" s="27">
        <f>IF('CRUDO JUEVES'!BU29="Si",$N29,)</f>
        <v>0</v>
      </c>
      <c r="Z29" s="27">
        <f>IF('CRUDO JUEVES'!BV29="Si",$N29,)</f>
        <v>23</v>
      </c>
      <c r="AA29" s="28" t="s">
        <v>1227</v>
      </c>
      <c r="AB29" s="28">
        <v>0</v>
      </c>
      <c r="AC29" s="27"/>
      <c r="AD29" s="27">
        <f>IF('CRUDO JUEVES'!BX29="Si",$N29,)</f>
        <v>0</v>
      </c>
      <c r="AE29" s="27"/>
      <c r="AF29" s="27">
        <f>IF('CRUDO JUEVES'!BY29="Si",$N29,)</f>
        <v>0</v>
      </c>
      <c r="AG29" s="27"/>
      <c r="AH29" s="27">
        <f>IF('CRUDO JUEVES'!BZ29="Si",$N29,)</f>
        <v>0</v>
      </c>
      <c r="AI29" s="27"/>
      <c r="AJ29" s="27">
        <f>IF('CRUDO JUEVES'!CA29="Si",$N29,)</f>
        <v>0</v>
      </c>
      <c r="AK29" s="28"/>
      <c r="AL29" s="28">
        <v>0</v>
      </c>
      <c r="AM29" s="27"/>
      <c r="AN29" s="28">
        <v>0</v>
      </c>
      <c r="AO29" s="28"/>
      <c r="AP29" s="27">
        <f>IF('CRUDO JUEVES'!CD29="Si",$N29,)</f>
        <v>0</v>
      </c>
      <c r="AQ29" s="27"/>
      <c r="AR29" s="27">
        <f>IF('CRUDO JUEVES'!CE29="Si",$N29,)</f>
        <v>0</v>
      </c>
      <c r="AS29" s="27"/>
      <c r="AT29" s="27">
        <f>IF('CRUDO JUEVES'!CF29="Si",$N29,)</f>
        <v>0</v>
      </c>
      <c r="AU29" s="27"/>
      <c r="AV29" s="28">
        <v>0</v>
      </c>
      <c r="AW29" s="28">
        <v>0</v>
      </c>
      <c r="AX29" s="27">
        <f>IF('CRUDO JUEVES'!CI29="Si",$N29,)</f>
        <v>0</v>
      </c>
      <c r="AY29" s="27">
        <f>IF('CRUDO JUEVES'!CJ29="Si",$N29,)</f>
        <v>0</v>
      </c>
      <c r="AZ29" s="27">
        <f>IF('CRUDO JUEVES'!CK29="Si",$N29,)</f>
        <v>0</v>
      </c>
      <c r="BA29" s="28">
        <v>23</v>
      </c>
      <c r="BB29" s="23" t="s">
        <v>1239</v>
      </c>
      <c r="BC29" s="27">
        <f>IF('CRUDO JUEVES'!CM29="Si",$N29,)</f>
        <v>0</v>
      </c>
      <c r="BD29" s="27"/>
      <c r="BE29" s="27">
        <f>IF('CRUDO JUEVES'!CN29="Si",$N29,)</f>
        <v>0</v>
      </c>
      <c r="BF29" s="27"/>
      <c r="BG29" s="27">
        <f>IF('CRUDO JUEVES'!CO29="Si",$N29,)</f>
        <v>0</v>
      </c>
      <c r="BH29" s="25"/>
      <c r="BI29" s="25"/>
      <c r="BJ29" s="23" t="s">
        <v>1231</v>
      </c>
      <c r="BK29" s="23">
        <v>1</v>
      </c>
      <c r="BL29" s="25"/>
      <c r="BM29" s="25"/>
      <c r="BN29" s="25"/>
      <c r="BO29" s="25"/>
    </row>
    <row r="30" spans="1:67" ht="13.2" x14ac:dyDescent="0.25">
      <c r="A30" s="22">
        <v>45002.442378414351</v>
      </c>
      <c r="B30" s="23" t="s">
        <v>1181</v>
      </c>
      <c r="C30" s="23" t="s">
        <v>1182</v>
      </c>
      <c r="D30" s="24" t="s">
        <v>1183</v>
      </c>
      <c r="E30" s="23" t="s">
        <v>103</v>
      </c>
      <c r="F30" s="23" t="s">
        <v>384</v>
      </c>
      <c r="G30" s="23" t="s">
        <v>105</v>
      </c>
      <c r="H30" s="23" t="s">
        <v>1187</v>
      </c>
      <c r="I30" s="23" t="s">
        <v>1188</v>
      </c>
      <c r="J30" s="23" t="s">
        <v>1186</v>
      </c>
      <c r="K30" s="23" t="s">
        <v>1181</v>
      </c>
      <c r="L30" s="23" t="s">
        <v>656</v>
      </c>
      <c r="M30" s="23" t="s">
        <v>467</v>
      </c>
      <c r="N30" s="23">
        <v>22</v>
      </c>
      <c r="O30" s="23" t="s">
        <v>97</v>
      </c>
      <c r="P30" s="23">
        <v>4</v>
      </c>
      <c r="Q30" s="23">
        <v>3</v>
      </c>
      <c r="R30" s="23">
        <v>15</v>
      </c>
      <c r="S30" s="25"/>
      <c r="T30" s="23" t="s">
        <v>70</v>
      </c>
      <c r="U30" s="23" t="s">
        <v>71</v>
      </c>
      <c r="V30" s="26" t="s">
        <v>73</v>
      </c>
      <c r="W30" s="28">
        <v>0</v>
      </c>
      <c r="X30" s="27">
        <f>IF('CRUDO JUEVES'!BT30="Si",$N30,)</f>
        <v>22</v>
      </c>
      <c r="Y30" s="27">
        <f>IF('CRUDO JUEVES'!BU30="Si",$N30,)</f>
        <v>0</v>
      </c>
      <c r="Z30" s="28">
        <v>0</v>
      </c>
      <c r="AA30" s="28"/>
      <c r="AB30" s="28">
        <v>22</v>
      </c>
      <c r="AC30" s="28" t="s">
        <v>1227</v>
      </c>
      <c r="AD30" s="27">
        <f>IF('CRUDO JUEVES'!BX30="Si",$N30,)</f>
        <v>0</v>
      </c>
      <c r="AE30" s="27"/>
      <c r="AF30" s="27">
        <f>IF('CRUDO JUEVES'!BY30="Si",$N30,)</f>
        <v>0</v>
      </c>
      <c r="AG30" s="27"/>
      <c r="AH30" s="27">
        <f>IF('CRUDO JUEVES'!BZ30="Si",$N30,)</f>
        <v>0</v>
      </c>
      <c r="AI30" s="27"/>
      <c r="AJ30" s="27">
        <f>IF('CRUDO JUEVES'!CA30="Si",$N30,)</f>
        <v>0</v>
      </c>
      <c r="AK30" s="28"/>
      <c r="AL30" s="28">
        <v>22</v>
      </c>
      <c r="AM30" s="28" t="s">
        <v>1282</v>
      </c>
      <c r="AN30" s="28">
        <v>0</v>
      </c>
      <c r="AO30" s="27"/>
      <c r="AP30" s="27">
        <f>IF('CRUDO JUEVES'!CD30="Si",$N30,)</f>
        <v>0</v>
      </c>
      <c r="AQ30" s="27"/>
      <c r="AR30" s="27">
        <f>IF('CRUDO JUEVES'!CE30="Si",$N30,)</f>
        <v>0</v>
      </c>
      <c r="AS30" s="27"/>
      <c r="AT30" s="27">
        <f>IF('CRUDO JUEVES'!CF30="Si",$N30,)</f>
        <v>0</v>
      </c>
      <c r="AU30" s="27"/>
      <c r="AV30" s="28">
        <v>0</v>
      </c>
      <c r="AW30" s="28">
        <v>0</v>
      </c>
      <c r="AX30" s="27">
        <f>IF('CRUDO JUEVES'!CI30="Si",$N30,)</f>
        <v>0</v>
      </c>
      <c r="AY30" s="27">
        <f>IF('CRUDO JUEVES'!CJ30="Si",$N30,)</f>
        <v>0</v>
      </c>
      <c r="AZ30" s="27">
        <f>IF('CRUDO JUEVES'!CK30="Si",$N30,)</f>
        <v>0</v>
      </c>
      <c r="BA30" s="28">
        <v>0</v>
      </c>
      <c r="BB30" s="27"/>
      <c r="BC30" s="27">
        <f>IF('CRUDO JUEVES'!CM30="Si",$N30,)</f>
        <v>0</v>
      </c>
      <c r="BD30" s="27"/>
      <c r="BE30" s="27">
        <f>IF('CRUDO JUEVES'!CN30="Si",$N30,)</f>
        <v>0</v>
      </c>
      <c r="BF30" s="27"/>
      <c r="BG30" s="27">
        <f>IF('CRUDO JUEVES'!CO30="Si",$N30,)</f>
        <v>0</v>
      </c>
      <c r="BH30" s="25"/>
      <c r="BI30" s="25"/>
      <c r="BJ30" s="23" t="s">
        <v>1231</v>
      </c>
      <c r="BK30" s="23">
        <v>1</v>
      </c>
      <c r="BL30" s="25"/>
      <c r="BM30" s="25"/>
      <c r="BN30" s="25"/>
      <c r="BO30" s="25"/>
    </row>
    <row r="31" spans="1:67" ht="13.2" hidden="1" x14ac:dyDescent="0.25">
      <c r="A31" s="3">
        <v>45002.451774247689</v>
      </c>
      <c r="B31" s="4" t="s">
        <v>690</v>
      </c>
      <c r="C31" s="4" t="s">
        <v>683</v>
      </c>
      <c r="D31" s="5" t="s">
        <v>684</v>
      </c>
      <c r="E31" s="4" t="s">
        <v>62</v>
      </c>
      <c r="F31" s="4" t="s">
        <v>691</v>
      </c>
      <c r="G31" s="4" t="s">
        <v>64</v>
      </c>
      <c r="H31" s="4" t="s">
        <v>687</v>
      </c>
      <c r="I31" s="4" t="s">
        <v>692</v>
      </c>
      <c r="J31" s="4" t="s">
        <v>688</v>
      </c>
      <c r="K31" s="4" t="s">
        <v>690</v>
      </c>
      <c r="L31" s="4" t="s">
        <v>656</v>
      </c>
      <c r="M31" s="4" t="s">
        <v>387</v>
      </c>
      <c r="N31" s="4">
        <v>0</v>
      </c>
      <c r="O31" s="4" t="s">
        <v>433</v>
      </c>
      <c r="P31" s="4">
        <v>1</v>
      </c>
      <c r="Q31" s="4">
        <v>1</v>
      </c>
      <c r="R31" s="4">
        <v>50</v>
      </c>
      <c r="T31" s="4" t="s">
        <v>70</v>
      </c>
      <c r="U31" s="4" t="s">
        <v>70</v>
      </c>
      <c r="V31" s="6" t="s">
        <v>73</v>
      </c>
      <c r="W31" s="37">
        <f>IF('CRUDO JUEVES'!BS31="Si",$N31,)</f>
        <v>0</v>
      </c>
      <c r="X31" s="37">
        <f>IF('CRUDO JUEVES'!BT31="Si",$N31,)</f>
        <v>0</v>
      </c>
      <c r="Y31" s="37">
        <f>IF('CRUDO JUEVES'!BU31="Si",$N31,)</f>
        <v>0</v>
      </c>
      <c r="Z31" s="37">
        <f>IF('CRUDO JUEVES'!BV31="Si",$N31,)</f>
        <v>0</v>
      </c>
      <c r="AA31" s="37"/>
      <c r="AB31" s="37">
        <f>IF('CRUDO JUEVES'!BW31="Si",$N31,)</f>
        <v>0</v>
      </c>
      <c r="AC31" s="37"/>
      <c r="AD31" s="37">
        <f>IF('CRUDO JUEVES'!BX31="Si",$N31,)</f>
        <v>0</v>
      </c>
      <c r="AE31" s="37"/>
      <c r="AF31" s="37">
        <f>IF('CRUDO JUEVES'!BY31="Si",$N31,)</f>
        <v>0</v>
      </c>
      <c r="AG31" s="37"/>
      <c r="AH31" s="37">
        <f>IF('CRUDO JUEVES'!BZ31="Si",$N31,)</f>
        <v>0</v>
      </c>
      <c r="AI31" s="37"/>
      <c r="AJ31" s="37">
        <f>IF('CRUDO JUEVES'!CA31="Si",$N31,)</f>
        <v>0</v>
      </c>
      <c r="AK31" s="37"/>
      <c r="AL31" s="37">
        <f>IF('CRUDO JUEVES'!CB31="Si",$N31,)</f>
        <v>0</v>
      </c>
      <c r="AM31" s="37"/>
      <c r="AN31" s="37">
        <f>IF('CRUDO JUEVES'!CC31="Si",$N31,)</f>
        <v>0</v>
      </c>
      <c r="AO31" s="37"/>
      <c r="AP31" s="37">
        <f>IF('CRUDO JUEVES'!CD31="Si",$N31,)</f>
        <v>0</v>
      </c>
      <c r="AQ31" s="37"/>
      <c r="AR31" s="37">
        <f>IF('CRUDO JUEVES'!CE31="Si",$N31,)</f>
        <v>0</v>
      </c>
      <c r="AS31" s="37"/>
      <c r="AT31" s="37">
        <f>IF('CRUDO JUEVES'!CF31="Si",$N31,)</f>
        <v>0</v>
      </c>
      <c r="AU31" s="37"/>
      <c r="AV31" s="37">
        <f>IF('CRUDO JUEVES'!CG31="Si",$N31,)</f>
        <v>0</v>
      </c>
      <c r="AW31" s="37">
        <f>IF('CRUDO JUEVES'!CH31="Si",$N31,)</f>
        <v>0</v>
      </c>
      <c r="AX31" s="37">
        <f>IF('CRUDO JUEVES'!CI31="Si",$N31,)</f>
        <v>0</v>
      </c>
      <c r="AY31" s="37">
        <f>IF('CRUDO JUEVES'!CJ31="Si",$N31,)</f>
        <v>0</v>
      </c>
      <c r="AZ31" s="37">
        <f>IF('CRUDO JUEVES'!CK31="Si",$N31,)</f>
        <v>0</v>
      </c>
      <c r="BA31" s="37">
        <f>IF('CRUDO JUEVES'!CL31="Si",$N31,)</f>
        <v>0</v>
      </c>
      <c r="BB31" s="37"/>
      <c r="BC31" s="37">
        <f>IF('CRUDO JUEVES'!CM31="Si",$N31,)</f>
        <v>0</v>
      </c>
      <c r="BD31" s="37"/>
      <c r="BE31" s="37">
        <f>IF('CRUDO JUEVES'!CN31="Si",$N31,)</f>
        <v>0</v>
      </c>
      <c r="BF31" s="37"/>
      <c r="BG31" s="37">
        <f>IF('CRUDO JUEVES'!CO31="Si",$N31,)</f>
        <v>0</v>
      </c>
    </row>
    <row r="32" spans="1:67" ht="13.2" x14ac:dyDescent="0.25">
      <c r="A32" s="22">
        <v>45002.557698680554</v>
      </c>
      <c r="B32" s="23" t="s">
        <v>1014</v>
      </c>
      <c r="C32" s="23" t="s">
        <v>1015</v>
      </c>
      <c r="D32" s="29" t="s">
        <v>1016</v>
      </c>
      <c r="E32" s="23" t="s">
        <v>149</v>
      </c>
      <c r="F32" s="23" t="s">
        <v>1017</v>
      </c>
      <c r="G32" s="23" t="s">
        <v>105</v>
      </c>
      <c r="H32" s="23" t="s">
        <v>1018</v>
      </c>
      <c r="I32" s="23" t="s">
        <v>1019</v>
      </c>
      <c r="J32" s="25"/>
      <c r="K32" s="23" t="s">
        <v>1014</v>
      </c>
      <c r="L32" s="23" t="s">
        <v>656</v>
      </c>
      <c r="M32" s="23" t="s">
        <v>617</v>
      </c>
      <c r="N32" s="23">
        <v>35</v>
      </c>
      <c r="O32" s="23" t="s">
        <v>69</v>
      </c>
      <c r="P32" s="23">
        <v>3</v>
      </c>
      <c r="Q32" s="23">
        <v>1</v>
      </c>
      <c r="R32" s="23">
        <v>75</v>
      </c>
      <c r="S32" s="25"/>
      <c r="T32" s="23" t="s">
        <v>70</v>
      </c>
      <c r="U32" s="23" t="s">
        <v>71</v>
      </c>
      <c r="V32" s="26" t="s">
        <v>73</v>
      </c>
      <c r="W32" s="28">
        <v>0</v>
      </c>
      <c r="X32" s="27">
        <f>IF('CRUDO JUEVES'!BT32="Si",$N32,)</f>
        <v>35</v>
      </c>
      <c r="Y32" s="27">
        <f>IF('CRUDO JUEVES'!BU32="Si",$N32,)</f>
        <v>0</v>
      </c>
      <c r="Z32" s="27">
        <f>IF('CRUDO JUEVES'!BV32="Si",$N32,)</f>
        <v>0</v>
      </c>
      <c r="AA32" s="27"/>
      <c r="AB32" s="27">
        <f>IF('CRUDO JUEVES'!BW32="Si",$N32,)</f>
        <v>35</v>
      </c>
      <c r="AC32" s="28" t="s">
        <v>1227</v>
      </c>
      <c r="AD32" s="27">
        <f>IF('CRUDO JUEVES'!BX32="Si",$N32,)</f>
        <v>0</v>
      </c>
      <c r="AE32" s="28"/>
      <c r="AF32" s="28">
        <v>0</v>
      </c>
      <c r="AG32" s="27"/>
      <c r="AH32" s="27">
        <f>IF('CRUDO JUEVES'!BZ32="Si",$N32,)</f>
        <v>35</v>
      </c>
      <c r="AI32" s="28" t="s">
        <v>1233</v>
      </c>
      <c r="AJ32" s="28">
        <v>0</v>
      </c>
      <c r="AK32" s="27"/>
      <c r="AL32" s="27">
        <f>IF('CRUDO JUEVES'!CB32="Si",$N32,)</f>
        <v>0</v>
      </c>
      <c r="AM32" s="27"/>
      <c r="AN32" s="27">
        <f>IF('CRUDO JUEVES'!CC32="Si",$N32,)</f>
        <v>0</v>
      </c>
      <c r="AO32" s="28"/>
      <c r="AP32" s="28">
        <v>0</v>
      </c>
      <c r="AQ32" s="27"/>
      <c r="AR32" s="27">
        <f>IF('CRUDO JUEVES'!CE32="Si",$N32,)</f>
        <v>0</v>
      </c>
      <c r="AS32" s="27"/>
      <c r="AT32" s="27">
        <f>IF('CRUDO JUEVES'!CF32="Si",$N32,)</f>
        <v>0</v>
      </c>
      <c r="AU32" s="27"/>
      <c r="AV32" s="27">
        <f>IF('CRUDO JUEVES'!CG32="Si",$N32,)</f>
        <v>0</v>
      </c>
      <c r="AW32" s="27">
        <f>IF('CRUDO JUEVES'!CH32="Si",$N32,)</f>
        <v>0</v>
      </c>
      <c r="AX32" s="27">
        <f>IF('CRUDO JUEVES'!CI32="Si",$N32,)</f>
        <v>0</v>
      </c>
      <c r="AY32" s="28">
        <v>0</v>
      </c>
      <c r="AZ32" s="27">
        <f>IF('CRUDO JUEVES'!CK32="Si",$N32,)</f>
        <v>0</v>
      </c>
      <c r="BA32" s="27">
        <f>IF('CRUDO JUEVES'!CL32="Si",$N32,)</f>
        <v>0</v>
      </c>
      <c r="BB32" s="27"/>
      <c r="BC32" s="27">
        <f>IF('CRUDO JUEVES'!CM32="Si",$N32,)</f>
        <v>0</v>
      </c>
      <c r="BD32" s="27"/>
      <c r="BE32" s="27">
        <f>IF('CRUDO JUEVES'!CN32="Si",$N32,)</f>
        <v>0</v>
      </c>
      <c r="BF32" s="28"/>
      <c r="BG32" s="28">
        <v>0</v>
      </c>
      <c r="BH32" s="25"/>
      <c r="BI32" s="25"/>
      <c r="BJ32" s="23" t="s">
        <v>1270</v>
      </c>
      <c r="BK32" s="23">
        <v>1</v>
      </c>
      <c r="BL32" s="25"/>
      <c r="BM32" s="25"/>
      <c r="BN32" s="25"/>
      <c r="BO32" s="25"/>
    </row>
    <row r="33" spans="1:67" ht="13.2" hidden="1" x14ac:dyDescent="0.25">
      <c r="A33" s="30">
        <v>45002.77232319444</v>
      </c>
      <c r="B33" s="31" t="s">
        <v>354</v>
      </c>
      <c r="C33" s="31" t="s">
        <v>1285</v>
      </c>
      <c r="D33" s="32" t="s">
        <v>356</v>
      </c>
      <c r="E33" s="31" t="s">
        <v>140</v>
      </c>
      <c r="F33" s="31" t="s">
        <v>357</v>
      </c>
      <c r="G33" s="31" t="s">
        <v>105</v>
      </c>
      <c r="H33" s="31" t="s">
        <v>358</v>
      </c>
      <c r="I33" s="31" t="s">
        <v>359</v>
      </c>
      <c r="J33" s="31" t="s">
        <v>360</v>
      </c>
      <c r="K33" s="31" t="s">
        <v>354</v>
      </c>
      <c r="L33" s="31" t="s">
        <v>67</v>
      </c>
      <c r="M33" s="31" t="s">
        <v>246</v>
      </c>
      <c r="N33" s="31">
        <v>0</v>
      </c>
      <c r="O33" s="31" t="s">
        <v>97</v>
      </c>
      <c r="P33" s="31">
        <v>4</v>
      </c>
      <c r="Q33" s="31">
        <v>4</v>
      </c>
      <c r="R33" s="31">
        <v>20</v>
      </c>
      <c r="S33" s="33"/>
      <c r="T33" s="31" t="s">
        <v>70</v>
      </c>
      <c r="U33" s="31" t="s">
        <v>71</v>
      </c>
      <c r="V33" s="8" t="s">
        <v>73</v>
      </c>
      <c r="W33" s="35">
        <f>IF('CRUDO JUEVES'!BS33="Si",$N33,)</f>
        <v>0</v>
      </c>
      <c r="X33" s="35">
        <f>IF('CRUDO JUEVES'!BT33="Si",$N33,)</f>
        <v>0</v>
      </c>
      <c r="Y33" s="35">
        <f>IF('CRUDO JUEVES'!BU33="Si",$N33,)</f>
        <v>0</v>
      </c>
      <c r="Z33" s="35">
        <f>IF('CRUDO JUEVES'!BV33="Si",$N33,)</f>
        <v>0</v>
      </c>
      <c r="AA33" s="34"/>
      <c r="AB33" s="34">
        <v>0</v>
      </c>
      <c r="AC33" s="35"/>
      <c r="AD33" s="35">
        <f>IF('CRUDO JUEVES'!BX33="Si",$N33,)</f>
        <v>0</v>
      </c>
      <c r="AE33" s="35"/>
      <c r="AF33" s="35">
        <f>IF('CRUDO JUEVES'!BY33="Si",$N33,)</f>
        <v>0</v>
      </c>
      <c r="AG33" s="35"/>
      <c r="AH33" s="35">
        <f>IF('CRUDO JUEVES'!BZ33="Si",$N33,)</f>
        <v>0</v>
      </c>
      <c r="AI33" s="35"/>
      <c r="AJ33" s="35">
        <f>IF('CRUDO JUEVES'!CA33="Si",$N33,)</f>
        <v>0</v>
      </c>
      <c r="AK33" s="35"/>
      <c r="AL33" s="35">
        <f>IF('CRUDO JUEVES'!CB33="Si",$N33,)</f>
        <v>0</v>
      </c>
      <c r="AM33" s="35"/>
      <c r="AN33" s="35">
        <f>IF('CRUDO JUEVES'!CC33="Si",$N33,)</f>
        <v>0</v>
      </c>
      <c r="AO33" s="35"/>
      <c r="AP33" s="35">
        <f>IF('CRUDO JUEVES'!CD33="Si",$N33,)</f>
        <v>0</v>
      </c>
      <c r="AQ33" s="35"/>
      <c r="AR33" s="35">
        <f>IF('CRUDO JUEVES'!CE33="Si",$N33,)</f>
        <v>0</v>
      </c>
      <c r="AS33" s="35"/>
      <c r="AT33" s="35">
        <f>IF('CRUDO JUEVES'!CF33="Si",$N33,)</f>
        <v>0</v>
      </c>
      <c r="AU33" s="35"/>
      <c r="AV33" s="35">
        <f>IF('CRUDO JUEVES'!CG33="Si",$N33,)</f>
        <v>0</v>
      </c>
      <c r="AW33" s="35">
        <f>IF('CRUDO JUEVES'!CH33="Si",$N33,)</f>
        <v>0</v>
      </c>
      <c r="AX33" s="35">
        <f>IF('CRUDO JUEVES'!CI33="Si",$N33,)</f>
        <v>0</v>
      </c>
      <c r="AY33" s="35">
        <f>IF('CRUDO JUEVES'!CJ33="Si",$N33,)</f>
        <v>0</v>
      </c>
      <c r="AZ33" s="35">
        <f>IF('CRUDO JUEVES'!CK33="Si",$N33,)</f>
        <v>0</v>
      </c>
      <c r="BA33" s="35">
        <f>IF('CRUDO JUEVES'!CL33="Si",$N33,)</f>
        <v>0</v>
      </c>
      <c r="BB33" s="35"/>
      <c r="BC33" s="35">
        <f>IF('CRUDO JUEVES'!CM33="Si",$N33,)</f>
        <v>0</v>
      </c>
      <c r="BD33" s="35"/>
      <c r="BE33" s="35">
        <f>IF('CRUDO JUEVES'!CN33="Si",$N33,)</f>
        <v>0</v>
      </c>
      <c r="BF33" s="35"/>
      <c r="BG33" s="35">
        <f>IF('CRUDO JUEVES'!CO33="Si",$N33,)</f>
        <v>0</v>
      </c>
      <c r="BH33" s="33"/>
      <c r="BI33" s="33"/>
      <c r="BJ33" s="33"/>
      <c r="BK33" s="33"/>
      <c r="BL33" s="33"/>
      <c r="BM33" s="33"/>
      <c r="BN33" s="33"/>
      <c r="BO33" s="33"/>
    </row>
    <row r="34" spans="1:67" ht="13.2" x14ac:dyDescent="0.25">
      <c r="A34" s="22">
        <v>45002.783732395837</v>
      </c>
      <c r="B34" s="23" t="s">
        <v>920</v>
      </c>
      <c r="C34" s="23" t="s">
        <v>977</v>
      </c>
      <c r="D34" s="29" t="s">
        <v>978</v>
      </c>
      <c r="E34" s="23" t="s">
        <v>427</v>
      </c>
      <c r="F34" s="23" t="s">
        <v>979</v>
      </c>
      <c r="G34" s="23" t="s">
        <v>64</v>
      </c>
      <c r="H34" s="23" t="s">
        <v>980</v>
      </c>
      <c r="I34" s="23" t="s">
        <v>981</v>
      </c>
      <c r="J34" s="23" t="s">
        <v>982</v>
      </c>
      <c r="K34" s="23" t="s">
        <v>983</v>
      </c>
      <c r="L34" s="23" t="s">
        <v>665</v>
      </c>
      <c r="M34" s="23" t="s">
        <v>583</v>
      </c>
      <c r="N34" s="23">
        <v>37</v>
      </c>
      <c r="O34" s="23" t="s">
        <v>69</v>
      </c>
      <c r="P34" s="23">
        <v>3</v>
      </c>
      <c r="Q34" s="23">
        <v>2</v>
      </c>
      <c r="R34" s="23">
        <v>95</v>
      </c>
      <c r="S34" s="23" t="s">
        <v>984</v>
      </c>
      <c r="T34" s="23" t="s">
        <v>71</v>
      </c>
      <c r="U34" s="23" t="s">
        <v>70</v>
      </c>
      <c r="V34" s="26" t="s">
        <v>73</v>
      </c>
      <c r="W34" s="27">
        <f>IF('CRUDO JUEVES'!BS34="Si",$N34,)</f>
        <v>0</v>
      </c>
      <c r="X34" s="28">
        <v>0</v>
      </c>
      <c r="Y34" s="27">
        <f>IF('CRUDO JUEVES'!BU34="Si",$N34,)</f>
        <v>37</v>
      </c>
      <c r="Z34" s="27">
        <f>IF('CRUDO JUEVES'!BV34="Si",$N34,)</f>
        <v>0</v>
      </c>
      <c r="AA34" s="27"/>
      <c r="AB34" s="27">
        <f>IF('CRUDO JUEVES'!BW34="Si",$N34,)</f>
        <v>0</v>
      </c>
      <c r="AC34" s="27"/>
      <c r="AD34" s="27">
        <f>IF('CRUDO JUEVES'!BX34="Si",$N34,)</f>
        <v>0</v>
      </c>
      <c r="AE34" s="27"/>
      <c r="AF34" s="27">
        <f>IF('CRUDO JUEVES'!BY34="Si",$N34,)</f>
        <v>37</v>
      </c>
      <c r="AG34" s="28" t="s">
        <v>1233</v>
      </c>
      <c r="AH34" s="28">
        <v>0</v>
      </c>
      <c r="AI34" s="28"/>
      <c r="AJ34" s="28">
        <v>0</v>
      </c>
      <c r="AK34" s="27"/>
      <c r="AL34" s="27">
        <f>IF('CRUDO JUEVES'!CB34="Si",$N34,)</f>
        <v>0</v>
      </c>
      <c r="AM34" s="27"/>
      <c r="AN34" s="27">
        <f>IF('CRUDO JUEVES'!CC34="Si",$N34,)</f>
        <v>0</v>
      </c>
      <c r="AO34" s="27"/>
      <c r="AP34" s="27">
        <f>IF('CRUDO JUEVES'!CD34="Si",$N34,)</f>
        <v>0</v>
      </c>
      <c r="AQ34" s="28"/>
      <c r="AR34" s="28">
        <v>0</v>
      </c>
      <c r="AS34" s="28"/>
      <c r="AT34" s="28">
        <v>0</v>
      </c>
      <c r="AU34" s="28"/>
      <c r="AV34" s="27">
        <f>IF('CRUDO JUEVES'!CG34="Si",$N34,)</f>
        <v>0</v>
      </c>
      <c r="AW34" s="27">
        <f>IF('CRUDO JUEVES'!CH34="Si",$N34,)</f>
        <v>0</v>
      </c>
      <c r="AX34" s="27">
        <f>IF('CRUDO JUEVES'!CI34="Si",$N34,)</f>
        <v>0</v>
      </c>
      <c r="AY34" s="28">
        <v>0</v>
      </c>
      <c r="AZ34" s="27">
        <f>IF('CRUDO JUEVES'!CK34="Si",$N34,)</f>
        <v>37</v>
      </c>
      <c r="BA34" s="27">
        <f>IF('CRUDO JUEVES'!CL34="Si",$N34,)</f>
        <v>0</v>
      </c>
      <c r="BB34" s="27"/>
      <c r="BC34" s="27">
        <f>IF('CRUDO JUEVES'!CM34="Si",$N34,)</f>
        <v>0</v>
      </c>
      <c r="BD34" s="28"/>
      <c r="BE34" s="28">
        <v>0</v>
      </c>
      <c r="BF34" s="28"/>
      <c r="BG34" s="28">
        <v>0</v>
      </c>
      <c r="BH34" s="23"/>
      <c r="BI34" s="23" t="s">
        <v>985</v>
      </c>
      <c r="BJ34" s="23" t="s">
        <v>1229</v>
      </c>
      <c r="BK34" s="23">
        <v>1</v>
      </c>
      <c r="BL34" s="25"/>
      <c r="BM34" s="25"/>
      <c r="BN34" s="25"/>
      <c r="BO34" s="25"/>
    </row>
    <row r="35" spans="1:67" ht="13.2" x14ac:dyDescent="0.25">
      <c r="A35" s="22">
        <v>45002.812788946758</v>
      </c>
      <c r="B35" s="23" t="s">
        <v>1087</v>
      </c>
      <c r="C35" s="23" t="s">
        <v>1286</v>
      </c>
      <c r="D35" s="24" t="s">
        <v>1089</v>
      </c>
      <c r="E35" s="23" t="s">
        <v>103</v>
      </c>
      <c r="F35" s="23" t="s">
        <v>594</v>
      </c>
      <c r="G35" s="23" t="s">
        <v>105</v>
      </c>
      <c r="H35" s="23" t="s">
        <v>1090</v>
      </c>
      <c r="I35" s="23" t="s">
        <v>1091</v>
      </c>
      <c r="J35" s="23" t="s">
        <v>1092</v>
      </c>
      <c r="K35" s="23" t="s">
        <v>1087</v>
      </c>
      <c r="L35" s="23" t="s">
        <v>656</v>
      </c>
      <c r="M35" s="23" t="s">
        <v>674</v>
      </c>
      <c r="N35" s="23">
        <v>35</v>
      </c>
      <c r="O35" s="23" t="s">
        <v>69</v>
      </c>
      <c r="P35" s="23">
        <v>2</v>
      </c>
      <c r="Q35" s="23">
        <v>3</v>
      </c>
      <c r="R35" s="23">
        <v>80</v>
      </c>
      <c r="S35" s="23" t="s">
        <v>1093</v>
      </c>
      <c r="T35" s="23" t="s">
        <v>71</v>
      </c>
      <c r="U35" s="23" t="s">
        <v>70</v>
      </c>
      <c r="V35" s="26" t="s">
        <v>73</v>
      </c>
      <c r="W35" s="27">
        <f>IF('CRUDO JUEVES'!BS35="Si",$N35,)</f>
        <v>0</v>
      </c>
      <c r="X35" s="28">
        <v>0</v>
      </c>
      <c r="Y35" s="27">
        <f>IF('CRUDO JUEVES'!BU35="Si",$N35,)</f>
        <v>35</v>
      </c>
      <c r="Z35" s="27">
        <f>IF('CRUDO JUEVES'!BV35="Si",$N35,)</f>
        <v>0</v>
      </c>
      <c r="AA35" s="27"/>
      <c r="AB35" s="27">
        <f>IF('CRUDO JUEVES'!BW35="Si",$N35,)</f>
        <v>0</v>
      </c>
      <c r="AC35" s="28"/>
      <c r="AD35" s="28">
        <v>0</v>
      </c>
      <c r="AE35" s="28"/>
      <c r="AF35" s="28">
        <v>0</v>
      </c>
      <c r="AG35" s="28"/>
      <c r="AH35" s="28">
        <v>0</v>
      </c>
      <c r="AI35" s="27"/>
      <c r="AJ35" s="27">
        <f>IF('CRUDO JUEVES'!CA35="Si",$N35,)</f>
        <v>35</v>
      </c>
      <c r="AK35" s="28" t="s">
        <v>1227</v>
      </c>
      <c r="AL35" s="27">
        <f>IF('CRUDO JUEVES'!CB35="Si",$N35,)</f>
        <v>0</v>
      </c>
      <c r="AM35" s="27"/>
      <c r="AN35" s="27">
        <f>IF('CRUDO JUEVES'!CC35="Si",$N35,)</f>
        <v>0</v>
      </c>
      <c r="AO35" s="28"/>
      <c r="AP35" s="28">
        <v>0</v>
      </c>
      <c r="AQ35" s="28"/>
      <c r="AR35" s="28">
        <v>0</v>
      </c>
      <c r="AS35" s="28"/>
      <c r="AT35" s="28">
        <v>0</v>
      </c>
      <c r="AU35" s="28"/>
      <c r="AV35" s="27">
        <f>IF('CRUDO JUEVES'!CG35="Si",$N35,)</f>
        <v>0</v>
      </c>
      <c r="AW35" s="28">
        <v>0</v>
      </c>
      <c r="AX35" s="28">
        <v>0</v>
      </c>
      <c r="AY35" s="28">
        <v>0</v>
      </c>
      <c r="AZ35" s="28">
        <v>0</v>
      </c>
      <c r="BA35" s="27">
        <f>IF('CRUDO JUEVES'!CL35="Si",$N35,)</f>
        <v>0</v>
      </c>
      <c r="BB35" s="27"/>
      <c r="BC35" s="27">
        <f>IF('CRUDO JUEVES'!CM35="Si",$N35,)</f>
        <v>35</v>
      </c>
      <c r="BD35" s="28" t="s">
        <v>1234</v>
      </c>
      <c r="BE35" s="28">
        <v>0</v>
      </c>
      <c r="BF35" s="28"/>
      <c r="BG35" s="28">
        <v>0</v>
      </c>
      <c r="BH35" s="23"/>
      <c r="BI35" s="23" t="s">
        <v>1094</v>
      </c>
      <c r="BJ35" s="23" t="s">
        <v>1245</v>
      </c>
      <c r="BK35" s="23">
        <v>1</v>
      </c>
      <c r="BL35" s="25"/>
      <c r="BM35" s="25"/>
      <c r="BN35" s="25"/>
      <c r="BO35" s="25"/>
    </row>
    <row r="36" spans="1:67" ht="13.2" x14ac:dyDescent="0.25">
      <c r="A36" s="22">
        <v>45002.915442592595</v>
      </c>
      <c r="B36" s="23" t="s">
        <v>1095</v>
      </c>
      <c r="C36" s="23" t="s">
        <v>1096</v>
      </c>
      <c r="D36" s="29" t="s">
        <v>1089</v>
      </c>
      <c r="E36" s="23" t="s">
        <v>62</v>
      </c>
      <c r="F36" s="23" t="s">
        <v>1097</v>
      </c>
      <c r="G36" s="23" t="s">
        <v>105</v>
      </c>
      <c r="H36" s="23" t="s">
        <v>1090</v>
      </c>
      <c r="I36" s="23" t="s">
        <v>1098</v>
      </c>
      <c r="J36" s="23" t="s">
        <v>1099</v>
      </c>
      <c r="K36" s="23" t="s">
        <v>1095</v>
      </c>
      <c r="L36" s="23" t="s">
        <v>656</v>
      </c>
      <c r="M36" s="23" t="s">
        <v>458</v>
      </c>
      <c r="N36" s="23">
        <v>35</v>
      </c>
      <c r="O36" s="23" t="s">
        <v>69</v>
      </c>
      <c r="P36" s="23">
        <v>2</v>
      </c>
      <c r="Q36" s="23">
        <v>3</v>
      </c>
      <c r="R36" s="23">
        <v>80</v>
      </c>
      <c r="S36" s="23" t="s">
        <v>1100</v>
      </c>
      <c r="T36" s="23" t="s">
        <v>70</v>
      </c>
      <c r="U36" s="23" t="s">
        <v>70</v>
      </c>
      <c r="V36" s="26" t="s">
        <v>73</v>
      </c>
      <c r="W36" s="27">
        <f>IF('CRUDO JUEVES'!BS36="Si",$N36,)</f>
        <v>0</v>
      </c>
      <c r="X36" s="27">
        <f>IF('CRUDO JUEVES'!BT36="Si",$N36,)</f>
        <v>35</v>
      </c>
      <c r="Y36" s="28">
        <v>0</v>
      </c>
      <c r="Z36" s="27">
        <f>IF('CRUDO JUEVES'!BV36="Si",$N36,)</f>
        <v>0</v>
      </c>
      <c r="AA36" s="27"/>
      <c r="AB36" s="27">
        <f>IF('CRUDO JUEVES'!BW36="Si",$N36,)</f>
        <v>0</v>
      </c>
      <c r="AC36" s="28"/>
      <c r="AD36" s="28">
        <v>0</v>
      </c>
      <c r="AE36" s="28"/>
      <c r="AF36" s="28">
        <v>0</v>
      </c>
      <c r="AG36" s="28"/>
      <c r="AH36" s="28">
        <v>0</v>
      </c>
      <c r="AI36" s="27"/>
      <c r="AJ36" s="27">
        <f>IF('CRUDO JUEVES'!CA36="Si",$N36,)</f>
        <v>35</v>
      </c>
      <c r="AK36" s="28" t="s">
        <v>1227</v>
      </c>
      <c r="AL36" s="27">
        <f>IF('CRUDO JUEVES'!CB36="Si",$N36,)</f>
        <v>0</v>
      </c>
      <c r="AM36" s="27"/>
      <c r="AN36" s="27">
        <f>IF('CRUDO JUEVES'!CC36="Si",$N36,)</f>
        <v>0</v>
      </c>
      <c r="AO36" s="28"/>
      <c r="AP36" s="28">
        <v>0</v>
      </c>
      <c r="AQ36" s="28"/>
      <c r="AR36" s="28">
        <v>0</v>
      </c>
      <c r="AS36" s="28"/>
      <c r="AT36" s="28">
        <v>0</v>
      </c>
      <c r="AU36" s="28"/>
      <c r="AV36" s="27">
        <f>IF('CRUDO JUEVES'!CG36="Si",$N36,)</f>
        <v>0</v>
      </c>
      <c r="AW36" s="28">
        <v>0</v>
      </c>
      <c r="AX36" s="28">
        <v>0</v>
      </c>
      <c r="AY36" s="27">
        <f>IF('CRUDO JUEVES'!CJ36="Si",$N36,)</f>
        <v>35</v>
      </c>
      <c r="AZ36" s="28">
        <v>0</v>
      </c>
      <c r="BA36" s="27">
        <f>IF('CRUDO JUEVES'!CL36="Si",$N36,)</f>
        <v>0</v>
      </c>
      <c r="BB36" s="28"/>
      <c r="BC36" s="28">
        <v>0</v>
      </c>
      <c r="BD36" s="28"/>
      <c r="BE36" s="28">
        <v>0</v>
      </c>
      <c r="BF36" s="28"/>
      <c r="BG36" s="28">
        <v>0</v>
      </c>
      <c r="BH36" s="23"/>
      <c r="BI36" s="23" t="s">
        <v>1101</v>
      </c>
      <c r="BJ36" s="23" t="s">
        <v>1245</v>
      </c>
      <c r="BK36" s="23">
        <v>1</v>
      </c>
      <c r="BL36" s="25"/>
      <c r="BM36" s="25"/>
      <c r="BN36" s="25"/>
      <c r="BO36" s="25"/>
    </row>
    <row r="37" spans="1:67" ht="13.2" x14ac:dyDescent="0.25">
      <c r="A37" s="22">
        <v>45002.927558981479</v>
      </c>
      <c r="B37" s="23" t="s">
        <v>1143</v>
      </c>
      <c r="C37" s="23" t="s">
        <v>1144</v>
      </c>
      <c r="D37" s="29" t="s">
        <v>1145</v>
      </c>
      <c r="E37" s="23" t="s">
        <v>62</v>
      </c>
      <c r="F37" s="23" t="s">
        <v>1146</v>
      </c>
      <c r="G37" s="23" t="s">
        <v>64</v>
      </c>
      <c r="H37" s="23" t="s">
        <v>1147</v>
      </c>
      <c r="I37" s="23" t="s">
        <v>1148</v>
      </c>
      <c r="J37" s="23" t="s">
        <v>1149</v>
      </c>
      <c r="K37" s="23" t="s">
        <v>1143</v>
      </c>
      <c r="L37" s="23" t="s">
        <v>656</v>
      </c>
      <c r="M37" s="23" t="s">
        <v>411</v>
      </c>
      <c r="N37" s="23">
        <v>21</v>
      </c>
      <c r="O37" s="23" t="s">
        <v>69</v>
      </c>
      <c r="P37" s="23">
        <v>5</v>
      </c>
      <c r="Q37" s="23">
        <v>5</v>
      </c>
      <c r="R37" s="23">
        <v>0</v>
      </c>
      <c r="S37" s="25"/>
      <c r="T37" s="23" t="s">
        <v>70</v>
      </c>
      <c r="U37" s="23" t="s">
        <v>70</v>
      </c>
      <c r="V37" s="26" t="s">
        <v>73</v>
      </c>
      <c r="W37" s="27">
        <f>IF('CRUDO JUEVES'!BS37="Si",$N37,)</f>
        <v>0</v>
      </c>
      <c r="X37" s="27">
        <f>IF('CRUDO JUEVES'!BT37="Si",$N37,)</f>
        <v>21</v>
      </c>
      <c r="Y37" s="27">
        <f>IF('CRUDO JUEVES'!BU37="Si",$N37,)</f>
        <v>0</v>
      </c>
      <c r="Z37" s="27">
        <f>IF('CRUDO JUEVES'!BV37="Si",$N37,)</f>
        <v>21</v>
      </c>
      <c r="AA37" s="28" t="s">
        <v>1227</v>
      </c>
      <c r="AB37" s="28">
        <v>0</v>
      </c>
      <c r="AC37" s="27"/>
      <c r="AD37" s="27">
        <f>IF('CRUDO JUEVES'!BX37="Si",$N37,)</f>
        <v>0</v>
      </c>
      <c r="AE37" s="27"/>
      <c r="AF37" s="27">
        <f>IF('CRUDO JUEVES'!BY37="Si",$N37,)</f>
        <v>0</v>
      </c>
      <c r="AG37" s="27"/>
      <c r="AH37" s="27">
        <f>IF('CRUDO JUEVES'!BZ37="Si",$N37,)</f>
        <v>0</v>
      </c>
      <c r="AI37" s="27"/>
      <c r="AJ37" s="27">
        <f>IF('CRUDO JUEVES'!CA37="Si",$N37,)</f>
        <v>0</v>
      </c>
      <c r="AK37" s="27"/>
      <c r="AL37" s="27">
        <f>IF('CRUDO JUEVES'!CB37="Si",$N37,)</f>
        <v>0</v>
      </c>
      <c r="AM37" s="27"/>
      <c r="AN37" s="27">
        <f>IF('CRUDO JUEVES'!CC37="Si",$N37,)</f>
        <v>0</v>
      </c>
      <c r="AO37" s="27"/>
      <c r="AP37" s="27">
        <f>IF('CRUDO JUEVES'!CD37="Si",$N37,)</f>
        <v>0</v>
      </c>
      <c r="AQ37" s="27"/>
      <c r="AR37" s="27">
        <f>IF('CRUDO JUEVES'!CE37="Si",$N37,)</f>
        <v>0</v>
      </c>
      <c r="AS37" s="27"/>
      <c r="AT37" s="27">
        <f>IF('CRUDO JUEVES'!CF37="Si",$N37,)</f>
        <v>0</v>
      </c>
      <c r="AU37" s="27"/>
      <c r="AV37" s="27">
        <f>IF('CRUDO JUEVES'!CG37="Si",$N37,)</f>
        <v>0</v>
      </c>
      <c r="AW37" s="27">
        <f>IF('CRUDO JUEVES'!CH37="Si",$N37,)</f>
        <v>0</v>
      </c>
      <c r="AX37" s="27">
        <f>IF('CRUDO JUEVES'!CI37="Si",$N37,)</f>
        <v>0</v>
      </c>
      <c r="AY37" s="27">
        <f>IF('CRUDO JUEVES'!CJ37="Si",$N37,)</f>
        <v>0</v>
      </c>
      <c r="AZ37" s="27">
        <f>IF('CRUDO JUEVES'!CK37="Si",$N37,)</f>
        <v>0</v>
      </c>
      <c r="BA37" s="28">
        <v>0</v>
      </c>
      <c r="BB37" s="27"/>
      <c r="BC37" s="27">
        <f>IF('CRUDO JUEVES'!CM37="Si",$N37,)</f>
        <v>0</v>
      </c>
      <c r="BD37" s="27"/>
      <c r="BE37" s="27">
        <f>IF('CRUDO JUEVES'!CN37="Si",$N37,)</f>
        <v>0</v>
      </c>
      <c r="BF37" s="27"/>
      <c r="BG37" s="27">
        <f>IF('CRUDO JUEVES'!CO37="Si",$N37,)</f>
        <v>0</v>
      </c>
      <c r="BH37" s="25"/>
      <c r="BI37" s="25"/>
      <c r="BJ37" s="23" t="s">
        <v>1231</v>
      </c>
      <c r="BK37" s="23">
        <v>1</v>
      </c>
      <c r="BL37" s="25"/>
      <c r="BM37" s="25"/>
      <c r="BN37" s="25"/>
      <c r="BO37" s="25"/>
    </row>
    <row r="38" spans="1:67" ht="13.2" x14ac:dyDescent="0.25">
      <c r="A38" s="22">
        <v>45002.930021296299</v>
      </c>
      <c r="B38" s="23" t="s">
        <v>1143</v>
      </c>
      <c r="C38" s="23" t="s">
        <v>1150</v>
      </c>
      <c r="D38" s="29" t="s">
        <v>1145</v>
      </c>
      <c r="E38" s="23" t="s">
        <v>62</v>
      </c>
      <c r="F38" s="23" t="s">
        <v>391</v>
      </c>
      <c r="G38" s="23" t="s">
        <v>64</v>
      </c>
      <c r="H38" s="23" t="s">
        <v>1151</v>
      </c>
      <c r="I38" s="23" t="s">
        <v>1152</v>
      </c>
      <c r="J38" s="23" t="s">
        <v>1149</v>
      </c>
      <c r="K38" s="23" t="s">
        <v>1143</v>
      </c>
      <c r="L38" s="23" t="s">
        <v>656</v>
      </c>
      <c r="M38" s="23" t="s">
        <v>411</v>
      </c>
      <c r="N38" s="23">
        <v>26</v>
      </c>
      <c r="O38" s="23" t="s">
        <v>69</v>
      </c>
      <c r="P38" s="23">
        <v>5</v>
      </c>
      <c r="Q38" s="23">
        <v>5</v>
      </c>
      <c r="R38" s="23">
        <v>0</v>
      </c>
      <c r="S38" s="25"/>
      <c r="T38" s="23" t="s">
        <v>70</v>
      </c>
      <c r="U38" s="23" t="s">
        <v>70</v>
      </c>
      <c r="V38" s="26" t="s">
        <v>73</v>
      </c>
      <c r="W38" s="27">
        <f>IF('CRUDO JUEVES'!BS38="Si",$N38,)</f>
        <v>0</v>
      </c>
      <c r="X38" s="27">
        <f>IF('CRUDO JUEVES'!BT38="Si",$N38,)</f>
        <v>26</v>
      </c>
      <c r="Y38" s="27">
        <f>IF('CRUDO JUEVES'!BU38="Si",$N38,)</f>
        <v>0</v>
      </c>
      <c r="Z38" s="27">
        <f>IF('CRUDO JUEVES'!BV38="Si",$N38,)</f>
        <v>26</v>
      </c>
      <c r="AA38" s="28" t="s">
        <v>1233</v>
      </c>
      <c r="AB38" s="28">
        <v>0</v>
      </c>
      <c r="AC38" s="27"/>
      <c r="AD38" s="27">
        <f>IF('CRUDO JUEVES'!BX38="Si",$N38,)</f>
        <v>0</v>
      </c>
      <c r="AE38" s="27"/>
      <c r="AF38" s="27">
        <f>IF('CRUDO JUEVES'!BY38="Si",$N38,)</f>
        <v>0</v>
      </c>
      <c r="AG38" s="27"/>
      <c r="AH38" s="27">
        <f>IF('CRUDO JUEVES'!BZ38="Si",$N38,)</f>
        <v>0</v>
      </c>
      <c r="AI38" s="27"/>
      <c r="AJ38" s="27">
        <f>IF('CRUDO JUEVES'!CA38="Si",$N38,)</f>
        <v>0</v>
      </c>
      <c r="AK38" s="27"/>
      <c r="AL38" s="27">
        <f>IF('CRUDO JUEVES'!CB38="Si",$N38,)</f>
        <v>0</v>
      </c>
      <c r="AM38" s="27"/>
      <c r="AN38" s="27">
        <f>IF('CRUDO JUEVES'!CC38="Si",$N38,)</f>
        <v>0</v>
      </c>
      <c r="AO38" s="27"/>
      <c r="AP38" s="27">
        <f>IF('CRUDO JUEVES'!CD38="Si",$N38,)</f>
        <v>0</v>
      </c>
      <c r="AQ38" s="27"/>
      <c r="AR38" s="27">
        <f>IF('CRUDO JUEVES'!CE38="Si",$N38,)</f>
        <v>0</v>
      </c>
      <c r="AS38" s="27"/>
      <c r="AT38" s="27">
        <f>IF('CRUDO JUEVES'!CF38="Si",$N38,)</f>
        <v>0</v>
      </c>
      <c r="AU38" s="27"/>
      <c r="AV38" s="27">
        <f>IF('CRUDO JUEVES'!CG38="Si",$N38,)</f>
        <v>0</v>
      </c>
      <c r="AW38" s="27">
        <f>IF('CRUDO JUEVES'!CH38="Si",$N38,)</f>
        <v>0</v>
      </c>
      <c r="AX38" s="27">
        <f>IF('CRUDO JUEVES'!CI38="Si",$N38,)</f>
        <v>0</v>
      </c>
      <c r="AY38" s="27">
        <f>IF('CRUDO JUEVES'!CJ38="Si",$N38,)</f>
        <v>0</v>
      </c>
      <c r="AZ38" s="27">
        <f>IF('CRUDO JUEVES'!CK38="Si",$N38,)</f>
        <v>0</v>
      </c>
      <c r="BA38" s="28">
        <v>0</v>
      </c>
      <c r="BB38" s="27"/>
      <c r="BC38" s="27">
        <f>IF('CRUDO JUEVES'!CM38="Si",$N38,)</f>
        <v>0</v>
      </c>
      <c r="BD38" s="27"/>
      <c r="BE38" s="27">
        <f>IF('CRUDO JUEVES'!CN38="Si",$N38,)</f>
        <v>0</v>
      </c>
      <c r="BF38" s="27"/>
      <c r="BG38" s="27">
        <f>IF('CRUDO JUEVES'!CO38="Si",$N38,)</f>
        <v>0</v>
      </c>
      <c r="BH38" s="25"/>
      <c r="BI38" s="25"/>
      <c r="BJ38" s="23" t="s">
        <v>1231</v>
      </c>
      <c r="BK38" s="23">
        <v>1</v>
      </c>
      <c r="BL38" s="25"/>
      <c r="BM38" s="25"/>
      <c r="BN38" s="25"/>
      <c r="BO38" s="25"/>
    </row>
    <row r="39" spans="1:67" ht="13.2" x14ac:dyDescent="0.25">
      <c r="A39" s="30">
        <v>45002.946039270828</v>
      </c>
      <c r="B39" s="31" t="s">
        <v>712</v>
      </c>
      <c r="C39" s="31" t="s">
        <v>713</v>
      </c>
      <c r="D39" s="36" t="s">
        <v>714</v>
      </c>
      <c r="E39" s="31" t="s">
        <v>140</v>
      </c>
      <c r="F39" s="31" t="s">
        <v>715</v>
      </c>
      <c r="G39" s="31" t="s">
        <v>105</v>
      </c>
      <c r="H39" s="31" t="s">
        <v>716</v>
      </c>
      <c r="I39" s="31" t="s">
        <v>717</v>
      </c>
      <c r="J39" s="31" t="s">
        <v>718</v>
      </c>
      <c r="K39" s="31" t="s">
        <v>712</v>
      </c>
      <c r="L39" s="31" t="s">
        <v>656</v>
      </c>
      <c r="M39" s="31" t="s">
        <v>415</v>
      </c>
      <c r="N39" s="31">
        <v>35</v>
      </c>
      <c r="O39" s="31" t="s">
        <v>433</v>
      </c>
      <c r="P39" s="31">
        <v>3</v>
      </c>
      <c r="Q39" s="31">
        <v>3</v>
      </c>
      <c r="R39" s="31">
        <v>70</v>
      </c>
      <c r="S39" s="33"/>
      <c r="T39" s="31" t="s">
        <v>71</v>
      </c>
      <c r="U39" s="31" t="s">
        <v>70</v>
      </c>
      <c r="V39" s="8" t="s">
        <v>73</v>
      </c>
      <c r="W39" s="35">
        <f>IF('CRUDO JUEVES'!BS39="Si",$N39,)</f>
        <v>0</v>
      </c>
      <c r="X39" s="35">
        <f>IF('CRUDO JUEVES'!BT39="Si",$N39,)</f>
        <v>0</v>
      </c>
      <c r="Y39" s="34">
        <v>0</v>
      </c>
      <c r="Z39" s="35">
        <f>IF('CRUDO JUEVES'!BV39="Si",$N39,)</f>
        <v>0</v>
      </c>
      <c r="AA39" s="35"/>
      <c r="AB39" s="35">
        <f>IF('CRUDO JUEVES'!BW39="Si",$N39,)</f>
        <v>0</v>
      </c>
      <c r="AC39" s="35"/>
      <c r="AD39" s="35">
        <f>IF('CRUDO JUEVES'!BX39="Si",$N39,)</f>
        <v>0</v>
      </c>
      <c r="AE39" s="35"/>
      <c r="AF39" s="34">
        <v>0</v>
      </c>
      <c r="AG39" s="34" t="s">
        <v>1233</v>
      </c>
      <c r="AH39" s="35">
        <f>IF('CRUDO JUEVES'!BZ39="Si",$N39,)</f>
        <v>0</v>
      </c>
      <c r="AI39" s="35"/>
      <c r="AJ39" s="35">
        <f>IF('CRUDO JUEVES'!CA39="Si",$N39,)</f>
        <v>0</v>
      </c>
      <c r="AK39" s="35"/>
      <c r="AL39" s="35">
        <f>IF('CRUDO JUEVES'!CB39="Si",$N39,)</f>
        <v>0</v>
      </c>
      <c r="AM39" s="35"/>
      <c r="AN39" s="35">
        <f>IF('CRUDO JUEVES'!CC39="Si",$N39,)</f>
        <v>0</v>
      </c>
      <c r="AO39" s="35"/>
      <c r="AP39" s="35">
        <f>IF('CRUDO JUEVES'!CD39="Si",$N39,)</f>
        <v>0</v>
      </c>
      <c r="AQ39" s="35"/>
      <c r="AR39" s="35">
        <f>IF('CRUDO JUEVES'!CE39="Si",$N39,)</f>
        <v>0</v>
      </c>
      <c r="AS39" s="35"/>
      <c r="AT39" s="34">
        <v>0</v>
      </c>
      <c r="AU39" s="34" t="s">
        <v>1287</v>
      </c>
      <c r="AV39" s="35">
        <f>IF('CRUDO JUEVES'!CG39="Si",$N39,)</f>
        <v>0</v>
      </c>
      <c r="AW39" s="35">
        <f>IF('CRUDO JUEVES'!CH39="Si",$N39,)</f>
        <v>0</v>
      </c>
      <c r="AX39" s="35">
        <f>IF('CRUDO JUEVES'!CI39="Si",$N39,)</f>
        <v>0</v>
      </c>
      <c r="AY39" s="35">
        <f>IF('CRUDO JUEVES'!CJ39="Si",$N39,)</f>
        <v>0</v>
      </c>
      <c r="AZ39" s="35">
        <f>IF('CRUDO JUEVES'!CK39="Si",$N39,)</f>
        <v>0</v>
      </c>
      <c r="BA39" s="35">
        <f>IF('CRUDO JUEVES'!CL39="Si",$N39,)</f>
        <v>0</v>
      </c>
      <c r="BB39" s="35"/>
      <c r="BC39" s="35">
        <f>IF('CRUDO JUEVES'!CM39="Si",$N39,)</f>
        <v>0</v>
      </c>
      <c r="BD39" s="35"/>
      <c r="BE39" s="35">
        <f>IF('CRUDO JUEVES'!CN39="Si",$N39,)</f>
        <v>0</v>
      </c>
      <c r="BF39" s="35"/>
      <c r="BG39" s="35">
        <f>IF('CRUDO JUEVES'!CO39="Si",$N39,)</f>
        <v>0</v>
      </c>
      <c r="BH39" s="33"/>
      <c r="BI39" s="33"/>
      <c r="BJ39" s="31" t="s">
        <v>1288</v>
      </c>
      <c r="BK39" s="33"/>
      <c r="BL39" s="33"/>
      <c r="BM39" s="33"/>
      <c r="BN39" s="33"/>
      <c r="BO39" s="33"/>
    </row>
    <row r="40" spans="1:67" ht="13.2" x14ac:dyDescent="0.25">
      <c r="A40" s="22">
        <v>45003.415186446757</v>
      </c>
      <c r="B40" s="23" t="s">
        <v>78</v>
      </c>
      <c r="C40" s="23" t="s">
        <v>79</v>
      </c>
      <c r="D40" s="29" t="s">
        <v>80</v>
      </c>
      <c r="E40" s="23" t="s">
        <v>62</v>
      </c>
      <c r="F40" s="23" t="s">
        <v>81</v>
      </c>
      <c r="G40" s="23" t="s">
        <v>64</v>
      </c>
      <c r="H40" s="23" t="s">
        <v>82</v>
      </c>
      <c r="I40" s="23" t="s">
        <v>83</v>
      </c>
      <c r="J40" s="23" t="s">
        <v>84</v>
      </c>
      <c r="K40" s="23" t="s">
        <v>78</v>
      </c>
      <c r="L40" s="23" t="s">
        <v>67</v>
      </c>
      <c r="M40" s="23" t="s">
        <v>77</v>
      </c>
      <c r="N40" s="23">
        <v>15</v>
      </c>
      <c r="O40" s="23" t="s">
        <v>69</v>
      </c>
      <c r="P40" s="23">
        <v>3</v>
      </c>
      <c r="Q40" s="23">
        <v>2</v>
      </c>
      <c r="R40" s="23">
        <v>40</v>
      </c>
      <c r="S40" s="23" t="s">
        <v>86</v>
      </c>
      <c r="T40" s="23" t="s">
        <v>71</v>
      </c>
      <c r="U40" s="23" t="s">
        <v>70</v>
      </c>
      <c r="V40" s="26" t="s">
        <v>73</v>
      </c>
      <c r="W40" s="27">
        <f>IF('CRUDO JUEVES'!BS40="Si",$N40,)</f>
        <v>0</v>
      </c>
      <c r="X40" s="27">
        <f>IF('CRUDO JUEVES'!BT40="Si",$N40,)</f>
        <v>0</v>
      </c>
      <c r="Y40" s="27">
        <f>IF('CRUDO JUEVES'!BU40="Si",$N40,)</f>
        <v>15</v>
      </c>
      <c r="Z40" s="27">
        <f>IF('CRUDO JUEVES'!BV40="Si",$N40,)</f>
        <v>0</v>
      </c>
      <c r="AA40" s="27"/>
      <c r="AB40" s="27">
        <f>IF('CRUDO JUEVES'!BW40="Si",$N40,)</f>
        <v>0</v>
      </c>
      <c r="AC40" s="27"/>
      <c r="AD40" s="27">
        <f>IF('CRUDO JUEVES'!BX40="Si",$N40,)</f>
        <v>0</v>
      </c>
      <c r="AE40" s="27"/>
      <c r="AF40" s="27">
        <f>IF('CRUDO JUEVES'!BY40="Si",$N40,)</f>
        <v>0</v>
      </c>
      <c r="AG40" s="28"/>
      <c r="AH40" s="28">
        <v>0</v>
      </c>
      <c r="AI40" s="27"/>
      <c r="AJ40" s="27">
        <f>IF('CRUDO JUEVES'!CA40="Si",$N40,)</f>
        <v>15</v>
      </c>
      <c r="AK40" s="28" t="s">
        <v>1227</v>
      </c>
      <c r="AL40" s="27">
        <f>IF('CRUDO JUEVES'!CB40="Si",$N40,)</f>
        <v>0</v>
      </c>
      <c r="AM40" s="27"/>
      <c r="AN40" s="27">
        <f>IF('CRUDO JUEVES'!CC40="Si",$N40,)</f>
        <v>0</v>
      </c>
      <c r="AO40" s="27"/>
      <c r="AP40" s="27">
        <f>IF('CRUDO JUEVES'!CD40="Si",$N40,)</f>
        <v>0</v>
      </c>
      <c r="AQ40" s="28"/>
      <c r="AR40" s="28">
        <v>0</v>
      </c>
      <c r="AS40" s="28"/>
      <c r="AT40" s="28">
        <v>0</v>
      </c>
      <c r="AU40" s="28"/>
      <c r="AV40" s="27">
        <f>IF('CRUDO JUEVES'!CG40="Si",$N40,)</f>
        <v>0</v>
      </c>
      <c r="AW40" s="27">
        <f>IF('CRUDO JUEVES'!CH40="Si",$N40,)</f>
        <v>0</v>
      </c>
      <c r="AX40" s="27">
        <f>IF('CRUDO JUEVES'!CI40="Si",$N40,)</f>
        <v>0</v>
      </c>
      <c r="AY40" s="28">
        <v>0</v>
      </c>
      <c r="AZ40" s="28">
        <v>0</v>
      </c>
      <c r="BA40" s="27">
        <f>IF('CRUDO JUEVES'!CL40="Si",$N40,)</f>
        <v>0</v>
      </c>
      <c r="BB40" s="27"/>
      <c r="BC40" s="27">
        <f>IF('CRUDO JUEVES'!CM40="Si",$N40,)</f>
        <v>0</v>
      </c>
      <c r="BD40" s="28"/>
      <c r="BE40" s="28">
        <v>0</v>
      </c>
      <c r="BF40" s="28"/>
      <c r="BG40" s="28">
        <v>0</v>
      </c>
      <c r="BH40" s="25"/>
      <c r="BI40" s="25"/>
      <c r="BJ40" s="23" t="s">
        <v>1248</v>
      </c>
      <c r="BK40" s="23">
        <v>1</v>
      </c>
      <c r="BL40" s="25"/>
      <c r="BM40" s="25"/>
      <c r="BN40" s="25"/>
      <c r="BO40" s="25"/>
    </row>
    <row r="41" spans="1:67" ht="13.2" hidden="1" x14ac:dyDescent="0.25">
      <c r="A41" s="3">
        <v>45003.473190891207</v>
      </c>
      <c r="B41" s="4" t="s">
        <v>332</v>
      </c>
      <c r="C41" s="4" t="s">
        <v>333</v>
      </c>
      <c r="D41" s="7" t="s">
        <v>327</v>
      </c>
      <c r="E41" s="4" t="s">
        <v>103</v>
      </c>
      <c r="F41" s="4" t="s">
        <v>334</v>
      </c>
      <c r="G41" s="4" t="s">
        <v>105</v>
      </c>
      <c r="H41" s="4" t="s">
        <v>335</v>
      </c>
      <c r="I41" s="4" t="s">
        <v>336</v>
      </c>
      <c r="J41" s="4" t="s">
        <v>337</v>
      </c>
      <c r="K41" s="4" t="s">
        <v>332</v>
      </c>
      <c r="L41" s="4" t="s">
        <v>67</v>
      </c>
      <c r="M41" s="4" t="s">
        <v>228</v>
      </c>
      <c r="N41" s="4">
        <v>0</v>
      </c>
      <c r="O41" s="4" t="s">
        <v>97</v>
      </c>
      <c r="P41" s="4">
        <v>4</v>
      </c>
      <c r="Q41" s="4">
        <v>4</v>
      </c>
      <c r="R41" s="4">
        <v>10</v>
      </c>
      <c r="T41" s="4" t="s">
        <v>70</v>
      </c>
      <c r="U41" s="4" t="s">
        <v>71</v>
      </c>
      <c r="V41" s="6" t="s">
        <v>73</v>
      </c>
      <c r="W41" s="37">
        <f>IF('CRUDO JUEVES'!BS41="Si",$N41,)</f>
        <v>0</v>
      </c>
      <c r="X41" s="37">
        <f>IF('CRUDO JUEVES'!BT41="Si",$N41,)</f>
        <v>0</v>
      </c>
      <c r="Y41" s="37">
        <f>IF('CRUDO JUEVES'!BU41="Si",$N41,)</f>
        <v>0</v>
      </c>
      <c r="Z41" s="37">
        <f>IF('CRUDO JUEVES'!BV41="Si",$N41,)</f>
        <v>0</v>
      </c>
      <c r="AA41" s="37"/>
      <c r="AB41" s="37">
        <f>IF('CRUDO JUEVES'!BW41="Si",$N41,)</f>
        <v>0</v>
      </c>
      <c r="AC41" s="37"/>
      <c r="AD41" s="37">
        <f>IF('CRUDO JUEVES'!BX41="Si",$N41,)</f>
        <v>0</v>
      </c>
      <c r="AE41" s="37"/>
      <c r="AF41" s="37">
        <f>IF('CRUDO JUEVES'!BY41="Si",$N41,)</f>
        <v>0</v>
      </c>
      <c r="AG41" s="37"/>
      <c r="AH41" s="37">
        <f>IF('CRUDO JUEVES'!BZ41="Si",$N41,)</f>
        <v>0</v>
      </c>
      <c r="AI41" s="37"/>
      <c r="AJ41" s="37">
        <f>IF('CRUDO JUEVES'!CA41="Si",$N41,)</f>
        <v>0</v>
      </c>
      <c r="AK41" s="37"/>
      <c r="AL41" s="37">
        <f>IF('CRUDO JUEVES'!CB41="Si",$N41,)</f>
        <v>0</v>
      </c>
      <c r="AM41" s="37"/>
      <c r="AN41" s="37">
        <f>IF('CRUDO JUEVES'!CC41="Si",$N41,)</f>
        <v>0</v>
      </c>
      <c r="AO41" s="37"/>
      <c r="AP41" s="37">
        <f>IF('CRUDO JUEVES'!CD41="Si",$N41,)</f>
        <v>0</v>
      </c>
      <c r="AQ41" s="37"/>
      <c r="AR41" s="37">
        <f>IF('CRUDO JUEVES'!CE41="Si",$N41,)</f>
        <v>0</v>
      </c>
      <c r="AS41" s="37"/>
      <c r="AT41" s="37">
        <f>IF('CRUDO JUEVES'!CF41="Si",$N41,)</f>
        <v>0</v>
      </c>
      <c r="AU41" s="37"/>
      <c r="AV41" s="37">
        <f>IF('CRUDO JUEVES'!CG41="Si",$N41,)</f>
        <v>0</v>
      </c>
      <c r="AW41" s="37">
        <f>IF('CRUDO JUEVES'!CH41="Si",$N41,)</f>
        <v>0</v>
      </c>
      <c r="AX41" s="37">
        <f>IF('CRUDO JUEVES'!CI41="Si",$N41,)</f>
        <v>0</v>
      </c>
      <c r="AY41" s="37">
        <f>IF('CRUDO JUEVES'!CJ41="Si",$N41,)</f>
        <v>0</v>
      </c>
      <c r="AZ41" s="37">
        <f>IF('CRUDO JUEVES'!CK41="Si",$N41,)</f>
        <v>0</v>
      </c>
      <c r="BA41" s="37">
        <f>IF('CRUDO JUEVES'!CL41="Si",$N41,)</f>
        <v>0</v>
      </c>
      <c r="BB41" s="37"/>
      <c r="BC41" s="37">
        <f>IF('CRUDO JUEVES'!CM41="Si",$N41,)</f>
        <v>0</v>
      </c>
      <c r="BD41" s="37"/>
      <c r="BE41" s="37">
        <f>IF('CRUDO JUEVES'!CN41="Si",$N41,)</f>
        <v>0</v>
      </c>
      <c r="BF41" s="37"/>
      <c r="BG41" s="37">
        <f>IF('CRUDO JUEVES'!CO41="Si",$N41,)</f>
        <v>0</v>
      </c>
    </row>
    <row r="42" spans="1:67" ht="13.2" hidden="1" x14ac:dyDescent="0.25">
      <c r="A42" s="30">
        <v>45004.537609432868</v>
      </c>
      <c r="B42" s="31" t="s">
        <v>632</v>
      </c>
      <c r="C42" s="31" t="s">
        <v>633</v>
      </c>
      <c r="D42" s="36" t="s">
        <v>634</v>
      </c>
      <c r="E42" s="31" t="s">
        <v>103</v>
      </c>
      <c r="F42" s="31" t="s">
        <v>635</v>
      </c>
      <c r="G42" s="31" t="s">
        <v>105</v>
      </c>
      <c r="H42" s="31" t="s">
        <v>636</v>
      </c>
      <c r="I42" s="31" t="s">
        <v>637</v>
      </c>
      <c r="J42" s="31" t="s">
        <v>638</v>
      </c>
      <c r="K42" s="31" t="s">
        <v>632</v>
      </c>
      <c r="L42" s="31" t="s">
        <v>67</v>
      </c>
      <c r="M42" s="31" t="s">
        <v>353</v>
      </c>
      <c r="N42" s="31">
        <v>0</v>
      </c>
      <c r="O42" s="31" t="s">
        <v>69</v>
      </c>
      <c r="P42" s="31">
        <v>5</v>
      </c>
      <c r="Q42" s="31">
        <v>5</v>
      </c>
      <c r="R42" s="31">
        <v>20</v>
      </c>
      <c r="S42" s="33"/>
      <c r="T42" s="31" t="s">
        <v>70</v>
      </c>
      <c r="U42" s="31" t="s">
        <v>71</v>
      </c>
      <c r="V42" s="8" t="s">
        <v>73</v>
      </c>
      <c r="W42" s="35">
        <f>IF('CRUDO JUEVES'!BS42="Si",$N42,)</f>
        <v>0</v>
      </c>
      <c r="X42" s="35">
        <f>IF('CRUDO JUEVES'!BT42="Si",$N42,)</f>
        <v>0</v>
      </c>
      <c r="Y42" s="35">
        <f>IF('CRUDO JUEVES'!BU42="Si",$N42,)</f>
        <v>0</v>
      </c>
      <c r="Z42" s="35">
        <f>IF('CRUDO JUEVES'!BV42="Si",$N42,)</f>
        <v>0</v>
      </c>
      <c r="AA42" s="35"/>
      <c r="AB42" s="35">
        <f>IF('CRUDO JUEVES'!BW42="Si",$N42,)</f>
        <v>0</v>
      </c>
      <c r="AC42" s="35"/>
      <c r="AD42" s="35">
        <f>IF('CRUDO JUEVES'!BX42="Si",$N42,)</f>
        <v>0</v>
      </c>
      <c r="AE42" s="35"/>
      <c r="AF42" s="35">
        <f>IF('CRUDO JUEVES'!BY42="Si",$N42,)</f>
        <v>0</v>
      </c>
      <c r="AG42" s="35"/>
      <c r="AH42" s="35">
        <f>IF('CRUDO JUEVES'!BZ42="Si",$N42,)</f>
        <v>0</v>
      </c>
      <c r="AI42" s="35"/>
      <c r="AJ42" s="35">
        <f>IF('CRUDO JUEVES'!CA42="Si",$N42,)</f>
        <v>0</v>
      </c>
      <c r="AK42" s="35"/>
      <c r="AL42" s="35">
        <f>IF('CRUDO JUEVES'!CB42="Si",$N42,)</f>
        <v>0</v>
      </c>
      <c r="AM42" s="35"/>
      <c r="AN42" s="35">
        <f>IF('CRUDO JUEVES'!CC42="Si",$N42,)</f>
        <v>0</v>
      </c>
      <c r="AO42" s="35"/>
      <c r="AP42" s="35">
        <f>IF('CRUDO JUEVES'!CD42="Si",$N42,)</f>
        <v>0</v>
      </c>
      <c r="AQ42" s="35"/>
      <c r="AR42" s="35">
        <f>IF('CRUDO JUEVES'!CE42="Si",$N42,)</f>
        <v>0</v>
      </c>
      <c r="AS42" s="35"/>
      <c r="AT42" s="35">
        <f>IF('CRUDO JUEVES'!CF42="Si",$N42,)</f>
        <v>0</v>
      </c>
      <c r="AU42" s="35"/>
      <c r="AV42" s="35">
        <f>IF('CRUDO JUEVES'!CG42="Si",$N42,)</f>
        <v>0</v>
      </c>
      <c r="AW42" s="35">
        <f>IF('CRUDO JUEVES'!CH42="Si",$N42,)</f>
        <v>0</v>
      </c>
      <c r="AX42" s="35">
        <f>IF('CRUDO JUEVES'!CI42="Si",$N42,)</f>
        <v>0</v>
      </c>
      <c r="AY42" s="35">
        <f>IF('CRUDO JUEVES'!CJ42="Si",$N42,)</f>
        <v>0</v>
      </c>
      <c r="AZ42" s="35">
        <f>IF('CRUDO JUEVES'!CK42="Si",$N42,)</f>
        <v>0</v>
      </c>
      <c r="BA42" s="35">
        <f>IF('CRUDO JUEVES'!CL42="Si",$N42,)</f>
        <v>0</v>
      </c>
      <c r="BB42" s="35"/>
      <c r="BC42" s="35">
        <f>IF('CRUDO JUEVES'!CM42="Si",$N42,)</f>
        <v>0</v>
      </c>
      <c r="BD42" s="35"/>
      <c r="BE42" s="35">
        <f>IF('CRUDO JUEVES'!CN42="Si",$N42,)</f>
        <v>0</v>
      </c>
      <c r="BF42" s="35"/>
      <c r="BG42" s="35">
        <f>IF('CRUDO JUEVES'!CO42="Si",$N42,)</f>
        <v>0</v>
      </c>
      <c r="BH42" s="33"/>
      <c r="BI42" s="33"/>
      <c r="BJ42" s="33"/>
      <c r="BK42" s="33"/>
      <c r="BL42" s="33"/>
      <c r="BM42" s="33"/>
      <c r="BN42" s="33"/>
      <c r="BO42" s="33"/>
    </row>
    <row r="43" spans="1:67" ht="13.2" hidden="1" x14ac:dyDescent="0.25">
      <c r="A43" s="3">
        <v>45005.366519571762</v>
      </c>
      <c r="B43" s="4" t="s">
        <v>876</v>
      </c>
      <c r="C43" s="4" t="s">
        <v>877</v>
      </c>
      <c r="D43" s="5" t="s">
        <v>878</v>
      </c>
      <c r="E43" s="4" t="s">
        <v>149</v>
      </c>
      <c r="F43" s="4" t="s">
        <v>879</v>
      </c>
      <c r="G43" s="4" t="s">
        <v>64</v>
      </c>
      <c r="H43" s="4" t="s">
        <v>880</v>
      </c>
      <c r="I43" s="4" t="s">
        <v>881</v>
      </c>
      <c r="J43" s="4" t="s">
        <v>882</v>
      </c>
      <c r="K43" s="4" t="s">
        <v>876</v>
      </c>
      <c r="L43" s="4" t="s">
        <v>665</v>
      </c>
      <c r="M43" s="4" t="s">
        <v>534</v>
      </c>
      <c r="N43" s="4">
        <v>0</v>
      </c>
      <c r="O43" s="4" t="s">
        <v>97</v>
      </c>
      <c r="P43" s="4">
        <v>5</v>
      </c>
      <c r="Q43" s="4">
        <v>4</v>
      </c>
      <c r="R43" s="4">
        <v>0</v>
      </c>
      <c r="T43" s="4" t="s">
        <v>70</v>
      </c>
      <c r="U43" s="4" t="s">
        <v>71</v>
      </c>
      <c r="V43" s="6" t="s">
        <v>73</v>
      </c>
      <c r="W43" s="37">
        <f>IF('CRUDO JUEVES'!BS43="Si",$N43,)</f>
        <v>0</v>
      </c>
      <c r="X43" s="37">
        <f>IF('CRUDO JUEVES'!BT43="Si",$N43,)</f>
        <v>0</v>
      </c>
      <c r="Y43" s="37">
        <f>IF('CRUDO JUEVES'!BU43="Si",$N43,)</f>
        <v>0</v>
      </c>
      <c r="Z43" s="37">
        <f>IF('CRUDO JUEVES'!BV43="Si",$N43,)</f>
        <v>0</v>
      </c>
      <c r="AA43" s="37"/>
      <c r="AB43" s="37">
        <f>IF('CRUDO JUEVES'!BW43="Si",$N43,)</f>
        <v>0</v>
      </c>
      <c r="AC43" s="37"/>
      <c r="AD43" s="37">
        <f>IF('CRUDO JUEVES'!BX43="Si",$N43,)</f>
        <v>0</v>
      </c>
      <c r="AE43" s="37"/>
      <c r="AF43" s="37">
        <f>IF('CRUDO JUEVES'!BY43="Si",$N43,)</f>
        <v>0</v>
      </c>
      <c r="AG43" s="37"/>
      <c r="AH43" s="37">
        <f>IF('CRUDO JUEVES'!BZ43="Si",$N43,)</f>
        <v>0</v>
      </c>
      <c r="AI43" s="37"/>
      <c r="AJ43" s="37">
        <f>IF('CRUDO JUEVES'!CA43="Si",$N43,)</f>
        <v>0</v>
      </c>
      <c r="AK43" s="37"/>
      <c r="AL43" s="37">
        <f>IF('CRUDO JUEVES'!CB43="Si",$N43,)</f>
        <v>0</v>
      </c>
      <c r="AM43" s="37"/>
      <c r="AN43" s="37">
        <f>IF('CRUDO JUEVES'!CC43="Si",$N43,)</f>
        <v>0</v>
      </c>
      <c r="AO43" s="37"/>
      <c r="AP43" s="37">
        <f>IF('CRUDO JUEVES'!CD43="Si",$N43,)</f>
        <v>0</v>
      </c>
      <c r="AQ43" s="37"/>
      <c r="AR43" s="37">
        <f>IF('CRUDO JUEVES'!CE43="Si",$N43,)</f>
        <v>0</v>
      </c>
      <c r="AS43" s="37"/>
      <c r="AT43" s="37">
        <f>IF('CRUDO JUEVES'!CF43="Si",$N43,)</f>
        <v>0</v>
      </c>
      <c r="AU43" s="37"/>
      <c r="AV43" s="37">
        <f>IF('CRUDO JUEVES'!CG43="Si",$N43,)</f>
        <v>0</v>
      </c>
      <c r="AW43" s="37">
        <f>IF('CRUDO JUEVES'!CH43="Si",$N43,)</f>
        <v>0</v>
      </c>
      <c r="AX43" s="37">
        <f>IF('CRUDO JUEVES'!CI43="Si",$N43,)</f>
        <v>0</v>
      </c>
      <c r="AY43" s="37">
        <f>IF('CRUDO JUEVES'!CJ43="Si",$N43,)</f>
        <v>0</v>
      </c>
      <c r="AZ43" s="37">
        <f>IF('CRUDO JUEVES'!CK43="Si",$N43,)</f>
        <v>0</v>
      </c>
      <c r="BA43" s="37">
        <f>IF('CRUDO JUEVES'!CL43="Si",$N43,)</f>
        <v>0</v>
      </c>
      <c r="BB43" s="37"/>
      <c r="BC43" s="37">
        <f>IF('CRUDO JUEVES'!CM43="Si",$N43,)</f>
        <v>0</v>
      </c>
      <c r="BD43" s="37"/>
      <c r="BE43" s="37">
        <f>IF('CRUDO JUEVES'!CN43="Si",$N43,)</f>
        <v>0</v>
      </c>
      <c r="BF43" s="37"/>
      <c r="BG43" s="37">
        <f>IF('CRUDO JUEVES'!CO43="Si",$N43,)</f>
        <v>0</v>
      </c>
    </row>
    <row r="44" spans="1:67" ht="13.2" x14ac:dyDescent="0.25">
      <c r="A44" s="22">
        <v>45005.480772754629</v>
      </c>
      <c r="B44" s="23" t="s">
        <v>986</v>
      </c>
      <c r="C44" s="23" t="s">
        <v>987</v>
      </c>
      <c r="D44" s="29" t="s">
        <v>988</v>
      </c>
      <c r="E44" s="23" t="s">
        <v>149</v>
      </c>
      <c r="F44" s="23" t="s">
        <v>384</v>
      </c>
      <c r="G44" s="23" t="s">
        <v>64</v>
      </c>
      <c r="H44" s="23" t="s">
        <v>989</v>
      </c>
      <c r="I44" s="23" t="s">
        <v>990</v>
      </c>
      <c r="J44" s="25"/>
      <c r="K44" s="23" t="s">
        <v>986</v>
      </c>
      <c r="L44" s="23" t="s">
        <v>656</v>
      </c>
      <c r="M44" s="23" t="s">
        <v>592</v>
      </c>
      <c r="N44" s="23">
        <v>35</v>
      </c>
      <c r="O44" s="23" t="s">
        <v>69</v>
      </c>
      <c r="P44" s="23">
        <v>5</v>
      </c>
      <c r="Q44" s="23">
        <v>1</v>
      </c>
      <c r="R44" s="23">
        <v>0</v>
      </c>
      <c r="S44" s="23" t="s">
        <v>991</v>
      </c>
      <c r="T44" s="23" t="s">
        <v>70</v>
      </c>
      <c r="U44" s="23" t="s">
        <v>70</v>
      </c>
      <c r="V44" s="26" t="s">
        <v>73</v>
      </c>
      <c r="W44" s="27">
        <f>IF('CRUDO JUEVES'!BS44="Si",$N44,)</f>
        <v>0</v>
      </c>
      <c r="X44" s="27">
        <f>IF('CRUDO JUEVES'!BT44="Si",$N44,)</f>
        <v>35</v>
      </c>
      <c r="Y44" s="27">
        <f>IF('CRUDO JUEVES'!BU44="Si",$N44,)</f>
        <v>0</v>
      </c>
      <c r="Z44" s="27">
        <f>IF('CRUDO JUEVES'!BV44="Si",$N44,)</f>
        <v>0</v>
      </c>
      <c r="AA44" s="27"/>
      <c r="AB44" s="27">
        <f>IF('CRUDO JUEVES'!BW44="Si",$N44,)</f>
        <v>0</v>
      </c>
      <c r="AC44" s="27"/>
      <c r="AD44" s="27">
        <f>IF('CRUDO JUEVES'!BX44="Si",$N44,)</f>
        <v>0</v>
      </c>
      <c r="AE44" s="27"/>
      <c r="AF44" s="27">
        <f>IF('CRUDO JUEVES'!BY44="Si",$N44,)</f>
        <v>35</v>
      </c>
      <c r="AG44" s="28" t="s">
        <v>1227</v>
      </c>
      <c r="AH44" s="27">
        <f>IF('CRUDO JUEVES'!BZ44="Si",$N44,)</f>
        <v>0</v>
      </c>
      <c r="AI44" s="27"/>
      <c r="AJ44" s="27">
        <f>IF('CRUDO JUEVES'!CA44="Si",$N44,)</f>
        <v>0</v>
      </c>
      <c r="AK44" s="28"/>
      <c r="AL44" s="28">
        <v>0</v>
      </c>
      <c r="AM44" s="27"/>
      <c r="AN44" s="27">
        <f>IF('CRUDO JUEVES'!CC44="Si",$N44,)</f>
        <v>0</v>
      </c>
      <c r="AO44" s="27"/>
      <c r="AP44" s="27">
        <f>IF('CRUDO JUEVES'!CD44="Si",$N44,)</f>
        <v>0</v>
      </c>
      <c r="AQ44" s="28"/>
      <c r="AR44" s="28">
        <v>0</v>
      </c>
      <c r="AS44" s="28"/>
      <c r="AT44" s="27">
        <f>IF('CRUDO JUEVES'!CF44="Si",$N44,)</f>
        <v>0</v>
      </c>
      <c r="AU44" s="27"/>
      <c r="AV44" s="27">
        <f>IF('CRUDO JUEVES'!CG44="Si",$N44,)</f>
        <v>0</v>
      </c>
      <c r="AW44" s="28">
        <v>0</v>
      </c>
      <c r="AX44" s="27">
        <f>IF('CRUDO JUEVES'!CI44="Si",$N44,)</f>
        <v>0</v>
      </c>
      <c r="AY44" s="28">
        <v>35</v>
      </c>
      <c r="AZ44" s="27">
        <f>IF('CRUDO JUEVES'!CK44="Si",$N44,)</f>
        <v>0</v>
      </c>
      <c r="BA44" s="27">
        <f>IF('CRUDO JUEVES'!CL44="Si",$N44,)</f>
        <v>0</v>
      </c>
      <c r="BB44" s="27"/>
      <c r="BC44" s="27">
        <f>IF('CRUDO JUEVES'!CM44="Si",$N44,)</f>
        <v>0</v>
      </c>
      <c r="BD44" s="28"/>
      <c r="BE44" s="28">
        <v>0</v>
      </c>
      <c r="BF44" s="27"/>
      <c r="BG44" s="27">
        <f>IF('CRUDO JUEVES'!CO44="Si",$N44,)</f>
        <v>0</v>
      </c>
      <c r="BH44" s="23"/>
      <c r="BI44" s="23" t="s">
        <v>992</v>
      </c>
      <c r="BJ44" s="23" t="s">
        <v>1283</v>
      </c>
      <c r="BK44" s="23">
        <v>1</v>
      </c>
      <c r="BL44" s="25"/>
      <c r="BM44" s="25"/>
      <c r="BN44" s="25"/>
      <c r="BO44" s="25"/>
    </row>
    <row r="45" spans="1:67" ht="13.2" x14ac:dyDescent="0.25">
      <c r="A45" s="22">
        <v>45005.497309247687</v>
      </c>
      <c r="B45" s="23" t="s">
        <v>354</v>
      </c>
      <c r="C45" s="23" t="s">
        <v>355</v>
      </c>
      <c r="D45" s="29" t="s">
        <v>356</v>
      </c>
      <c r="E45" s="23" t="s">
        <v>140</v>
      </c>
      <c r="F45" s="23" t="s">
        <v>362</v>
      </c>
      <c r="G45" s="23" t="s">
        <v>105</v>
      </c>
      <c r="H45" s="23" t="s">
        <v>363</v>
      </c>
      <c r="I45" s="23" t="s">
        <v>359</v>
      </c>
      <c r="J45" s="23" t="s">
        <v>360</v>
      </c>
      <c r="K45" s="23" t="s">
        <v>354</v>
      </c>
      <c r="L45" s="23" t="s">
        <v>67</v>
      </c>
      <c r="M45" s="23" t="s">
        <v>251</v>
      </c>
      <c r="N45" s="23">
        <v>35</v>
      </c>
      <c r="O45" s="23" t="s">
        <v>200</v>
      </c>
      <c r="P45" s="23">
        <v>4</v>
      </c>
      <c r="Q45" s="23">
        <v>4</v>
      </c>
      <c r="R45" s="23">
        <v>30</v>
      </c>
      <c r="S45" s="23" t="s">
        <v>365</v>
      </c>
      <c r="T45" s="23" t="s">
        <v>70</v>
      </c>
      <c r="U45" s="23" t="s">
        <v>71</v>
      </c>
      <c r="V45" s="26" t="s">
        <v>73</v>
      </c>
      <c r="W45" s="27">
        <f>IF('CRUDO JUEVES'!BS45="Si",$N45,)</f>
        <v>0</v>
      </c>
      <c r="X45" s="27">
        <f>IF('CRUDO JUEVES'!BT45="Si",$N45,)</f>
        <v>0</v>
      </c>
      <c r="Y45" s="27">
        <f>IF('CRUDO JUEVES'!BU45="Si",$N45,)</f>
        <v>0</v>
      </c>
      <c r="Z45" s="28">
        <v>35</v>
      </c>
      <c r="AA45" s="28" t="s">
        <v>1289</v>
      </c>
      <c r="AB45" s="27">
        <f>IF('CRUDO JUEVES'!BW45="Si",$N45,)</f>
        <v>35</v>
      </c>
      <c r="AC45" s="28" t="s">
        <v>1233</v>
      </c>
      <c r="AD45" s="27">
        <f>IF('CRUDO JUEVES'!BX45="Si",$N45,)</f>
        <v>0</v>
      </c>
      <c r="AE45" s="27"/>
      <c r="AF45" s="27">
        <f>IF('CRUDO JUEVES'!BY45="Si",$N45,)</f>
        <v>0</v>
      </c>
      <c r="AG45" s="27"/>
      <c r="AH45" s="27">
        <f>IF('CRUDO JUEVES'!BZ45="Si",$N45,)</f>
        <v>0</v>
      </c>
      <c r="AI45" s="27"/>
      <c r="AJ45" s="27">
        <f>IF('CRUDO JUEVES'!CA45="Si",$N45,)</f>
        <v>0</v>
      </c>
      <c r="AK45" s="27"/>
      <c r="AL45" s="27">
        <f>IF('CRUDO JUEVES'!CB45="Si",$N45,)</f>
        <v>0</v>
      </c>
      <c r="AM45" s="27"/>
      <c r="AN45" s="27">
        <f>IF('CRUDO JUEVES'!CC45="Si",$N45,)</f>
        <v>0</v>
      </c>
      <c r="AO45" s="27"/>
      <c r="AP45" s="27">
        <f>IF('CRUDO JUEVES'!CD45="Si",$N45,)</f>
        <v>35</v>
      </c>
      <c r="AQ45" s="28" t="s">
        <v>1228</v>
      </c>
      <c r="AR45" s="27">
        <f>IF('CRUDO JUEVES'!CE45="Si",$N45,)</f>
        <v>0</v>
      </c>
      <c r="AS45" s="27"/>
      <c r="AT45" s="27">
        <f>IF('CRUDO JUEVES'!CF45="Si",$N45,)</f>
        <v>0</v>
      </c>
      <c r="AU45" s="27"/>
      <c r="AV45" s="28">
        <v>0</v>
      </c>
      <c r="AW45" s="27">
        <f>IF('CRUDO JUEVES'!CH45="Si",$N45,)</f>
        <v>0</v>
      </c>
      <c r="AX45" s="27">
        <f>IF('CRUDO JUEVES'!CI45="Si",$N45,)</f>
        <v>0</v>
      </c>
      <c r="AY45" s="27">
        <f>IF('CRUDO JUEVES'!CJ45="Si",$N45,)</f>
        <v>0</v>
      </c>
      <c r="AZ45" s="27">
        <f>IF('CRUDO JUEVES'!CK45="Si",$N45,)</f>
        <v>0</v>
      </c>
      <c r="BA45" s="27">
        <f>IF('CRUDO JUEVES'!CL45="Si",$N45,)</f>
        <v>0</v>
      </c>
      <c r="BB45" s="27"/>
      <c r="BC45" s="27">
        <f>IF('CRUDO JUEVES'!CM45="Si",$N45,)</f>
        <v>0</v>
      </c>
      <c r="BD45" s="27"/>
      <c r="BE45" s="27">
        <f>IF('CRUDO JUEVES'!CN45="Si",$N45,)</f>
        <v>0</v>
      </c>
      <c r="BF45" s="27"/>
      <c r="BG45" s="27">
        <f>IF('CRUDO JUEVES'!CO45="Si",$N45,)</f>
        <v>0</v>
      </c>
      <c r="BH45" s="23"/>
      <c r="BI45" s="23" t="s">
        <v>366</v>
      </c>
      <c r="BJ45" s="23" t="s">
        <v>1263</v>
      </c>
      <c r="BK45" s="23">
        <v>1</v>
      </c>
      <c r="BL45" s="25"/>
      <c r="BM45" s="25"/>
      <c r="BN45" s="25"/>
      <c r="BO45" s="25"/>
    </row>
    <row r="46" spans="1:67" ht="13.2" x14ac:dyDescent="0.25">
      <c r="A46" s="22">
        <v>45005.501624016208</v>
      </c>
      <c r="B46" s="23" t="s">
        <v>354</v>
      </c>
      <c r="C46" s="23" t="s">
        <v>355</v>
      </c>
      <c r="D46" s="29" t="s">
        <v>356</v>
      </c>
      <c r="E46" s="23" t="s">
        <v>140</v>
      </c>
      <c r="F46" s="23" t="s">
        <v>362</v>
      </c>
      <c r="G46" s="23" t="s">
        <v>105</v>
      </c>
      <c r="H46" s="23" t="s">
        <v>358</v>
      </c>
      <c r="I46" s="23" t="s">
        <v>359</v>
      </c>
      <c r="J46" s="23" t="s">
        <v>360</v>
      </c>
      <c r="K46" s="23" t="s">
        <v>354</v>
      </c>
      <c r="L46" s="23" t="s">
        <v>67</v>
      </c>
      <c r="M46" s="23" t="s">
        <v>251</v>
      </c>
      <c r="N46" s="23">
        <v>35</v>
      </c>
      <c r="O46" s="23" t="s">
        <v>97</v>
      </c>
      <c r="P46" s="23">
        <v>4</v>
      </c>
      <c r="Q46" s="23">
        <v>4</v>
      </c>
      <c r="R46" s="23">
        <v>30</v>
      </c>
      <c r="S46" s="25"/>
      <c r="T46" s="23" t="s">
        <v>70</v>
      </c>
      <c r="U46" s="23" t="s">
        <v>71</v>
      </c>
      <c r="V46" s="26" t="s">
        <v>73</v>
      </c>
      <c r="W46" s="27">
        <f>IF('CRUDO JUEVES'!BS46="Si",$N46,)</f>
        <v>0</v>
      </c>
      <c r="X46" s="27">
        <f>IF('CRUDO JUEVES'!BT46="Si",$N46,)</f>
        <v>0</v>
      </c>
      <c r="Y46" s="27">
        <f>IF('CRUDO JUEVES'!BU46="Si",$N46,)</f>
        <v>0</v>
      </c>
      <c r="Z46" s="28"/>
      <c r="AA46" s="28"/>
      <c r="AB46" s="27">
        <f>IF('CRUDO JUEVES'!BW46="Si",$N46,)</f>
        <v>35</v>
      </c>
      <c r="AC46" s="28" t="s">
        <v>1290</v>
      </c>
      <c r="AD46" s="27">
        <f>IF('CRUDO JUEVES'!BX46="Si",$N46,)</f>
        <v>0</v>
      </c>
      <c r="AE46" s="27"/>
      <c r="AF46" s="27">
        <f>IF('CRUDO JUEVES'!BY46="Si",$N46,)</f>
        <v>0</v>
      </c>
      <c r="AG46" s="27"/>
      <c r="AH46" s="27">
        <f>IF('CRUDO JUEVES'!BZ46="Si",$N46,)</f>
        <v>0</v>
      </c>
      <c r="AI46" s="27"/>
      <c r="AJ46" s="27">
        <f>IF('CRUDO JUEVES'!CA46="Si",$N46,)</f>
        <v>0</v>
      </c>
      <c r="AK46" s="27"/>
      <c r="AL46" s="27">
        <f>IF('CRUDO JUEVES'!CB46="Si",$N46,)</f>
        <v>0</v>
      </c>
      <c r="AM46" s="27"/>
      <c r="AN46" s="27">
        <f>IF('CRUDO JUEVES'!CC46="Si",$N46,)</f>
        <v>0</v>
      </c>
      <c r="AO46" s="27"/>
      <c r="AP46" s="27">
        <f>IF('CRUDO JUEVES'!CD46="Si",$N46,)</f>
        <v>35</v>
      </c>
      <c r="AQ46" s="28" t="s">
        <v>1282</v>
      </c>
      <c r="AR46" s="27">
        <f>IF('CRUDO JUEVES'!CE46="Si",$N46,)</f>
        <v>0</v>
      </c>
      <c r="AS46" s="27"/>
      <c r="AT46" s="27">
        <f>IF('CRUDO JUEVES'!CF46="Si",$N46,)</f>
        <v>0</v>
      </c>
      <c r="AU46" s="27"/>
      <c r="AV46" s="28">
        <v>35</v>
      </c>
      <c r="AW46" s="27">
        <f>IF('CRUDO JUEVES'!CH46="Si",$N46,)</f>
        <v>0</v>
      </c>
      <c r="AX46" s="27">
        <f>IF('CRUDO JUEVES'!CI46="Si",$N46,)</f>
        <v>0</v>
      </c>
      <c r="AY46" s="27">
        <f>IF('CRUDO JUEVES'!CJ46="Si",$N46,)</f>
        <v>0</v>
      </c>
      <c r="AZ46" s="27">
        <f>IF('CRUDO JUEVES'!CK46="Si",$N46,)</f>
        <v>0</v>
      </c>
      <c r="BA46" s="27">
        <f>IF('CRUDO JUEVES'!CL46="Si",$N46,)</f>
        <v>0</v>
      </c>
      <c r="BB46" s="27"/>
      <c r="BC46" s="27">
        <f>IF('CRUDO JUEVES'!CM46="Si",$N46,)</f>
        <v>0</v>
      </c>
      <c r="BD46" s="27"/>
      <c r="BE46" s="27">
        <f>IF('CRUDO JUEVES'!CN46="Si",$N46,)</f>
        <v>0</v>
      </c>
      <c r="BF46" s="27"/>
      <c r="BG46" s="27">
        <f>IF('CRUDO JUEVES'!CO46="Si",$N46,)</f>
        <v>0</v>
      </c>
      <c r="BH46" s="23"/>
      <c r="BI46" s="23" t="s">
        <v>368</v>
      </c>
      <c r="BJ46" s="23" t="s">
        <v>1263</v>
      </c>
      <c r="BK46" s="23">
        <v>1</v>
      </c>
      <c r="BL46" s="25"/>
      <c r="BM46" s="25"/>
      <c r="BN46" s="25"/>
      <c r="BO46" s="25"/>
    </row>
    <row r="47" spans="1:67" ht="13.2" hidden="1" x14ac:dyDescent="0.25">
      <c r="A47" s="30">
        <v>45005.509885416672</v>
      </c>
      <c r="B47" s="31" t="s">
        <v>728</v>
      </c>
      <c r="C47" s="31" t="s">
        <v>729</v>
      </c>
      <c r="D47" s="36" t="s">
        <v>730</v>
      </c>
      <c r="E47" s="31" t="s">
        <v>149</v>
      </c>
      <c r="F47" s="31" t="s">
        <v>731</v>
      </c>
      <c r="G47" s="31" t="s">
        <v>64</v>
      </c>
      <c r="H47" s="31" t="s">
        <v>732</v>
      </c>
      <c r="I47" s="31" t="s">
        <v>733</v>
      </c>
      <c r="J47" s="31" t="s">
        <v>734</v>
      </c>
      <c r="K47" s="31" t="s">
        <v>728</v>
      </c>
      <c r="L47" s="31" t="s">
        <v>656</v>
      </c>
      <c r="M47" s="31" t="s">
        <v>423</v>
      </c>
      <c r="N47" s="31">
        <v>0</v>
      </c>
      <c r="O47" s="31" t="s">
        <v>69</v>
      </c>
      <c r="P47" s="31">
        <v>3</v>
      </c>
      <c r="Q47" s="31">
        <v>3</v>
      </c>
      <c r="R47" s="31">
        <v>50</v>
      </c>
      <c r="S47" s="31" t="s">
        <v>735</v>
      </c>
      <c r="T47" s="31" t="s">
        <v>70</v>
      </c>
      <c r="U47" s="31" t="s">
        <v>70</v>
      </c>
      <c r="V47" s="8" t="s">
        <v>73</v>
      </c>
      <c r="W47" s="35">
        <f>IF('CRUDO JUEVES'!BS47="Si",$N47,)</f>
        <v>0</v>
      </c>
      <c r="X47" s="35">
        <f>IF('CRUDO JUEVES'!BT47="Si",$N47,)</f>
        <v>0</v>
      </c>
      <c r="Y47" s="35">
        <f>IF('CRUDO JUEVES'!BU47="Si",$N47,)</f>
        <v>0</v>
      </c>
      <c r="Z47" s="35">
        <f>IF('CRUDO JUEVES'!BV47="Si",$N47,)</f>
        <v>0</v>
      </c>
      <c r="AA47" s="35"/>
      <c r="AB47" s="35">
        <f>IF('CRUDO JUEVES'!BW47="Si",$N47,)</f>
        <v>0</v>
      </c>
      <c r="AC47" s="35"/>
      <c r="AD47" s="35">
        <f>IF('CRUDO JUEVES'!BX47="Si",$N47,)</f>
        <v>0</v>
      </c>
      <c r="AE47" s="35"/>
      <c r="AF47" s="35">
        <f>IF('CRUDO JUEVES'!BY47="Si",$N47,)</f>
        <v>0</v>
      </c>
      <c r="AG47" s="35"/>
      <c r="AH47" s="35">
        <f>IF('CRUDO JUEVES'!BZ47="Si",$N47,)</f>
        <v>0</v>
      </c>
      <c r="AI47" s="35"/>
      <c r="AJ47" s="35">
        <f>IF('CRUDO JUEVES'!CA47="Si",$N47,)</f>
        <v>0</v>
      </c>
      <c r="AK47" s="35"/>
      <c r="AL47" s="35">
        <f>IF('CRUDO JUEVES'!CB47="Si",$N47,)</f>
        <v>0</v>
      </c>
      <c r="AM47" s="35"/>
      <c r="AN47" s="35">
        <f>IF('CRUDO JUEVES'!CC47="Si",$N47,)</f>
        <v>0</v>
      </c>
      <c r="AO47" s="34"/>
      <c r="AP47" s="34">
        <v>0</v>
      </c>
      <c r="AQ47" s="35"/>
      <c r="AR47" s="35">
        <f>IF('CRUDO JUEVES'!CE47="Si",$N47,)</f>
        <v>0</v>
      </c>
      <c r="AS47" s="35"/>
      <c r="AT47" s="35">
        <f>IF('CRUDO JUEVES'!CF47="Si",$N47,)</f>
        <v>0</v>
      </c>
      <c r="AU47" s="35"/>
      <c r="AV47" s="35">
        <f>IF('CRUDO JUEVES'!CG47="Si",$N47,)</f>
        <v>0</v>
      </c>
      <c r="AW47" s="35">
        <f>IF('CRUDO JUEVES'!CH47="Si",$N47,)</f>
        <v>0</v>
      </c>
      <c r="AX47" s="35">
        <f>IF('CRUDO JUEVES'!CI47="Si",$N47,)</f>
        <v>0</v>
      </c>
      <c r="AY47" s="35">
        <f>IF('CRUDO JUEVES'!CJ47="Si",$N47,)</f>
        <v>0</v>
      </c>
      <c r="AZ47" s="34">
        <v>0</v>
      </c>
      <c r="BA47" s="35">
        <f>IF('CRUDO JUEVES'!CL47="Si",$N47,)</f>
        <v>0</v>
      </c>
      <c r="BB47" s="35"/>
      <c r="BC47" s="35">
        <f>IF('CRUDO JUEVES'!CM47="Si",$N47,)</f>
        <v>0</v>
      </c>
      <c r="BD47" s="35"/>
      <c r="BE47" s="35">
        <f>IF('CRUDO JUEVES'!CN47="Si",$N47,)</f>
        <v>0</v>
      </c>
      <c r="BF47" s="35"/>
      <c r="BG47" s="35">
        <f>IF('CRUDO JUEVES'!CO47="Si",$N47,)</f>
        <v>0</v>
      </c>
      <c r="BH47" s="33"/>
      <c r="BI47" s="33"/>
      <c r="BJ47" s="31" t="s">
        <v>1242</v>
      </c>
      <c r="BK47" s="33"/>
      <c r="BL47" s="33"/>
      <c r="BM47" s="33"/>
      <c r="BN47" s="33"/>
      <c r="BO47" s="33"/>
    </row>
    <row r="48" spans="1:67" ht="13.2" x14ac:dyDescent="0.25">
      <c r="A48" s="22">
        <v>45005.519819282403</v>
      </c>
      <c r="B48" s="23" t="s">
        <v>1205</v>
      </c>
      <c r="C48" s="23" t="s">
        <v>1206</v>
      </c>
      <c r="D48" s="24" t="s">
        <v>1207</v>
      </c>
      <c r="E48" s="23" t="s">
        <v>103</v>
      </c>
      <c r="F48" s="23" t="s">
        <v>1208</v>
      </c>
      <c r="G48" s="23" t="s">
        <v>105</v>
      </c>
      <c r="H48" s="23" t="s">
        <v>1209</v>
      </c>
      <c r="I48" s="23" t="s">
        <v>1210</v>
      </c>
      <c r="J48" s="25"/>
      <c r="K48" s="23" t="s">
        <v>1205</v>
      </c>
      <c r="L48" s="23" t="s">
        <v>656</v>
      </c>
      <c r="M48" s="23" t="s">
        <v>1211</v>
      </c>
      <c r="N48" s="23">
        <v>30</v>
      </c>
      <c r="O48" s="23" t="s">
        <v>69</v>
      </c>
      <c r="P48" s="23">
        <v>3</v>
      </c>
      <c r="Q48" s="23">
        <v>3</v>
      </c>
      <c r="R48" s="23">
        <v>70</v>
      </c>
      <c r="S48" s="25"/>
      <c r="T48" s="23" t="s">
        <v>71</v>
      </c>
      <c r="U48" s="23" t="s">
        <v>71</v>
      </c>
      <c r="V48" s="26" t="s">
        <v>73</v>
      </c>
      <c r="W48" s="28">
        <v>0</v>
      </c>
      <c r="X48" s="27">
        <f>IF('CRUDO JUEVES'!BT48="Si",$N48,)</f>
        <v>30</v>
      </c>
      <c r="Y48" s="28">
        <v>30</v>
      </c>
      <c r="Z48" s="27">
        <f>IF('CRUDO JUEVES'!BV48="Si",$N48,)</f>
        <v>0</v>
      </c>
      <c r="AA48" s="27"/>
      <c r="AB48" s="27">
        <f>IF('CRUDO JUEVES'!BW48="Si",$N48,)</f>
        <v>0</v>
      </c>
      <c r="AC48" s="27"/>
      <c r="AD48" s="27">
        <f>IF('CRUDO JUEVES'!BX48="Si",$N48,)</f>
        <v>0</v>
      </c>
      <c r="AE48" s="27"/>
      <c r="AF48" s="27">
        <f>IF('CRUDO JUEVES'!BY48="Si",$N48,)</f>
        <v>30</v>
      </c>
      <c r="AG48" s="28" t="s">
        <v>1227</v>
      </c>
      <c r="AH48" s="27">
        <f>IF('CRUDO JUEVES'!BZ48="Si",$N48,)</f>
        <v>0</v>
      </c>
      <c r="AI48" s="27"/>
      <c r="AJ48" s="27">
        <f>IF('CRUDO JUEVES'!CA48="Si",$N48,)</f>
        <v>0</v>
      </c>
      <c r="AK48" s="27"/>
      <c r="AL48" s="27">
        <f>IF('CRUDO JUEVES'!CB48="Si",$N48,)</f>
        <v>0</v>
      </c>
      <c r="AM48" s="27"/>
      <c r="AN48" s="27">
        <f>IF('CRUDO JUEVES'!CC48="Si",$N48,)</f>
        <v>0</v>
      </c>
      <c r="AO48" s="27"/>
      <c r="AP48" s="27">
        <f>IF('CRUDO JUEVES'!CD48="Si",$N48,)</f>
        <v>0</v>
      </c>
      <c r="AQ48" s="27"/>
      <c r="AR48" s="27">
        <f>IF('CRUDO JUEVES'!CE48="Si",$N48,)</f>
        <v>0</v>
      </c>
      <c r="AS48" s="27"/>
      <c r="AT48" s="28">
        <v>0</v>
      </c>
      <c r="AU48" s="28"/>
      <c r="AV48" s="27">
        <f>IF('CRUDO JUEVES'!CG48="Si",$N48,)</f>
        <v>0</v>
      </c>
      <c r="AW48" s="27">
        <f>IF('CRUDO JUEVES'!CH48="Si",$N48,)</f>
        <v>0</v>
      </c>
      <c r="AX48" s="27">
        <f>IF('CRUDO JUEVES'!CI48="Si",$N48,)</f>
        <v>0</v>
      </c>
      <c r="AY48" s="28">
        <v>0</v>
      </c>
      <c r="AZ48" s="27">
        <f>IF('CRUDO JUEVES'!CK48="Si",$N48,)</f>
        <v>0</v>
      </c>
      <c r="BA48" s="27">
        <f>IF('CRUDO JUEVES'!CL48="Si",$N48,)</f>
        <v>0</v>
      </c>
      <c r="BB48" s="27"/>
      <c r="BC48" s="27">
        <f>IF('CRUDO JUEVES'!CM48="Si",$N48,)</f>
        <v>0</v>
      </c>
      <c r="BD48" s="27"/>
      <c r="BE48" s="27">
        <f>IF('CRUDO JUEVES'!CN48="Si",$N48,)</f>
        <v>0</v>
      </c>
      <c r="BF48" s="27"/>
      <c r="BG48" s="27">
        <f>IF('CRUDO JUEVES'!CO48="Si",$N48,)</f>
        <v>0</v>
      </c>
      <c r="BH48" s="23"/>
      <c r="BI48" s="23" t="s">
        <v>1212</v>
      </c>
      <c r="BJ48" s="23" t="s">
        <v>1245</v>
      </c>
      <c r="BK48" s="23">
        <v>1</v>
      </c>
      <c r="BL48" s="25"/>
      <c r="BM48" s="25"/>
      <c r="BN48" s="25"/>
      <c r="BO48" s="25"/>
    </row>
    <row r="49" spans="1:67" ht="13.2" hidden="1" x14ac:dyDescent="0.25">
      <c r="A49" s="30">
        <v>45005.552069733792</v>
      </c>
      <c r="B49" s="31" t="s">
        <v>88</v>
      </c>
      <c r="C49" s="31" t="s">
        <v>89</v>
      </c>
      <c r="D49" s="32" t="s">
        <v>90</v>
      </c>
      <c r="E49" s="31" t="s">
        <v>91</v>
      </c>
      <c r="F49" s="31" t="s">
        <v>92</v>
      </c>
      <c r="G49" s="31" t="s">
        <v>64</v>
      </c>
      <c r="H49" s="31" t="s">
        <v>93</v>
      </c>
      <c r="I49" s="31" t="s">
        <v>94</v>
      </c>
      <c r="J49" s="31" t="s">
        <v>95</v>
      </c>
      <c r="K49" s="31" t="s">
        <v>88</v>
      </c>
      <c r="L49" s="31" t="s">
        <v>67</v>
      </c>
      <c r="M49" s="31" t="s">
        <v>85</v>
      </c>
      <c r="N49" s="31">
        <v>0</v>
      </c>
      <c r="O49" s="31" t="s">
        <v>97</v>
      </c>
      <c r="P49" s="31">
        <v>5</v>
      </c>
      <c r="Q49" s="31">
        <v>4</v>
      </c>
      <c r="R49" s="31">
        <v>0</v>
      </c>
      <c r="S49" s="33"/>
      <c r="T49" s="31" t="s">
        <v>70</v>
      </c>
      <c r="U49" s="31" t="s">
        <v>71</v>
      </c>
      <c r="V49" s="8" t="s">
        <v>73</v>
      </c>
      <c r="W49" s="35">
        <f>IF('CRUDO JUEVES'!BS49="Si",$N49,)</f>
        <v>0</v>
      </c>
      <c r="X49" s="35">
        <f>IF('CRUDO JUEVES'!BT49="Si",$N49,)</f>
        <v>0</v>
      </c>
      <c r="Y49" s="35">
        <f>IF('CRUDO JUEVES'!BU49="Si",$N49,)</f>
        <v>0</v>
      </c>
      <c r="Z49" s="35">
        <f>IF('CRUDO JUEVES'!BV49="Si",$N49,)</f>
        <v>0</v>
      </c>
      <c r="AA49" s="35"/>
      <c r="AB49" s="35">
        <f>IF('CRUDO JUEVES'!BW49="Si",$N49,)</f>
        <v>0</v>
      </c>
      <c r="AC49" s="35"/>
      <c r="AD49" s="35">
        <f>IF('CRUDO JUEVES'!BX49="Si",$N49,)</f>
        <v>0</v>
      </c>
      <c r="AE49" s="35"/>
      <c r="AF49" s="35">
        <f>IF('CRUDO JUEVES'!BY49="Si",$N49,)</f>
        <v>0</v>
      </c>
      <c r="AG49" s="35"/>
      <c r="AH49" s="35">
        <f>IF('CRUDO JUEVES'!BZ49="Si",$N49,)</f>
        <v>0</v>
      </c>
      <c r="AI49" s="35"/>
      <c r="AJ49" s="35">
        <f>IF('CRUDO JUEVES'!CA49="Si",$N49,)</f>
        <v>0</v>
      </c>
      <c r="AK49" s="35"/>
      <c r="AL49" s="35">
        <f>IF('CRUDO JUEVES'!CB49="Si",$N49,)</f>
        <v>0</v>
      </c>
      <c r="AM49" s="35"/>
      <c r="AN49" s="35">
        <f>IF('CRUDO JUEVES'!CC49="Si",$N49,)</f>
        <v>0</v>
      </c>
      <c r="AO49" s="35"/>
      <c r="AP49" s="35">
        <f>IF('CRUDO JUEVES'!CD49="Si",$N49,)</f>
        <v>0</v>
      </c>
      <c r="AQ49" s="35"/>
      <c r="AR49" s="35">
        <f>IF('CRUDO JUEVES'!CE49="Si",$N49,)</f>
        <v>0</v>
      </c>
      <c r="AS49" s="35"/>
      <c r="AT49" s="35">
        <f>IF('CRUDO JUEVES'!CF49="Si",$N49,)</f>
        <v>0</v>
      </c>
      <c r="AU49" s="35"/>
      <c r="AV49" s="35">
        <f>IF('CRUDO JUEVES'!CG49="Si",$N49,)</f>
        <v>0</v>
      </c>
      <c r="AW49" s="35">
        <f>IF('CRUDO JUEVES'!CH49="Si",$N49,)</f>
        <v>0</v>
      </c>
      <c r="AX49" s="35">
        <f>IF('CRUDO JUEVES'!CI49="Si",$N49,)</f>
        <v>0</v>
      </c>
      <c r="AY49" s="35">
        <f>IF('CRUDO JUEVES'!CJ49="Si",$N49,)</f>
        <v>0</v>
      </c>
      <c r="AZ49" s="35">
        <f>IF('CRUDO JUEVES'!CK49="Si",$N49,)</f>
        <v>0</v>
      </c>
      <c r="BA49" s="35">
        <f>IF('CRUDO JUEVES'!CL49="Si",$N49,)</f>
        <v>0</v>
      </c>
      <c r="BB49" s="35"/>
      <c r="BC49" s="35">
        <f>IF('CRUDO JUEVES'!CM49="Si",$N49,)</f>
        <v>0</v>
      </c>
      <c r="BD49" s="35"/>
      <c r="BE49" s="35">
        <f>IF('CRUDO JUEVES'!CN49="Si",$N49,)</f>
        <v>0</v>
      </c>
      <c r="BF49" s="35"/>
      <c r="BG49" s="35">
        <f>IF('CRUDO JUEVES'!CO49="Si",$N49,)</f>
        <v>0</v>
      </c>
      <c r="BH49" s="33"/>
      <c r="BI49" s="33"/>
      <c r="BJ49" s="33"/>
      <c r="BK49" s="33"/>
      <c r="BL49" s="33"/>
      <c r="BM49" s="33"/>
      <c r="BN49" s="33"/>
      <c r="BO49" s="33"/>
    </row>
    <row r="50" spans="1:67" ht="13.2" x14ac:dyDescent="0.25">
      <c r="A50" s="22">
        <v>45005.588681226851</v>
      </c>
      <c r="B50" s="23" t="s">
        <v>213</v>
      </c>
      <c r="C50" s="23" t="s">
        <v>214</v>
      </c>
      <c r="D50" s="24" t="s">
        <v>215</v>
      </c>
      <c r="E50" s="23" t="s">
        <v>62</v>
      </c>
      <c r="F50" s="23" t="s">
        <v>216</v>
      </c>
      <c r="G50" s="23" t="s">
        <v>105</v>
      </c>
      <c r="H50" s="23" t="s">
        <v>217</v>
      </c>
      <c r="I50" s="23" t="s">
        <v>218</v>
      </c>
      <c r="J50" s="23" t="s">
        <v>219</v>
      </c>
      <c r="K50" s="23" t="s">
        <v>213</v>
      </c>
      <c r="L50" s="23" t="s">
        <v>67</v>
      </c>
      <c r="M50" s="23" t="s">
        <v>176</v>
      </c>
      <c r="N50" s="23">
        <v>35</v>
      </c>
      <c r="O50" s="23" t="s">
        <v>69</v>
      </c>
      <c r="P50" s="23">
        <v>4</v>
      </c>
      <c r="Q50" s="23">
        <v>4</v>
      </c>
      <c r="R50" s="23">
        <v>40</v>
      </c>
      <c r="S50" s="25"/>
      <c r="T50" s="23" t="s">
        <v>70</v>
      </c>
      <c r="U50" s="23" t="s">
        <v>71</v>
      </c>
      <c r="V50" s="26" t="s">
        <v>73</v>
      </c>
      <c r="W50" s="27">
        <f>IF('CRUDO JUEVES'!BS50="Si",$N50,)</f>
        <v>35</v>
      </c>
      <c r="X50" s="27">
        <f>IF('CRUDO JUEVES'!BT50="Si",$N50,)</f>
        <v>0</v>
      </c>
      <c r="Y50" s="27">
        <f>IF('CRUDO JUEVES'!BU50="Si",$N50,)</f>
        <v>0</v>
      </c>
      <c r="Z50" s="27">
        <f>IF('CRUDO JUEVES'!BV50="Si",$N50,)</f>
        <v>0</v>
      </c>
      <c r="AA50" s="28"/>
      <c r="AB50" s="28">
        <v>0</v>
      </c>
      <c r="AC50" s="28"/>
      <c r="AD50" s="28">
        <v>35</v>
      </c>
      <c r="AE50" s="28" t="s">
        <v>1227</v>
      </c>
      <c r="AF50" s="27">
        <f>IF('CRUDO JUEVES'!BY50="Si",$N50,)</f>
        <v>0</v>
      </c>
      <c r="AG50" s="27"/>
      <c r="AH50" s="27">
        <f>IF('CRUDO JUEVES'!BZ50="Si",$N50,)</f>
        <v>0</v>
      </c>
      <c r="AI50" s="27"/>
      <c r="AJ50" s="27">
        <f>IF('CRUDO JUEVES'!CA50="Si",$N50,)</f>
        <v>0</v>
      </c>
      <c r="AK50" s="27"/>
      <c r="AL50" s="27">
        <f>IF('CRUDO JUEVES'!CB50="Si",$N50,)</f>
        <v>0</v>
      </c>
      <c r="AM50" s="27"/>
      <c r="AN50" s="28">
        <v>35</v>
      </c>
      <c r="AO50" s="28" t="s">
        <v>1265</v>
      </c>
      <c r="AP50" s="28">
        <v>0</v>
      </c>
      <c r="AQ50" s="27"/>
      <c r="AR50" s="27">
        <f>IF('CRUDO JUEVES'!CE50="Si",$N50,)</f>
        <v>0</v>
      </c>
      <c r="AS50" s="27"/>
      <c r="AT50" s="27">
        <f>IF('CRUDO JUEVES'!CF50="Si",$N50,)</f>
        <v>0</v>
      </c>
      <c r="AU50" s="27"/>
      <c r="AV50" s="27">
        <f>IF('CRUDO JUEVES'!CG50="Si",$N50,)</f>
        <v>0</v>
      </c>
      <c r="AW50" s="27">
        <f>IF('CRUDO JUEVES'!CH50="Si",$N50,)</f>
        <v>0</v>
      </c>
      <c r="AX50" s="27">
        <f>IF('CRUDO JUEVES'!CI50="Si",$N50,)</f>
        <v>0</v>
      </c>
      <c r="AY50" s="27">
        <f>IF('CRUDO JUEVES'!CJ50="Si",$N50,)</f>
        <v>0</v>
      </c>
      <c r="AZ50" s="27">
        <f>IF('CRUDO JUEVES'!CK50="Si",$N50,)</f>
        <v>0</v>
      </c>
      <c r="BA50" s="28">
        <v>0</v>
      </c>
      <c r="BB50" s="27"/>
      <c r="BC50" s="28">
        <v>0</v>
      </c>
      <c r="BD50" s="28"/>
      <c r="BE50" s="27">
        <f>IF('CRUDO JUEVES'!CN50="Si",$N50,)</f>
        <v>0</v>
      </c>
      <c r="BF50" s="27"/>
      <c r="BG50" s="27">
        <f>IF('CRUDO JUEVES'!CO50="Si",$N50,)</f>
        <v>0</v>
      </c>
      <c r="BH50" s="25"/>
      <c r="BI50" s="25"/>
      <c r="BJ50" s="23" t="s">
        <v>1263</v>
      </c>
      <c r="BK50" s="23">
        <v>1</v>
      </c>
      <c r="BL50" s="25"/>
      <c r="BM50" s="25"/>
      <c r="BN50" s="25"/>
      <c r="BO50" s="25"/>
    </row>
    <row r="51" spans="1:67" ht="13.2" hidden="1" x14ac:dyDescent="0.25">
      <c r="A51" s="30">
        <v>45005.654650277778</v>
      </c>
      <c r="B51" s="31" t="s">
        <v>815</v>
      </c>
      <c r="C51" s="31" t="s">
        <v>816</v>
      </c>
      <c r="D51" s="8" t="s">
        <v>817</v>
      </c>
      <c r="E51" s="31" t="s">
        <v>140</v>
      </c>
      <c r="F51" s="31" t="s">
        <v>818</v>
      </c>
      <c r="G51" s="31" t="s">
        <v>64</v>
      </c>
      <c r="H51" s="31" t="s">
        <v>819</v>
      </c>
      <c r="I51" s="31" t="s">
        <v>819</v>
      </c>
      <c r="J51" s="33"/>
      <c r="K51" s="31" t="s">
        <v>815</v>
      </c>
      <c r="L51" s="31" t="s">
        <v>656</v>
      </c>
      <c r="M51" s="31" t="s">
        <v>499</v>
      </c>
      <c r="N51" s="31">
        <v>0</v>
      </c>
      <c r="O51" s="31" t="s">
        <v>200</v>
      </c>
      <c r="P51" s="31">
        <v>4</v>
      </c>
      <c r="Q51" s="31">
        <v>1</v>
      </c>
      <c r="R51" s="31">
        <v>50</v>
      </c>
      <c r="S51" s="31" t="s">
        <v>820</v>
      </c>
      <c r="T51" s="31" t="s">
        <v>70</v>
      </c>
      <c r="U51" s="31" t="s">
        <v>71</v>
      </c>
      <c r="V51" s="8" t="s">
        <v>73</v>
      </c>
      <c r="W51" s="35">
        <f>IF('CRUDO JUEVES'!BS51="Si",$N51,)</f>
        <v>0</v>
      </c>
      <c r="X51" s="34"/>
      <c r="Y51" s="35">
        <f>IF('CRUDO JUEVES'!BU51="Si",$N51,)</f>
        <v>0</v>
      </c>
      <c r="Z51" s="35">
        <f>IF('CRUDO JUEVES'!BV51="Si",$N51,)</f>
        <v>0</v>
      </c>
      <c r="AA51" s="35"/>
      <c r="AB51" s="35">
        <f>IF('CRUDO JUEVES'!BW51="Si",$N51,)</f>
        <v>0</v>
      </c>
      <c r="AC51" s="35"/>
      <c r="AD51" s="35">
        <f>IF('CRUDO JUEVES'!BX51="Si",$N51,)</f>
        <v>0</v>
      </c>
      <c r="AE51" s="35"/>
      <c r="AF51" s="35">
        <f>IF('CRUDO JUEVES'!BY51="Si",$N51,)</f>
        <v>0</v>
      </c>
      <c r="AG51" s="35"/>
      <c r="AH51" s="35">
        <f>IF('CRUDO JUEVES'!BZ51="Si",$N51,)</f>
        <v>0</v>
      </c>
      <c r="AI51" s="35"/>
      <c r="AJ51" s="35">
        <f>IF('CRUDO JUEVES'!CA51="Si",$N51,)</f>
        <v>0</v>
      </c>
      <c r="AK51" s="35"/>
      <c r="AL51" s="35">
        <f>IF('CRUDO JUEVES'!CB51="Si",$N51,)</f>
        <v>0</v>
      </c>
      <c r="AM51" s="35"/>
      <c r="AN51" s="35">
        <f>IF('CRUDO JUEVES'!CC51="Si",$N51,)</f>
        <v>0</v>
      </c>
      <c r="AO51" s="35"/>
      <c r="AP51" s="35">
        <f>IF('CRUDO JUEVES'!CD51="Si",$N51,)</f>
        <v>0</v>
      </c>
      <c r="AQ51" s="35"/>
      <c r="AR51" s="35">
        <f>IF('CRUDO JUEVES'!CE51="Si",$N51,)</f>
        <v>0</v>
      </c>
      <c r="AS51" s="35"/>
      <c r="AT51" s="35">
        <f>IF('CRUDO JUEVES'!CF51="Si",$N51,)</f>
        <v>0</v>
      </c>
      <c r="AU51" s="35"/>
      <c r="AV51" s="35">
        <f>IF('CRUDO JUEVES'!CG51="Si",$N51,)</f>
        <v>0</v>
      </c>
      <c r="AW51" s="35">
        <f>IF('CRUDO JUEVES'!CH51="Si",$N51,)</f>
        <v>0</v>
      </c>
      <c r="AX51" s="35">
        <f>IF('CRUDO JUEVES'!CI51="Si",$N51,)</f>
        <v>0</v>
      </c>
      <c r="AY51" s="35">
        <f>IF('CRUDO JUEVES'!CJ51="Si",$N51,)</f>
        <v>0</v>
      </c>
      <c r="AZ51" s="35">
        <f>IF('CRUDO JUEVES'!CK51="Si",$N51,)</f>
        <v>0</v>
      </c>
      <c r="BA51" s="35">
        <f>IF('CRUDO JUEVES'!CL51="Si",$N51,)</f>
        <v>0</v>
      </c>
      <c r="BB51" s="35"/>
      <c r="BC51" s="35">
        <f>IF('CRUDO JUEVES'!CM51="Si",$N51,)</f>
        <v>0</v>
      </c>
      <c r="BD51" s="35"/>
      <c r="BE51" s="35">
        <f>IF('CRUDO JUEVES'!CN51="Si",$N51,)</f>
        <v>0</v>
      </c>
      <c r="BF51" s="35"/>
      <c r="BG51" s="35">
        <f>IF('CRUDO JUEVES'!CO51="Si",$N51,)</f>
        <v>0</v>
      </c>
      <c r="BH51" s="33"/>
      <c r="BI51" s="33"/>
      <c r="BJ51" s="33"/>
      <c r="BK51" s="33"/>
      <c r="BL51" s="33"/>
      <c r="BM51" s="33"/>
      <c r="BN51" s="33"/>
      <c r="BO51" s="33"/>
    </row>
    <row r="52" spans="1:67" ht="13.2" x14ac:dyDescent="0.25">
      <c r="A52" s="30">
        <v>45005.666444849536</v>
      </c>
      <c r="B52" s="31" t="s">
        <v>701</v>
      </c>
      <c r="C52" s="31" t="s">
        <v>838</v>
      </c>
      <c r="D52" s="8" t="s">
        <v>839</v>
      </c>
      <c r="E52" s="31" t="s">
        <v>263</v>
      </c>
      <c r="F52" s="31" t="s">
        <v>840</v>
      </c>
      <c r="G52" s="31" t="s">
        <v>64</v>
      </c>
      <c r="H52" s="31" t="s">
        <v>704</v>
      </c>
      <c r="I52" s="31" t="s">
        <v>841</v>
      </c>
      <c r="J52" s="33"/>
      <c r="K52" s="31" t="s">
        <v>701</v>
      </c>
      <c r="L52" s="31" t="s">
        <v>656</v>
      </c>
      <c r="M52" s="31" t="s">
        <v>411</v>
      </c>
      <c r="N52" s="31">
        <v>35</v>
      </c>
      <c r="O52" s="31" t="s">
        <v>69</v>
      </c>
      <c r="P52" s="31">
        <v>3</v>
      </c>
      <c r="Q52" s="31">
        <v>2</v>
      </c>
      <c r="R52" s="31">
        <v>25</v>
      </c>
      <c r="S52" s="33"/>
      <c r="T52" s="31" t="s">
        <v>70</v>
      </c>
      <c r="U52" s="31" t="s">
        <v>71</v>
      </c>
      <c r="V52" s="8" t="s">
        <v>73</v>
      </c>
      <c r="W52" s="34">
        <v>0</v>
      </c>
      <c r="X52" s="34">
        <v>0</v>
      </c>
      <c r="Y52" s="35">
        <f>IF('CRUDO JUEVES'!BU52="Si",$N52,)</f>
        <v>0</v>
      </c>
      <c r="Z52" s="34">
        <v>0</v>
      </c>
      <c r="AA52" s="34" t="s">
        <v>1233</v>
      </c>
      <c r="AB52" s="34">
        <v>0</v>
      </c>
      <c r="AC52" s="34"/>
      <c r="AD52" s="34">
        <v>0</v>
      </c>
      <c r="AE52" s="35"/>
      <c r="AF52" s="35">
        <f>IF('CRUDO JUEVES'!BY52="Si",$N52,)</f>
        <v>0</v>
      </c>
      <c r="AG52" s="35"/>
      <c r="AH52" s="35">
        <f>IF('CRUDO JUEVES'!BZ52="Si",$N52,)</f>
        <v>0</v>
      </c>
      <c r="AI52" s="35"/>
      <c r="AJ52" s="35">
        <f>IF('CRUDO JUEVES'!CA52="Si",$N52,)</f>
        <v>0</v>
      </c>
      <c r="AK52" s="34"/>
      <c r="AL52" s="34">
        <v>0</v>
      </c>
      <c r="AM52" s="34"/>
      <c r="AN52" s="34">
        <v>0</v>
      </c>
      <c r="AO52" s="34"/>
      <c r="AP52" s="34">
        <v>0</v>
      </c>
      <c r="AQ52" s="35"/>
      <c r="AR52" s="35">
        <f>IF('CRUDO JUEVES'!CE52="Si",$N52,)</f>
        <v>0</v>
      </c>
      <c r="AS52" s="35"/>
      <c r="AT52" s="35">
        <f>IF('CRUDO JUEVES'!CF52="Si",$N52,)</f>
        <v>0</v>
      </c>
      <c r="AU52" s="35"/>
      <c r="AV52" s="34">
        <v>0</v>
      </c>
      <c r="AW52" s="34">
        <v>0</v>
      </c>
      <c r="AX52" s="34">
        <v>0</v>
      </c>
      <c r="AY52" s="35">
        <f>IF('CRUDO JUEVES'!CJ52="Si",$N52,)</f>
        <v>0</v>
      </c>
      <c r="AZ52" s="35">
        <f>IF('CRUDO JUEVES'!CK52="Si",$N52,)</f>
        <v>0</v>
      </c>
      <c r="BA52" s="34">
        <v>0</v>
      </c>
      <c r="BB52" s="34"/>
      <c r="BC52" s="34">
        <v>0</v>
      </c>
      <c r="BD52" s="35"/>
      <c r="BE52" s="35">
        <f>IF('CRUDO JUEVES'!CN52="Si",$N52,)</f>
        <v>0</v>
      </c>
      <c r="BF52" s="35"/>
      <c r="BG52" s="35">
        <f>IF('CRUDO JUEVES'!CO52="Si",$N52,)</f>
        <v>0</v>
      </c>
      <c r="BH52" s="33"/>
      <c r="BI52" s="33"/>
      <c r="BJ52" s="31" t="s">
        <v>1263</v>
      </c>
      <c r="BK52" s="23"/>
      <c r="BL52" s="33"/>
      <c r="BM52" s="33"/>
      <c r="BN52" s="33"/>
      <c r="BO52" s="33"/>
    </row>
    <row r="53" spans="1:67" ht="13.2" x14ac:dyDescent="0.25">
      <c r="A53" s="30">
        <v>45005.668450393518</v>
      </c>
      <c r="B53" s="31" t="s">
        <v>701</v>
      </c>
      <c r="C53" s="31" t="s">
        <v>838</v>
      </c>
      <c r="D53" s="8" t="s">
        <v>839</v>
      </c>
      <c r="E53" s="31" t="s">
        <v>149</v>
      </c>
      <c r="F53" s="31" t="s">
        <v>205</v>
      </c>
      <c r="G53" s="31" t="s">
        <v>64</v>
      </c>
      <c r="H53" s="31" t="s">
        <v>709</v>
      </c>
      <c r="I53" s="31" t="s">
        <v>842</v>
      </c>
      <c r="J53" s="33"/>
      <c r="K53" s="31" t="s">
        <v>701</v>
      </c>
      <c r="L53" s="31" t="s">
        <v>656</v>
      </c>
      <c r="M53" s="31" t="s">
        <v>411</v>
      </c>
      <c r="N53" s="31">
        <v>35</v>
      </c>
      <c r="O53" s="31" t="s">
        <v>69</v>
      </c>
      <c r="P53" s="31">
        <v>3</v>
      </c>
      <c r="Q53" s="31">
        <v>2</v>
      </c>
      <c r="R53" s="31">
        <v>25</v>
      </c>
      <c r="S53" s="33"/>
      <c r="T53" s="31" t="s">
        <v>70</v>
      </c>
      <c r="U53" s="31" t="s">
        <v>71</v>
      </c>
      <c r="V53" s="8" t="s">
        <v>73</v>
      </c>
      <c r="W53" s="34">
        <v>0</v>
      </c>
      <c r="X53" s="34">
        <v>0</v>
      </c>
      <c r="Y53" s="35">
        <f>IF('CRUDO JUEVES'!BU53="Si",$N53,)</f>
        <v>0</v>
      </c>
      <c r="Z53" s="34">
        <v>0</v>
      </c>
      <c r="AA53" s="34" t="s">
        <v>1233</v>
      </c>
      <c r="AB53" s="34">
        <v>0</v>
      </c>
      <c r="AC53" s="34"/>
      <c r="AD53" s="34">
        <v>0</v>
      </c>
      <c r="AE53" s="35"/>
      <c r="AF53" s="35">
        <f>IF('CRUDO JUEVES'!BY53="Si",$N53,)</f>
        <v>0</v>
      </c>
      <c r="AG53" s="35"/>
      <c r="AH53" s="35">
        <f>IF('CRUDO JUEVES'!BZ53="Si",$N53,)</f>
        <v>0</v>
      </c>
      <c r="AI53" s="35"/>
      <c r="AJ53" s="35">
        <f>IF('CRUDO JUEVES'!CA53="Si",$N53,)</f>
        <v>0</v>
      </c>
      <c r="AK53" s="34"/>
      <c r="AL53" s="34">
        <v>0</v>
      </c>
      <c r="AM53" s="34"/>
      <c r="AN53" s="34">
        <v>0</v>
      </c>
      <c r="AO53" s="34"/>
      <c r="AP53" s="34">
        <v>0</v>
      </c>
      <c r="AQ53" s="35"/>
      <c r="AR53" s="35">
        <f>IF('CRUDO JUEVES'!CE53="Si",$N53,)</f>
        <v>0</v>
      </c>
      <c r="AS53" s="35"/>
      <c r="AT53" s="35">
        <f>IF('CRUDO JUEVES'!CF53="Si",$N53,)</f>
        <v>0</v>
      </c>
      <c r="AU53" s="35"/>
      <c r="AV53" s="34">
        <v>0</v>
      </c>
      <c r="AW53" s="34">
        <v>0</v>
      </c>
      <c r="AX53" s="34">
        <v>0</v>
      </c>
      <c r="AY53" s="35">
        <f>IF('CRUDO JUEVES'!CJ53="Si",$N53,)</f>
        <v>0</v>
      </c>
      <c r="AZ53" s="35">
        <f>IF('CRUDO JUEVES'!CK53="Si",$N53,)</f>
        <v>0</v>
      </c>
      <c r="BA53" s="34">
        <v>0</v>
      </c>
      <c r="BB53" s="34"/>
      <c r="BC53" s="34">
        <v>0</v>
      </c>
      <c r="BD53" s="35"/>
      <c r="BE53" s="35">
        <f>IF('CRUDO JUEVES'!CN53="Si",$N53,)</f>
        <v>0</v>
      </c>
      <c r="BF53" s="35"/>
      <c r="BG53" s="35">
        <f>IF('CRUDO JUEVES'!CO53="Si",$N53,)</f>
        <v>0</v>
      </c>
      <c r="BH53" s="33"/>
      <c r="BI53" s="33"/>
      <c r="BJ53" s="31" t="s">
        <v>1263</v>
      </c>
      <c r="BK53" s="23"/>
      <c r="BL53" s="33"/>
      <c r="BM53" s="33"/>
      <c r="BN53" s="33"/>
      <c r="BO53" s="33"/>
    </row>
    <row r="54" spans="1:67" ht="13.2" x14ac:dyDescent="0.25">
      <c r="A54" s="22">
        <v>45005.686679189814</v>
      </c>
      <c r="B54" s="23" t="s">
        <v>626</v>
      </c>
      <c r="C54" s="23" t="s">
        <v>627</v>
      </c>
      <c r="D54" s="26" t="s">
        <v>628</v>
      </c>
      <c r="E54" s="23" t="s">
        <v>149</v>
      </c>
      <c r="F54" s="23" t="s">
        <v>124</v>
      </c>
      <c r="G54" s="23" t="s">
        <v>105</v>
      </c>
      <c r="H54" s="23" t="s">
        <v>629</v>
      </c>
      <c r="I54" s="23" t="s">
        <v>630</v>
      </c>
      <c r="J54" s="25"/>
      <c r="K54" s="23" t="s">
        <v>626</v>
      </c>
      <c r="L54" s="23" t="s">
        <v>67</v>
      </c>
      <c r="M54" s="23" t="s">
        <v>169</v>
      </c>
      <c r="N54" s="23">
        <v>20</v>
      </c>
      <c r="O54" s="23" t="s">
        <v>69</v>
      </c>
      <c r="P54" s="23">
        <v>5</v>
      </c>
      <c r="Q54" s="23">
        <v>4</v>
      </c>
      <c r="R54" s="23">
        <v>10</v>
      </c>
      <c r="S54" s="25"/>
      <c r="T54" s="23" t="s">
        <v>70</v>
      </c>
      <c r="U54" s="23" t="s">
        <v>71</v>
      </c>
      <c r="V54" s="26" t="s">
        <v>73</v>
      </c>
      <c r="W54" s="27">
        <f>IF('CRUDO JUEVES'!BS54="Si",$N54,)</f>
        <v>0</v>
      </c>
      <c r="X54" s="27">
        <f>IF('CRUDO JUEVES'!BT54="Si",$N54,)</f>
        <v>20</v>
      </c>
      <c r="Y54" s="27">
        <f>IF('CRUDO JUEVES'!BU54="Si",$N54,)</f>
        <v>0</v>
      </c>
      <c r="Z54" s="27">
        <f>IF('CRUDO JUEVES'!BV54="Si",$N54,)</f>
        <v>20</v>
      </c>
      <c r="AA54" s="28" t="s">
        <v>1233</v>
      </c>
      <c r="AB54" s="27">
        <f>IF('CRUDO JUEVES'!BW54="Si",$N54,)</f>
        <v>0</v>
      </c>
      <c r="AC54" s="27"/>
      <c r="AD54" s="27">
        <f>IF('CRUDO JUEVES'!BX54="Si",$N54,)</f>
        <v>0</v>
      </c>
      <c r="AE54" s="27"/>
      <c r="AF54" s="27">
        <f>IF('CRUDO JUEVES'!BY54="Si",$N54,)</f>
        <v>0</v>
      </c>
      <c r="AG54" s="27"/>
      <c r="AH54" s="27">
        <f>IF('CRUDO JUEVES'!BZ54="Si",$N54,)</f>
        <v>0</v>
      </c>
      <c r="AI54" s="27"/>
      <c r="AJ54" s="27">
        <f>IF('CRUDO JUEVES'!CA54="Si",$N54,)</f>
        <v>0</v>
      </c>
      <c r="AK54" s="27"/>
      <c r="AL54" s="27">
        <f>IF('CRUDO JUEVES'!CB54="Si",$N54,)</f>
        <v>0</v>
      </c>
      <c r="AM54" s="28"/>
      <c r="AN54" s="28">
        <v>0</v>
      </c>
      <c r="AO54" s="27"/>
      <c r="AP54" s="27">
        <f>IF('CRUDO JUEVES'!CD54="Si",$N54,)</f>
        <v>0</v>
      </c>
      <c r="AQ54" s="27"/>
      <c r="AR54" s="27">
        <f>IF('CRUDO JUEVES'!CE54="Si",$N54,)</f>
        <v>0</v>
      </c>
      <c r="AS54" s="27"/>
      <c r="AT54" s="27">
        <f>IF('CRUDO JUEVES'!CF54="Si",$N54,)</f>
        <v>0</v>
      </c>
      <c r="AU54" s="27"/>
      <c r="AV54" s="27">
        <f>IF('CRUDO JUEVES'!CG54="Si",$N54,)</f>
        <v>0</v>
      </c>
      <c r="AW54" s="27">
        <f>IF('CRUDO JUEVES'!CH54="Si",$N54,)</f>
        <v>0</v>
      </c>
      <c r="AX54" s="27">
        <f>IF('CRUDO JUEVES'!CI54="Si",$N54,)</f>
        <v>0</v>
      </c>
      <c r="AY54" s="27">
        <f>IF('CRUDO JUEVES'!CJ54="Si",$N54,)</f>
        <v>0</v>
      </c>
      <c r="AZ54" s="27">
        <f>IF('CRUDO JUEVES'!CK54="Si",$N54,)</f>
        <v>0</v>
      </c>
      <c r="BA54" s="27">
        <f>IF('CRUDO JUEVES'!CM54="Si",$N54,)</f>
        <v>20</v>
      </c>
      <c r="BB54" s="23" t="s">
        <v>1234</v>
      </c>
      <c r="BC54" s="23">
        <v>0</v>
      </c>
      <c r="BD54" s="27"/>
      <c r="BE54" s="27">
        <f>IF('CRUDO JUEVES'!CN54="Si",$N54,)</f>
        <v>0</v>
      </c>
      <c r="BF54" s="27"/>
      <c r="BG54" s="27">
        <f>IF('CRUDO JUEVES'!CO54="Si",$N54,)</f>
        <v>0</v>
      </c>
      <c r="BH54" s="25"/>
      <c r="BI54" s="25"/>
      <c r="BJ54" s="23" t="s">
        <v>1263</v>
      </c>
      <c r="BK54" s="23">
        <v>1</v>
      </c>
      <c r="BL54" s="25"/>
      <c r="BM54" s="25"/>
      <c r="BN54" s="25"/>
      <c r="BO54" s="25"/>
    </row>
    <row r="55" spans="1:67" ht="13.2" hidden="1" x14ac:dyDescent="0.25">
      <c r="A55" s="30">
        <v>45005.708227210649</v>
      </c>
      <c r="B55" s="31" t="s">
        <v>821</v>
      </c>
      <c r="C55" s="31" t="s">
        <v>822</v>
      </c>
      <c r="D55" s="8" t="s">
        <v>823</v>
      </c>
      <c r="E55" s="31" t="s">
        <v>140</v>
      </c>
      <c r="F55" s="31" t="s">
        <v>824</v>
      </c>
      <c r="G55" s="31" t="s">
        <v>64</v>
      </c>
      <c r="H55" s="31" t="s">
        <v>825</v>
      </c>
      <c r="I55" s="31" t="s">
        <v>826</v>
      </c>
      <c r="J55" s="33"/>
      <c r="K55" s="31" t="s">
        <v>827</v>
      </c>
      <c r="L55" s="31" t="s">
        <v>656</v>
      </c>
      <c r="M55" s="31" t="s">
        <v>504</v>
      </c>
      <c r="N55" s="31">
        <v>0</v>
      </c>
      <c r="O55" s="31" t="s">
        <v>97</v>
      </c>
      <c r="P55" s="31">
        <v>3</v>
      </c>
      <c r="Q55" s="31">
        <v>1</v>
      </c>
      <c r="R55" s="31">
        <v>90</v>
      </c>
      <c r="S55" s="33"/>
      <c r="T55" s="31" t="s">
        <v>70</v>
      </c>
      <c r="U55" s="31" t="s">
        <v>70</v>
      </c>
      <c r="V55" s="8" t="s">
        <v>73</v>
      </c>
      <c r="W55" s="35">
        <f>IF('CRUDO JUEVES'!BS55="Si",$N55,)</f>
        <v>0</v>
      </c>
      <c r="X55" s="35">
        <f>IF('CRUDO JUEVES'!BT55="Si",$N55,)</f>
        <v>0</v>
      </c>
      <c r="Y55" s="35">
        <f>IF('CRUDO JUEVES'!BU55="Si",$N55,)</f>
        <v>0</v>
      </c>
      <c r="Z55" s="35">
        <f>IF('CRUDO JUEVES'!BV55="Si",$N55,)</f>
        <v>0</v>
      </c>
      <c r="AA55" s="35"/>
      <c r="AB55" s="35">
        <f>IF('CRUDO JUEVES'!BW55="Si",$N55,)</f>
        <v>0</v>
      </c>
      <c r="AC55" s="35"/>
      <c r="AD55" s="35">
        <f>IF('CRUDO JUEVES'!BX55="Si",$N55,)</f>
        <v>0</v>
      </c>
      <c r="AE55" s="35"/>
      <c r="AF55" s="35">
        <f>IF('CRUDO JUEVES'!BY55="Si",$N55,)</f>
        <v>0</v>
      </c>
      <c r="AG55" s="35"/>
      <c r="AH55" s="35">
        <f>IF('CRUDO JUEVES'!BZ55="Si",$N55,)</f>
        <v>0</v>
      </c>
      <c r="AI55" s="35"/>
      <c r="AJ55" s="35">
        <f>IF('CRUDO JUEVES'!CA55="Si",$N55,)</f>
        <v>0</v>
      </c>
      <c r="AK55" s="35"/>
      <c r="AL55" s="35">
        <f>IF('CRUDO JUEVES'!CB55="Si",$N55,)</f>
        <v>0</v>
      </c>
      <c r="AM55" s="35"/>
      <c r="AN55" s="35">
        <f>IF('CRUDO JUEVES'!CC55="Si",$N55,)</f>
        <v>0</v>
      </c>
      <c r="AO55" s="35"/>
      <c r="AP55" s="35">
        <f>IF('CRUDO JUEVES'!CD55="Si",$N55,)</f>
        <v>0</v>
      </c>
      <c r="AQ55" s="35"/>
      <c r="AR55" s="35">
        <f>IF('CRUDO JUEVES'!CE55="Si",$N55,)</f>
        <v>0</v>
      </c>
      <c r="AS55" s="35"/>
      <c r="AT55" s="35">
        <f>IF('CRUDO JUEVES'!CF55="Si",$N55,)</f>
        <v>0</v>
      </c>
      <c r="AU55" s="35"/>
      <c r="AV55" s="35">
        <f>IF('CRUDO JUEVES'!CG55="Si",$N55,)</f>
        <v>0</v>
      </c>
      <c r="AW55" s="35">
        <f>IF('CRUDO JUEVES'!CH55="Si",$N55,)</f>
        <v>0</v>
      </c>
      <c r="AX55" s="35">
        <f>IF('CRUDO JUEVES'!CI55="Si",$N55,)</f>
        <v>0</v>
      </c>
      <c r="AY55" s="35">
        <f>IF('CRUDO JUEVES'!CJ55="Si",$N55,)</f>
        <v>0</v>
      </c>
      <c r="AZ55" s="35">
        <f>IF('CRUDO JUEVES'!CK55="Si",$N55,)</f>
        <v>0</v>
      </c>
      <c r="BA55" s="35">
        <f>IF('CRUDO JUEVES'!CL55="Si",$N55,)</f>
        <v>0</v>
      </c>
      <c r="BB55" s="35"/>
      <c r="BC55" s="35">
        <f>IF('CRUDO JUEVES'!CM55="Si",$N55,)</f>
        <v>0</v>
      </c>
      <c r="BD55" s="35"/>
      <c r="BE55" s="35">
        <f>IF('CRUDO JUEVES'!CN55="Si",$N55,)</f>
        <v>0</v>
      </c>
      <c r="BF55" s="35"/>
      <c r="BG55" s="35">
        <f>IF('CRUDO JUEVES'!CO55="Si",$N55,)</f>
        <v>0</v>
      </c>
      <c r="BH55" s="33"/>
      <c r="BI55" s="33"/>
      <c r="BJ55" s="33"/>
      <c r="BK55" s="33"/>
      <c r="BL55" s="33"/>
      <c r="BM55" s="33"/>
      <c r="BN55" s="33"/>
      <c r="BO55" s="33"/>
    </row>
    <row r="56" spans="1:67" ht="13.2" x14ac:dyDescent="0.25">
      <c r="A56" s="30">
        <v>45005.741089270829</v>
      </c>
      <c r="B56" s="31" t="s">
        <v>993</v>
      </c>
      <c r="C56" s="31" t="s">
        <v>994</v>
      </c>
      <c r="D56" s="8" t="s">
        <v>988</v>
      </c>
      <c r="E56" s="31" t="s">
        <v>149</v>
      </c>
      <c r="F56" s="31" t="s">
        <v>205</v>
      </c>
      <c r="G56" s="31" t="s">
        <v>64</v>
      </c>
      <c r="H56" s="31" t="s">
        <v>989</v>
      </c>
      <c r="I56" s="31" t="s">
        <v>995</v>
      </c>
      <c r="J56" s="33"/>
      <c r="K56" s="31" t="s">
        <v>993</v>
      </c>
      <c r="L56" s="31" t="s">
        <v>656</v>
      </c>
      <c r="M56" s="31" t="s">
        <v>596</v>
      </c>
      <c r="N56" s="31">
        <v>0</v>
      </c>
      <c r="O56" s="31" t="s">
        <v>69</v>
      </c>
      <c r="P56" s="31">
        <v>5</v>
      </c>
      <c r="Q56" s="31">
        <v>3</v>
      </c>
      <c r="R56" s="31">
        <v>20</v>
      </c>
      <c r="S56" s="33"/>
      <c r="T56" s="31" t="s">
        <v>70</v>
      </c>
      <c r="U56" s="31" t="s">
        <v>71</v>
      </c>
      <c r="V56" s="8" t="s">
        <v>73</v>
      </c>
      <c r="W56" s="35">
        <f>IF('CRUDO JUEVES'!BS56="Si",$N56,)</f>
        <v>0</v>
      </c>
      <c r="X56" s="35">
        <f>IF('CRUDO JUEVES'!BT56="Si",$N56,)</f>
        <v>0</v>
      </c>
      <c r="Y56" s="35">
        <f>IF('CRUDO JUEVES'!BU56="Si",$N56,)</f>
        <v>0</v>
      </c>
      <c r="Z56" s="35">
        <f>IF('CRUDO JUEVES'!BV56="Si",$N56,)</f>
        <v>0</v>
      </c>
      <c r="AA56" s="34"/>
      <c r="AB56" s="34">
        <v>0</v>
      </c>
      <c r="AC56" s="35"/>
      <c r="AD56" s="35">
        <f>IF('CRUDO JUEVES'!BX56="Si",$N56,)</f>
        <v>0</v>
      </c>
      <c r="AE56" s="34" t="s">
        <v>1233</v>
      </c>
      <c r="AF56" s="35">
        <f>IF('CRUDO JUEVES'!BY56="Si",$N56,)</f>
        <v>0</v>
      </c>
      <c r="AG56" s="35"/>
      <c r="AH56" s="35">
        <f>IF('CRUDO JUEVES'!BZ56="Si",$N56,)</f>
        <v>0</v>
      </c>
      <c r="AI56" s="35"/>
      <c r="AJ56" s="35">
        <f>IF('CRUDO JUEVES'!CA56="Si",$N56,)</f>
        <v>0</v>
      </c>
      <c r="AK56" s="35"/>
      <c r="AL56" s="35">
        <f>IF('CRUDO JUEVES'!CB56="Si",$N56,)</f>
        <v>0</v>
      </c>
      <c r="AM56" s="34"/>
      <c r="AN56" s="34">
        <v>0</v>
      </c>
      <c r="AO56" s="34"/>
      <c r="AP56" s="34">
        <v>0</v>
      </c>
      <c r="AQ56" s="35"/>
      <c r="AR56" s="35">
        <f>IF('CRUDO JUEVES'!CE56="Si",$N56,)</f>
        <v>0</v>
      </c>
      <c r="AS56" s="35"/>
      <c r="AT56" s="35">
        <f>IF('CRUDO JUEVES'!CF56="Si",$N56,)</f>
        <v>0</v>
      </c>
      <c r="AU56" s="35"/>
      <c r="AV56" s="34">
        <v>0</v>
      </c>
      <c r="AW56" s="34">
        <v>0</v>
      </c>
      <c r="AX56" s="35">
        <f>IF('CRUDO JUEVES'!CI56="Si",$N56,)</f>
        <v>0</v>
      </c>
      <c r="AY56" s="35">
        <f>IF('CRUDO JUEVES'!CJ56="Si",$N56,)</f>
        <v>0</v>
      </c>
      <c r="AZ56" s="35">
        <f>IF('CRUDO JUEVES'!CK56="Si",$N56,)</f>
        <v>0</v>
      </c>
      <c r="BA56" s="34">
        <v>0</v>
      </c>
      <c r="BB56" s="34"/>
      <c r="BC56" s="34">
        <v>0</v>
      </c>
      <c r="BD56" s="35"/>
      <c r="BE56" s="35">
        <f>IF('CRUDO JUEVES'!CN56="Si",$N56,)</f>
        <v>0</v>
      </c>
      <c r="BF56" s="35"/>
      <c r="BG56" s="35">
        <f>IF('CRUDO JUEVES'!CO56="Si",$N56,)</f>
        <v>0</v>
      </c>
      <c r="BH56" s="33"/>
      <c r="BI56" s="33"/>
      <c r="BJ56" s="31" t="s">
        <v>1263</v>
      </c>
      <c r="BK56" s="23"/>
      <c r="BL56" s="33"/>
      <c r="BM56" s="33"/>
      <c r="BN56" s="33"/>
      <c r="BO56" s="33"/>
    </row>
    <row r="57" spans="1:67" ht="13.2" x14ac:dyDescent="0.25">
      <c r="A57" s="22">
        <v>45005.821687916672</v>
      </c>
      <c r="B57" s="23" t="s">
        <v>229</v>
      </c>
      <c r="C57" s="23" t="s">
        <v>230</v>
      </c>
      <c r="D57" s="26" t="s">
        <v>231</v>
      </c>
      <c r="E57" s="23" t="s">
        <v>140</v>
      </c>
      <c r="F57" s="23" t="s">
        <v>232</v>
      </c>
      <c r="G57" s="23" t="s">
        <v>64</v>
      </c>
      <c r="H57" s="23" t="s">
        <v>233</v>
      </c>
      <c r="I57" s="23" t="s">
        <v>234</v>
      </c>
      <c r="J57" s="23" t="s">
        <v>235</v>
      </c>
      <c r="K57" s="23" t="s">
        <v>229</v>
      </c>
      <c r="L57" s="23" t="s">
        <v>67</v>
      </c>
      <c r="M57" s="23" t="s">
        <v>186</v>
      </c>
      <c r="N57" s="23">
        <v>25</v>
      </c>
      <c r="O57" s="23" t="s">
        <v>69</v>
      </c>
      <c r="P57" s="23">
        <v>4</v>
      </c>
      <c r="Q57" s="23">
        <v>3</v>
      </c>
      <c r="R57" s="23">
        <v>40</v>
      </c>
      <c r="S57" s="25"/>
      <c r="T57" s="23" t="s">
        <v>70</v>
      </c>
      <c r="U57" s="23" t="s">
        <v>70</v>
      </c>
      <c r="V57" s="26" t="s">
        <v>73</v>
      </c>
      <c r="W57" s="28">
        <v>0</v>
      </c>
      <c r="X57" s="28">
        <v>0</v>
      </c>
      <c r="Y57" s="27">
        <f>IF('CRUDO JUEVES'!BU57="Si",$N57,)</f>
        <v>25</v>
      </c>
      <c r="Z57" s="27">
        <f>IF('CRUDO JUEVES'!BV57="Si",$N57,)</f>
        <v>0</v>
      </c>
      <c r="AA57" s="28"/>
      <c r="AB57" s="28">
        <v>0</v>
      </c>
      <c r="AC57" s="27"/>
      <c r="AD57" s="27">
        <f>IF('CRUDO JUEVES'!BX57="Si",$N57,)</f>
        <v>25</v>
      </c>
      <c r="AE57" s="28" t="s">
        <v>1233</v>
      </c>
      <c r="AF57" s="28">
        <v>0</v>
      </c>
      <c r="AG57" s="28"/>
      <c r="AH57" s="28">
        <v>0</v>
      </c>
      <c r="AI57" s="27"/>
      <c r="AJ57" s="27">
        <f>IF('CRUDO JUEVES'!CA57="Si",$N57,)</f>
        <v>25</v>
      </c>
      <c r="AK57" s="28" t="s">
        <v>1227</v>
      </c>
      <c r="AL57" s="27">
        <f>IF('CRUDO JUEVES'!CB57="Si",$N57,)</f>
        <v>0</v>
      </c>
      <c r="AM57" s="28"/>
      <c r="AN57" s="28">
        <v>0</v>
      </c>
      <c r="AO57" s="28"/>
      <c r="AP57" s="28">
        <v>0</v>
      </c>
      <c r="AQ57" s="28"/>
      <c r="AR57" s="28">
        <v>0</v>
      </c>
      <c r="AS57" s="28"/>
      <c r="AT57" s="28">
        <v>0</v>
      </c>
      <c r="AU57" s="28"/>
      <c r="AV57" s="27">
        <f>IF('CRUDO JUEVES'!CG57="Si",$N57,)</f>
        <v>0</v>
      </c>
      <c r="AW57" s="27">
        <f>IF('CRUDO JUEVES'!CH57="Si",$N57,)</f>
        <v>25</v>
      </c>
      <c r="AX57" s="28">
        <v>0</v>
      </c>
      <c r="AY57" s="28">
        <v>0</v>
      </c>
      <c r="AZ57" s="28">
        <v>0</v>
      </c>
      <c r="BA57" s="28">
        <v>0</v>
      </c>
      <c r="BB57" s="28"/>
      <c r="BC57" s="28">
        <v>0</v>
      </c>
      <c r="BD57" s="28"/>
      <c r="BE57" s="28">
        <v>0</v>
      </c>
      <c r="BF57" s="28"/>
      <c r="BG57" s="28">
        <v>0</v>
      </c>
      <c r="BH57" s="23"/>
      <c r="BI57" s="23" t="s">
        <v>238</v>
      </c>
      <c r="BJ57" s="23" t="s">
        <v>1245</v>
      </c>
      <c r="BK57" s="23">
        <v>1</v>
      </c>
      <c r="BL57" s="25"/>
      <c r="BM57" s="25"/>
      <c r="BN57" s="25"/>
      <c r="BO57" s="25"/>
    </row>
    <row r="58" spans="1:67" ht="13.2" x14ac:dyDescent="0.25">
      <c r="A58" s="22">
        <v>45005.896399722224</v>
      </c>
      <c r="B58" s="23" t="s">
        <v>899</v>
      </c>
      <c r="C58" s="23" t="s">
        <v>900</v>
      </c>
      <c r="D58" s="29" t="s">
        <v>901</v>
      </c>
      <c r="E58" s="23" t="s">
        <v>140</v>
      </c>
      <c r="F58" s="23" t="s">
        <v>902</v>
      </c>
      <c r="G58" s="23" t="s">
        <v>105</v>
      </c>
      <c r="H58" s="23" t="s">
        <v>836</v>
      </c>
      <c r="I58" s="23" t="s">
        <v>903</v>
      </c>
      <c r="J58" s="25"/>
      <c r="K58" s="23" t="s">
        <v>899</v>
      </c>
      <c r="L58" s="23" t="s">
        <v>656</v>
      </c>
      <c r="M58" s="23" t="s">
        <v>550</v>
      </c>
      <c r="N58" s="23">
        <v>35</v>
      </c>
      <c r="O58" s="23" t="s">
        <v>69</v>
      </c>
      <c r="P58" s="23">
        <v>5</v>
      </c>
      <c r="Q58" s="23">
        <v>4</v>
      </c>
      <c r="R58" s="23">
        <v>80</v>
      </c>
      <c r="S58" s="25"/>
      <c r="T58" s="23" t="s">
        <v>70</v>
      </c>
      <c r="U58" s="23" t="s">
        <v>70</v>
      </c>
      <c r="V58" s="26" t="s">
        <v>73</v>
      </c>
      <c r="W58" s="27">
        <f>IF('CRUDO JUEVES'!BS58="Si",$N58,)</f>
        <v>35</v>
      </c>
      <c r="X58" s="27">
        <f>IF('CRUDO JUEVES'!BT58="Si",$N58,)</f>
        <v>0</v>
      </c>
      <c r="Y58" s="28">
        <v>0</v>
      </c>
      <c r="Z58" s="27">
        <f>IF('CRUDO JUEVES'!BV58="Si",$N58,)</f>
        <v>0</v>
      </c>
      <c r="AA58" s="28"/>
      <c r="AB58" s="28">
        <v>35</v>
      </c>
      <c r="AC58" s="28" t="s">
        <v>1233</v>
      </c>
      <c r="AD58" s="27">
        <f>IF('CRUDO JUEVES'!BX58="Si",$N58,)</f>
        <v>0</v>
      </c>
      <c r="AE58" s="27"/>
      <c r="AF58" s="27">
        <f>IF('CRUDO JUEVES'!BY58="Si",$N58,)</f>
        <v>35</v>
      </c>
      <c r="AG58" s="28" t="s">
        <v>1227</v>
      </c>
      <c r="AH58" s="27">
        <f>IF('CRUDO JUEVES'!BZ58="Si",$N58,)</f>
        <v>0</v>
      </c>
      <c r="AI58" s="27"/>
      <c r="AJ58" s="27">
        <f>IF('CRUDO JUEVES'!CA58="Si",$N58,)</f>
        <v>35</v>
      </c>
      <c r="AK58" s="28" t="s">
        <v>1233</v>
      </c>
      <c r="AL58" s="27">
        <f>IF('CRUDO JUEVES'!CB58="Si",$N58,)</f>
        <v>0</v>
      </c>
      <c r="AM58" s="27"/>
      <c r="AN58" s="27">
        <f>IF('CRUDO JUEVES'!CC58="Si",$N58,)</f>
        <v>0</v>
      </c>
      <c r="AO58" s="28"/>
      <c r="AP58" s="28">
        <v>0</v>
      </c>
      <c r="AQ58" s="27"/>
      <c r="AR58" s="27">
        <f>IF('CRUDO JUEVES'!CE58="Si",$N58,)</f>
        <v>35</v>
      </c>
      <c r="AS58" s="28" t="s">
        <v>1228</v>
      </c>
      <c r="AT58" s="27">
        <f>IF('CRUDO JUEVES'!CF58="Si",$N58,)</f>
        <v>0</v>
      </c>
      <c r="AU58" s="27"/>
      <c r="AV58" s="27">
        <f>IF('CRUDO JUEVES'!CG58="Si",$N58,)</f>
        <v>0</v>
      </c>
      <c r="AW58" s="28">
        <v>0</v>
      </c>
      <c r="AX58" s="27">
        <f>IF('CRUDO JUEVES'!CI58="Si",$N58,)</f>
        <v>0</v>
      </c>
      <c r="AY58" s="27">
        <f>IF('CRUDO JUEVES'!CJ58="Si",$N58,)</f>
        <v>0</v>
      </c>
      <c r="AZ58" s="28">
        <v>0</v>
      </c>
      <c r="BA58" s="27">
        <f>IF('CRUDO JUEVES'!CL58="Si",$N58,)</f>
        <v>0</v>
      </c>
      <c r="BB58" s="27"/>
      <c r="BC58" s="27">
        <f>IF('CRUDO JUEVES'!CM58="Si",$N58,)</f>
        <v>0</v>
      </c>
      <c r="BD58" s="28"/>
      <c r="BE58" s="28">
        <v>0</v>
      </c>
      <c r="BF58" s="27"/>
      <c r="BG58" s="27">
        <f>IF('CRUDO JUEVES'!CO58="Si",$N58,)</f>
        <v>0</v>
      </c>
      <c r="BH58" s="23"/>
      <c r="BI58" s="23" t="s">
        <v>904</v>
      </c>
      <c r="BJ58" s="23" t="s">
        <v>1237</v>
      </c>
      <c r="BK58" s="23">
        <v>1</v>
      </c>
      <c r="BL58" s="25"/>
      <c r="BM58" s="25"/>
      <c r="BN58" s="25"/>
      <c r="BO58" s="25"/>
    </row>
    <row r="59" spans="1:67" ht="13.2" hidden="1" x14ac:dyDescent="0.25">
      <c r="A59" s="3">
        <v>45005.920085729165</v>
      </c>
      <c r="B59" s="4" t="s">
        <v>1045</v>
      </c>
      <c r="C59" s="4" t="s">
        <v>1046</v>
      </c>
      <c r="D59" s="5" t="s">
        <v>1047</v>
      </c>
      <c r="E59" s="4" t="s">
        <v>103</v>
      </c>
      <c r="F59" s="4" t="s">
        <v>1048</v>
      </c>
      <c r="G59" s="4" t="s">
        <v>105</v>
      </c>
      <c r="H59" s="4" t="s">
        <v>1049</v>
      </c>
      <c r="I59" s="4" t="s">
        <v>1050</v>
      </c>
      <c r="J59" s="4" t="s">
        <v>1051</v>
      </c>
      <c r="K59" s="4" t="s">
        <v>1045</v>
      </c>
      <c r="L59" s="4" t="s">
        <v>656</v>
      </c>
      <c r="M59" s="4" t="s">
        <v>643</v>
      </c>
      <c r="N59" s="4">
        <v>0</v>
      </c>
      <c r="O59" s="4" t="s">
        <v>97</v>
      </c>
      <c r="P59" s="4">
        <v>3</v>
      </c>
      <c r="Q59" s="4">
        <v>3</v>
      </c>
      <c r="R59" s="4">
        <v>80</v>
      </c>
      <c r="T59" s="4" t="s">
        <v>70</v>
      </c>
      <c r="U59" s="4" t="s">
        <v>71</v>
      </c>
      <c r="V59" s="6" t="s">
        <v>73</v>
      </c>
      <c r="W59" s="37">
        <f>IF('CRUDO JUEVES'!BS59="Si",$N59,)</f>
        <v>0</v>
      </c>
      <c r="X59" s="37">
        <f>IF('CRUDO JUEVES'!BT59="Si",$N59,)</f>
        <v>0</v>
      </c>
      <c r="Y59" s="37">
        <f>IF('CRUDO JUEVES'!BU59="Si",$N59,)</f>
        <v>0</v>
      </c>
      <c r="Z59" s="37">
        <f>IF('CRUDO JUEVES'!BV59="Si",$N59,)</f>
        <v>0</v>
      </c>
      <c r="AA59" s="37"/>
      <c r="AB59" s="37">
        <f>IF('CRUDO JUEVES'!BW59="Si",$N59,)</f>
        <v>0</v>
      </c>
      <c r="AC59" s="37"/>
      <c r="AD59" s="37">
        <f>IF('CRUDO JUEVES'!BX59="Si",$N59,)</f>
        <v>0</v>
      </c>
      <c r="AE59" s="37"/>
      <c r="AF59" s="37">
        <f>IF('CRUDO JUEVES'!BY59="Si",$N59,)</f>
        <v>0</v>
      </c>
      <c r="AG59" s="37"/>
      <c r="AH59" s="37">
        <f>IF('CRUDO JUEVES'!BZ59="Si",$N59,)</f>
        <v>0</v>
      </c>
      <c r="AI59" s="37"/>
      <c r="AJ59" s="37">
        <f>IF('CRUDO JUEVES'!CA59="Si",$N59,)</f>
        <v>0</v>
      </c>
      <c r="AK59" s="37"/>
      <c r="AL59" s="37">
        <f>IF('CRUDO JUEVES'!CB59="Si",$N59,)</f>
        <v>0</v>
      </c>
      <c r="AM59" s="37"/>
      <c r="AN59" s="37">
        <f>IF('CRUDO JUEVES'!CC59="Si",$N59,)</f>
        <v>0</v>
      </c>
      <c r="AO59" s="37"/>
      <c r="AP59" s="37">
        <f>IF('CRUDO JUEVES'!CD59="Si",$N59,)</f>
        <v>0</v>
      </c>
      <c r="AQ59" s="37"/>
      <c r="AR59" s="37">
        <f>IF('CRUDO JUEVES'!CE59="Si",$N59,)</f>
        <v>0</v>
      </c>
      <c r="AS59" s="37"/>
      <c r="AT59" s="37">
        <f>IF('CRUDO JUEVES'!CF59="Si",$N59,)</f>
        <v>0</v>
      </c>
      <c r="AU59" s="37"/>
      <c r="AV59" s="37">
        <f>IF('CRUDO JUEVES'!CG59="Si",$N59,)</f>
        <v>0</v>
      </c>
      <c r="AW59" s="37">
        <f>IF('CRUDO JUEVES'!CH59="Si",$N59,)</f>
        <v>0</v>
      </c>
      <c r="AX59" s="37">
        <f>IF('CRUDO JUEVES'!CI59="Si",$N59,)</f>
        <v>0</v>
      </c>
      <c r="AY59" s="37">
        <f>IF('CRUDO JUEVES'!CJ59="Si",$N59,)</f>
        <v>0</v>
      </c>
      <c r="AZ59" s="37">
        <f>IF('CRUDO JUEVES'!CK59="Si",$N59,)</f>
        <v>0</v>
      </c>
      <c r="BA59" s="37">
        <f>IF('CRUDO JUEVES'!CL59="Si",$N59,)</f>
        <v>0</v>
      </c>
      <c r="BB59" s="37"/>
      <c r="BC59" s="37">
        <f>IF('CRUDO JUEVES'!CM59="Si",$N59,)</f>
        <v>0</v>
      </c>
      <c r="BD59" s="37"/>
      <c r="BE59" s="37">
        <f>IF('CRUDO JUEVES'!CN59="Si",$N59,)</f>
        <v>0</v>
      </c>
      <c r="BF59" s="37"/>
      <c r="BG59" s="37">
        <f>IF('CRUDO JUEVES'!CO59="Si",$N59,)</f>
        <v>0</v>
      </c>
    </row>
    <row r="60" spans="1:67" ht="13.2" x14ac:dyDescent="0.25">
      <c r="A60" s="22">
        <v>45005.923197476848</v>
      </c>
      <c r="B60" s="23" t="s">
        <v>1045</v>
      </c>
      <c r="C60" s="23" t="s">
        <v>1052</v>
      </c>
      <c r="D60" s="29" t="s">
        <v>1047</v>
      </c>
      <c r="E60" s="23" t="s">
        <v>103</v>
      </c>
      <c r="F60" s="23" t="s">
        <v>1053</v>
      </c>
      <c r="G60" s="23" t="s">
        <v>105</v>
      </c>
      <c r="H60" s="23" t="s">
        <v>1050</v>
      </c>
      <c r="I60" s="23" t="s">
        <v>1054</v>
      </c>
      <c r="J60" s="23" t="s">
        <v>1055</v>
      </c>
      <c r="K60" s="23" t="s">
        <v>1045</v>
      </c>
      <c r="L60" s="23" t="s">
        <v>656</v>
      </c>
      <c r="M60" s="23" t="s">
        <v>643</v>
      </c>
      <c r="N60" s="23">
        <v>28</v>
      </c>
      <c r="O60" s="23" t="s">
        <v>69</v>
      </c>
      <c r="P60" s="23">
        <v>3</v>
      </c>
      <c r="Q60" s="23">
        <v>3</v>
      </c>
      <c r="R60" s="23">
        <v>80</v>
      </c>
      <c r="S60" s="25"/>
      <c r="T60" s="23" t="s">
        <v>70</v>
      </c>
      <c r="U60" s="23" t="s">
        <v>71</v>
      </c>
      <c r="V60" s="26" t="s">
        <v>73</v>
      </c>
      <c r="W60" s="27">
        <f>IF('CRUDO JUEVES'!BS60="Si",$N60,)</f>
        <v>28</v>
      </c>
      <c r="X60" s="28">
        <v>0</v>
      </c>
      <c r="Y60" s="27">
        <f>IF('CRUDO JUEVES'!BU60="Si",$N60,)</f>
        <v>28</v>
      </c>
      <c r="Z60" s="27">
        <f>IF('CRUDO JUEVES'!BV60="Si",$N60,)</f>
        <v>0</v>
      </c>
      <c r="AA60" s="28"/>
      <c r="AB60" s="28">
        <v>0</v>
      </c>
      <c r="AC60" s="27"/>
      <c r="AD60" s="27">
        <f>IF('CRUDO JUEVES'!BX60="Si",$N60,)</f>
        <v>28</v>
      </c>
      <c r="AE60" s="28" t="s">
        <v>1233</v>
      </c>
      <c r="AF60" s="28">
        <v>0</v>
      </c>
      <c r="AG60" s="28"/>
      <c r="AH60" s="28">
        <v>0</v>
      </c>
      <c r="AI60" s="27"/>
      <c r="AJ60" s="27">
        <f>IF('CRUDO JUEVES'!CA60="Si",$N60,)</f>
        <v>0</v>
      </c>
      <c r="AK60" s="27"/>
      <c r="AL60" s="27">
        <f>IF('CRUDO JUEVES'!CB60="Si",$N60,)</f>
        <v>0</v>
      </c>
      <c r="AM60" s="28"/>
      <c r="AN60" s="28">
        <v>28</v>
      </c>
      <c r="AO60" s="28" t="s">
        <v>1228</v>
      </c>
      <c r="AP60" s="28">
        <v>0</v>
      </c>
      <c r="AQ60" s="28"/>
      <c r="AR60" s="28">
        <v>0</v>
      </c>
      <c r="AS60" s="28"/>
      <c r="AT60" s="27">
        <f>IF('CRUDO JUEVES'!CF60="Si",$N60,)</f>
        <v>0</v>
      </c>
      <c r="AU60" s="27"/>
      <c r="AV60" s="27">
        <f>IF('CRUDO JUEVES'!CG60="Si",$N60,)</f>
        <v>0</v>
      </c>
      <c r="AW60" s="28">
        <v>0</v>
      </c>
      <c r="AX60" s="28">
        <v>0</v>
      </c>
      <c r="AY60" s="28">
        <v>0</v>
      </c>
      <c r="AZ60" s="27">
        <f>IF('CRUDO JUEVES'!CK60="Si",$N60,)</f>
        <v>0</v>
      </c>
      <c r="BA60" s="28">
        <v>0</v>
      </c>
      <c r="BB60" s="25"/>
      <c r="BC60" s="28">
        <v>0</v>
      </c>
      <c r="BD60" s="28"/>
      <c r="BE60" s="28">
        <v>0</v>
      </c>
      <c r="BF60" s="27"/>
      <c r="BG60" s="27">
        <f>IF('CRUDO JUEVES'!CO60="Si",$N60,)</f>
        <v>0</v>
      </c>
      <c r="BH60" s="25"/>
      <c r="BI60" s="25"/>
      <c r="BJ60" s="23" t="s">
        <v>1242</v>
      </c>
      <c r="BK60" s="23">
        <v>1</v>
      </c>
      <c r="BL60" s="25"/>
      <c r="BM60" s="25"/>
      <c r="BN60" s="25"/>
      <c r="BO60" s="25"/>
    </row>
    <row r="61" spans="1:67" ht="13.2" x14ac:dyDescent="0.25">
      <c r="A61" s="30">
        <v>45006.405131215273</v>
      </c>
      <c r="B61" s="31" t="s">
        <v>649</v>
      </c>
      <c r="C61" s="31" t="s">
        <v>650</v>
      </c>
      <c r="D61" s="32" t="s">
        <v>651</v>
      </c>
      <c r="E61" s="31" t="s">
        <v>62</v>
      </c>
      <c r="F61" s="31" t="s">
        <v>652</v>
      </c>
      <c r="G61" s="31" t="s">
        <v>64</v>
      </c>
      <c r="H61" s="31" t="s">
        <v>653</v>
      </c>
      <c r="I61" s="31" t="s">
        <v>654</v>
      </c>
      <c r="J61" s="31" t="s">
        <v>655</v>
      </c>
      <c r="K61" s="31" t="s">
        <v>649</v>
      </c>
      <c r="L61" s="31" t="s">
        <v>656</v>
      </c>
      <c r="M61" s="31" t="s">
        <v>361</v>
      </c>
      <c r="N61" s="31">
        <v>0</v>
      </c>
      <c r="O61" s="31" t="s">
        <v>69</v>
      </c>
      <c r="P61" s="31">
        <v>3</v>
      </c>
      <c r="Q61" s="31">
        <v>3</v>
      </c>
      <c r="R61" s="31">
        <v>0</v>
      </c>
      <c r="S61" s="33"/>
      <c r="T61" s="31" t="s">
        <v>70</v>
      </c>
      <c r="U61" s="31" t="s">
        <v>70</v>
      </c>
      <c r="V61" s="8" t="s">
        <v>73</v>
      </c>
      <c r="W61" s="35">
        <f>IF('CRUDO JUEVES'!BS61="Si",$N61,)</f>
        <v>0</v>
      </c>
      <c r="X61" s="34">
        <v>0</v>
      </c>
      <c r="Y61" s="35">
        <f>IF('CRUDO JUEVES'!BU61="Si",$N61,)</f>
        <v>0</v>
      </c>
      <c r="Z61" s="35">
        <f>IF('CRUDO JUEVES'!BV61="Si",$N61,)</f>
        <v>0</v>
      </c>
      <c r="AA61" s="35"/>
      <c r="AB61" s="35">
        <f>IF('CRUDO JUEVES'!BW61="Si",$N61,)</f>
        <v>0</v>
      </c>
      <c r="AC61" s="34" t="s">
        <v>1233</v>
      </c>
      <c r="AD61" s="35">
        <f>IF('CRUDO JUEVES'!BX61="Si",$N61,)</f>
        <v>0</v>
      </c>
      <c r="AE61" s="35"/>
      <c r="AF61" s="35">
        <f>IF('CRUDO JUEVES'!BY61="Si",$N61,)</f>
        <v>0</v>
      </c>
      <c r="AG61" s="34" t="s">
        <v>1227</v>
      </c>
      <c r="AH61" s="35">
        <f>IF('CRUDO JUEVES'!BZ61="Si",$N61,)</f>
        <v>0</v>
      </c>
      <c r="AI61" s="35"/>
      <c r="AJ61" s="35">
        <f>IF('CRUDO JUEVES'!CA61="Si",$N61,)</f>
        <v>0</v>
      </c>
      <c r="AK61" s="35"/>
      <c r="AL61" s="35">
        <f>IF('CRUDO JUEVES'!CB61="Si",$N61,)</f>
        <v>0</v>
      </c>
      <c r="AM61" s="35"/>
      <c r="AN61" s="35">
        <f>IF('CRUDO JUEVES'!CC61="Si",$N61,)</f>
        <v>0</v>
      </c>
      <c r="AO61" s="35"/>
      <c r="AP61" s="35">
        <f>IF('CRUDO JUEVES'!CD61="Si",$N61,)</f>
        <v>0</v>
      </c>
      <c r="AQ61" s="34"/>
      <c r="AR61" s="34">
        <v>0</v>
      </c>
      <c r="AS61" s="34"/>
      <c r="AT61" s="35">
        <f>IF('CRUDO JUEVES'!CF61="Si",$N61,)</f>
        <v>0</v>
      </c>
      <c r="AU61" s="35"/>
      <c r="AV61" s="35">
        <f>IF('CRUDO JUEVES'!CG61="Si",$N61,)</f>
        <v>0</v>
      </c>
      <c r="AW61" s="35">
        <f>IF('CRUDO JUEVES'!CH61="Si",$N61,)</f>
        <v>0</v>
      </c>
      <c r="AX61" s="35">
        <f>IF('CRUDO JUEVES'!CI61="Si",$N61,)</f>
        <v>0</v>
      </c>
      <c r="AY61" s="35">
        <f>IF('CRUDO JUEVES'!CJ61="Si",$N61,)</f>
        <v>0</v>
      </c>
      <c r="AZ61" s="34">
        <v>0</v>
      </c>
      <c r="BA61" s="35">
        <f>IF('CRUDO JUEVES'!CL61="Si",$N61,)</f>
        <v>0</v>
      </c>
      <c r="BB61" s="35"/>
      <c r="BC61" s="35">
        <f>IF('CRUDO JUEVES'!CM61="Si",$N61,)</f>
        <v>0</v>
      </c>
      <c r="BD61" s="35"/>
      <c r="BE61" s="35">
        <f>IF('CRUDO JUEVES'!CN61="Si",$N61,)</f>
        <v>0</v>
      </c>
      <c r="BF61" s="35"/>
      <c r="BG61" s="35">
        <f>IF('CRUDO JUEVES'!CO61="Si",$N61,)</f>
        <v>0</v>
      </c>
      <c r="BH61" s="33"/>
      <c r="BI61" s="33"/>
      <c r="BJ61" s="31" t="s">
        <v>1246</v>
      </c>
      <c r="BK61" s="33"/>
      <c r="BL61" s="33"/>
      <c r="BM61" s="33"/>
      <c r="BN61" s="33"/>
      <c r="BO61" s="33"/>
    </row>
    <row r="62" spans="1:67" ht="13.2" hidden="1" x14ac:dyDescent="0.25">
      <c r="A62" s="3">
        <v>45006.424964826394</v>
      </c>
      <c r="B62" s="4" t="s">
        <v>343</v>
      </c>
      <c r="C62" s="4" t="s">
        <v>344</v>
      </c>
      <c r="D62" s="6" t="s">
        <v>345</v>
      </c>
      <c r="E62" s="4" t="s">
        <v>62</v>
      </c>
      <c r="F62" s="4" t="s">
        <v>346</v>
      </c>
      <c r="G62" s="4" t="s">
        <v>64</v>
      </c>
      <c r="H62" s="4" t="s">
        <v>347</v>
      </c>
      <c r="I62" s="4" t="s">
        <v>348</v>
      </c>
      <c r="J62" s="4" t="s">
        <v>349</v>
      </c>
      <c r="K62" s="4" t="s">
        <v>343</v>
      </c>
      <c r="L62" s="4" t="s">
        <v>67</v>
      </c>
      <c r="M62" s="4" t="s">
        <v>236</v>
      </c>
      <c r="N62" s="4">
        <v>0</v>
      </c>
      <c r="O62" s="4" t="s">
        <v>97</v>
      </c>
      <c r="P62" s="4">
        <v>5</v>
      </c>
      <c r="Q62" s="4">
        <v>4</v>
      </c>
      <c r="R62" s="4">
        <v>50</v>
      </c>
      <c r="T62" s="4" t="s">
        <v>70</v>
      </c>
      <c r="U62" s="4" t="s">
        <v>71</v>
      </c>
      <c r="V62" s="6" t="s">
        <v>73</v>
      </c>
      <c r="W62" s="37">
        <f>IF('CRUDO JUEVES'!BS62="Si",$N62,)</f>
        <v>0</v>
      </c>
      <c r="X62" s="37">
        <f>IF('CRUDO JUEVES'!BT62="Si",$N62,)</f>
        <v>0</v>
      </c>
      <c r="Y62" s="37">
        <f>IF('CRUDO JUEVES'!BU62="Si",$N62,)</f>
        <v>0</v>
      </c>
      <c r="Z62" s="37">
        <f>IF('CRUDO JUEVES'!BV62="Si",$N62,)</f>
        <v>0</v>
      </c>
      <c r="AA62" s="37"/>
      <c r="AB62" s="37">
        <f>IF('CRUDO JUEVES'!BW62="Si",$N62,)</f>
        <v>0</v>
      </c>
      <c r="AC62" s="37"/>
      <c r="AD62" s="37">
        <f>IF('CRUDO JUEVES'!BX62="Si",$N62,)</f>
        <v>0</v>
      </c>
      <c r="AE62" s="37"/>
      <c r="AF62" s="37">
        <f>IF('CRUDO JUEVES'!BY62="Si",$N62,)</f>
        <v>0</v>
      </c>
      <c r="AG62" s="37"/>
      <c r="AH62" s="37">
        <f>IF('CRUDO JUEVES'!BZ62="Si",$N62,)</f>
        <v>0</v>
      </c>
      <c r="AI62" s="37"/>
      <c r="AJ62" s="37">
        <f>IF('CRUDO JUEVES'!CA62="Si",$N62,)</f>
        <v>0</v>
      </c>
      <c r="AK62" s="37"/>
      <c r="AL62" s="37">
        <f>IF('CRUDO JUEVES'!CB62="Si",$N62,)</f>
        <v>0</v>
      </c>
      <c r="AM62" s="37"/>
      <c r="AN62" s="37">
        <f>IF('CRUDO JUEVES'!CC62="Si",$N62,)</f>
        <v>0</v>
      </c>
      <c r="AO62" s="37"/>
      <c r="AP62" s="37">
        <f>IF('CRUDO JUEVES'!CD62="Si",$N62,)</f>
        <v>0</v>
      </c>
      <c r="AQ62" s="37"/>
      <c r="AR62" s="37">
        <f>IF('CRUDO JUEVES'!CE62="Si",$N62,)</f>
        <v>0</v>
      </c>
      <c r="AS62" s="37"/>
      <c r="AT62" s="37">
        <f>IF('CRUDO JUEVES'!CF62="Si",$N62,)</f>
        <v>0</v>
      </c>
      <c r="AU62" s="37"/>
      <c r="AV62" s="37">
        <f>IF('CRUDO JUEVES'!CG62="Si",$N62,)</f>
        <v>0</v>
      </c>
      <c r="AW62" s="37">
        <f>IF('CRUDO JUEVES'!CH62="Si",$N62,)</f>
        <v>0</v>
      </c>
      <c r="AX62" s="37">
        <f>IF('CRUDO JUEVES'!CI62="Si",$N62,)</f>
        <v>0</v>
      </c>
      <c r="AY62" s="37">
        <f>IF('CRUDO JUEVES'!CJ62="Si",$N62,)</f>
        <v>0</v>
      </c>
      <c r="AZ62" s="37">
        <f>IF('CRUDO JUEVES'!CK62="Si",$N62,)</f>
        <v>0</v>
      </c>
      <c r="BA62" s="37">
        <f>IF('CRUDO JUEVES'!CL62="Si",$N62,)</f>
        <v>0</v>
      </c>
      <c r="BB62" s="37"/>
      <c r="BC62" s="37">
        <f>IF('CRUDO JUEVES'!CM62="Si",$N62,)</f>
        <v>0</v>
      </c>
      <c r="BD62" s="37"/>
      <c r="BE62" s="37">
        <f>IF('CRUDO JUEVES'!CN62="Si",$N62,)</f>
        <v>0</v>
      </c>
      <c r="BF62" s="37"/>
      <c r="BG62" s="37">
        <f>IF('CRUDO JUEVES'!CO62="Si",$N62,)</f>
        <v>0</v>
      </c>
    </row>
    <row r="63" spans="1:67" ht="13.2" x14ac:dyDescent="0.25">
      <c r="A63" s="22">
        <v>45006.433339212963</v>
      </c>
      <c r="B63" s="23" t="s">
        <v>343</v>
      </c>
      <c r="C63" s="23" t="s">
        <v>344</v>
      </c>
      <c r="D63" s="26" t="s">
        <v>345</v>
      </c>
      <c r="E63" s="23" t="s">
        <v>62</v>
      </c>
      <c r="F63" s="23" t="s">
        <v>351</v>
      </c>
      <c r="G63" s="23" t="s">
        <v>64</v>
      </c>
      <c r="H63" s="23" t="s">
        <v>347</v>
      </c>
      <c r="I63" s="23" t="s">
        <v>352</v>
      </c>
      <c r="J63" s="23" t="s">
        <v>349</v>
      </c>
      <c r="K63" s="23" t="s">
        <v>343</v>
      </c>
      <c r="L63" s="23" t="s">
        <v>67</v>
      </c>
      <c r="M63" s="23" t="s">
        <v>236</v>
      </c>
      <c r="N63" s="23">
        <v>30</v>
      </c>
      <c r="O63" s="23" t="s">
        <v>69</v>
      </c>
      <c r="P63" s="23">
        <v>5</v>
      </c>
      <c r="Q63" s="23">
        <v>4</v>
      </c>
      <c r="R63" s="23">
        <v>50</v>
      </c>
      <c r="S63" s="25"/>
      <c r="T63" s="23" t="s">
        <v>70</v>
      </c>
      <c r="U63" s="23" t="s">
        <v>71</v>
      </c>
      <c r="V63" s="26" t="s">
        <v>73</v>
      </c>
      <c r="W63" s="27">
        <f>IF('CRUDO JUEVES'!BS63="Si",$N63,)</f>
        <v>30</v>
      </c>
      <c r="X63" s="27">
        <f>IF('CRUDO JUEVES'!BT63="Si",$N63,)</f>
        <v>0</v>
      </c>
      <c r="Y63" s="27">
        <f>IF('CRUDO JUEVES'!BU63="Si",$N63,)</f>
        <v>0</v>
      </c>
      <c r="Z63" s="27">
        <f>IF('CRUDO JUEVES'!BV63="Si",$N63,)</f>
        <v>0</v>
      </c>
      <c r="AA63" s="27"/>
      <c r="AB63" s="27">
        <f>IF('CRUDO JUEVES'!BW63="Si",$N63,)</f>
        <v>30</v>
      </c>
      <c r="AC63" s="28" t="s">
        <v>1233</v>
      </c>
      <c r="AD63" s="27">
        <f>IF('CRUDO JUEVES'!BX63="Si",$N63,)</f>
        <v>0</v>
      </c>
      <c r="AE63" s="27"/>
      <c r="AF63" s="27">
        <f>IF('CRUDO JUEVES'!BY63="Si",$N63,)</f>
        <v>0</v>
      </c>
      <c r="AG63" s="27"/>
      <c r="AH63" s="27">
        <f>IF('CRUDO JUEVES'!BZ63="Si",$N63,)</f>
        <v>0</v>
      </c>
      <c r="AI63" s="27"/>
      <c r="AJ63" s="27">
        <f>IF('CRUDO JUEVES'!CA63="Si",$N63,)</f>
        <v>0</v>
      </c>
      <c r="AK63" s="27"/>
      <c r="AL63" s="27">
        <f>IF('CRUDO JUEVES'!CB63="Si",$N63,)</f>
        <v>0</v>
      </c>
      <c r="AM63" s="27"/>
      <c r="AN63" s="27">
        <f>IF('CRUDO JUEVES'!CC63="Si",$N63,)</f>
        <v>0</v>
      </c>
      <c r="AO63" s="27"/>
      <c r="AP63" s="27">
        <f>IF('CRUDO JUEVES'!CD63="Si",$N63,)</f>
        <v>0</v>
      </c>
      <c r="AQ63" s="27"/>
      <c r="AR63" s="27">
        <f>IF('CRUDO JUEVES'!CE63="Si",$N63,)</f>
        <v>0</v>
      </c>
      <c r="AS63" s="27"/>
      <c r="AT63" s="27">
        <f>IF('CRUDO JUEVES'!CF63="Si",$N63,)</f>
        <v>0</v>
      </c>
      <c r="AU63" s="27"/>
      <c r="AV63" s="27">
        <f>IF('CRUDO JUEVES'!CG63="Si",$N63,)</f>
        <v>0</v>
      </c>
      <c r="AW63" s="27">
        <f>IF('CRUDO JUEVES'!CH63="Si",$N63,)</f>
        <v>0</v>
      </c>
      <c r="AX63" s="27">
        <f>IF('CRUDO JUEVES'!CI63="Si",$N63,)</f>
        <v>0</v>
      </c>
      <c r="AY63" s="27">
        <f>IF('CRUDO JUEVES'!CJ63="Si",$N63,)</f>
        <v>0</v>
      </c>
      <c r="AZ63" s="27">
        <f>IF('CRUDO JUEVES'!CK63="Si",$N63,)</f>
        <v>0</v>
      </c>
      <c r="BA63" s="27">
        <f>IF('CRUDO JUEVES'!CL63="Si",$N63,)</f>
        <v>0</v>
      </c>
      <c r="BB63" s="28"/>
      <c r="BC63" s="28">
        <v>30</v>
      </c>
      <c r="BD63" s="28" t="s">
        <v>1235</v>
      </c>
      <c r="BE63" s="27">
        <f>IF('CRUDO JUEVES'!CN63="Si",$N63,)</f>
        <v>0</v>
      </c>
      <c r="BF63" s="27"/>
      <c r="BG63" s="27">
        <f>IF('CRUDO JUEVES'!CO63="Si",$N63,)</f>
        <v>0</v>
      </c>
      <c r="BH63" s="25"/>
      <c r="BI63" s="25"/>
      <c r="BJ63" s="23" t="s">
        <v>1263</v>
      </c>
      <c r="BK63" s="23">
        <v>1</v>
      </c>
      <c r="BL63" s="25"/>
      <c r="BM63" s="25"/>
      <c r="BN63" s="25"/>
      <c r="BO63" s="25"/>
    </row>
    <row r="64" spans="1:67" ht="13.2" x14ac:dyDescent="0.25">
      <c r="A64" s="22">
        <v>45006.451086111112</v>
      </c>
      <c r="B64" s="23" t="s">
        <v>59</v>
      </c>
      <c r="C64" s="23" t="s">
        <v>60</v>
      </c>
      <c r="D64" s="29" t="s">
        <v>61</v>
      </c>
      <c r="E64" s="23" t="s">
        <v>62</v>
      </c>
      <c r="F64" s="23" t="s">
        <v>63</v>
      </c>
      <c r="G64" s="23" t="s">
        <v>64</v>
      </c>
      <c r="H64" s="23" t="s">
        <v>65</v>
      </c>
      <c r="I64" s="23" t="s">
        <v>66</v>
      </c>
      <c r="J64" s="25"/>
      <c r="K64" s="23" t="s">
        <v>59</v>
      </c>
      <c r="L64" s="23" t="s">
        <v>67</v>
      </c>
      <c r="M64" s="23" t="s">
        <v>68</v>
      </c>
      <c r="N64" s="23">
        <v>19</v>
      </c>
      <c r="O64" s="23" t="s">
        <v>69</v>
      </c>
      <c r="P64" s="23">
        <v>5</v>
      </c>
      <c r="Q64" s="23">
        <v>5</v>
      </c>
      <c r="R64" s="23">
        <v>0</v>
      </c>
      <c r="S64" s="25"/>
      <c r="T64" s="23" t="s">
        <v>70</v>
      </c>
      <c r="U64" s="23" t="s">
        <v>71</v>
      </c>
      <c r="V64" s="26" t="s">
        <v>73</v>
      </c>
      <c r="W64" s="27">
        <f>IF('CRUDO JUEVES'!BS64="Si",$N64,)</f>
        <v>19</v>
      </c>
      <c r="X64" s="27">
        <f>IF('CRUDO JUEVES'!BT64="Si",$N64,)</f>
        <v>0</v>
      </c>
      <c r="Y64" s="27">
        <f>IF('CRUDO JUEVES'!BU64="Si",$N64,)</f>
        <v>0</v>
      </c>
      <c r="Z64" s="27">
        <f>IF('CRUDO JUEVES'!BV64="Si",$N64,)</f>
        <v>0</v>
      </c>
      <c r="AA64" s="28"/>
      <c r="AB64" s="28">
        <v>0</v>
      </c>
      <c r="AC64" s="27"/>
      <c r="AD64" s="27">
        <f>IF('CRUDO JUEVES'!BX64="Si",$N64,)</f>
        <v>19</v>
      </c>
      <c r="AE64" s="28" t="s">
        <v>1233</v>
      </c>
      <c r="AF64" s="27">
        <f>IF('CRUDO JUEVES'!BY64="Si",$N64,)</f>
        <v>0</v>
      </c>
      <c r="AG64" s="27"/>
      <c r="AH64" s="27">
        <f>IF('CRUDO JUEVES'!BZ64="Si",$N64,)</f>
        <v>0</v>
      </c>
      <c r="AI64" s="27"/>
      <c r="AJ64" s="27">
        <f>IF('CRUDO JUEVES'!CA64="Si",$N64,)</f>
        <v>0</v>
      </c>
      <c r="AK64" s="27"/>
      <c r="AL64" s="27">
        <f>IF('CRUDO JUEVES'!CB64="Si",$N64,)</f>
        <v>0</v>
      </c>
      <c r="AM64" s="28"/>
      <c r="AN64" s="28">
        <v>19</v>
      </c>
      <c r="AO64" s="28" t="s">
        <v>1230</v>
      </c>
      <c r="AP64" s="28">
        <v>0</v>
      </c>
      <c r="AQ64" s="27"/>
      <c r="AR64" s="27">
        <f>IF('CRUDO JUEVES'!CE64="Si",$N64,)</f>
        <v>0</v>
      </c>
      <c r="AS64" s="27"/>
      <c r="AT64" s="27">
        <f>IF('CRUDO JUEVES'!CF64="Si",$N64,)</f>
        <v>0</v>
      </c>
      <c r="AU64" s="27"/>
      <c r="AV64" s="27">
        <f>IF('CRUDO JUEVES'!CG64="Si",$N64,)</f>
        <v>0</v>
      </c>
      <c r="AW64" s="27">
        <f>IF('CRUDO JUEVES'!CH64="Si",$N64,)</f>
        <v>0</v>
      </c>
      <c r="AX64" s="27">
        <f>IF('CRUDO JUEVES'!CI64="Si",$N64,)</f>
        <v>0</v>
      </c>
      <c r="AY64" s="27">
        <f>IF('CRUDO JUEVES'!CJ64="Si",$N64,)</f>
        <v>0</v>
      </c>
      <c r="AZ64" s="27">
        <f>IF('CRUDO JUEVES'!CK64="Si",$N64,)</f>
        <v>0</v>
      </c>
      <c r="BA64" s="27">
        <f>IF('CRUDO JUEVES'!CL64="Si",$N64,)</f>
        <v>0</v>
      </c>
      <c r="BB64" s="27"/>
      <c r="BC64" s="27">
        <f>IF('CRUDO JUEVES'!CM64="Si",$N64,)</f>
        <v>0</v>
      </c>
      <c r="BD64" s="27"/>
      <c r="BE64" s="27">
        <f>IF('CRUDO JUEVES'!CN64="Si",$N64,)</f>
        <v>0</v>
      </c>
      <c r="BF64" s="27"/>
      <c r="BG64" s="27">
        <f>IF('CRUDO JUEVES'!CO64="Si",$N64,)</f>
        <v>0</v>
      </c>
      <c r="BH64" s="25"/>
      <c r="BI64" s="25"/>
      <c r="BJ64" s="23" t="s">
        <v>1263</v>
      </c>
      <c r="BK64" s="23">
        <v>1</v>
      </c>
      <c r="BL64" s="25"/>
      <c r="BM64" s="25"/>
      <c r="BN64" s="25"/>
      <c r="BO64" s="25"/>
    </row>
    <row r="65" spans="1:67" ht="13.2" x14ac:dyDescent="0.25">
      <c r="A65" s="22">
        <v>45006.454249375005</v>
      </c>
      <c r="B65" s="23" t="s">
        <v>59</v>
      </c>
      <c r="C65" s="23" t="s">
        <v>74</v>
      </c>
      <c r="D65" s="29" t="s">
        <v>61</v>
      </c>
      <c r="E65" s="23" t="s">
        <v>62</v>
      </c>
      <c r="F65" s="23" t="s">
        <v>75</v>
      </c>
      <c r="G65" s="23" t="s">
        <v>64</v>
      </c>
      <c r="H65" s="23" t="s">
        <v>66</v>
      </c>
      <c r="I65" s="23" t="s">
        <v>76</v>
      </c>
      <c r="J65" s="25"/>
      <c r="K65" s="23" t="s">
        <v>59</v>
      </c>
      <c r="L65" s="23" t="s">
        <v>67</v>
      </c>
      <c r="M65" s="23" t="s">
        <v>68</v>
      </c>
      <c r="N65" s="23">
        <v>23</v>
      </c>
      <c r="O65" s="23" t="s">
        <v>69</v>
      </c>
      <c r="P65" s="23">
        <v>5</v>
      </c>
      <c r="Q65" s="23">
        <v>5</v>
      </c>
      <c r="R65" s="23">
        <v>0</v>
      </c>
      <c r="S65" s="25"/>
      <c r="T65" s="23" t="s">
        <v>70</v>
      </c>
      <c r="U65" s="23" t="s">
        <v>71</v>
      </c>
      <c r="V65" s="26" t="s">
        <v>73</v>
      </c>
      <c r="W65" s="27">
        <f>IF('CRUDO JUEVES'!BS65="Si",$N65,)</f>
        <v>23</v>
      </c>
      <c r="X65" s="27">
        <f>IF('CRUDO JUEVES'!BT65="Si",$N65,)</f>
        <v>0</v>
      </c>
      <c r="Y65" s="27">
        <f>IF('CRUDO JUEVES'!BU65="Si",$N65,)</f>
        <v>0</v>
      </c>
      <c r="Z65" s="27">
        <f>IF('CRUDO JUEVES'!BV65="Si",$N65,)</f>
        <v>0</v>
      </c>
      <c r="AA65" s="28"/>
      <c r="AB65" s="28">
        <v>0</v>
      </c>
      <c r="AC65" s="27"/>
      <c r="AD65" s="27">
        <f>IF('CRUDO JUEVES'!BX65="Si",$N65,)</f>
        <v>23</v>
      </c>
      <c r="AE65" s="28" t="s">
        <v>1233</v>
      </c>
      <c r="AF65" s="27">
        <f>IF('CRUDO JUEVES'!BY65="Si",$N65,)</f>
        <v>0</v>
      </c>
      <c r="AG65" s="27"/>
      <c r="AH65" s="27">
        <f>IF('CRUDO JUEVES'!BZ65="Si",$N65,)</f>
        <v>0</v>
      </c>
      <c r="AI65" s="27"/>
      <c r="AJ65" s="27">
        <f>IF('CRUDO JUEVES'!CA65="Si",$N65,)</f>
        <v>0</v>
      </c>
      <c r="AK65" s="27"/>
      <c r="AL65" s="27">
        <f>IF('CRUDO JUEVES'!CB65="Si",$N65,)</f>
        <v>0</v>
      </c>
      <c r="AM65" s="28"/>
      <c r="AN65" s="28">
        <v>23</v>
      </c>
      <c r="AO65" s="28" t="s">
        <v>1230</v>
      </c>
      <c r="AP65" s="28">
        <v>0</v>
      </c>
      <c r="AQ65" s="27"/>
      <c r="AR65" s="27">
        <f>IF('CRUDO JUEVES'!CE65="Si",$N65,)</f>
        <v>0</v>
      </c>
      <c r="AS65" s="27"/>
      <c r="AT65" s="27">
        <f>IF('CRUDO JUEVES'!CF65="Si",$N65,)</f>
        <v>0</v>
      </c>
      <c r="AU65" s="27"/>
      <c r="AV65" s="27">
        <f>IF('CRUDO JUEVES'!CG65="Si",$N65,)</f>
        <v>0</v>
      </c>
      <c r="AW65" s="27">
        <f>IF('CRUDO JUEVES'!CH65="Si",$N65,)</f>
        <v>0</v>
      </c>
      <c r="AX65" s="27">
        <f>IF('CRUDO JUEVES'!CI65="Si",$N65,)</f>
        <v>0</v>
      </c>
      <c r="AY65" s="27">
        <f>IF('CRUDO JUEVES'!CJ65="Si",$N65,)</f>
        <v>0</v>
      </c>
      <c r="AZ65" s="27">
        <f>IF('CRUDO JUEVES'!CK65="Si",$N65,)</f>
        <v>0</v>
      </c>
      <c r="BA65" s="27">
        <f>IF('CRUDO JUEVES'!CL65="Si",$N65,)</f>
        <v>0</v>
      </c>
      <c r="BB65" s="27"/>
      <c r="BC65" s="27">
        <f>IF('CRUDO JUEVES'!CM65="Si",$N65,)</f>
        <v>0</v>
      </c>
      <c r="BD65" s="27"/>
      <c r="BE65" s="27">
        <f>IF('CRUDO JUEVES'!CN65="Si",$N65,)</f>
        <v>0</v>
      </c>
      <c r="BF65" s="27"/>
      <c r="BG65" s="27">
        <f>IF('CRUDO JUEVES'!CO65="Si",$N65,)</f>
        <v>0</v>
      </c>
      <c r="BH65" s="25"/>
      <c r="BI65" s="25"/>
      <c r="BJ65" s="23" t="s">
        <v>1263</v>
      </c>
      <c r="BK65" s="23">
        <v>1</v>
      </c>
      <c r="BL65" s="25"/>
      <c r="BM65" s="25"/>
      <c r="BN65" s="25"/>
      <c r="BO65" s="25"/>
    </row>
    <row r="66" spans="1:67" ht="13.2" x14ac:dyDescent="0.25">
      <c r="A66" s="22">
        <v>45006.473578217592</v>
      </c>
      <c r="B66" s="23" t="s">
        <v>899</v>
      </c>
      <c r="C66" s="23" t="s">
        <v>905</v>
      </c>
      <c r="D66" s="29" t="s">
        <v>901</v>
      </c>
      <c r="E66" s="23" t="s">
        <v>140</v>
      </c>
      <c r="F66" s="23" t="s">
        <v>902</v>
      </c>
      <c r="G66" s="23" t="s">
        <v>105</v>
      </c>
      <c r="H66" s="23" t="s">
        <v>836</v>
      </c>
      <c r="I66" s="23" t="s">
        <v>903</v>
      </c>
      <c r="J66" s="25"/>
      <c r="K66" s="23" t="s">
        <v>899</v>
      </c>
      <c r="L66" s="23" t="s">
        <v>656</v>
      </c>
      <c r="M66" s="23" t="s">
        <v>550</v>
      </c>
      <c r="N66" s="23">
        <v>35</v>
      </c>
      <c r="O66" s="23" t="s">
        <v>69</v>
      </c>
      <c r="P66" s="23">
        <v>5</v>
      </c>
      <c r="Q66" s="23">
        <v>4</v>
      </c>
      <c r="R66" s="23">
        <v>80</v>
      </c>
      <c r="S66" s="23" t="s">
        <v>835</v>
      </c>
      <c r="T66" s="23" t="s">
        <v>70</v>
      </c>
      <c r="U66" s="23" t="s">
        <v>70</v>
      </c>
      <c r="V66" s="26" t="s">
        <v>73</v>
      </c>
      <c r="W66" s="27">
        <f>IF('CRUDO JUEVES'!BS66="Si",$N66,)</f>
        <v>35</v>
      </c>
      <c r="X66" s="27">
        <f>IF('CRUDO JUEVES'!BT66="Si",$N66,)</f>
        <v>0</v>
      </c>
      <c r="Y66" s="27">
        <f>IF('CRUDO JUEVES'!BU66="Si",$N66,)</f>
        <v>35</v>
      </c>
      <c r="Z66" s="28">
        <v>0</v>
      </c>
      <c r="AA66" s="27"/>
      <c r="AB66" s="27">
        <f>IF('CRUDO JUEVES'!BW66="Si",$N66,)</f>
        <v>0</v>
      </c>
      <c r="AC66" s="27"/>
      <c r="AD66" s="27">
        <f>IF('CRUDO JUEVES'!BX66="Si",$N66,)</f>
        <v>35</v>
      </c>
      <c r="AE66" s="28" t="s">
        <v>1233</v>
      </c>
      <c r="AF66" s="27">
        <f>IF('CRUDO JUEVES'!BY66="Si",$N66,)</f>
        <v>0</v>
      </c>
      <c r="AG66" s="28"/>
      <c r="AH66" s="28">
        <v>0</v>
      </c>
      <c r="AI66" s="27"/>
      <c r="AJ66" s="27">
        <f>IF('CRUDO JUEVES'!CA66="Si",$N66,)</f>
        <v>0</v>
      </c>
      <c r="AK66" s="27"/>
      <c r="AL66" s="27">
        <f>IF('CRUDO JUEVES'!CB66="Si",$N66,)</f>
        <v>0</v>
      </c>
      <c r="AM66" s="28"/>
      <c r="AN66" s="28">
        <v>35</v>
      </c>
      <c r="AO66" s="28" t="s">
        <v>1291</v>
      </c>
      <c r="AP66" s="27">
        <f>IF('CRUDO JUEVES'!CD66="Si",$N66,)</f>
        <v>0</v>
      </c>
      <c r="AQ66" s="28"/>
      <c r="AR66" s="28">
        <v>0</v>
      </c>
      <c r="AS66" s="28"/>
      <c r="AT66" s="27">
        <f>IF('CRUDO JUEVES'!CF66="Si",$N66,)</f>
        <v>0</v>
      </c>
      <c r="AU66" s="27"/>
      <c r="AV66" s="27">
        <f>IF('CRUDO JUEVES'!CG66="Si",$N66,)</f>
        <v>0</v>
      </c>
      <c r="AW66" s="27">
        <f>IF('CRUDO JUEVES'!CH66="Si",$N66,)</f>
        <v>0</v>
      </c>
      <c r="AX66" s="28">
        <v>0</v>
      </c>
      <c r="AY66" s="27">
        <f>IF('CRUDO JUEVES'!CJ66="Si",$N66,)</f>
        <v>0</v>
      </c>
      <c r="AZ66" s="28">
        <v>0</v>
      </c>
      <c r="BA66" s="28">
        <v>0</v>
      </c>
      <c r="BB66" s="27"/>
      <c r="BC66" s="27">
        <f>IF('CRUDO JUEVES'!CM66="Si",$N66,)</f>
        <v>0</v>
      </c>
      <c r="BD66" s="27"/>
      <c r="BE66" s="27">
        <f>IF('CRUDO JUEVES'!CN66="Si",$N66,)</f>
        <v>0</v>
      </c>
      <c r="BF66" s="28"/>
      <c r="BG66" s="28">
        <v>0</v>
      </c>
      <c r="BH66" s="25"/>
      <c r="BI66" s="25"/>
      <c r="BJ66" s="23" t="s">
        <v>1237</v>
      </c>
      <c r="BK66" s="23">
        <v>1</v>
      </c>
      <c r="BL66" s="25"/>
      <c r="BM66" s="25"/>
      <c r="BN66" s="25"/>
      <c r="BO66" s="25"/>
    </row>
    <row r="67" spans="1:67" ht="13.2" hidden="1" x14ac:dyDescent="0.25"/>
    <row r="68" spans="1:67" ht="13.2" x14ac:dyDescent="0.25">
      <c r="A68" s="25"/>
      <c r="B68" s="25"/>
      <c r="C68" s="25"/>
      <c r="D68" s="25"/>
      <c r="E68" s="25"/>
      <c r="F68" s="25"/>
      <c r="G68" s="25"/>
      <c r="H68" s="25"/>
      <c r="I68" s="25"/>
      <c r="J68" s="25"/>
      <c r="K68" s="25"/>
      <c r="L68" s="25"/>
      <c r="M68" s="25"/>
      <c r="N68" s="25"/>
      <c r="O68" s="25"/>
      <c r="P68" s="25"/>
      <c r="Q68" s="25"/>
      <c r="R68" s="25"/>
      <c r="S68" s="25"/>
      <c r="T68" s="25"/>
      <c r="U68" s="25"/>
      <c r="V68" s="25"/>
      <c r="W68" s="25">
        <f t="shared" ref="W68:Z68" si="0">SUM(W2:W66)</f>
        <v>325</v>
      </c>
      <c r="X68" s="25">
        <f t="shared" si="0"/>
        <v>412</v>
      </c>
      <c r="Y68" s="25">
        <f t="shared" si="0"/>
        <v>336</v>
      </c>
      <c r="Z68" s="25">
        <f t="shared" si="0"/>
        <v>200</v>
      </c>
      <c r="AA68" s="25"/>
      <c r="AB68" s="25">
        <f>SUM(AB2:AB66)</f>
        <v>307</v>
      </c>
      <c r="AC68" s="25"/>
      <c r="AD68" s="25">
        <f>SUM(AD2:AD66)</f>
        <v>251</v>
      </c>
      <c r="AE68" s="25"/>
      <c r="AF68" s="25">
        <f>SUM(AF2:AF66)</f>
        <v>212</v>
      </c>
      <c r="AG68" s="25"/>
      <c r="AH68" s="25">
        <f>SUM(AH2:AH66)</f>
        <v>105</v>
      </c>
      <c r="AI68" s="25"/>
      <c r="AJ68" s="25">
        <f>SUM(AJ2:AJ66)</f>
        <v>230</v>
      </c>
      <c r="AK68" s="25"/>
      <c r="AL68" s="25">
        <f>SUM(AL2:AL66)</f>
        <v>57</v>
      </c>
      <c r="AM68" s="25"/>
      <c r="AN68" s="25">
        <f>SUM(AN2:AN66)</f>
        <v>180</v>
      </c>
      <c r="AO68" s="25"/>
      <c r="AP68" s="25">
        <f>SUM(AP2:AP66)</f>
        <v>80</v>
      </c>
      <c r="AQ68" s="25"/>
      <c r="AR68" s="25">
        <f>SUM(AR2:AR66)</f>
        <v>35</v>
      </c>
      <c r="AS68" s="25"/>
      <c r="AT68" s="25">
        <f>SUM(AT2:AT66)</f>
        <v>0</v>
      </c>
      <c r="AU68" s="25"/>
      <c r="AV68" s="23">
        <v>35</v>
      </c>
      <c r="AW68" s="25">
        <f t="shared" ref="AW68:BA68" si="1">SUM(AW2:AW66)</f>
        <v>25</v>
      </c>
      <c r="AX68" s="25">
        <f t="shared" si="1"/>
        <v>45</v>
      </c>
      <c r="AY68" s="25">
        <f t="shared" si="1"/>
        <v>70</v>
      </c>
      <c r="AZ68" s="25">
        <f t="shared" si="1"/>
        <v>37</v>
      </c>
      <c r="BA68" s="25">
        <f t="shared" si="1"/>
        <v>83</v>
      </c>
      <c r="BB68" s="25"/>
      <c r="BC68" s="25">
        <f>SUM(BC2:BC66)</f>
        <v>100</v>
      </c>
      <c r="BD68" s="25"/>
      <c r="BE68" s="25">
        <f>SUM(BE2:BE66)</f>
        <v>25</v>
      </c>
      <c r="BF68" s="25"/>
      <c r="BG68" s="25">
        <f>SUM(BG2:BG66)</f>
        <v>35</v>
      </c>
      <c r="BH68" s="25"/>
      <c r="BI68" s="25"/>
      <c r="BJ68" s="25"/>
      <c r="BK68" s="23"/>
      <c r="BL68" s="25"/>
      <c r="BM68" s="25"/>
      <c r="BN68" s="25"/>
      <c r="BO68" s="25"/>
    </row>
    <row r="69" spans="1:67" ht="13.2" x14ac:dyDescent="0.25">
      <c r="A69" s="25"/>
      <c r="B69" s="25"/>
      <c r="C69" s="25"/>
      <c r="D69" s="25"/>
      <c r="E69" s="25"/>
      <c r="F69" s="25"/>
      <c r="G69" s="25"/>
      <c r="H69" s="25"/>
      <c r="I69" s="25"/>
      <c r="J69" s="25"/>
      <c r="K69" s="25"/>
      <c r="L69" s="25"/>
      <c r="M69" s="25"/>
      <c r="N69" s="25">
        <f>SUM(N1:N66)</f>
        <v>1145</v>
      </c>
      <c r="O69" s="25"/>
      <c r="P69" s="25"/>
      <c r="Q69" s="25"/>
      <c r="R69" s="25"/>
      <c r="S69" s="25"/>
      <c r="T69" s="25"/>
      <c r="U69" s="25"/>
      <c r="V69" s="25"/>
      <c r="W69" s="23">
        <v>400</v>
      </c>
      <c r="X69" s="23">
        <v>400</v>
      </c>
      <c r="Y69" s="23">
        <v>400</v>
      </c>
      <c r="Z69" s="23">
        <v>250</v>
      </c>
      <c r="AA69" s="23"/>
      <c r="AB69" s="23">
        <v>250</v>
      </c>
      <c r="AC69" s="23"/>
      <c r="AD69" s="23">
        <v>250</v>
      </c>
      <c r="AE69" s="23"/>
      <c r="AF69" s="23">
        <v>250</v>
      </c>
      <c r="AG69" s="23"/>
      <c r="AH69" s="23">
        <v>250</v>
      </c>
      <c r="AI69" s="23"/>
      <c r="AJ69" s="23">
        <v>250</v>
      </c>
      <c r="AK69" s="23"/>
      <c r="AL69" s="23">
        <v>60</v>
      </c>
      <c r="AM69" s="23"/>
      <c r="AN69" s="23">
        <v>60</v>
      </c>
      <c r="AO69" s="23"/>
      <c r="AP69" s="23">
        <v>60</v>
      </c>
      <c r="AQ69" s="23"/>
      <c r="AR69" s="23">
        <v>30</v>
      </c>
      <c r="AS69" s="23"/>
      <c r="AT69" s="23">
        <v>30</v>
      </c>
      <c r="AU69" s="23"/>
      <c r="AV69" s="23">
        <v>30</v>
      </c>
      <c r="AW69" s="23">
        <v>30</v>
      </c>
      <c r="AX69" s="23">
        <v>30</v>
      </c>
      <c r="AY69" s="23">
        <v>60</v>
      </c>
      <c r="AZ69" s="23">
        <v>30</v>
      </c>
      <c r="BA69" s="23">
        <v>90</v>
      </c>
      <c r="BB69" s="23"/>
      <c r="BC69" s="23">
        <v>90</v>
      </c>
      <c r="BD69" s="23"/>
      <c r="BE69" s="23">
        <v>30</v>
      </c>
      <c r="BF69" s="23"/>
      <c r="BG69" s="23">
        <v>30</v>
      </c>
      <c r="BH69" s="25"/>
      <c r="BI69" s="25"/>
      <c r="BJ69" s="25"/>
      <c r="BK69" s="23"/>
      <c r="BL69" s="25"/>
      <c r="BM69" s="25"/>
      <c r="BN69" s="25"/>
      <c r="BO69" s="25"/>
    </row>
    <row r="70" spans="1:67" ht="13.2" x14ac:dyDescent="0.25">
      <c r="W70" s="14">
        <f t="shared" ref="W70:Z70" si="2">W69-W68</f>
        <v>75</v>
      </c>
      <c r="X70" s="14">
        <f t="shared" si="2"/>
        <v>-12</v>
      </c>
      <c r="Y70" s="14">
        <f t="shared" si="2"/>
        <v>64</v>
      </c>
      <c r="Z70" s="14">
        <f t="shared" si="2"/>
        <v>50</v>
      </c>
      <c r="AB70" s="14">
        <f>AB69-AB68</f>
        <v>-57</v>
      </c>
      <c r="AD70" s="14">
        <f>AD69-AD68</f>
        <v>-1</v>
      </c>
      <c r="AF70" s="14">
        <f>AF69-AF68</f>
        <v>38</v>
      </c>
      <c r="AH70" s="14">
        <f>AH69-AH68</f>
        <v>145</v>
      </c>
      <c r="AJ70" s="14">
        <f>AJ69-AJ68</f>
        <v>20</v>
      </c>
      <c r="AL70" s="14">
        <f>AL69-AL68</f>
        <v>3</v>
      </c>
      <c r="AN70" s="14">
        <f>AN69-AN68</f>
        <v>-120</v>
      </c>
      <c r="AP70" s="14">
        <f>AP69-AP68</f>
        <v>-20</v>
      </c>
      <c r="AR70" s="14">
        <f>AR69-AR68</f>
        <v>-5</v>
      </c>
      <c r="AT70" s="14">
        <f>AT69-AT68</f>
        <v>30</v>
      </c>
      <c r="AV70" s="14">
        <f t="shared" ref="AV70:BA70" si="3">AV69-AV68</f>
        <v>-5</v>
      </c>
      <c r="AW70" s="14">
        <f t="shared" si="3"/>
        <v>5</v>
      </c>
      <c r="AX70" s="14">
        <f t="shared" si="3"/>
        <v>-15</v>
      </c>
      <c r="AY70" s="14">
        <f t="shared" si="3"/>
        <v>-10</v>
      </c>
      <c r="AZ70" s="14">
        <f t="shared" si="3"/>
        <v>-7</v>
      </c>
      <c r="BA70" s="14">
        <f t="shared" si="3"/>
        <v>7</v>
      </c>
      <c r="BC70" s="14">
        <f>BC69-BC68</f>
        <v>-10</v>
      </c>
      <c r="BE70" s="14">
        <f>BE69-BE68</f>
        <v>5</v>
      </c>
      <c r="BG70" s="14">
        <f>BG69-BG68</f>
        <v>-5</v>
      </c>
    </row>
    <row r="72" spans="1:67" ht="13.2" x14ac:dyDescent="0.25">
      <c r="N72" s="40"/>
      <c r="BD72" s="4"/>
      <c r="BE72" s="4" t="s">
        <v>1292</v>
      </c>
    </row>
    <row r="73" spans="1:67" ht="13.2" x14ac:dyDescent="0.25">
      <c r="N73" s="39"/>
    </row>
    <row r="74" spans="1:67" ht="13.2" x14ac:dyDescent="0.25">
      <c r="N74" s="39"/>
    </row>
    <row r="75" spans="1:67" ht="13.2" x14ac:dyDescent="0.25">
      <c r="N75" s="39"/>
    </row>
    <row r="76" spans="1:67" ht="13.2" x14ac:dyDescent="0.25">
      <c r="N76" s="39"/>
    </row>
    <row r="77" spans="1:67" ht="13.2" x14ac:dyDescent="0.25">
      <c r="N77" s="39"/>
    </row>
    <row r="78" spans="1:67" ht="13.2" x14ac:dyDescent="0.25">
      <c r="N78" s="39"/>
    </row>
    <row r="79" spans="1:67" ht="13.2" x14ac:dyDescent="0.25">
      <c r="N79" s="39"/>
    </row>
    <row r="80" spans="1:67" ht="13.2" x14ac:dyDescent="0.25">
      <c r="N80" s="39"/>
    </row>
    <row r="81" spans="14:14" ht="13.2" x14ac:dyDescent="0.25">
      <c r="N81" s="39"/>
    </row>
    <row r="82" spans="14:14" ht="13.2" x14ac:dyDescent="0.25">
      <c r="N82" s="39"/>
    </row>
    <row r="83" spans="14:14" ht="13.2" x14ac:dyDescent="0.25">
      <c r="N83" s="39"/>
    </row>
    <row r="84" spans="14:14" ht="13.2" x14ac:dyDescent="0.25">
      <c r="N84" s="39"/>
    </row>
    <row r="85" spans="14:14" ht="13.2" x14ac:dyDescent="0.25">
      <c r="N85" s="39"/>
    </row>
    <row r="86" spans="14:14" ht="13.2" x14ac:dyDescent="0.25">
      <c r="N86" s="39"/>
    </row>
    <row r="87" spans="14:14" ht="13.2" x14ac:dyDescent="0.25">
      <c r="N87" s="39"/>
    </row>
    <row r="88" spans="14:14" ht="13.2" x14ac:dyDescent="0.25">
      <c r="N88" s="39"/>
    </row>
    <row r="89" spans="14:14" ht="13.2" x14ac:dyDescent="0.25">
      <c r="N89" s="39"/>
    </row>
    <row r="90" spans="14:14" ht="13.2" x14ac:dyDescent="0.25">
      <c r="N90" s="39"/>
    </row>
    <row r="91" spans="14:14" ht="13.2" x14ac:dyDescent="0.25">
      <c r="N91" s="39"/>
    </row>
    <row r="92" spans="14:14" ht="13.2" x14ac:dyDescent="0.25">
      <c r="N92" s="39"/>
    </row>
    <row r="93" spans="14:14" ht="13.2" x14ac:dyDescent="0.25">
      <c r="N93" s="39"/>
    </row>
    <row r="94" spans="14:14" ht="13.2" x14ac:dyDescent="0.25">
      <c r="N94" s="39"/>
    </row>
    <row r="95" spans="14:14" ht="13.2" x14ac:dyDescent="0.25">
      <c r="N95" s="39"/>
    </row>
    <row r="96" spans="14:14" ht="13.2" x14ac:dyDescent="0.25">
      <c r="N96" s="39"/>
    </row>
    <row r="97" spans="14:14" ht="13.2" x14ac:dyDescent="0.25">
      <c r="N97" s="39"/>
    </row>
    <row r="98" spans="14:14" ht="13.2" x14ac:dyDescent="0.25">
      <c r="N98" s="39"/>
    </row>
    <row r="99" spans="14:14" ht="13.2" x14ac:dyDescent="0.25">
      <c r="N99" s="39"/>
    </row>
    <row r="100" spans="14:14" ht="13.2" x14ac:dyDescent="0.25">
      <c r="N100" s="39"/>
    </row>
    <row r="101" spans="14:14" ht="13.2" x14ac:dyDescent="0.25">
      <c r="N101" s="39"/>
    </row>
    <row r="102" spans="14:14" ht="13.2" x14ac:dyDescent="0.25">
      <c r="N102" s="39"/>
    </row>
    <row r="103" spans="14:14" ht="13.2" x14ac:dyDescent="0.25">
      <c r="N103" s="39"/>
    </row>
    <row r="104" spans="14:14" ht="13.2" x14ac:dyDescent="0.25">
      <c r="N104" s="39"/>
    </row>
    <row r="105" spans="14:14" ht="13.2" x14ac:dyDescent="0.25">
      <c r="N105" s="39"/>
    </row>
    <row r="106" spans="14:14" ht="13.2" x14ac:dyDescent="0.25">
      <c r="N106" s="39"/>
    </row>
    <row r="107" spans="14:14" ht="13.2" x14ac:dyDescent="0.25">
      <c r="N107" s="39"/>
    </row>
    <row r="108" spans="14:14" ht="13.2" x14ac:dyDescent="0.25">
      <c r="N108" s="39"/>
    </row>
    <row r="109" spans="14:14" ht="13.2" x14ac:dyDescent="0.25">
      <c r="N109" s="39"/>
    </row>
    <row r="110" spans="14:14" ht="13.2" x14ac:dyDescent="0.25">
      <c r="N110" s="39"/>
    </row>
    <row r="111" spans="14:14" ht="13.2" x14ac:dyDescent="0.25">
      <c r="N111" s="39"/>
    </row>
    <row r="112" spans="14:14" ht="13.2" x14ac:dyDescent="0.25">
      <c r="N112" s="39"/>
    </row>
    <row r="113" spans="14:14" ht="13.2" x14ac:dyDescent="0.25">
      <c r="N113" s="39"/>
    </row>
    <row r="114" spans="14:14" ht="13.2" x14ac:dyDescent="0.25">
      <c r="N114" s="39"/>
    </row>
    <row r="115" spans="14:14" ht="13.2" x14ac:dyDescent="0.25">
      <c r="N115" s="39"/>
    </row>
    <row r="116" spans="14:14" ht="13.2" x14ac:dyDescent="0.25">
      <c r="N116" s="39"/>
    </row>
    <row r="117" spans="14:14" ht="13.2" x14ac:dyDescent="0.25">
      <c r="N117" s="39"/>
    </row>
    <row r="118" spans="14:14" ht="13.2" x14ac:dyDescent="0.25">
      <c r="N118" s="40"/>
    </row>
    <row r="119" spans="14:14" ht="13.2" x14ac:dyDescent="0.25">
      <c r="N119" s="40"/>
    </row>
  </sheetData>
  <autoFilter ref="A1:BO68">
    <filterColumn colId="2">
      <colorFilter dxfId="0"/>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92"/>
  <sheetViews>
    <sheetView workbookViewId="0"/>
  </sheetViews>
  <sheetFormatPr baseColWidth="10" defaultColWidth="12.6640625" defaultRowHeight="15.75" customHeight="1" x14ac:dyDescent="0.25"/>
  <cols>
    <col min="1" max="1" width="52.33203125" customWidth="1"/>
  </cols>
  <sheetData>
    <row r="1" spans="1:1" x14ac:dyDescent="0.25">
      <c r="A1" s="47" t="s">
        <v>1293</v>
      </c>
    </row>
    <row r="2" spans="1:1" x14ac:dyDescent="0.25">
      <c r="A2" s="48" t="s">
        <v>1036</v>
      </c>
    </row>
    <row r="3" spans="1:1" x14ac:dyDescent="0.25">
      <c r="A3" s="48" t="s">
        <v>1250</v>
      </c>
    </row>
    <row r="4" spans="1:1" x14ac:dyDescent="0.25">
      <c r="A4" s="48" t="s">
        <v>397</v>
      </c>
    </row>
    <row r="5" spans="1:1" x14ac:dyDescent="0.25">
      <c r="A5" s="48" t="s">
        <v>1138</v>
      </c>
    </row>
    <row r="6" spans="1:1" x14ac:dyDescent="0.25">
      <c r="A6" s="48" t="s">
        <v>276</v>
      </c>
    </row>
    <row r="7" spans="1:1" x14ac:dyDescent="0.25">
      <c r="A7" s="48" t="s">
        <v>1254</v>
      </c>
    </row>
    <row r="8" spans="1:1" x14ac:dyDescent="0.25">
      <c r="A8" s="48" t="s">
        <v>1160</v>
      </c>
    </row>
    <row r="9" spans="1:1" x14ac:dyDescent="0.25">
      <c r="A9" s="48" t="s">
        <v>951</v>
      </c>
    </row>
    <row r="10" spans="1:1" x14ac:dyDescent="0.25">
      <c r="A10" s="48" t="s">
        <v>1102</v>
      </c>
    </row>
    <row r="11" spans="1:1" x14ac:dyDescent="0.25">
      <c r="A11" s="48" t="s">
        <v>452</v>
      </c>
    </row>
    <row r="12" spans="1:1" x14ac:dyDescent="0.25">
      <c r="A12" s="48" t="s">
        <v>474</v>
      </c>
    </row>
    <row r="13" spans="1:1" x14ac:dyDescent="0.25">
      <c r="A13" s="48" t="s">
        <v>859</v>
      </c>
    </row>
    <row r="14" spans="1:1" x14ac:dyDescent="0.25">
      <c r="A14" s="48" t="s">
        <v>807</v>
      </c>
    </row>
    <row r="15" spans="1:1" x14ac:dyDescent="0.25">
      <c r="A15" s="48" t="s">
        <v>829</v>
      </c>
    </row>
    <row r="16" spans="1:1" x14ac:dyDescent="0.25">
      <c r="A16" s="48" t="s">
        <v>921</v>
      </c>
    </row>
    <row r="17" spans="1:1" x14ac:dyDescent="0.25">
      <c r="A17" s="48" t="s">
        <v>972</v>
      </c>
    </row>
    <row r="18" spans="1:1" x14ac:dyDescent="0.25">
      <c r="A18" s="48" t="s">
        <v>484</v>
      </c>
    </row>
    <row r="19" spans="1:1" x14ac:dyDescent="0.25">
      <c r="A19" s="48" t="s">
        <v>138</v>
      </c>
    </row>
    <row r="20" spans="1:1" x14ac:dyDescent="0.25">
      <c r="A20" s="48" t="s">
        <v>405</v>
      </c>
    </row>
    <row r="21" spans="1:1" x14ac:dyDescent="0.25">
      <c r="A21" s="48" t="s">
        <v>996</v>
      </c>
    </row>
    <row r="22" spans="1:1" x14ac:dyDescent="0.25">
      <c r="A22" s="48" t="s">
        <v>248</v>
      </c>
    </row>
    <row r="23" spans="1:1" x14ac:dyDescent="0.25">
      <c r="A23" s="48" t="s">
        <v>931</v>
      </c>
    </row>
    <row r="24" spans="1:1" x14ac:dyDescent="0.25">
      <c r="A24" s="48" t="s">
        <v>462</v>
      </c>
    </row>
    <row r="25" spans="1:1" x14ac:dyDescent="0.25">
      <c r="A25" s="48" t="s">
        <v>769</v>
      </c>
    </row>
    <row r="26" spans="1:1" x14ac:dyDescent="0.25">
      <c r="A26" s="48" t="s">
        <v>695</v>
      </c>
    </row>
    <row r="27" spans="1:1" x14ac:dyDescent="0.25">
      <c r="A27" s="48" t="s">
        <v>797</v>
      </c>
    </row>
    <row r="28" spans="1:1" x14ac:dyDescent="0.25">
      <c r="A28" s="48" t="s">
        <v>147</v>
      </c>
    </row>
    <row r="29" spans="1:1" x14ac:dyDescent="0.25">
      <c r="A29" s="48" t="s">
        <v>912</v>
      </c>
    </row>
    <row r="30" spans="1:1" x14ac:dyDescent="0.25">
      <c r="A30" s="48" t="s">
        <v>284</v>
      </c>
    </row>
    <row r="31" spans="1:1" x14ac:dyDescent="0.25">
      <c r="A31" s="48" t="s">
        <v>1259</v>
      </c>
    </row>
    <row r="32" spans="1:1" x14ac:dyDescent="0.25">
      <c r="A32" s="49" t="s">
        <v>109</v>
      </c>
    </row>
    <row r="33" spans="1:1" x14ac:dyDescent="0.25">
      <c r="A33" s="49" t="s">
        <v>1021</v>
      </c>
    </row>
    <row r="34" spans="1:1" x14ac:dyDescent="0.25">
      <c r="A34" s="49" t="s">
        <v>316</v>
      </c>
    </row>
    <row r="35" spans="1:1" x14ac:dyDescent="0.25">
      <c r="A35" s="49" t="s">
        <v>1008</v>
      </c>
    </row>
    <row r="36" spans="1:1" x14ac:dyDescent="0.25">
      <c r="A36" s="49" t="s">
        <v>1164</v>
      </c>
    </row>
    <row r="37" spans="1:1" x14ac:dyDescent="0.25">
      <c r="A37" s="49" t="s">
        <v>868</v>
      </c>
    </row>
    <row r="38" spans="1:1" x14ac:dyDescent="0.25">
      <c r="A38" s="49" t="s">
        <v>1232</v>
      </c>
    </row>
    <row r="39" spans="1:1" x14ac:dyDescent="0.25">
      <c r="A39" s="49" t="s">
        <v>222</v>
      </c>
    </row>
    <row r="40" spans="1:1" x14ac:dyDescent="0.25">
      <c r="A40" s="49" t="s">
        <v>122</v>
      </c>
    </row>
    <row r="41" spans="1:1" x14ac:dyDescent="0.25">
      <c r="A41" s="49" t="s">
        <v>370</v>
      </c>
    </row>
    <row r="42" spans="1:1" x14ac:dyDescent="0.25">
      <c r="A42" s="49" t="s">
        <v>1114</v>
      </c>
    </row>
    <row r="43" spans="1:1" x14ac:dyDescent="0.25">
      <c r="A43" s="49" t="s">
        <v>1071</v>
      </c>
    </row>
    <row r="44" spans="1:1" x14ac:dyDescent="0.25">
      <c r="A44" s="49" t="s">
        <v>721</v>
      </c>
    </row>
    <row r="45" spans="1:1" x14ac:dyDescent="0.25">
      <c r="A45" s="49" t="s">
        <v>853</v>
      </c>
    </row>
    <row r="46" spans="1:1" x14ac:dyDescent="0.25">
      <c r="A46" s="49" t="s">
        <v>525</v>
      </c>
    </row>
    <row r="47" spans="1:1" x14ac:dyDescent="0.25">
      <c r="A47" s="49" t="s">
        <v>444</v>
      </c>
    </row>
    <row r="48" spans="1:1" x14ac:dyDescent="0.25">
      <c r="A48" s="49" t="s">
        <v>562</v>
      </c>
    </row>
    <row r="49" spans="1:1" x14ac:dyDescent="0.25">
      <c r="A49" s="49" t="s">
        <v>89</v>
      </c>
    </row>
    <row r="50" spans="1:1" x14ac:dyDescent="0.25">
      <c r="A50" s="49" t="s">
        <v>1128</v>
      </c>
    </row>
    <row r="51" spans="1:1" x14ac:dyDescent="0.25">
      <c r="A51" s="49" t="s">
        <v>611</v>
      </c>
    </row>
    <row r="52" spans="1:1" x14ac:dyDescent="0.25">
      <c r="A52" s="49" t="s">
        <v>966</v>
      </c>
    </row>
    <row r="53" spans="1:1" x14ac:dyDescent="0.25">
      <c r="A53" s="49" t="s">
        <v>957</v>
      </c>
    </row>
    <row r="54" spans="1:1" x14ac:dyDescent="0.25">
      <c r="A54" s="49" t="s">
        <v>1002</v>
      </c>
    </row>
    <row r="55" spans="1:1" x14ac:dyDescent="0.25">
      <c r="A55" s="49" t="s">
        <v>417</v>
      </c>
    </row>
    <row r="56" spans="1:1" x14ac:dyDescent="0.25">
      <c r="A56" s="49" t="s">
        <v>494</v>
      </c>
    </row>
    <row r="57" spans="1:1" x14ac:dyDescent="0.25">
      <c r="A57" s="49" t="s">
        <v>389</v>
      </c>
    </row>
    <row r="58" spans="1:1" x14ac:dyDescent="0.25">
      <c r="A58" s="49" t="s">
        <v>633</v>
      </c>
    </row>
    <row r="59" spans="1:1" x14ac:dyDescent="0.25">
      <c r="A59" s="49" t="s">
        <v>791</v>
      </c>
    </row>
    <row r="60" spans="1:1" x14ac:dyDescent="0.25">
      <c r="A60" s="50" t="s">
        <v>905</v>
      </c>
    </row>
    <row r="61" spans="1:1" x14ac:dyDescent="0.25">
      <c r="A61" s="50" t="s">
        <v>79</v>
      </c>
    </row>
    <row r="62" spans="1:1" x14ac:dyDescent="0.25">
      <c r="A62" s="50" t="s">
        <v>292</v>
      </c>
    </row>
    <row r="63" spans="1:1" x14ac:dyDescent="0.25">
      <c r="A63" s="50" t="s">
        <v>1052</v>
      </c>
    </row>
    <row r="64" spans="1:1" x14ac:dyDescent="0.25">
      <c r="A64" s="50" t="s">
        <v>1015</v>
      </c>
    </row>
    <row r="65" spans="1:1" x14ac:dyDescent="0.25">
      <c r="A65" s="50" t="s">
        <v>1057</v>
      </c>
    </row>
    <row r="66" spans="1:1" x14ac:dyDescent="0.25">
      <c r="A66" s="50" t="s">
        <v>713</v>
      </c>
    </row>
    <row r="67" spans="1:1" x14ac:dyDescent="0.25">
      <c r="A67" s="50" t="s">
        <v>326</v>
      </c>
    </row>
    <row r="68" spans="1:1" x14ac:dyDescent="0.25">
      <c r="A68" s="50" t="s">
        <v>214</v>
      </c>
    </row>
    <row r="69" spans="1:1" x14ac:dyDescent="0.25">
      <c r="A69" s="50" t="s">
        <v>977</v>
      </c>
    </row>
    <row r="70" spans="1:1" x14ac:dyDescent="0.25">
      <c r="A70" s="50" t="s">
        <v>355</v>
      </c>
    </row>
    <row r="71" spans="1:1" x14ac:dyDescent="0.25">
      <c r="A71" s="50" t="s">
        <v>1096</v>
      </c>
    </row>
    <row r="72" spans="1:1" x14ac:dyDescent="0.25">
      <c r="A72" s="50" t="s">
        <v>1286</v>
      </c>
    </row>
    <row r="73" spans="1:1" x14ac:dyDescent="0.25">
      <c r="A73" s="50" t="s">
        <v>1079</v>
      </c>
    </row>
    <row r="74" spans="1:1" x14ac:dyDescent="0.25">
      <c r="A74" s="50" t="s">
        <v>900</v>
      </c>
    </row>
    <row r="75" spans="1:1" x14ac:dyDescent="0.25">
      <c r="A75" s="50" t="s">
        <v>659</v>
      </c>
    </row>
    <row r="76" spans="1:1" x14ac:dyDescent="0.25">
      <c r="A76" s="50" t="s">
        <v>1206</v>
      </c>
    </row>
    <row r="77" spans="1:1" x14ac:dyDescent="0.25">
      <c r="A77" s="50" t="s">
        <v>627</v>
      </c>
    </row>
    <row r="78" spans="1:1" x14ac:dyDescent="0.25">
      <c r="A78" s="50" t="s">
        <v>620</v>
      </c>
    </row>
    <row r="79" spans="1:1" x14ac:dyDescent="0.25">
      <c r="A79" s="50" t="s">
        <v>1150</v>
      </c>
    </row>
    <row r="80" spans="1:1" x14ac:dyDescent="0.25">
      <c r="A80" s="50" t="s">
        <v>155</v>
      </c>
    </row>
    <row r="81" spans="1:1" x14ac:dyDescent="0.25">
      <c r="A81" s="50" t="s">
        <v>230</v>
      </c>
    </row>
    <row r="82" spans="1:1" x14ac:dyDescent="0.25">
      <c r="A82" s="50" t="s">
        <v>838</v>
      </c>
    </row>
    <row r="83" spans="1:1" x14ac:dyDescent="0.25">
      <c r="A83" s="50" t="s">
        <v>382</v>
      </c>
    </row>
    <row r="84" spans="1:1" x14ac:dyDescent="0.25">
      <c r="A84" s="50" t="s">
        <v>60</v>
      </c>
    </row>
    <row r="85" spans="1:1" x14ac:dyDescent="0.25">
      <c r="A85" s="50" t="s">
        <v>163</v>
      </c>
    </row>
    <row r="86" spans="1:1" x14ac:dyDescent="0.25">
      <c r="A86" s="50" t="s">
        <v>268</v>
      </c>
    </row>
    <row r="87" spans="1:1" x14ac:dyDescent="0.25">
      <c r="A87" s="50" t="s">
        <v>676</v>
      </c>
    </row>
    <row r="88" spans="1:1" x14ac:dyDescent="0.25">
      <c r="A88" s="50" t="s">
        <v>344</v>
      </c>
    </row>
    <row r="89" spans="1:1" x14ac:dyDescent="0.25">
      <c r="A89" s="50" t="s">
        <v>585</v>
      </c>
    </row>
    <row r="90" spans="1:1" x14ac:dyDescent="0.25">
      <c r="A90" s="50" t="s">
        <v>987</v>
      </c>
    </row>
    <row r="91" spans="1:1" x14ac:dyDescent="0.25">
      <c r="A91" s="50" t="s">
        <v>253</v>
      </c>
    </row>
    <row r="92" spans="1:1" x14ac:dyDescent="0.25">
      <c r="A92" s="50" t="s">
        <v>1182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Respuestas de formulario 1</vt:lpstr>
      <vt:lpstr>Hoja 6</vt:lpstr>
      <vt:lpstr>Corrida de prioridades</vt:lpstr>
      <vt:lpstr>CRUDO MARTES</vt:lpstr>
      <vt:lpstr>Preasignación MARTES</vt:lpstr>
      <vt:lpstr>CRUDO MIÉRCOLES</vt:lpstr>
      <vt:lpstr>Preasignación MIÉRCOLES</vt:lpstr>
      <vt:lpstr>CRUDO JUEVES</vt:lpstr>
      <vt:lpstr>Preasignación JUEVES</vt:lpstr>
      <vt:lpstr>Hoja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Melina</cp:lastModifiedBy>
  <dcterms:modified xsi:type="dcterms:W3CDTF">2026-04-22T18:08:25Z</dcterms:modified>
</cp:coreProperties>
</file>