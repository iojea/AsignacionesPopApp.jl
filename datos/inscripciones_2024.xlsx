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lina\Documents\Jorge\AsignacionesPop.jl\datos\"/>
    </mc:Choice>
  </mc:AlternateContent>
  <bookViews>
    <workbookView xWindow="0" yWindow="0" windowWidth="23040" windowHeight="9072"/>
  </bookViews>
  <sheets>
    <sheet name="Respuestas de formulario 1" sheetId="1" r:id="rId1"/>
    <sheet name="CRUDO MARTES" sheetId="2" r:id="rId2"/>
    <sheet name="Asign MARTES" sheetId="3" r:id="rId3"/>
    <sheet name="MARTES reasig MIÉRCOLES" sheetId="4" r:id="rId4"/>
    <sheet name="MARTES reasign JUEVES" sheetId="5" r:id="rId5"/>
    <sheet name="Asign MIÉRCOLES" sheetId="6" r:id="rId6"/>
    <sheet name="CRUDO MIÉRCOLES" sheetId="7" r:id="rId7"/>
    <sheet name="CRUDO JUEVES" sheetId="8" state="hidden" r:id="rId8"/>
    <sheet name="Vacantes x banda h" sheetId="9" r:id="rId9"/>
    <sheet name="Nombres escuelas" sheetId="10" r:id="rId10"/>
    <sheet name="Hoja 9" sheetId="11" r:id="rId11"/>
    <sheet name="Asign JUEVES" sheetId="12" r:id="rId12"/>
  </sheets>
  <definedNames>
    <definedName name="_xlnm._FilterDatabase" localSheetId="11" hidden="1">'Asign JUEVES'!$A$1:$AV$70</definedName>
    <definedName name="_xlnm._FilterDatabase" localSheetId="2" hidden="1">'Asign MARTES'!$A$1:$AP$74</definedName>
    <definedName name="_xlnm._FilterDatabase" localSheetId="5" hidden="1">'Asign MIÉRCOLES'!$A$1:$AQ$73</definedName>
    <definedName name="_xlnm._FilterDatabase" localSheetId="7" hidden="1">'CRUDO JUEVES'!$A$1:$CJ$66</definedName>
    <definedName name="_xlnm._FilterDatabase" localSheetId="1" hidden="1">'CRUDO MARTES'!$A$1:$CJ$71</definedName>
    <definedName name="_xlnm._FilterDatabase" localSheetId="3" hidden="1">'MARTES reasig MIÉRCOLES'!$A$1:$AP$74</definedName>
    <definedName name="_xlnm._FilterDatabase" localSheetId="4" hidden="1">'MARTES reasign JUEVES'!$A$1:$AP$75</definedName>
    <definedName name="_xlnm._FilterDatabase" localSheetId="0" hidden="1">'Respuestas de formulario 1'!$A$1:$CK$307</definedName>
  </definedNames>
  <calcPr calcId="162913"/>
</workbook>
</file>

<file path=xl/calcChain.xml><?xml version="1.0" encoding="utf-8"?>
<calcChain xmlns="http://schemas.openxmlformats.org/spreadsheetml/2006/main">
  <c r="N73" i="12" l="1"/>
  <c r="AO72" i="12"/>
  <c r="AN72" i="12"/>
  <c r="AM72" i="12"/>
  <c r="AI72" i="12"/>
  <c r="AH72" i="12"/>
  <c r="W72" i="12"/>
  <c r="AO68" i="12"/>
  <c r="AN68" i="12"/>
  <c r="AK68" i="12"/>
  <c r="AJ68" i="12"/>
  <c r="AH68" i="12"/>
  <c r="AG68" i="12"/>
  <c r="AF68" i="12"/>
  <c r="AE68" i="12"/>
  <c r="AD68" i="12"/>
  <c r="AC68" i="12"/>
  <c r="Z68" i="12"/>
  <c r="Y68" i="12"/>
  <c r="W68" i="12"/>
  <c r="AO67" i="12"/>
  <c r="AN67" i="12"/>
  <c r="AK67" i="12"/>
  <c r="AJ67" i="12"/>
  <c r="AE67" i="12"/>
  <c r="Y67" i="12"/>
  <c r="AO66" i="12"/>
  <c r="AK66" i="12"/>
  <c r="AG66" i="12"/>
  <c r="AF66" i="12"/>
  <c r="AE66" i="12"/>
  <c r="AB66" i="12"/>
  <c r="Y66" i="12"/>
  <c r="W66" i="12"/>
  <c r="AO65" i="12"/>
  <c r="AK65" i="12"/>
  <c r="AG65" i="12"/>
  <c r="AF65" i="12"/>
  <c r="AE65" i="12"/>
  <c r="AB65" i="12"/>
  <c r="Y65" i="12"/>
  <c r="W65" i="12"/>
  <c r="AO64" i="12"/>
  <c r="AK64" i="12"/>
  <c r="AJ64" i="12"/>
  <c r="AG64" i="12"/>
  <c r="AF64" i="12"/>
  <c r="AC64" i="12"/>
  <c r="AB64" i="12"/>
  <c r="Y64" i="12"/>
  <c r="X64" i="12"/>
  <c r="W64" i="12"/>
  <c r="AO63" i="12"/>
  <c r="AK63" i="12"/>
  <c r="AJ63" i="12"/>
  <c r="AG63" i="12"/>
  <c r="AF63" i="12"/>
  <c r="AC63" i="12"/>
  <c r="AB63" i="12"/>
  <c r="Y63" i="12"/>
  <c r="X63" i="12"/>
  <c r="W63" i="12"/>
  <c r="AO62" i="12"/>
  <c r="AN62" i="12"/>
  <c r="AM62" i="12"/>
  <c r="AL62" i="12"/>
  <c r="AK62" i="12"/>
  <c r="AJ62" i="12"/>
  <c r="AI62" i="12"/>
  <c r="AH62" i="12"/>
  <c r="AG62" i="12"/>
  <c r="AF62" i="12"/>
  <c r="AE62" i="12"/>
  <c r="AD62" i="12"/>
  <c r="AC62" i="12"/>
  <c r="AB62" i="12"/>
  <c r="AA62" i="12"/>
  <c r="Z62" i="12"/>
  <c r="Y62" i="12"/>
  <c r="X62" i="12"/>
  <c r="W62" i="12"/>
  <c r="AO61" i="12"/>
  <c r="AN61" i="12"/>
  <c r="AM61" i="12"/>
  <c r="AL61" i="12"/>
  <c r="AK61" i="12"/>
  <c r="AJ61" i="12"/>
  <c r="AI61" i="12"/>
  <c r="AH61" i="12"/>
  <c r="AG61" i="12"/>
  <c r="AF61" i="12"/>
  <c r="AE61" i="12"/>
  <c r="AD61" i="12"/>
  <c r="AC61" i="12"/>
  <c r="AB61" i="12"/>
  <c r="AA61" i="12"/>
  <c r="Z61" i="12"/>
  <c r="Y61" i="12"/>
  <c r="X61" i="12"/>
  <c r="W61" i="12"/>
  <c r="AO60" i="12"/>
  <c r="AN60" i="12"/>
  <c r="AM60" i="12"/>
  <c r="AH60" i="12"/>
  <c r="AG60" i="12"/>
  <c r="AF60" i="12"/>
  <c r="AB60" i="12"/>
  <c r="AA60" i="12"/>
  <c r="X60" i="12"/>
  <c r="W60" i="12"/>
  <c r="AO59" i="12"/>
  <c r="AN59" i="12"/>
  <c r="AM59" i="12"/>
  <c r="AJ59" i="12"/>
  <c r="AH59" i="12"/>
  <c r="AG59" i="12"/>
  <c r="AF59" i="12"/>
  <c r="AB59" i="12"/>
  <c r="AA59" i="12"/>
  <c r="Y59" i="12"/>
  <c r="X59" i="12"/>
  <c r="W59" i="12"/>
  <c r="AN58" i="12"/>
  <c r="AM58" i="12"/>
  <c r="AL58" i="12"/>
  <c r="AI58" i="12"/>
  <c r="AH58" i="12"/>
  <c r="AG58" i="12"/>
  <c r="AF58" i="12"/>
  <c r="AE58" i="12"/>
  <c r="AD58" i="12"/>
  <c r="AB58" i="12"/>
  <c r="AA58" i="12"/>
  <c r="Z58" i="12"/>
  <c r="Y58" i="12"/>
  <c r="X58" i="12"/>
  <c r="W58" i="12"/>
  <c r="AO57" i="12"/>
  <c r="AN57" i="12"/>
  <c r="AM57" i="12"/>
  <c r="AL57" i="12"/>
  <c r="AK57" i="12"/>
  <c r="AJ57" i="12"/>
  <c r="AH57" i="12"/>
  <c r="AG57" i="12"/>
  <c r="AF57" i="12"/>
  <c r="AE57" i="12"/>
  <c r="AD57" i="12"/>
  <c r="AC57" i="12"/>
  <c r="AB57" i="12"/>
  <c r="AA57" i="12"/>
  <c r="Z57" i="12"/>
  <c r="Y57" i="12"/>
  <c r="X57" i="12"/>
  <c r="W57" i="12"/>
  <c r="AM56" i="12"/>
  <c r="AL56" i="12"/>
  <c r="AI56" i="12"/>
  <c r="AH56" i="12"/>
  <c r="AG56" i="12"/>
  <c r="AF56" i="12"/>
  <c r="AD56" i="12"/>
  <c r="AC56" i="12"/>
  <c r="AB56" i="12"/>
  <c r="AA56" i="12"/>
  <c r="Z56" i="12"/>
  <c r="Y56" i="12"/>
  <c r="X56" i="12"/>
  <c r="W56" i="12"/>
  <c r="AO55" i="12"/>
  <c r="AN55" i="12"/>
  <c r="AM55" i="12"/>
  <c r="AL55" i="12"/>
  <c r="AK55" i="12"/>
  <c r="AJ55" i="12"/>
  <c r="AI55" i="12"/>
  <c r="AG55" i="12"/>
  <c r="AF55" i="12"/>
  <c r="AE55" i="12"/>
  <c r="AD55" i="12"/>
  <c r="AC55" i="12"/>
  <c r="AB55" i="12"/>
  <c r="AA55" i="12"/>
  <c r="Z55" i="12"/>
  <c r="Y55" i="12"/>
  <c r="X55" i="12"/>
  <c r="W55" i="12"/>
  <c r="AN54" i="12"/>
  <c r="AL54" i="12"/>
  <c r="AK54" i="12"/>
  <c r="AI54" i="12"/>
  <c r="AH54" i="12"/>
  <c r="AG54" i="12"/>
  <c r="AE54" i="12"/>
  <c r="AC54" i="12"/>
  <c r="AA54" i="12"/>
  <c r="X54" i="12"/>
  <c r="W54" i="12"/>
  <c r="AN53" i="12"/>
  <c r="AG53" i="12"/>
  <c r="AF53" i="12"/>
  <c r="AA53" i="12"/>
  <c r="Y53" i="12"/>
  <c r="AO52" i="12"/>
  <c r="AN52" i="12"/>
  <c r="AM52" i="12"/>
  <c r="AL52" i="12"/>
  <c r="AK52" i="12"/>
  <c r="AI52" i="12"/>
  <c r="AH52" i="12"/>
  <c r="AG52" i="12"/>
  <c r="AF52" i="12"/>
  <c r="AE52" i="12"/>
  <c r="AD52" i="12"/>
  <c r="AC52" i="12"/>
  <c r="AB52" i="12"/>
  <c r="AA52" i="12"/>
  <c r="Z52" i="12"/>
  <c r="Y52" i="12"/>
  <c r="X52" i="12"/>
  <c r="W52" i="12"/>
  <c r="AO51" i="12"/>
  <c r="AN51" i="12"/>
  <c r="AM51" i="12"/>
  <c r="AL51" i="12"/>
  <c r="AK51" i="12"/>
  <c r="AI51" i="12"/>
  <c r="AH51" i="12"/>
  <c r="AG51" i="12"/>
  <c r="AF51" i="12"/>
  <c r="AE51" i="12"/>
  <c r="AD51" i="12"/>
  <c r="AC51" i="12"/>
  <c r="AB51" i="12"/>
  <c r="AA51" i="12"/>
  <c r="Z51" i="12"/>
  <c r="Y51" i="12"/>
  <c r="X51" i="12"/>
  <c r="W51" i="12"/>
  <c r="AO50" i="12"/>
  <c r="AN50" i="12"/>
  <c r="AM50" i="12"/>
  <c r="AL50" i="12"/>
  <c r="AK50" i="12"/>
  <c r="AI50" i="12"/>
  <c r="AH50" i="12"/>
  <c r="AG50" i="12"/>
  <c r="AF50" i="12"/>
  <c r="AE50" i="12"/>
  <c r="AD50" i="12"/>
  <c r="AC50" i="12"/>
  <c r="AB50" i="12"/>
  <c r="AA50" i="12"/>
  <c r="Z50" i="12"/>
  <c r="Y50" i="12"/>
  <c r="X50" i="12"/>
  <c r="W50" i="12"/>
  <c r="AO49" i="12"/>
  <c r="AN49" i="12"/>
  <c r="AM49" i="12"/>
  <c r="AL49" i="12"/>
  <c r="AK49" i="12"/>
  <c r="AJ49" i="12"/>
  <c r="AI49" i="12"/>
  <c r="AH49" i="12"/>
  <c r="AG49" i="12"/>
  <c r="AF49" i="12"/>
  <c r="AE49" i="12"/>
  <c r="AD49" i="12"/>
  <c r="AC49" i="12"/>
  <c r="AB49" i="12"/>
  <c r="AA49" i="12"/>
  <c r="Z49" i="12"/>
  <c r="Y49" i="12"/>
  <c r="X49" i="12"/>
  <c r="W49" i="12"/>
  <c r="AO48" i="12"/>
  <c r="AN48" i="12"/>
  <c r="AK48" i="12"/>
  <c r="AJ48" i="12"/>
  <c r="AG48" i="12"/>
  <c r="AF48" i="12"/>
  <c r="AE48" i="12"/>
  <c r="AD48" i="12"/>
  <c r="AA48" i="12"/>
  <c r="Z48" i="12"/>
  <c r="Y48" i="12"/>
  <c r="AO47" i="12"/>
  <c r="AN47" i="12"/>
  <c r="AK47" i="12"/>
  <c r="AJ47" i="12"/>
  <c r="AG47" i="12"/>
  <c r="AF47" i="12"/>
  <c r="AE47" i="12"/>
  <c r="AD47" i="12"/>
  <c r="AA47" i="12"/>
  <c r="Z47" i="12"/>
  <c r="Y47" i="12"/>
  <c r="AO46" i="12"/>
  <c r="AN46" i="12"/>
  <c r="AM46" i="12"/>
  <c r="AL46" i="12"/>
  <c r="AK46" i="12"/>
  <c r="AJ46" i="12"/>
  <c r="AI46" i="12"/>
  <c r="AH46" i="12"/>
  <c r="AG46" i="12"/>
  <c r="AF46" i="12"/>
  <c r="AE46" i="12"/>
  <c r="AD46" i="12"/>
  <c r="AC46" i="12"/>
  <c r="AB46" i="12"/>
  <c r="AA46" i="12"/>
  <c r="Z46" i="12"/>
  <c r="Y46" i="12"/>
  <c r="X46" i="12"/>
  <c r="W46" i="12"/>
  <c r="AN45" i="12"/>
  <c r="AM45" i="12"/>
  <c r="AL45" i="12"/>
  <c r="AK45" i="12"/>
  <c r="AI45" i="12"/>
  <c r="AH45" i="12"/>
  <c r="AG45" i="12"/>
  <c r="AF45" i="12"/>
  <c r="AE45" i="12"/>
  <c r="AD45" i="12"/>
  <c r="AC45" i="12"/>
  <c r="AB45" i="12"/>
  <c r="AA45" i="12"/>
  <c r="Z45" i="12"/>
  <c r="Y45" i="12"/>
  <c r="X45" i="12"/>
  <c r="W45" i="12"/>
  <c r="AO44" i="12"/>
  <c r="AN44" i="12"/>
  <c r="AK44" i="12"/>
  <c r="AJ44" i="12"/>
  <c r="AG44" i="12"/>
  <c r="AF44" i="12"/>
  <c r="AE44" i="12"/>
  <c r="AD44" i="12"/>
  <c r="AC44" i="12"/>
  <c r="Z44" i="12"/>
  <c r="Y44" i="12"/>
  <c r="X44" i="12"/>
  <c r="AO43" i="12"/>
  <c r="AN43" i="12"/>
  <c r="AM43" i="12"/>
  <c r="AH43" i="12"/>
  <c r="AG43" i="12"/>
  <c r="AF43" i="12"/>
  <c r="AE43" i="12"/>
  <c r="AD43" i="12"/>
  <c r="AB43" i="12"/>
  <c r="AA43" i="12"/>
  <c r="Z43" i="12"/>
  <c r="Y43" i="12"/>
  <c r="X43" i="12"/>
  <c r="W43" i="12"/>
  <c r="AO42" i="12"/>
  <c r="AN42" i="12"/>
  <c r="AM42" i="12"/>
  <c r="AL42" i="12"/>
  <c r="AK42" i="12"/>
  <c r="AJ42" i="12"/>
  <c r="AH42" i="12"/>
  <c r="AG42" i="12"/>
  <c r="AF42" i="12"/>
  <c r="AE42" i="12"/>
  <c r="AD42" i="12"/>
  <c r="Z42" i="12"/>
  <c r="W42" i="12"/>
  <c r="AO41" i="12"/>
  <c r="AN41" i="12"/>
  <c r="AM41" i="12"/>
  <c r="AL41" i="12"/>
  <c r="AK41" i="12"/>
  <c r="AJ41" i="12"/>
  <c r="AH41" i="12"/>
  <c r="AG41" i="12"/>
  <c r="AF41" i="12"/>
  <c r="AE41" i="12"/>
  <c r="AD41" i="12"/>
  <c r="Z41" i="12"/>
  <c r="W41" i="12"/>
  <c r="AG40" i="12"/>
  <c r="AF40" i="12"/>
  <c r="AC40" i="12"/>
  <c r="Z40" i="12"/>
  <c r="X40" i="12"/>
  <c r="AL39" i="12"/>
  <c r="AG39" i="12"/>
  <c r="AF39" i="12"/>
  <c r="AC39" i="12"/>
  <c r="AA39" i="12"/>
  <c r="Y39" i="12"/>
  <c r="X39" i="12"/>
  <c r="AG38" i="12"/>
  <c r="AF38" i="12"/>
  <c r="AB38" i="12"/>
  <c r="AA38" i="12"/>
  <c r="Y38" i="12"/>
  <c r="AO37" i="12"/>
  <c r="AM37" i="12"/>
  <c r="AL37" i="12"/>
  <c r="AI37" i="12"/>
  <c r="AH37" i="12"/>
  <c r="AG37" i="12"/>
  <c r="AF37" i="12"/>
  <c r="AD37" i="12"/>
  <c r="AC37" i="12"/>
  <c r="AB37" i="12"/>
  <c r="AA37" i="12"/>
  <c r="Z37" i="12"/>
  <c r="Y37" i="12"/>
  <c r="X37" i="12"/>
  <c r="W37" i="12"/>
  <c r="AO36" i="12"/>
  <c r="AN36" i="12"/>
  <c r="AK36" i="12"/>
  <c r="AJ36" i="12"/>
  <c r="AG36" i="12"/>
  <c r="AF36" i="12"/>
  <c r="AE36" i="12"/>
  <c r="AD36" i="12"/>
  <c r="AB36" i="12"/>
  <c r="Z36" i="12"/>
  <c r="Y36" i="12"/>
  <c r="W36" i="12"/>
  <c r="AO35" i="12"/>
  <c r="AN35" i="12"/>
  <c r="AK35" i="12"/>
  <c r="AJ35" i="12"/>
  <c r="AF35" i="12"/>
  <c r="AE35" i="12"/>
  <c r="AD35" i="12"/>
  <c r="AA35" i="12"/>
  <c r="Z35" i="12"/>
  <c r="Y35" i="12"/>
  <c r="AO34" i="12"/>
  <c r="AJ34" i="12"/>
  <c r="AI34" i="12"/>
  <c r="AH34" i="12"/>
  <c r="AG34" i="12"/>
  <c r="AF34" i="12"/>
  <c r="AE34" i="12"/>
  <c r="AD34" i="12"/>
  <c r="AC34" i="12"/>
  <c r="AB34" i="12"/>
  <c r="AA34" i="12"/>
  <c r="Z34" i="12"/>
  <c r="Y34" i="12"/>
  <c r="X34" i="12"/>
  <c r="W34" i="12"/>
  <c r="AO33" i="12"/>
  <c r="AK33" i="12"/>
  <c r="AG33" i="12"/>
  <c r="AF33" i="12"/>
  <c r="AE33" i="12"/>
  <c r="AA33" i="12"/>
  <c r="Y33" i="12"/>
  <c r="AO32" i="12"/>
  <c r="AN32" i="12"/>
  <c r="AK32" i="12"/>
  <c r="AJ32" i="12"/>
  <c r="AG32" i="12"/>
  <c r="AF32" i="12"/>
  <c r="AE32" i="12"/>
  <c r="AD32" i="12"/>
  <c r="AB32" i="12"/>
  <c r="Z32" i="12"/>
  <c r="Y32" i="12"/>
  <c r="W32" i="12"/>
  <c r="AO31" i="12"/>
  <c r="AN31" i="12"/>
  <c r="AK31" i="12"/>
  <c r="AJ31" i="12"/>
  <c r="AG31" i="12"/>
  <c r="AF31" i="12"/>
  <c r="AE31" i="12"/>
  <c r="AD31" i="12"/>
  <c r="AB31" i="12"/>
  <c r="Z31" i="12"/>
  <c r="Y31" i="12"/>
  <c r="W31" i="12"/>
  <c r="AO30" i="12"/>
  <c r="AN30" i="12"/>
  <c r="AL30" i="12"/>
  <c r="AK30" i="12"/>
  <c r="AJ30" i="12"/>
  <c r="AI30" i="12"/>
  <c r="AH30" i="12"/>
  <c r="AG30" i="12"/>
  <c r="AF30" i="12"/>
  <c r="AE30" i="12"/>
  <c r="AD30" i="12"/>
  <c r="AC30" i="12"/>
  <c r="AB30" i="12"/>
  <c r="AA30" i="12"/>
  <c r="Z30" i="12"/>
  <c r="Y30" i="12"/>
  <c r="X30" i="12"/>
  <c r="W30" i="12"/>
  <c r="AO29" i="12"/>
  <c r="AN29" i="12"/>
  <c r="AL29" i="12"/>
  <c r="AK29" i="12"/>
  <c r="AJ29" i="12"/>
  <c r="AI29" i="12"/>
  <c r="AH29" i="12"/>
  <c r="AG29" i="12"/>
  <c r="AF29" i="12"/>
  <c r="AE29" i="12"/>
  <c r="AD29" i="12"/>
  <c r="AC29" i="12"/>
  <c r="AB29" i="12"/>
  <c r="AA29" i="12"/>
  <c r="Z29" i="12"/>
  <c r="Y29" i="12"/>
  <c r="X29" i="12"/>
  <c r="W29" i="12"/>
  <c r="AO28" i="12"/>
  <c r="AN28" i="12"/>
  <c r="AM28" i="12"/>
  <c r="AL28" i="12"/>
  <c r="AK28" i="12"/>
  <c r="AJ28" i="12"/>
  <c r="AI28" i="12"/>
  <c r="AH28" i="12"/>
  <c r="AG28" i="12"/>
  <c r="AF28" i="12"/>
  <c r="AE28" i="12"/>
  <c r="AC28" i="12"/>
  <c r="AB28" i="12"/>
  <c r="AA28" i="12"/>
  <c r="Z28" i="12"/>
  <c r="Y28" i="12"/>
  <c r="X28" i="12"/>
  <c r="W28" i="12"/>
  <c r="AO27" i="12"/>
  <c r="AN27" i="12"/>
  <c r="AM27" i="12"/>
  <c r="AL27" i="12"/>
  <c r="AK27" i="12"/>
  <c r="AJ27" i="12"/>
  <c r="AI27" i="12"/>
  <c r="AH27" i="12"/>
  <c r="AG27" i="12"/>
  <c r="AF27" i="12"/>
  <c r="AE27" i="12"/>
  <c r="AD27" i="12"/>
  <c r="AC27" i="12"/>
  <c r="AB27" i="12"/>
  <c r="AA27" i="12"/>
  <c r="Z27" i="12"/>
  <c r="Y27" i="12"/>
  <c r="X27" i="12"/>
  <c r="W27" i="12"/>
  <c r="AO26" i="12"/>
  <c r="AN26" i="12"/>
  <c r="AM26" i="12"/>
  <c r="AL26" i="12"/>
  <c r="AK26" i="12"/>
  <c r="AJ26" i="12"/>
  <c r="AI26" i="12"/>
  <c r="AH26" i="12"/>
  <c r="AG26" i="12"/>
  <c r="AF26" i="12"/>
  <c r="AE26" i="12"/>
  <c r="AD26" i="12"/>
  <c r="AC26" i="12"/>
  <c r="AB26" i="12"/>
  <c r="AA26" i="12"/>
  <c r="Z26" i="12"/>
  <c r="Y26" i="12"/>
  <c r="X26" i="12"/>
  <c r="W26" i="12"/>
  <c r="AN25" i="12"/>
  <c r="AM25" i="12"/>
  <c r="AL25" i="12"/>
  <c r="AJ25" i="12"/>
  <c r="AI25" i="12"/>
  <c r="AH25" i="12"/>
  <c r="AG25" i="12"/>
  <c r="AD25" i="12"/>
  <c r="AC25" i="12"/>
  <c r="AB25" i="12"/>
  <c r="AA25" i="12"/>
  <c r="Z25" i="12"/>
  <c r="Y25" i="12"/>
  <c r="X25" i="12"/>
  <c r="W25" i="12"/>
  <c r="AO24" i="12"/>
  <c r="AL24" i="12"/>
  <c r="AJ24" i="12"/>
  <c r="AH24" i="12"/>
  <c r="AG24" i="12"/>
  <c r="AF24" i="12"/>
  <c r="AE24" i="12"/>
  <c r="AD24" i="12"/>
  <c r="AC24" i="12"/>
  <c r="AB24" i="12"/>
  <c r="AA24" i="12"/>
  <c r="Z24" i="12"/>
  <c r="Y24" i="12"/>
  <c r="X24" i="12"/>
  <c r="AO23" i="12"/>
  <c r="AN23" i="12"/>
  <c r="AM23" i="12"/>
  <c r="AL23" i="12"/>
  <c r="AK23" i="12"/>
  <c r="AJ23" i="12"/>
  <c r="AI23" i="12"/>
  <c r="AH23" i="12"/>
  <c r="AG23" i="12"/>
  <c r="AF23" i="12"/>
  <c r="AE23" i="12"/>
  <c r="AD23" i="12"/>
  <c r="AC23" i="12"/>
  <c r="AB23" i="12"/>
  <c r="AA23" i="12"/>
  <c r="Z23" i="12"/>
  <c r="Y23" i="12"/>
  <c r="X23" i="12"/>
  <c r="W23" i="12"/>
  <c r="AO22" i="12"/>
  <c r="AN22" i="12"/>
  <c r="AM22" i="12"/>
  <c r="AL22" i="12"/>
  <c r="AI22" i="12"/>
  <c r="AH22" i="12"/>
  <c r="AG22" i="12"/>
  <c r="AF22" i="12"/>
  <c r="AD22" i="12"/>
  <c r="AC22" i="12"/>
  <c r="AB22" i="12"/>
  <c r="AA22" i="12"/>
  <c r="Z22" i="12"/>
  <c r="Y22" i="12"/>
  <c r="X22" i="12"/>
  <c r="W22" i="12"/>
  <c r="AH21" i="12"/>
  <c r="AG21" i="12"/>
  <c r="AF21" i="12"/>
  <c r="AE21" i="12"/>
  <c r="Y21" i="12"/>
  <c r="AO20" i="12"/>
  <c r="AN20" i="12"/>
  <c r="AM20" i="12"/>
  <c r="AL20" i="12"/>
  <c r="AK20" i="12"/>
  <c r="AJ20" i="12"/>
  <c r="AI20" i="12"/>
  <c r="AH20" i="12"/>
  <c r="AG20" i="12"/>
  <c r="AF20" i="12"/>
  <c r="AE20" i="12"/>
  <c r="AD20" i="12"/>
  <c r="AC20" i="12"/>
  <c r="AB20" i="12"/>
  <c r="AA20" i="12"/>
  <c r="Z20" i="12"/>
  <c r="Y20" i="12"/>
  <c r="X20" i="12"/>
  <c r="W20" i="12"/>
  <c r="AO19" i="12"/>
  <c r="AN19" i="12"/>
  <c r="AM19" i="12"/>
  <c r="AL19" i="12"/>
  <c r="AK19" i="12"/>
  <c r="AJ19" i="12"/>
  <c r="AI19" i="12"/>
  <c r="AH19" i="12"/>
  <c r="AG19" i="12"/>
  <c r="AF19" i="12"/>
  <c r="AE19" i="12"/>
  <c r="AD19" i="12"/>
  <c r="AC19" i="12"/>
  <c r="AB19" i="12"/>
  <c r="AA19" i="12"/>
  <c r="Z19" i="12"/>
  <c r="Y19" i="12"/>
  <c r="X19" i="12"/>
  <c r="W19" i="12"/>
  <c r="AO18" i="12"/>
  <c r="AN18" i="12"/>
  <c r="AM18" i="12"/>
  <c r="AL18" i="12"/>
  <c r="AK18" i="12"/>
  <c r="AJ18" i="12"/>
  <c r="AI18" i="12"/>
  <c r="AH18" i="12"/>
  <c r="AG18" i="12"/>
  <c r="AF18" i="12"/>
  <c r="AE18" i="12"/>
  <c r="AD18" i="12"/>
  <c r="AC18" i="12"/>
  <c r="AB18" i="12"/>
  <c r="AA18" i="12"/>
  <c r="Z18" i="12"/>
  <c r="Y18" i="12"/>
  <c r="X18" i="12"/>
  <c r="W18" i="12"/>
  <c r="AO17" i="12"/>
  <c r="AN17" i="12"/>
  <c r="AM17" i="12"/>
  <c r="AL17" i="12"/>
  <c r="AK17" i="12"/>
  <c r="AJ17" i="12"/>
  <c r="AI17" i="12"/>
  <c r="AH17" i="12"/>
  <c r="AG17" i="12"/>
  <c r="AF17" i="12"/>
  <c r="AE17" i="12"/>
  <c r="AD17" i="12"/>
  <c r="AC17" i="12"/>
  <c r="AB17" i="12"/>
  <c r="AA17" i="12"/>
  <c r="Z17" i="12"/>
  <c r="Y17" i="12"/>
  <c r="X17" i="12"/>
  <c r="W17" i="12"/>
  <c r="AO16" i="12"/>
  <c r="AN16" i="12"/>
  <c r="AM16" i="12"/>
  <c r="AL16" i="12"/>
  <c r="AK16" i="12"/>
  <c r="AJ16" i="12"/>
  <c r="AI16" i="12"/>
  <c r="AH16" i="12"/>
  <c r="AG16" i="12"/>
  <c r="AF16" i="12"/>
  <c r="AE16" i="12"/>
  <c r="AD16" i="12"/>
  <c r="AC16" i="12"/>
  <c r="AB16" i="12"/>
  <c r="AA16" i="12"/>
  <c r="Z16" i="12"/>
  <c r="Y16" i="12"/>
  <c r="X16" i="12"/>
  <c r="W16" i="12"/>
  <c r="AO15" i="12"/>
  <c r="AN15" i="12"/>
  <c r="AL15" i="12"/>
  <c r="AK15" i="12"/>
  <c r="AJ15" i="12"/>
  <c r="AG15" i="12"/>
  <c r="AF15" i="12"/>
  <c r="AE15" i="12"/>
  <c r="AD15" i="12"/>
  <c r="Z15" i="12"/>
  <c r="W15" i="12"/>
  <c r="AO14" i="12"/>
  <c r="AN14" i="12"/>
  <c r="AL14" i="12"/>
  <c r="AK14" i="12"/>
  <c r="AJ14" i="12"/>
  <c r="AG14" i="12"/>
  <c r="AF14" i="12"/>
  <c r="AE14" i="12"/>
  <c r="AD14" i="12"/>
  <c r="AB14" i="12"/>
  <c r="AA14" i="12"/>
  <c r="Z14" i="12"/>
  <c r="Y14" i="12"/>
  <c r="X14" i="12"/>
  <c r="W14" i="12"/>
  <c r="AO13" i="12"/>
  <c r="AN13" i="12"/>
  <c r="AM13" i="12"/>
  <c r="AL13" i="12"/>
  <c r="AK13" i="12"/>
  <c r="AJ13" i="12"/>
  <c r="AI13" i="12"/>
  <c r="AG13" i="12"/>
  <c r="AF13" i="12"/>
  <c r="AE13" i="12"/>
  <c r="AD13" i="12"/>
  <c r="AB13" i="12"/>
  <c r="AA13" i="12"/>
  <c r="Z13" i="12"/>
  <c r="Y13" i="12"/>
  <c r="X13" i="12"/>
  <c r="W13" i="12"/>
  <c r="AO12" i="12"/>
  <c r="AN12" i="12"/>
  <c r="AM12" i="12"/>
  <c r="AL12" i="12"/>
  <c r="AK12" i="12"/>
  <c r="AJ12" i="12"/>
  <c r="AI12" i="12"/>
  <c r="AH12" i="12"/>
  <c r="AG12" i="12"/>
  <c r="AF12" i="12"/>
  <c r="AE12" i="12"/>
  <c r="AD12" i="12"/>
  <c r="AC12" i="12"/>
  <c r="AA12" i="12"/>
  <c r="Z12" i="12"/>
  <c r="Y12" i="12"/>
  <c r="X12" i="12"/>
  <c r="W12" i="12"/>
  <c r="AO11" i="12"/>
  <c r="AN11" i="12"/>
  <c r="AL11" i="12"/>
  <c r="AK11" i="12"/>
  <c r="AJ11" i="12"/>
  <c r="AG11" i="12"/>
  <c r="AF11" i="12"/>
  <c r="AE11" i="12"/>
  <c r="AD11" i="12"/>
  <c r="Z11" i="12"/>
  <c r="W11" i="12"/>
  <c r="AO10" i="12"/>
  <c r="AN10" i="12"/>
  <c r="AL10" i="12"/>
  <c r="AK10" i="12"/>
  <c r="AJ10" i="12"/>
  <c r="AG10" i="12"/>
  <c r="AF10" i="12"/>
  <c r="AE10" i="12"/>
  <c r="AD10" i="12"/>
  <c r="Z10" i="12"/>
  <c r="W10" i="12"/>
  <c r="AM9" i="12"/>
  <c r="AL9" i="12"/>
  <c r="AK9" i="12"/>
  <c r="AI9" i="12"/>
  <c r="AH9" i="12"/>
  <c r="AG9" i="12"/>
  <c r="AD9" i="12"/>
  <c r="AC9" i="12"/>
  <c r="AB9" i="12"/>
  <c r="AA9" i="12"/>
  <c r="Z9" i="12"/>
  <c r="Y9" i="12"/>
  <c r="X9" i="12"/>
  <c r="W9" i="12"/>
  <c r="AO8" i="12"/>
  <c r="AN8" i="12"/>
  <c r="AK8" i="12"/>
  <c r="AJ8" i="12"/>
  <c r="AG8" i="12"/>
  <c r="AF8" i="12"/>
  <c r="AE8" i="12"/>
  <c r="AD8" i="12"/>
  <c r="AB8" i="12"/>
  <c r="Z8" i="12"/>
  <c r="Y8" i="12"/>
  <c r="W8" i="12"/>
  <c r="AO7" i="12"/>
  <c r="AN7" i="12"/>
  <c r="AK7" i="12"/>
  <c r="AJ7" i="12"/>
  <c r="AG7" i="12"/>
  <c r="AF7" i="12"/>
  <c r="AE7" i="12"/>
  <c r="AD7" i="12"/>
  <c r="AB7" i="12"/>
  <c r="Z7" i="12"/>
  <c r="Y7" i="12"/>
  <c r="W7" i="12"/>
  <c r="AO6" i="12"/>
  <c r="AN6" i="12"/>
  <c r="AL6" i="12"/>
  <c r="AK6" i="12"/>
  <c r="AJ6" i="12"/>
  <c r="AI6" i="12"/>
  <c r="AH6" i="12"/>
  <c r="AG6" i="12"/>
  <c r="AF6" i="12"/>
  <c r="AE6" i="12"/>
  <c r="AD6" i="12"/>
  <c r="AC6" i="12"/>
  <c r="AB6" i="12"/>
  <c r="AA6" i="12"/>
  <c r="Z6" i="12"/>
  <c r="Y6" i="12"/>
  <c r="X6" i="12"/>
  <c r="AO5" i="12"/>
  <c r="AN5" i="12"/>
  <c r="AM5" i="12"/>
  <c r="AL5" i="12"/>
  <c r="AK5" i="12"/>
  <c r="AJ5" i="12"/>
  <c r="AG5" i="12"/>
  <c r="AF5" i="12"/>
  <c r="AE5" i="12"/>
  <c r="AD5" i="12"/>
  <c r="AC5" i="12"/>
  <c r="AA5" i="12"/>
  <c r="Z5" i="12"/>
  <c r="X5" i="12"/>
  <c r="W5" i="12"/>
  <c r="AO4" i="12"/>
  <c r="AN4" i="12"/>
  <c r="AM4" i="12"/>
  <c r="AL4" i="12"/>
  <c r="AK4" i="12"/>
  <c r="AJ4" i="12"/>
  <c r="AG4" i="12"/>
  <c r="AF4" i="12"/>
  <c r="AE4" i="12"/>
  <c r="AD4" i="12"/>
  <c r="AC4" i="12"/>
  <c r="AA4" i="12"/>
  <c r="Z4" i="12"/>
  <c r="X4" i="12"/>
  <c r="W4" i="12"/>
  <c r="AO3" i="12"/>
  <c r="AN3" i="12"/>
  <c r="AM3" i="12"/>
  <c r="AL3" i="12"/>
  <c r="AK3" i="12"/>
  <c r="AJ3" i="12"/>
  <c r="AG3" i="12"/>
  <c r="AF3" i="12"/>
  <c r="AE3" i="12"/>
  <c r="AD3" i="12"/>
  <c r="AC3" i="12"/>
  <c r="AA3" i="12"/>
  <c r="Z3" i="12"/>
  <c r="X3" i="12"/>
  <c r="W3" i="12"/>
  <c r="AO2" i="12"/>
  <c r="AO71" i="12" s="1"/>
  <c r="AN2" i="12"/>
  <c r="AN71" i="12" s="1"/>
  <c r="AM2" i="12"/>
  <c r="AM71" i="12" s="1"/>
  <c r="AL2" i="12"/>
  <c r="AL71" i="12" s="1"/>
  <c r="AK2" i="12"/>
  <c r="AK71" i="12" s="1"/>
  <c r="AJ2" i="12"/>
  <c r="AJ71" i="12" s="1"/>
  <c r="AI2" i="12"/>
  <c r="AI71" i="12" s="1"/>
  <c r="AH2" i="12"/>
  <c r="AH71" i="12" s="1"/>
  <c r="AG2" i="12"/>
  <c r="AG71" i="12" s="1"/>
  <c r="AF2" i="12"/>
  <c r="AF71" i="12" s="1"/>
  <c r="AE2" i="12"/>
  <c r="AE71" i="12" s="1"/>
  <c r="AD2" i="12"/>
  <c r="AD71" i="12" s="1"/>
  <c r="AC2" i="12"/>
  <c r="AC71" i="12" s="1"/>
  <c r="AB2" i="12"/>
  <c r="AB71" i="12" s="1"/>
  <c r="AA2" i="12"/>
  <c r="AA71" i="12" s="1"/>
  <c r="Z2" i="12"/>
  <c r="Z71" i="12" s="1"/>
  <c r="Y2" i="12"/>
  <c r="Y71" i="12" s="1"/>
  <c r="X2" i="12"/>
  <c r="X71" i="12" s="1"/>
  <c r="W2" i="12"/>
  <c r="W71" i="12" s="1"/>
  <c r="G16" i="9"/>
  <c r="G14" i="9"/>
  <c r="E14" i="9"/>
  <c r="G11" i="9"/>
  <c r="E11" i="9"/>
  <c r="F6" i="9"/>
  <c r="E6" i="9"/>
  <c r="G6" i="9" s="1"/>
  <c r="E2" i="9"/>
  <c r="G2" i="9" s="1"/>
  <c r="N69" i="8"/>
  <c r="N74" i="7"/>
  <c r="AO75" i="6"/>
  <c r="AN75" i="6"/>
  <c r="AM75" i="6"/>
  <c r="AI75" i="6"/>
  <c r="AH75" i="6"/>
  <c r="W75" i="6"/>
  <c r="N74" i="6"/>
  <c r="AO72" i="6"/>
  <c r="AN72" i="6"/>
  <c r="AM72" i="6"/>
  <c r="AK72" i="6"/>
  <c r="AJ72" i="6"/>
  <c r="AI72" i="6"/>
  <c r="AG72" i="6"/>
  <c r="AF72" i="6"/>
  <c r="AE72" i="6"/>
  <c r="AD72" i="6"/>
  <c r="AC72" i="6"/>
  <c r="Z72" i="6"/>
  <c r="AO71" i="6"/>
  <c r="AN71" i="6"/>
  <c r="AM71" i="6"/>
  <c r="AK71" i="6"/>
  <c r="AJ71" i="6"/>
  <c r="AG71" i="6"/>
  <c r="AF71" i="6"/>
  <c r="AE71" i="6"/>
  <c r="AD71" i="6"/>
  <c r="AB71" i="6"/>
  <c r="Z71" i="6"/>
  <c r="Y71" i="6"/>
  <c r="X71" i="6"/>
  <c r="AO70" i="6"/>
  <c r="AN70" i="6"/>
  <c r="AL70" i="6"/>
  <c r="AK70" i="6"/>
  <c r="AJ70" i="6"/>
  <c r="AI70" i="6"/>
  <c r="AG70" i="6"/>
  <c r="AF70" i="6"/>
  <c r="AE70" i="6"/>
  <c r="AD70" i="6"/>
  <c r="AC70" i="6"/>
  <c r="AB70" i="6"/>
  <c r="AA70" i="6"/>
  <c r="Z70" i="6"/>
  <c r="Y70" i="6"/>
  <c r="X70" i="6"/>
  <c r="W70" i="6"/>
  <c r="AO69" i="6"/>
  <c r="AN69" i="6"/>
  <c r="AM69" i="6"/>
  <c r="AL69" i="6"/>
  <c r="AK69" i="6"/>
  <c r="AJ69" i="6"/>
  <c r="AI69" i="6"/>
  <c r="AH69" i="6"/>
  <c r="AG69" i="6"/>
  <c r="AF69" i="6"/>
  <c r="AE69" i="6"/>
  <c r="AD69" i="6"/>
  <c r="AC69" i="6"/>
  <c r="AB69" i="6"/>
  <c r="AA69" i="6"/>
  <c r="Z69" i="6"/>
  <c r="Y69" i="6"/>
  <c r="X69" i="6"/>
  <c r="W69" i="6"/>
  <c r="AO68" i="6"/>
  <c r="AN68" i="6"/>
  <c r="AK68" i="6"/>
  <c r="AH68" i="6"/>
  <c r="AG68" i="6"/>
  <c r="AE68" i="6"/>
  <c r="AC68" i="6"/>
  <c r="AB68" i="6"/>
  <c r="AA68" i="6"/>
  <c r="W68" i="6"/>
  <c r="AO67" i="6"/>
  <c r="AN67" i="6"/>
  <c r="AL67" i="6"/>
  <c r="AK67" i="6"/>
  <c r="AJ67" i="6"/>
  <c r="AI67" i="6"/>
  <c r="AG67" i="6"/>
  <c r="AF67" i="6"/>
  <c r="AE67" i="6"/>
  <c r="AD67" i="6"/>
  <c r="AB67" i="6"/>
  <c r="AA67" i="6"/>
  <c r="Z67" i="6"/>
  <c r="Y67" i="6"/>
  <c r="X67" i="6"/>
  <c r="W67" i="6"/>
  <c r="AO66" i="6"/>
  <c r="AN66" i="6"/>
  <c r="AM66" i="6"/>
  <c r="AL66" i="6"/>
  <c r="AK66" i="6"/>
  <c r="AI66" i="6"/>
  <c r="AH66" i="6"/>
  <c r="AG66" i="6"/>
  <c r="AF66" i="6"/>
  <c r="AE66" i="6"/>
  <c r="AD66" i="6"/>
  <c r="AC66" i="6"/>
  <c r="AB66" i="6"/>
  <c r="AA66" i="6"/>
  <c r="Z66" i="6"/>
  <c r="Y66" i="6"/>
  <c r="X66" i="6"/>
  <c r="W66" i="6"/>
  <c r="AO65" i="6"/>
  <c r="AN65" i="6"/>
  <c r="AK65" i="6"/>
  <c r="AJ65" i="6"/>
  <c r="AF65" i="6"/>
  <c r="AD65" i="6"/>
  <c r="AC65" i="6"/>
  <c r="Z65" i="6"/>
  <c r="AO64" i="6"/>
  <c r="AM64" i="6"/>
  <c r="AL64" i="6"/>
  <c r="AK64" i="6"/>
  <c r="AJ64" i="6"/>
  <c r="AH64" i="6"/>
  <c r="AG64" i="6"/>
  <c r="AF64" i="6"/>
  <c r="AE64" i="6"/>
  <c r="AD64" i="6"/>
  <c r="AC64" i="6"/>
  <c r="AB64" i="6"/>
  <c r="AA64" i="6"/>
  <c r="Z64" i="6"/>
  <c r="X64" i="6"/>
  <c r="AN63" i="6"/>
  <c r="AM63" i="6"/>
  <c r="AL63" i="6"/>
  <c r="AK63" i="6"/>
  <c r="AJ63" i="6"/>
  <c r="AH63" i="6"/>
  <c r="AG63" i="6"/>
  <c r="AD63" i="6"/>
  <c r="AC63" i="6"/>
  <c r="AB63" i="6"/>
  <c r="AA63" i="6"/>
  <c r="X63" i="6"/>
  <c r="AO62" i="6"/>
  <c r="AN62" i="6"/>
  <c r="AM62" i="6"/>
  <c r="AL62" i="6"/>
  <c r="AK62" i="6"/>
  <c r="AJ62" i="6"/>
  <c r="AH62" i="6"/>
  <c r="AG62" i="6"/>
  <c r="AF62" i="6"/>
  <c r="AE62" i="6"/>
  <c r="AD62" i="6"/>
  <c r="AC62" i="6"/>
  <c r="AB62" i="6"/>
  <c r="AA62" i="6"/>
  <c r="Z62" i="6"/>
  <c r="X62" i="6"/>
  <c r="AO61" i="6"/>
  <c r="AN61" i="6"/>
  <c r="AK61" i="6"/>
  <c r="AJ61" i="6"/>
  <c r="AF61" i="6"/>
  <c r="AE61" i="6"/>
  <c r="AD61" i="6"/>
  <c r="AB61" i="6"/>
  <c r="Z61" i="6"/>
  <c r="AO60" i="6"/>
  <c r="AN60" i="6"/>
  <c r="AM60" i="6"/>
  <c r="AL60" i="6"/>
  <c r="AK60" i="6"/>
  <c r="AJ60" i="6"/>
  <c r="AI60" i="6"/>
  <c r="AF60" i="6"/>
  <c r="AE60" i="6"/>
  <c r="AD60" i="6"/>
  <c r="AC60" i="6"/>
  <c r="AA60" i="6"/>
  <c r="Z60" i="6"/>
  <c r="Y60" i="6"/>
  <c r="X60" i="6"/>
  <c r="W60" i="6"/>
  <c r="AO59" i="6"/>
  <c r="AN59" i="6"/>
  <c r="AM59" i="6"/>
  <c r="AK59" i="6"/>
  <c r="AJ59" i="6"/>
  <c r="AI59" i="6"/>
  <c r="AF59" i="6"/>
  <c r="AE59" i="6"/>
  <c r="AD59" i="6"/>
  <c r="AC59" i="6"/>
  <c r="AA59" i="6"/>
  <c r="Z59" i="6"/>
  <c r="AO58" i="6"/>
  <c r="AN58" i="6"/>
  <c r="AM58" i="6"/>
  <c r="AK58" i="6"/>
  <c r="AJ58" i="6"/>
  <c r="AI58" i="6"/>
  <c r="AF58" i="6"/>
  <c r="AE58" i="6"/>
  <c r="AD58" i="6"/>
  <c r="AC58" i="6"/>
  <c r="AA58" i="6"/>
  <c r="Z58" i="6"/>
  <c r="Y58" i="6"/>
  <c r="AO57" i="6"/>
  <c r="AM57" i="6"/>
  <c r="AL57" i="6"/>
  <c r="AK57" i="6"/>
  <c r="AG57" i="6"/>
  <c r="AD57" i="6"/>
  <c r="AC57" i="6"/>
  <c r="AB57" i="6"/>
  <c r="AA57" i="6"/>
  <c r="Z57" i="6"/>
  <c r="X57" i="6"/>
  <c r="W57" i="6"/>
  <c r="AO56" i="6"/>
  <c r="AM56" i="6"/>
  <c r="AL56" i="6"/>
  <c r="AK56" i="6"/>
  <c r="AF56" i="6"/>
  <c r="AD56" i="6"/>
  <c r="AC56" i="6"/>
  <c r="AB56" i="6"/>
  <c r="AA56" i="6"/>
  <c r="Z56" i="6"/>
  <c r="X56" i="6"/>
  <c r="W56" i="6"/>
  <c r="AO55" i="6"/>
  <c r="AN55" i="6"/>
  <c r="AK55" i="6"/>
  <c r="AJ55" i="6"/>
  <c r="AH55" i="6"/>
  <c r="AF55" i="6"/>
  <c r="AE55" i="6"/>
  <c r="AD55" i="6"/>
  <c r="Z55" i="6"/>
  <c r="Y55" i="6"/>
  <c r="AO54" i="6"/>
  <c r="AN54" i="6"/>
  <c r="AK54" i="6"/>
  <c r="AJ54" i="6"/>
  <c r="AH54" i="6"/>
  <c r="AF54" i="6"/>
  <c r="AE54" i="6"/>
  <c r="AD54" i="6"/>
  <c r="Z54" i="6"/>
  <c r="Y54" i="6"/>
  <c r="AO53" i="6"/>
  <c r="AN53" i="6"/>
  <c r="AK53" i="6"/>
  <c r="AJ53" i="6"/>
  <c r="AF53" i="6"/>
  <c r="AE53" i="6"/>
  <c r="AD53" i="6"/>
  <c r="Z53" i="6"/>
  <c r="X53" i="6"/>
  <c r="AO52" i="6"/>
  <c r="AN52" i="6"/>
  <c r="AL52" i="6"/>
  <c r="AK52" i="6"/>
  <c r="AJ52" i="6"/>
  <c r="AI52" i="6"/>
  <c r="AG52" i="6"/>
  <c r="AF52" i="6"/>
  <c r="AE52" i="6"/>
  <c r="AD52" i="6"/>
  <c r="AC52" i="6"/>
  <c r="AB52" i="6"/>
  <c r="AA52" i="6"/>
  <c r="Z52" i="6"/>
  <c r="X52" i="6"/>
  <c r="W52" i="6"/>
  <c r="AO51" i="6"/>
  <c r="AN51" i="6"/>
  <c r="AL51" i="6"/>
  <c r="AK51" i="6"/>
  <c r="AJ51" i="6"/>
  <c r="AI51" i="6"/>
  <c r="AG51" i="6"/>
  <c r="AF51" i="6"/>
  <c r="AE51" i="6"/>
  <c r="AD51" i="6"/>
  <c r="AC51" i="6"/>
  <c r="AB51" i="6"/>
  <c r="Z51" i="6"/>
  <c r="X51" i="6"/>
  <c r="W51" i="6"/>
  <c r="AM50" i="6"/>
  <c r="AK50" i="6"/>
  <c r="AI50" i="6"/>
  <c r="AD50" i="6"/>
  <c r="AC50" i="6"/>
  <c r="AB50" i="6"/>
  <c r="Z50" i="6"/>
  <c r="Y50" i="6"/>
  <c r="AO49" i="6"/>
  <c r="AM49" i="6"/>
  <c r="AL49" i="6"/>
  <c r="AK49" i="6"/>
  <c r="AJ49" i="6"/>
  <c r="AH49" i="6"/>
  <c r="AG49" i="6"/>
  <c r="AE49" i="6"/>
  <c r="AD49" i="6"/>
  <c r="AC49" i="6"/>
  <c r="AB49" i="6"/>
  <c r="AA49" i="6"/>
  <c r="Y49" i="6"/>
  <c r="X49" i="6"/>
  <c r="AO48" i="6"/>
  <c r="AN48" i="6"/>
  <c r="AL48" i="6"/>
  <c r="AK48" i="6"/>
  <c r="AI48" i="6"/>
  <c r="AH48" i="6"/>
  <c r="AG48" i="6"/>
  <c r="AE48" i="6"/>
  <c r="AD48" i="6"/>
  <c r="AC48" i="6"/>
  <c r="AB48" i="6"/>
  <c r="AA48" i="6"/>
  <c r="Y48" i="6"/>
  <c r="AN47" i="6"/>
  <c r="AM47" i="6"/>
  <c r="AI47" i="6"/>
  <c r="AH47" i="6"/>
  <c r="AE47" i="6"/>
  <c r="AD47" i="6"/>
  <c r="AC47" i="6"/>
  <c r="AB47" i="6"/>
  <c r="AA47" i="6"/>
  <c r="Z47" i="6"/>
  <c r="Y47" i="6"/>
  <c r="X47" i="6"/>
  <c r="AO46" i="6"/>
  <c r="AN46" i="6"/>
  <c r="AM46" i="6"/>
  <c r="AL46" i="6"/>
  <c r="AK46" i="6"/>
  <c r="AJ46" i="6"/>
  <c r="AF46" i="6"/>
  <c r="AE46" i="6"/>
  <c r="AD46" i="6"/>
  <c r="AC46" i="6"/>
  <c r="AA46" i="6"/>
  <c r="Z46" i="6"/>
  <c r="Y46" i="6"/>
  <c r="X46" i="6"/>
  <c r="AO45" i="6"/>
  <c r="AN45" i="6"/>
  <c r="AM45" i="6"/>
  <c r="AL45" i="6"/>
  <c r="AK45" i="6"/>
  <c r="AJ45" i="6"/>
  <c r="AF45" i="6"/>
  <c r="AE45" i="6"/>
  <c r="AD45" i="6"/>
  <c r="AC45" i="6"/>
  <c r="AA45" i="6"/>
  <c r="Z45" i="6"/>
  <c r="Y45" i="6"/>
  <c r="X45" i="6"/>
  <c r="AO44" i="6"/>
  <c r="AN44" i="6"/>
  <c r="AK44" i="6"/>
  <c r="AJ44" i="6"/>
  <c r="AF44" i="6"/>
  <c r="AE44" i="6"/>
  <c r="AD44" i="6"/>
  <c r="AC44" i="6"/>
  <c r="Z44" i="6"/>
  <c r="AO43" i="6"/>
  <c r="AN43" i="6"/>
  <c r="AM43" i="6"/>
  <c r="AL43" i="6"/>
  <c r="AK43" i="6"/>
  <c r="AJ43" i="6"/>
  <c r="AI43" i="6"/>
  <c r="AH43" i="6"/>
  <c r="AG43" i="6"/>
  <c r="AF43" i="6"/>
  <c r="AE43" i="6"/>
  <c r="AD43" i="6"/>
  <c r="AC43" i="6"/>
  <c r="AB43" i="6"/>
  <c r="AA43" i="6"/>
  <c r="Z43" i="6"/>
  <c r="Y43" i="6"/>
  <c r="X43" i="6"/>
  <c r="W43" i="6"/>
  <c r="AO42" i="6"/>
  <c r="AN42" i="6"/>
  <c r="AM42" i="6"/>
  <c r="AL42" i="6"/>
  <c r="AK42" i="6"/>
  <c r="AJ42" i="6"/>
  <c r="AI42" i="6"/>
  <c r="AH42" i="6"/>
  <c r="AG42" i="6"/>
  <c r="AF42" i="6"/>
  <c r="AE42" i="6"/>
  <c r="AD42" i="6"/>
  <c r="AC42" i="6"/>
  <c r="AB42" i="6"/>
  <c r="AA42" i="6"/>
  <c r="Z42" i="6"/>
  <c r="Y42" i="6"/>
  <c r="X42" i="6"/>
  <c r="W42" i="6"/>
  <c r="AO41" i="6"/>
  <c r="AN41" i="6"/>
  <c r="AM41" i="6"/>
  <c r="AK41" i="6"/>
  <c r="AJ41" i="6"/>
  <c r="AF41" i="6"/>
  <c r="AE41" i="6"/>
  <c r="AD41" i="6"/>
  <c r="AC41" i="6"/>
  <c r="Z41" i="6"/>
  <c r="AO40" i="6"/>
  <c r="AN40" i="6"/>
  <c r="AM40" i="6"/>
  <c r="AK40" i="6"/>
  <c r="AJ40" i="6"/>
  <c r="AF40" i="6"/>
  <c r="AE40" i="6"/>
  <c r="AD40" i="6"/>
  <c r="Z40" i="6"/>
  <c r="AO39" i="6"/>
  <c r="AN39" i="6"/>
  <c r="AM39" i="6"/>
  <c r="AL39" i="6"/>
  <c r="AK39" i="6"/>
  <c r="AJ39" i="6"/>
  <c r="AI39" i="6"/>
  <c r="AH39" i="6"/>
  <c r="AG39" i="6"/>
  <c r="AF39" i="6"/>
  <c r="AE39" i="6"/>
  <c r="AD39" i="6"/>
  <c r="AC39" i="6"/>
  <c r="AB39" i="6"/>
  <c r="AA39" i="6"/>
  <c r="Z39" i="6"/>
  <c r="Y39" i="6"/>
  <c r="X39" i="6"/>
  <c r="W39" i="6"/>
  <c r="AO38" i="6"/>
  <c r="AN38" i="6"/>
  <c r="AL38" i="6"/>
  <c r="AK38" i="6"/>
  <c r="AJ38" i="6"/>
  <c r="AG38" i="6"/>
  <c r="AF38" i="6"/>
  <c r="AE38" i="6"/>
  <c r="AD38" i="6"/>
  <c r="AC38" i="6"/>
  <c r="AB38" i="6"/>
  <c r="AA38" i="6"/>
  <c r="Z38" i="6"/>
  <c r="Y38" i="6"/>
  <c r="W38" i="6"/>
  <c r="AF37" i="6"/>
  <c r="AC37" i="6"/>
  <c r="Z37" i="6"/>
  <c r="AO36" i="6"/>
  <c r="AN36" i="6"/>
  <c r="AM36" i="6"/>
  <c r="AL36" i="6"/>
  <c r="AK36" i="6"/>
  <c r="AJ36" i="6"/>
  <c r="AH36" i="6"/>
  <c r="AG36" i="6"/>
  <c r="AF36" i="6"/>
  <c r="AE36" i="6"/>
  <c r="AD36" i="6"/>
  <c r="AC36" i="6"/>
  <c r="AB36" i="6"/>
  <c r="AA36" i="6"/>
  <c r="Z36" i="6"/>
  <c r="Y36" i="6"/>
  <c r="X36" i="6"/>
  <c r="W36" i="6"/>
  <c r="AO35" i="6"/>
  <c r="AN35" i="6"/>
  <c r="AM35" i="6"/>
  <c r="AL35" i="6"/>
  <c r="AK35" i="6"/>
  <c r="AJ35" i="6"/>
  <c r="AH35" i="6"/>
  <c r="AG35" i="6"/>
  <c r="AF35" i="6"/>
  <c r="AE35" i="6"/>
  <c r="AD35" i="6"/>
  <c r="AC35" i="6"/>
  <c r="AB35" i="6"/>
  <c r="AA35" i="6"/>
  <c r="Z35" i="6"/>
  <c r="Y35" i="6"/>
  <c r="X35" i="6"/>
  <c r="W35" i="6"/>
  <c r="AO34" i="6"/>
  <c r="AN34" i="6"/>
  <c r="AL34" i="6"/>
  <c r="AK34" i="6"/>
  <c r="AJ34" i="6"/>
  <c r="AF34" i="6"/>
  <c r="AE34" i="6"/>
  <c r="AD34" i="6"/>
  <c r="AC34" i="6"/>
  <c r="AB34" i="6"/>
  <c r="Z34" i="6"/>
  <c r="X34" i="6"/>
  <c r="AO33" i="6"/>
  <c r="AN33" i="6"/>
  <c r="AM33" i="6"/>
  <c r="AL33" i="6"/>
  <c r="AK33" i="6"/>
  <c r="AJ33" i="6"/>
  <c r="AI33" i="6"/>
  <c r="AH33" i="6"/>
  <c r="AG33" i="6"/>
  <c r="AF33" i="6"/>
  <c r="AE33" i="6"/>
  <c r="AD33" i="6"/>
  <c r="AB33" i="6"/>
  <c r="AA33" i="6"/>
  <c r="Z33" i="6"/>
  <c r="Y33" i="6"/>
  <c r="X33" i="6"/>
  <c r="W33" i="6"/>
  <c r="AO32" i="6"/>
  <c r="AN32" i="6"/>
  <c r="AM32" i="6"/>
  <c r="AK32" i="6"/>
  <c r="AJ32" i="6"/>
  <c r="AF32" i="6"/>
  <c r="AE32" i="6"/>
  <c r="AD32" i="6"/>
  <c r="AC32" i="6"/>
  <c r="Z32" i="6"/>
  <c r="AO31" i="6"/>
  <c r="AN31" i="6"/>
  <c r="AM31" i="6"/>
  <c r="AK31" i="6"/>
  <c r="AJ31" i="6"/>
  <c r="AF31" i="6"/>
  <c r="AE31" i="6"/>
  <c r="AD31" i="6"/>
  <c r="Z31" i="6"/>
  <c r="AO30" i="6"/>
  <c r="AN30" i="6"/>
  <c r="AM30" i="6"/>
  <c r="AL30" i="6"/>
  <c r="AK30" i="6"/>
  <c r="AJ30" i="6"/>
  <c r="AI30" i="6"/>
  <c r="AH30" i="6"/>
  <c r="AG30" i="6"/>
  <c r="AF30" i="6"/>
  <c r="AE30" i="6"/>
  <c r="AD30" i="6"/>
  <c r="AC30" i="6"/>
  <c r="AB30" i="6"/>
  <c r="AA30" i="6"/>
  <c r="Z30" i="6"/>
  <c r="Y30" i="6"/>
  <c r="X30" i="6"/>
  <c r="W30" i="6"/>
  <c r="AO29" i="6"/>
  <c r="AN29" i="6"/>
  <c r="AM29" i="6"/>
  <c r="AL29" i="6"/>
  <c r="AK29" i="6"/>
  <c r="AJ29" i="6"/>
  <c r="AI29" i="6"/>
  <c r="AH29" i="6"/>
  <c r="AG29" i="6"/>
  <c r="AF29" i="6"/>
  <c r="AE29" i="6"/>
  <c r="AD29" i="6"/>
  <c r="AC29" i="6"/>
  <c r="AB29" i="6"/>
  <c r="AA29" i="6"/>
  <c r="Z29" i="6"/>
  <c r="Y29" i="6"/>
  <c r="X29" i="6"/>
  <c r="W29" i="6"/>
  <c r="AL28" i="6"/>
  <c r="AH28" i="6"/>
  <c r="AG28" i="6"/>
  <c r="AF28" i="6"/>
  <c r="AB28" i="6"/>
  <c r="AA28" i="6"/>
  <c r="Y28" i="6"/>
  <c r="X28" i="6"/>
  <c r="W28" i="6"/>
  <c r="AO27" i="6"/>
  <c r="AN27" i="6"/>
  <c r="AM27" i="6"/>
  <c r="AL27" i="6"/>
  <c r="AK27" i="6"/>
  <c r="AJ27" i="6"/>
  <c r="AI27" i="6"/>
  <c r="AH27" i="6"/>
  <c r="AG27" i="6"/>
  <c r="AF27" i="6"/>
  <c r="AE27" i="6"/>
  <c r="AD27" i="6"/>
  <c r="AC27" i="6"/>
  <c r="AB27" i="6"/>
  <c r="AA27" i="6"/>
  <c r="Z27" i="6"/>
  <c r="Y27" i="6"/>
  <c r="X27" i="6"/>
  <c r="W27" i="6"/>
  <c r="AO26" i="6"/>
  <c r="AN26" i="6"/>
  <c r="AM26" i="6"/>
  <c r="AK26" i="6"/>
  <c r="AJ26" i="6"/>
  <c r="AH26" i="6"/>
  <c r="AG26" i="6"/>
  <c r="AF26" i="6"/>
  <c r="AE26" i="6"/>
  <c r="AD26" i="6"/>
  <c r="AC26" i="6"/>
  <c r="AB26" i="6"/>
  <c r="AA26" i="6"/>
  <c r="Z26" i="6"/>
  <c r="Y26" i="6"/>
  <c r="X26" i="6"/>
  <c r="W26" i="6"/>
  <c r="AO25" i="6"/>
  <c r="AN25" i="6"/>
  <c r="AM25" i="6"/>
  <c r="AL25" i="6"/>
  <c r="AK25" i="6"/>
  <c r="AJ25" i="6"/>
  <c r="AG25" i="6"/>
  <c r="AF25" i="6"/>
  <c r="AE25" i="6"/>
  <c r="AB25" i="6"/>
  <c r="AA25" i="6"/>
  <c r="Z25" i="6"/>
  <c r="X25" i="6"/>
  <c r="W25" i="6"/>
  <c r="AO24" i="6"/>
  <c r="AN24" i="6"/>
  <c r="AK24" i="6"/>
  <c r="AJ24" i="6"/>
  <c r="AF24" i="6"/>
  <c r="AE24" i="6"/>
  <c r="AD24" i="6"/>
  <c r="Z24" i="6"/>
  <c r="W24" i="6"/>
  <c r="AO23" i="6"/>
  <c r="AN23" i="6"/>
  <c r="AK23" i="6"/>
  <c r="AJ23" i="6"/>
  <c r="AF23" i="6"/>
  <c r="AE23" i="6"/>
  <c r="AD23" i="6"/>
  <c r="Z23" i="6"/>
  <c r="W23" i="6"/>
  <c r="AO22" i="6"/>
  <c r="AN22" i="6"/>
  <c r="AM22" i="6"/>
  <c r="AL22" i="6"/>
  <c r="AK22" i="6"/>
  <c r="AJ22" i="6"/>
  <c r="AH22" i="6"/>
  <c r="AG22" i="6"/>
  <c r="AF22" i="6"/>
  <c r="AE22" i="6"/>
  <c r="AD22" i="6"/>
  <c r="AB22" i="6"/>
  <c r="AA22" i="6"/>
  <c r="Z22" i="6"/>
  <c r="Y22" i="6"/>
  <c r="W22" i="6"/>
  <c r="AO21" i="6"/>
  <c r="AN21" i="6"/>
  <c r="AM21" i="6"/>
  <c r="AL21" i="6"/>
  <c r="AK21" i="6"/>
  <c r="AJ21" i="6"/>
  <c r="AI21" i="6"/>
  <c r="AG21" i="6"/>
  <c r="AF21" i="6"/>
  <c r="AE21" i="6"/>
  <c r="AD21" i="6"/>
  <c r="AC21" i="6"/>
  <c r="AB21" i="6"/>
  <c r="AA21" i="6"/>
  <c r="Z21" i="6"/>
  <c r="Y21" i="6"/>
  <c r="X21" i="6"/>
  <c r="W21" i="6"/>
  <c r="AO20" i="6"/>
  <c r="AN20" i="6"/>
  <c r="AL20" i="6"/>
  <c r="AK20" i="6"/>
  <c r="AJ20" i="6"/>
  <c r="AF20" i="6"/>
  <c r="AE20" i="6"/>
  <c r="AD20" i="6"/>
  <c r="Z20" i="6"/>
  <c r="AO19" i="6"/>
  <c r="AN19" i="6"/>
  <c r="AM19" i="6"/>
  <c r="AL19" i="6"/>
  <c r="AK19" i="6"/>
  <c r="AJ19" i="6"/>
  <c r="AF19" i="6"/>
  <c r="AE19" i="6"/>
  <c r="Z19" i="6"/>
  <c r="W19" i="6"/>
  <c r="AO18" i="6"/>
  <c r="AN18" i="6"/>
  <c r="AM18" i="6"/>
  <c r="AL18" i="6"/>
  <c r="AK18" i="6"/>
  <c r="AJ18" i="6"/>
  <c r="AI18" i="6"/>
  <c r="AH18" i="6"/>
  <c r="AG18" i="6"/>
  <c r="AF18" i="6"/>
  <c r="AE18" i="6"/>
  <c r="AD18" i="6"/>
  <c r="AC18" i="6"/>
  <c r="AB18" i="6"/>
  <c r="AA18" i="6"/>
  <c r="Z18" i="6"/>
  <c r="Y18" i="6"/>
  <c r="X18" i="6"/>
  <c r="W18" i="6"/>
  <c r="AO17" i="6"/>
  <c r="AN17" i="6"/>
  <c r="AM17" i="6"/>
  <c r="AL17" i="6"/>
  <c r="AK17" i="6"/>
  <c r="AJ17" i="6"/>
  <c r="AF17" i="6"/>
  <c r="AE17" i="6"/>
  <c r="Z17" i="6"/>
  <c r="W17" i="6"/>
  <c r="AO16" i="6"/>
  <c r="AN16" i="6"/>
  <c r="AM16" i="6"/>
  <c r="AL16" i="6"/>
  <c r="AK16" i="6"/>
  <c r="AJ16" i="6"/>
  <c r="AI16" i="6"/>
  <c r="AH16" i="6"/>
  <c r="AG16" i="6"/>
  <c r="AF16" i="6"/>
  <c r="AE16" i="6"/>
  <c r="AD16" i="6"/>
  <c r="AC16" i="6"/>
  <c r="AB16" i="6"/>
  <c r="AA16" i="6"/>
  <c r="Z16" i="6"/>
  <c r="Y16" i="6"/>
  <c r="X16" i="6"/>
  <c r="W16" i="6"/>
  <c r="AL15" i="6"/>
  <c r="AH15" i="6"/>
  <c r="AG15" i="6"/>
  <c r="AB15" i="6"/>
  <c r="AA15" i="6"/>
  <c r="X15" i="6"/>
  <c r="W15" i="6"/>
  <c r="AL14" i="6"/>
  <c r="AH14" i="6"/>
  <c r="AG14" i="6"/>
  <c r="AC14" i="6"/>
  <c r="AB14" i="6"/>
  <c r="AA14" i="6"/>
  <c r="Z14" i="6"/>
  <c r="X14" i="6"/>
  <c r="W14" i="6"/>
  <c r="AO13" i="6"/>
  <c r="AN13" i="6"/>
  <c r="AM13" i="6"/>
  <c r="AL13" i="6"/>
  <c r="AK13" i="6"/>
  <c r="AJ13" i="6"/>
  <c r="AI13" i="6"/>
  <c r="AH13" i="6"/>
  <c r="AG13" i="6"/>
  <c r="AF13" i="6"/>
  <c r="AE13" i="6"/>
  <c r="AD13" i="6"/>
  <c r="AC13" i="6"/>
  <c r="AB13" i="6"/>
  <c r="AA13" i="6"/>
  <c r="Z13" i="6"/>
  <c r="Y13" i="6"/>
  <c r="X13" i="6"/>
  <c r="W13" i="6"/>
  <c r="AO12" i="6"/>
  <c r="AE12" i="6"/>
  <c r="Y12" i="6"/>
  <c r="AI11" i="6"/>
  <c r="AF11" i="6"/>
  <c r="Z11" i="6"/>
  <c r="AO10" i="6"/>
  <c r="AN10" i="6"/>
  <c r="AM10" i="6"/>
  <c r="AL10" i="6"/>
  <c r="AK10" i="6"/>
  <c r="AJ10" i="6"/>
  <c r="AI10" i="6"/>
  <c r="AH10" i="6"/>
  <c r="AH74" i="6" s="1"/>
  <c r="AG10" i="6"/>
  <c r="AF10" i="6"/>
  <c r="AE10" i="6"/>
  <c r="AD10" i="6"/>
  <c r="AC10" i="6"/>
  <c r="AB10" i="6"/>
  <c r="AA10" i="6"/>
  <c r="Z10" i="6"/>
  <c r="Z74" i="6" s="1"/>
  <c r="Y10" i="6"/>
  <c r="X10" i="6"/>
  <c r="W10" i="6"/>
  <c r="AO9" i="6"/>
  <c r="AN9" i="6"/>
  <c r="AM9" i="6"/>
  <c r="AL9" i="6"/>
  <c r="AK9" i="6"/>
  <c r="AJ9" i="6"/>
  <c r="AI9" i="6"/>
  <c r="AH9" i="6"/>
  <c r="AG9" i="6"/>
  <c r="AF9" i="6"/>
  <c r="AE9" i="6"/>
  <c r="AD9" i="6"/>
  <c r="AC9" i="6"/>
  <c r="AB9" i="6"/>
  <c r="AA9" i="6"/>
  <c r="Z9" i="6"/>
  <c r="Y9" i="6"/>
  <c r="X9" i="6"/>
  <c r="W9" i="6"/>
  <c r="AO8" i="6"/>
  <c r="AN8" i="6"/>
  <c r="AM8" i="6"/>
  <c r="AL8" i="6"/>
  <c r="AK8" i="6"/>
  <c r="AJ8" i="6"/>
  <c r="AI8" i="6"/>
  <c r="AH8" i="6"/>
  <c r="AG8" i="6"/>
  <c r="AF8" i="6"/>
  <c r="AE8" i="6"/>
  <c r="AD8" i="6"/>
  <c r="AC8" i="6"/>
  <c r="AB8" i="6"/>
  <c r="AA8" i="6"/>
  <c r="Z8" i="6"/>
  <c r="Y8" i="6"/>
  <c r="X8" i="6"/>
  <c r="W8" i="6"/>
  <c r="AO7" i="6"/>
  <c r="AN7" i="6"/>
  <c r="AM7" i="6"/>
  <c r="AL7" i="6"/>
  <c r="AK7" i="6"/>
  <c r="AJ7" i="6"/>
  <c r="AI7" i="6"/>
  <c r="AH7" i="6"/>
  <c r="AE7" i="6"/>
  <c r="AD7" i="6"/>
  <c r="AC7" i="6"/>
  <c r="AC74" i="6" s="1"/>
  <c r="AB7" i="6"/>
  <c r="AA7" i="6"/>
  <c r="Z7" i="6"/>
  <c r="Y7" i="6"/>
  <c r="X7" i="6"/>
  <c r="W7" i="6"/>
  <c r="AO6" i="6"/>
  <c r="AN6" i="6"/>
  <c r="AM6" i="6"/>
  <c r="AL6" i="6"/>
  <c r="AK6" i="6"/>
  <c r="AJ6" i="6"/>
  <c r="AF6" i="6"/>
  <c r="AE6" i="6"/>
  <c r="AB6" i="6"/>
  <c r="Z6" i="6"/>
  <c r="AO5" i="6"/>
  <c r="AN5" i="6"/>
  <c r="AM5" i="6"/>
  <c r="AL5" i="6"/>
  <c r="AK5" i="6"/>
  <c r="AJ5" i="6"/>
  <c r="AI5" i="6"/>
  <c r="AG5" i="6"/>
  <c r="AG74" i="6" s="1"/>
  <c r="AF5" i="6"/>
  <c r="AE5" i="6"/>
  <c r="AD5" i="6"/>
  <c r="AA5" i="6"/>
  <c r="Z5" i="6"/>
  <c r="Y5" i="6"/>
  <c r="X5" i="6"/>
  <c r="X74" i="6" s="1"/>
  <c r="AO4" i="6"/>
  <c r="AN4" i="6"/>
  <c r="AL4" i="6"/>
  <c r="AK4" i="6"/>
  <c r="AJ4" i="6"/>
  <c r="AI4" i="6"/>
  <c r="AF4" i="6"/>
  <c r="AE4" i="6"/>
  <c r="AD4" i="6"/>
  <c r="AA4" i="6"/>
  <c r="Z4" i="6"/>
  <c r="AO3" i="6"/>
  <c r="AO74" i="6" s="1"/>
  <c r="AN3" i="6"/>
  <c r="AN74" i="6" s="1"/>
  <c r="AL3" i="6"/>
  <c r="AL74" i="6" s="1"/>
  <c r="AK3" i="6"/>
  <c r="AJ3" i="6"/>
  <c r="AI3" i="6"/>
  <c r="AF3" i="6"/>
  <c r="AE3" i="6"/>
  <c r="AD3" i="6"/>
  <c r="AA3" i="6"/>
  <c r="Z3" i="6"/>
  <c r="AM2" i="6"/>
  <c r="AM74" i="6" s="1"/>
  <c r="AK2" i="6"/>
  <c r="AK74" i="6" s="1"/>
  <c r="AJ2" i="6"/>
  <c r="AJ74" i="6" s="1"/>
  <c r="AI2" i="6"/>
  <c r="AI74" i="6" s="1"/>
  <c r="AH2" i="6"/>
  <c r="AF2" i="6"/>
  <c r="AF74" i="6" s="1"/>
  <c r="AE2" i="6"/>
  <c r="AE74" i="6" s="1"/>
  <c r="AD2" i="6"/>
  <c r="AD74" i="6" s="1"/>
  <c r="AB2" i="6"/>
  <c r="AB74" i="6" s="1"/>
  <c r="AA2" i="6"/>
  <c r="AA74" i="6" s="1"/>
  <c r="Y2" i="6"/>
  <c r="Y74" i="6" s="1"/>
  <c r="W2" i="6"/>
  <c r="W74" i="6" s="1"/>
  <c r="AO79" i="5"/>
  <c r="AN79" i="5"/>
  <c r="AM79" i="5"/>
  <c r="AK79" i="5"/>
  <c r="AI79" i="5"/>
  <c r="AH79" i="5"/>
  <c r="W79" i="5"/>
  <c r="N76" i="5"/>
  <c r="AO74" i="5"/>
  <c r="AN74" i="5"/>
  <c r="AM74" i="5"/>
  <c r="AL74" i="5"/>
  <c r="AK74" i="5"/>
  <c r="AI74" i="5"/>
  <c r="AH74" i="5"/>
  <c r="AG74" i="5"/>
  <c r="AF74" i="5"/>
  <c r="AD74" i="5"/>
  <c r="AC74" i="5"/>
  <c r="AB74" i="5"/>
  <c r="AA74" i="5"/>
  <c r="Z74" i="5"/>
  <c r="Y74" i="5"/>
  <c r="X74" i="5"/>
  <c r="W74" i="5"/>
  <c r="AO73" i="5"/>
  <c r="AN73" i="5"/>
  <c r="AK73" i="5"/>
  <c r="AJ73" i="5"/>
  <c r="AH73" i="5"/>
  <c r="AF73" i="5"/>
  <c r="AD73" i="5"/>
  <c r="AC73" i="5"/>
  <c r="Z73" i="5"/>
  <c r="W73" i="5"/>
  <c r="AO72" i="5"/>
  <c r="AN72" i="5"/>
  <c r="AM72" i="5"/>
  <c r="AK72" i="5"/>
  <c r="AJ72" i="5"/>
  <c r="AI72" i="5"/>
  <c r="AH72" i="5"/>
  <c r="AG72" i="5"/>
  <c r="AF72" i="5"/>
  <c r="AE72" i="5"/>
  <c r="AD72" i="5"/>
  <c r="AC72" i="5"/>
  <c r="AB72" i="5"/>
  <c r="AA72" i="5"/>
  <c r="Z72" i="5"/>
  <c r="Y72" i="5"/>
  <c r="X72" i="5"/>
  <c r="W72" i="5"/>
  <c r="AO71" i="5"/>
  <c r="AN71" i="5"/>
  <c r="AM71" i="5"/>
  <c r="AK71" i="5"/>
  <c r="AJ71" i="5"/>
  <c r="AF71" i="5"/>
  <c r="AE71" i="5"/>
  <c r="AD71" i="5"/>
  <c r="AC71" i="5"/>
  <c r="AA71" i="5"/>
  <c r="Z71" i="5"/>
  <c r="Y71" i="5"/>
  <c r="X71" i="5"/>
  <c r="AO70" i="5"/>
  <c r="AN70" i="5"/>
  <c r="AM70" i="5"/>
  <c r="AL70" i="5"/>
  <c r="AK70" i="5"/>
  <c r="AJ70" i="5"/>
  <c r="AI70" i="5"/>
  <c r="AH70" i="5"/>
  <c r="AG70" i="5"/>
  <c r="AF70" i="5"/>
  <c r="AE70" i="5"/>
  <c r="AD70" i="5"/>
  <c r="AC70" i="5"/>
  <c r="AB70" i="5"/>
  <c r="AA70" i="5"/>
  <c r="Z70" i="5"/>
  <c r="Y70" i="5"/>
  <c r="X70" i="5"/>
  <c r="W70" i="5"/>
  <c r="AO69" i="5"/>
  <c r="AN69" i="5"/>
  <c r="AM69" i="5"/>
  <c r="AL69" i="5"/>
  <c r="AK69" i="5"/>
  <c r="AJ69" i="5"/>
  <c r="AI69" i="5"/>
  <c r="AH69" i="5"/>
  <c r="AG69" i="5"/>
  <c r="AF69" i="5"/>
  <c r="AE69" i="5"/>
  <c r="AD69" i="5"/>
  <c r="AC69" i="5"/>
  <c r="AB69" i="5"/>
  <c r="AA69" i="5"/>
  <c r="Z69" i="5"/>
  <c r="Y69" i="5"/>
  <c r="X69" i="5"/>
  <c r="W69" i="5"/>
  <c r="AO68" i="5"/>
  <c r="AN68" i="5"/>
  <c r="AL68" i="5"/>
  <c r="AK68" i="5"/>
  <c r="AJ68" i="5"/>
  <c r="AF68" i="5"/>
  <c r="AE68" i="5"/>
  <c r="AD68" i="5"/>
  <c r="AA68" i="5"/>
  <c r="Z68" i="5"/>
  <c r="Y68" i="5"/>
  <c r="AO67" i="5"/>
  <c r="AN67" i="5"/>
  <c r="AL67" i="5"/>
  <c r="AK67" i="5"/>
  <c r="AJ67" i="5"/>
  <c r="AF67" i="5"/>
  <c r="AE67" i="5"/>
  <c r="AD67" i="5"/>
  <c r="AA67" i="5"/>
  <c r="Z67" i="5"/>
  <c r="Y67" i="5"/>
  <c r="AO66" i="5"/>
  <c r="AN66" i="5"/>
  <c r="AL66" i="5"/>
  <c r="AK66" i="5"/>
  <c r="AJ66" i="5"/>
  <c r="AI66" i="5"/>
  <c r="AG66" i="5"/>
  <c r="AF66" i="5"/>
  <c r="AE66" i="5"/>
  <c r="AD66" i="5"/>
  <c r="AC66" i="5"/>
  <c r="AB66" i="5"/>
  <c r="AA66" i="5"/>
  <c r="Z66" i="5"/>
  <c r="Y66" i="5"/>
  <c r="X66" i="5"/>
  <c r="W66" i="5"/>
  <c r="AO65" i="5"/>
  <c r="AN65" i="5"/>
  <c r="AM65" i="5"/>
  <c r="AL65" i="5"/>
  <c r="AK65" i="5"/>
  <c r="AJ65" i="5"/>
  <c r="AI65" i="5"/>
  <c r="AH65" i="5"/>
  <c r="AG65" i="5"/>
  <c r="AF65" i="5"/>
  <c r="AE65" i="5"/>
  <c r="AD65" i="5"/>
  <c r="AC65" i="5"/>
  <c r="AB65" i="5"/>
  <c r="AA65" i="5"/>
  <c r="Z65" i="5"/>
  <c r="Y65" i="5"/>
  <c r="X65" i="5"/>
  <c r="AO64" i="5"/>
  <c r="AN64" i="5"/>
  <c r="AK64" i="5"/>
  <c r="AJ64" i="5"/>
  <c r="AF64" i="5"/>
  <c r="AC64" i="5"/>
  <c r="AA64" i="5"/>
  <c r="Z64" i="5"/>
  <c r="X64" i="5"/>
  <c r="AO63" i="5"/>
  <c r="AN63" i="5"/>
  <c r="AM63" i="5"/>
  <c r="AL63" i="5"/>
  <c r="AK63" i="5"/>
  <c r="AJ63" i="5"/>
  <c r="AI63" i="5"/>
  <c r="AH63" i="5"/>
  <c r="AG63" i="5"/>
  <c r="AF63" i="5"/>
  <c r="AE63" i="5"/>
  <c r="AD63" i="5"/>
  <c r="AC63" i="5"/>
  <c r="AB63" i="5"/>
  <c r="AA63" i="5"/>
  <c r="Z63" i="5"/>
  <c r="Y63" i="5"/>
  <c r="X63" i="5"/>
  <c r="W63" i="5"/>
  <c r="AO62" i="5"/>
  <c r="AN62" i="5"/>
  <c r="AK62" i="5"/>
  <c r="AJ62" i="5"/>
  <c r="AF62" i="5"/>
  <c r="AE62" i="5"/>
  <c r="AD62" i="5"/>
  <c r="AC62" i="5"/>
  <c r="AA62" i="5"/>
  <c r="Z62" i="5"/>
  <c r="X62" i="5"/>
  <c r="AO61" i="5"/>
  <c r="AM61" i="5"/>
  <c r="AL61" i="5"/>
  <c r="AI61" i="5"/>
  <c r="AH61" i="5"/>
  <c r="AG61" i="5"/>
  <c r="AD61" i="5"/>
  <c r="AC61" i="5"/>
  <c r="AB61" i="5"/>
  <c r="AA61" i="5"/>
  <c r="Z61" i="5"/>
  <c r="Y61" i="5"/>
  <c r="X61" i="5"/>
  <c r="W61" i="5"/>
  <c r="AO60" i="5"/>
  <c r="AN60" i="5"/>
  <c r="AM60" i="5"/>
  <c r="AK60" i="5"/>
  <c r="AJ60" i="5"/>
  <c r="AH60" i="5"/>
  <c r="AG60" i="5"/>
  <c r="AF60" i="5"/>
  <c r="AE60" i="5"/>
  <c r="AD60" i="5"/>
  <c r="AC60" i="5"/>
  <c r="AB60" i="5"/>
  <c r="AA60" i="5"/>
  <c r="Z60" i="5"/>
  <c r="X60" i="5"/>
  <c r="W60" i="5"/>
  <c r="AM59" i="5"/>
  <c r="AL59" i="5"/>
  <c r="AH59" i="5"/>
  <c r="AG59" i="5"/>
  <c r="AC59" i="5"/>
  <c r="AB59" i="5"/>
  <c r="AA59" i="5"/>
  <c r="Z59" i="5"/>
  <c r="X59" i="5"/>
  <c r="W59" i="5"/>
  <c r="AO58" i="5"/>
  <c r="AM58" i="5"/>
  <c r="AL58" i="5"/>
  <c r="AI58" i="5"/>
  <c r="AH58" i="5"/>
  <c r="AG58" i="5"/>
  <c r="AD58" i="5"/>
  <c r="AC58" i="5"/>
  <c r="AB58" i="5"/>
  <c r="AA58" i="5"/>
  <c r="Z58" i="5"/>
  <c r="Y58" i="5"/>
  <c r="X58" i="5"/>
  <c r="W58" i="5"/>
  <c r="AO57" i="5"/>
  <c r="AM57" i="5"/>
  <c r="AL57" i="5"/>
  <c r="AI57" i="5"/>
  <c r="AH57" i="5"/>
  <c r="AG57" i="5"/>
  <c r="AD57" i="5"/>
  <c r="AC57" i="5"/>
  <c r="AB57" i="5"/>
  <c r="AA57" i="5"/>
  <c r="Z57" i="5"/>
  <c r="Y57" i="5"/>
  <c r="X57" i="5"/>
  <c r="W57" i="5"/>
  <c r="AO56" i="5"/>
  <c r="AN56" i="5"/>
  <c r="AK56" i="5"/>
  <c r="AJ56" i="5"/>
  <c r="AF56" i="5"/>
  <c r="AE56" i="5"/>
  <c r="AD56" i="5"/>
  <c r="AB56" i="5"/>
  <c r="Z56" i="5"/>
  <c r="Y56" i="5"/>
  <c r="AO55" i="5"/>
  <c r="AN55" i="5"/>
  <c r="AM55" i="5"/>
  <c r="AL55" i="5"/>
  <c r="AK55" i="5"/>
  <c r="AJ55" i="5"/>
  <c r="AI55" i="5"/>
  <c r="AH55" i="5"/>
  <c r="AG55" i="5"/>
  <c r="AF55" i="5"/>
  <c r="AE55" i="5"/>
  <c r="AD55" i="5"/>
  <c r="AC55" i="5"/>
  <c r="AB55" i="5"/>
  <c r="AA55" i="5"/>
  <c r="Z55" i="5"/>
  <c r="Y55" i="5"/>
  <c r="X55" i="5"/>
  <c r="W55" i="5"/>
  <c r="AO54" i="5"/>
  <c r="AN54" i="5"/>
  <c r="AM54" i="5"/>
  <c r="AL54" i="5"/>
  <c r="AK54" i="5"/>
  <c r="AJ54" i="5"/>
  <c r="AI54" i="5"/>
  <c r="AH54" i="5"/>
  <c r="AG54" i="5"/>
  <c r="AF54" i="5"/>
  <c r="AE54" i="5"/>
  <c r="AD54" i="5"/>
  <c r="AC54" i="5"/>
  <c r="AB54" i="5"/>
  <c r="AA54" i="5"/>
  <c r="Z54" i="5"/>
  <c r="Y54" i="5"/>
  <c r="X54" i="5"/>
  <c r="W54" i="5"/>
  <c r="AO53" i="5"/>
  <c r="AM53" i="5"/>
  <c r="AL53" i="5"/>
  <c r="AI53" i="5"/>
  <c r="AH53" i="5"/>
  <c r="AG53" i="5"/>
  <c r="AC53" i="5"/>
  <c r="AB53" i="5"/>
  <c r="AA53" i="5"/>
  <c r="Z53" i="5"/>
  <c r="Y53" i="5"/>
  <c r="X53" i="5"/>
  <c r="W53" i="5"/>
  <c r="AM52" i="5"/>
  <c r="AL52" i="5"/>
  <c r="AI52" i="5"/>
  <c r="AH52" i="5"/>
  <c r="AG52" i="5"/>
  <c r="AF52" i="5"/>
  <c r="AD52" i="5"/>
  <c r="AC52" i="5"/>
  <c r="AB52" i="5"/>
  <c r="AA52" i="5"/>
  <c r="Z52" i="5"/>
  <c r="Y52" i="5"/>
  <c r="X52" i="5"/>
  <c r="W52" i="5"/>
  <c r="AN51" i="5"/>
  <c r="AM51" i="5"/>
  <c r="AL51" i="5"/>
  <c r="AJ51" i="5"/>
  <c r="AI51" i="5"/>
  <c r="AH51" i="5"/>
  <c r="AG51" i="5"/>
  <c r="AF51" i="5"/>
  <c r="AE51" i="5"/>
  <c r="AD51" i="5"/>
  <c r="AC51" i="5"/>
  <c r="AB51" i="5"/>
  <c r="AA51" i="5"/>
  <c r="Z51" i="5"/>
  <c r="Y51" i="5"/>
  <c r="X51" i="5"/>
  <c r="W51" i="5"/>
  <c r="AN50" i="5"/>
  <c r="AM50" i="5"/>
  <c r="AL50" i="5"/>
  <c r="AK50" i="5"/>
  <c r="AJ50" i="5"/>
  <c r="AI50" i="5"/>
  <c r="AH50" i="5"/>
  <c r="AG50" i="5"/>
  <c r="AF50" i="5"/>
  <c r="AE50" i="5"/>
  <c r="AD50" i="5"/>
  <c r="AC50" i="5"/>
  <c r="AB50" i="5"/>
  <c r="AA50" i="5"/>
  <c r="Z50" i="5"/>
  <c r="Y50" i="5"/>
  <c r="X50" i="5"/>
  <c r="W50" i="5"/>
  <c r="AO49" i="5"/>
  <c r="AN49" i="5"/>
  <c r="AM49" i="5"/>
  <c r="AL49" i="5"/>
  <c r="AK49" i="5"/>
  <c r="AJ49" i="5"/>
  <c r="AI49" i="5"/>
  <c r="AH49" i="5"/>
  <c r="AG49" i="5"/>
  <c r="AF49" i="5"/>
  <c r="AE49" i="5"/>
  <c r="AD49" i="5"/>
  <c r="AC49" i="5"/>
  <c r="AB49" i="5"/>
  <c r="AA49" i="5"/>
  <c r="Z49" i="5"/>
  <c r="Y49" i="5"/>
  <c r="X49" i="5"/>
  <c r="W49" i="5"/>
  <c r="AO48" i="5"/>
  <c r="AN48" i="5"/>
  <c r="AM48" i="5"/>
  <c r="AL48" i="5"/>
  <c r="AK48" i="5"/>
  <c r="AJ48" i="5"/>
  <c r="AI48" i="5"/>
  <c r="AH48" i="5"/>
  <c r="AG48" i="5"/>
  <c r="AF48" i="5"/>
  <c r="AD48" i="5"/>
  <c r="AC48" i="5"/>
  <c r="Z48" i="5"/>
  <c r="Y48" i="5"/>
  <c r="W48" i="5"/>
  <c r="AO47" i="5"/>
  <c r="AN47" i="5"/>
  <c r="AK47" i="5"/>
  <c r="AH47" i="5"/>
  <c r="AF47" i="5"/>
  <c r="AE47" i="5"/>
  <c r="AA47" i="5"/>
  <c r="Z47" i="5"/>
  <c r="Y47" i="5"/>
  <c r="AO46" i="5"/>
  <c r="AN46" i="5"/>
  <c r="AK46" i="5"/>
  <c r="AJ46" i="5"/>
  <c r="AF46" i="5"/>
  <c r="AD46" i="5"/>
  <c r="AC46" i="5"/>
  <c r="Z46" i="5"/>
  <c r="Y46" i="5"/>
  <c r="W46" i="5"/>
  <c r="AO45" i="5"/>
  <c r="AN45" i="5"/>
  <c r="AK45" i="5"/>
  <c r="AJ45" i="5"/>
  <c r="AF45" i="5"/>
  <c r="AE45" i="5"/>
  <c r="AD45" i="5"/>
  <c r="AC45" i="5"/>
  <c r="AA45" i="5"/>
  <c r="Z45" i="5"/>
  <c r="X45" i="5"/>
  <c r="W45" i="5"/>
  <c r="AO44" i="5"/>
  <c r="AN44" i="5"/>
  <c r="AM44" i="5"/>
  <c r="AL44" i="5"/>
  <c r="AK44" i="5"/>
  <c r="AJ44" i="5"/>
  <c r="AI44" i="5"/>
  <c r="AH44" i="5"/>
  <c r="AG44" i="5"/>
  <c r="AF44" i="5"/>
  <c r="AE44" i="5"/>
  <c r="AD44" i="5"/>
  <c r="AC44" i="5"/>
  <c r="AB44" i="5"/>
  <c r="AA44" i="5"/>
  <c r="Z44" i="5"/>
  <c r="Y44" i="5"/>
  <c r="X44" i="5"/>
  <c r="W44" i="5"/>
  <c r="AO43" i="5"/>
  <c r="AN43" i="5"/>
  <c r="AK43" i="5"/>
  <c r="AJ43" i="5"/>
  <c r="AF43" i="5"/>
  <c r="Z43" i="5"/>
  <c r="Y43" i="5"/>
  <c r="AO42" i="5"/>
  <c r="AN42" i="5"/>
  <c r="AM42" i="5"/>
  <c r="AL42" i="5"/>
  <c r="AK42" i="5"/>
  <c r="AI42" i="5"/>
  <c r="AH42" i="5"/>
  <c r="AG42" i="5"/>
  <c r="AF42" i="5"/>
  <c r="AD42" i="5"/>
  <c r="AC42" i="5"/>
  <c r="AA42" i="5"/>
  <c r="Z42" i="5"/>
  <c r="Y42" i="5"/>
  <c r="W42" i="5"/>
  <c r="AO41" i="5"/>
  <c r="AN41" i="5"/>
  <c r="AM41" i="5"/>
  <c r="AL41" i="5"/>
  <c r="AK41" i="5"/>
  <c r="AJ41" i="5"/>
  <c r="AH41" i="5"/>
  <c r="AG41" i="5"/>
  <c r="AD41" i="5"/>
  <c r="AC41" i="5"/>
  <c r="AA41" i="5"/>
  <c r="Z41" i="5"/>
  <c r="Y41" i="5"/>
  <c r="W41" i="5"/>
  <c r="AN40" i="5"/>
  <c r="AM40" i="5"/>
  <c r="AL40" i="5"/>
  <c r="AK40" i="5"/>
  <c r="AI40" i="5"/>
  <c r="AH40" i="5"/>
  <c r="AG40" i="5"/>
  <c r="AF40" i="5"/>
  <c r="AD40" i="5"/>
  <c r="AC40" i="5"/>
  <c r="AA40" i="5"/>
  <c r="Z40" i="5"/>
  <c r="W40" i="5"/>
  <c r="AO39" i="5"/>
  <c r="AN39" i="5"/>
  <c r="AM39" i="5"/>
  <c r="AL39" i="5"/>
  <c r="AJ39" i="5"/>
  <c r="AI39" i="5"/>
  <c r="AH39" i="5"/>
  <c r="AG39" i="5"/>
  <c r="AD39" i="5"/>
  <c r="AC39" i="5"/>
  <c r="AB39" i="5"/>
  <c r="AA39" i="5"/>
  <c r="Z39" i="5"/>
  <c r="Y39" i="5"/>
  <c r="X39" i="5"/>
  <c r="W39" i="5"/>
  <c r="AO38" i="5"/>
  <c r="AN38" i="5"/>
  <c r="AM38" i="5"/>
  <c r="AL38" i="5"/>
  <c r="AK38" i="5"/>
  <c r="AJ38" i="5"/>
  <c r="AI38" i="5"/>
  <c r="AF38" i="5"/>
  <c r="AD38" i="5"/>
  <c r="AC38" i="5"/>
  <c r="Z38" i="5"/>
  <c r="Y38" i="5"/>
  <c r="W38" i="5"/>
  <c r="AO37" i="5"/>
  <c r="AN37" i="5"/>
  <c r="AM37" i="5"/>
  <c r="AL37" i="5"/>
  <c r="AK37" i="5"/>
  <c r="AJ37" i="5"/>
  <c r="AI37" i="5"/>
  <c r="AF37" i="5"/>
  <c r="AD37" i="5"/>
  <c r="AC37" i="5"/>
  <c r="Z37" i="5"/>
  <c r="Y37" i="5"/>
  <c r="W37" i="5"/>
  <c r="AH36" i="5"/>
  <c r="AC36" i="5"/>
  <c r="Z36" i="5"/>
  <c r="AO35" i="5"/>
  <c r="AN35" i="5"/>
  <c r="AM35" i="5"/>
  <c r="AL35" i="5"/>
  <c r="AK35" i="5"/>
  <c r="AJ35" i="5"/>
  <c r="AI35" i="5"/>
  <c r="AH35" i="5"/>
  <c r="AG35" i="5"/>
  <c r="AF35" i="5"/>
  <c r="AE35" i="5"/>
  <c r="AD35" i="5"/>
  <c r="AC35" i="5"/>
  <c r="AB35" i="5"/>
  <c r="AA35" i="5"/>
  <c r="Z35" i="5"/>
  <c r="Y35" i="5"/>
  <c r="X35" i="5"/>
  <c r="W35" i="5"/>
  <c r="AO34" i="5"/>
  <c r="AN34" i="5"/>
  <c r="AM34" i="5"/>
  <c r="AL34" i="5"/>
  <c r="AK34" i="5"/>
  <c r="AJ34" i="5"/>
  <c r="AI34" i="5"/>
  <c r="AH34" i="5"/>
  <c r="AG34" i="5"/>
  <c r="AF34" i="5"/>
  <c r="AE34" i="5"/>
  <c r="AD34" i="5"/>
  <c r="AC34" i="5"/>
  <c r="AB34" i="5"/>
  <c r="AA34" i="5"/>
  <c r="Z34" i="5"/>
  <c r="Y34" i="5"/>
  <c r="X34" i="5"/>
  <c r="W34" i="5"/>
  <c r="AO33" i="5"/>
  <c r="AN33" i="5"/>
  <c r="AK33" i="5"/>
  <c r="AJ33" i="5"/>
  <c r="AF33" i="5"/>
  <c r="AE33" i="5"/>
  <c r="AD33" i="5"/>
  <c r="AB33" i="5"/>
  <c r="Z33" i="5"/>
  <c r="Y33" i="5"/>
  <c r="AO32" i="5"/>
  <c r="AN32" i="5"/>
  <c r="AK32" i="5"/>
  <c r="AJ32" i="5"/>
  <c r="AF32" i="5"/>
  <c r="AE32" i="5"/>
  <c r="AD32" i="5"/>
  <c r="AB32" i="5"/>
  <c r="Z32" i="5"/>
  <c r="Y32" i="5"/>
  <c r="AO31" i="5"/>
  <c r="AN31" i="5"/>
  <c r="AK31" i="5"/>
  <c r="AJ31" i="5"/>
  <c r="AF31" i="5"/>
  <c r="AD31" i="5"/>
  <c r="Z31" i="5"/>
  <c r="Y31" i="5"/>
  <c r="AO30" i="5"/>
  <c r="AN30" i="5"/>
  <c r="AM30" i="5"/>
  <c r="AL30" i="5"/>
  <c r="AK30" i="5"/>
  <c r="AJ30" i="5"/>
  <c r="AI30" i="5"/>
  <c r="AH30" i="5"/>
  <c r="AG30" i="5"/>
  <c r="AF30" i="5"/>
  <c r="AE30" i="5"/>
  <c r="AD30" i="5"/>
  <c r="AB30" i="5"/>
  <c r="AA30" i="5"/>
  <c r="Z30" i="5"/>
  <c r="AO29" i="5"/>
  <c r="AN29" i="5"/>
  <c r="AL29" i="5"/>
  <c r="AK29" i="5"/>
  <c r="AJ29" i="5"/>
  <c r="AI29" i="5"/>
  <c r="AH29" i="5"/>
  <c r="AF29" i="5"/>
  <c r="AE29" i="5"/>
  <c r="AD29" i="5"/>
  <c r="AC29" i="5"/>
  <c r="AA29" i="5"/>
  <c r="Z29" i="5"/>
  <c r="Y29" i="5"/>
  <c r="X29" i="5"/>
  <c r="W29" i="5"/>
  <c r="AG28" i="5"/>
  <c r="AE28" i="5"/>
  <c r="AC28" i="5"/>
  <c r="AA28" i="5"/>
  <c r="X28" i="5"/>
  <c r="W28" i="5"/>
  <c r="AO27" i="5"/>
  <c r="AN27" i="5"/>
  <c r="AM27" i="5"/>
  <c r="AL27" i="5"/>
  <c r="AK27" i="5"/>
  <c r="AJ27" i="5"/>
  <c r="AI27" i="5"/>
  <c r="AH27" i="5"/>
  <c r="AF27" i="5"/>
  <c r="AE27" i="5"/>
  <c r="AD27" i="5"/>
  <c r="AC27" i="5"/>
  <c r="AB27" i="5"/>
  <c r="AA27" i="5"/>
  <c r="Z27" i="5"/>
  <c r="Y27" i="5"/>
  <c r="X27" i="5"/>
  <c r="W27" i="5"/>
  <c r="AO26" i="5"/>
  <c r="AN26" i="5"/>
  <c r="AM26" i="5"/>
  <c r="AL26" i="5"/>
  <c r="AK26" i="5"/>
  <c r="AJ26" i="5"/>
  <c r="AI26" i="5"/>
  <c r="AH26" i="5"/>
  <c r="AG26" i="5"/>
  <c r="AF26" i="5"/>
  <c r="AE26" i="5"/>
  <c r="AD26" i="5"/>
  <c r="AC26" i="5"/>
  <c r="AB26" i="5"/>
  <c r="AA26" i="5"/>
  <c r="Z26" i="5"/>
  <c r="Y26" i="5"/>
  <c r="X26" i="5"/>
  <c r="W26" i="5"/>
  <c r="AO25" i="5"/>
  <c r="AN25" i="5"/>
  <c r="AM25" i="5"/>
  <c r="AL25" i="5"/>
  <c r="AK25" i="5"/>
  <c r="AJ25" i="5"/>
  <c r="AH25" i="5"/>
  <c r="AG25" i="5"/>
  <c r="AF25" i="5"/>
  <c r="AE25" i="5"/>
  <c r="AD25" i="5"/>
  <c r="AC25" i="5"/>
  <c r="AB25" i="5"/>
  <c r="AA25" i="5"/>
  <c r="Z25" i="5"/>
  <c r="Y25" i="5"/>
  <c r="X25" i="5"/>
  <c r="W25" i="5"/>
  <c r="AN24" i="5"/>
  <c r="AM24" i="5"/>
  <c r="AL24" i="5"/>
  <c r="AI24" i="5"/>
  <c r="AH24" i="5"/>
  <c r="AG24" i="5"/>
  <c r="AF24" i="5"/>
  <c r="AD24" i="5"/>
  <c r="AC24" i="5"/>
  <c r="AB24" i="5"/>
  <c r="AA24" i="5"/>
  <c r="Y24" i="5"/>
  <c r="X24" i="5"/>
  <c r="W24" i="5"/>
  <c r="AI23" i="5"/>
  <c r="Z23" i="5"/>
  <c r="W23" i="5"/>
  <c r="AO22" i="5"/>
  <c r="AN22" i="5"/>
  <c r="AK22" i="5"/>
  <c r="AJ22" i="5"/>
  <c r="AI22" i="5"/>
  <c r="AH22" i="5"/>
  <c r="AF22" i="5"/>
  <c r="Z22" i="5"/>
  <c r="W22" i="5"/>
  <c r="AO21" i="5"/>
  <c r="AN21" i="5"/>
  <c r="AL21" i="5"/>
  <c r="AK21" i="5"/>
  <c r="AJ21" i="5"/>
  <c r="AI21" i="5"/>
  <c r="AG21" i="5"/>
  <c r="AF21" i="5"/>
  <c r="AE21" i="5"/>
  <c r="AD21" i="5"/>
  <c r="AC21" i="5"/>
  <c r="AA21" i="5"/>
  <c r="Z21" i="5"/>
  <c r="Y21" i="5"/>
  <c r="X21" i="5"/>
  <c r="W21" i="5"/>
  <c r="AO20" i="5"/>
  <c r="AN20" i="5"/>
  <c r="AL20" i="5"/>
  <c r="AK20" i="5"/>
  <c r="AJ20" i="5"/>
  <c r="AI20" i="5"/>
  <c r="AG20" i="5"/>
  <c r="AF20" i="5"/>
  <c r="AE20" i="5"/>
  <c r="AD20" i="5"/>
  <c r="AC20" i="5"/>
  <c r="AA20" i="5"/>
  <c r="Z20" i="5"/>
  <c r="Y20" i="5"/>
  <c r="X20" i="5"/>
  <c r="W20" i="5"/>
  <c r="AO19" i="5"/>
  <c r="AN19" i="5"/>
  <c r="AM19" i="5"/>
  <c r="AL19" i="5"/>
  <c r="AK19" i="5"/>
  <c r="AJ19" i="5"/>
  <c r="AI19" i="5"/>
  <c r="AH19" i="5"/>
  <c r="AG19" i="5"/>
  <c r="AF19" i="5"/>
  <c r="AE19" i="5"/>
  <c r="AD19" i="5"/>
  <c r="AC19" i="5"/>
  <c r="AB19" i="5"/>
  <c r="AA19" i="5"/>
  <c r="Z19" i="5"/>
  <c r="Y19" i="5"/>
  <c r="X19" i="5"/>
  <c r="W19" i="5"/>
  <c r="AO18" i="5"/>
  <c r="AN18" i="5"/>
  <c r="AM18" i="5"/>
  <c r="AL18" i="5"/>
  <c r="AK18" i="5"/>
  <c r="AJ18" i="5"/>
  <c r="AH18" i="5"/>
  <c r="AG18" i="5"/>
  <c r="AF18" i="5"/>
  <c r="AE18" i="5"/>
  <c r="AD18" i="5"/>
  <c r="AA18" i="5"/>
  <c r="Z18" i="5"/>
  <c r="Y18" i="5"/>
  <c r="X18" i="5"/>
  <c r="W18" i="5"/>
  <c r="AO17" i="5"/>
  <c r="AN17" i="5"/>
  <c r="AL17" i="5"/>
  <c r="AK17" i="5"/>
  <c r="AJ17" i="5"/>
  <c r="AI17" i="5"/>
  <c r="AH17" i="5"/>
  <c r="AG17" i="5"/>
  <c r="AF17" i="5"/>
  <c r="AE17" i="5"/>
  <c r="AD17" i="5"/>
  <c r="AC17" i="5"/>
  <c r="AB17" i="5"/>
  <c r="AA17" i="5"/>
  <c r="Z17" i="5"/>
  <c r="X17" i="5"/>
  <c r="W17" i="5"/>
  <c r="AM16" i="5"/>
  <c r="AL16" i="5"/>
  <c r="AI16" i="5"/>
  <c r="AH16" i="5"/>
  <c r="AG16" i="5"/>
  <c r="AD16" i="5"/>
  <c r="AC16" i="5"/>
  <c r="AB16" i="5"/>
  <c r="AA16" i="5"/>
  <c r="Z16" i="5"/>
  <c r="Y16" i="5"/>
  <c r="X16" i="5"/>
  <c r="W16" i="5"/>
  <c r="AM15" i="5"/>
  <c r="AL15" i="5"/>
  <c r="AI15" i="5"/>
  <c r="AH15" i="5"/>
  <c r="AG15" i="5"/>
  <c r="AD15" i="5"/>
  <c r="AC15" i="5"/>
  <c r="AB15" i="5"/>
  <c r="AA15" i="5"/>
  <c r="Z15" i="5"/>
  <c r="Y15" i="5"/>
  <c r="X15" i="5"/>
  <c r="W15" i="5"/>
  <c r="AO14" i="5"/>
  <c r="AN14" i="5"/>
  <c r="AM14" i="5"/>
  <c r="AL14" i="5"/>
  <c r="AK14" i="5"/>
  <c r="AJ14" i="5"/>
  <c r="AI14" i="5"/>
  <c r="AH14" i="5"/>
  <c r="AG14" i="5"/>
  <c r="AF14" i="5"/>
  <c r="AE14" i="5"/>
  <c r="AD14" i="5"/>
  <c r="AC14" i="5"/>
  <c r="AB14" i="5"/>
  <c r="AA14" i="5"/>
  <c r="Z14" i="5"/>
  <c r="Y14" i="5"/>
  <c r="X14" i="5"/>
  <c r="W14" i="5"/>
  <c r="AO13" i="5"/>
  <c r="AN13" i="5"/>
  <c r="AM13" i="5"/>
  <c r="AL13" i="5"/>
  <c r="AK13" i="5"/>
  <c r="AJ13" i="5"/>
  <c r="AI13" i="5"/>
  <c r="AH13" i="5"/>
  <c r="AG13" i="5"/>
  <c r="AF13" i="5"/>
  <c r="AE13" i="5"/>
  <c r="AD13" i="5"/>
  <c r="AC13" i="5"/>
  <c r="AB13" i="5"/>
  <c r="AA13" i="5"/>
  <c r="Z13" i="5"/>
  <c r="Y13" i="5"/>
  <c r="X13" i="5"/>
  <c r="W13" i="5"/>
  <c r="AO12" i="5"/>
  <c r="AN12" i="5"/>
  <c r="AM12" i="5"/>
  <c r="AL12" i="5"/>
  <c r="AK12" i="5"/>
  <c r="AH12" i="5"/>
  <c r="AG12" i="5"/>
  <c r="AD12" i="5"/>
  <c r="AB12" i="5"/>
  <c r="AA12" i="5"/>
  <c r="Z12" i="5"/>
  <c r="Y12" i="5"/>
  <c r="W12" i="5"/>
  <c r="AM11" i="5"/>
  <c r="AL11" i="5"/>
  <c r="AI11" i="5"/>
  <c r="AH11" i="5"/>
  <c r="AG11" i="5"/>
  <c r="AF11" i="5"/>
  <c r="AE11" i="5"/>
  <c r="AD11" i="5"/>
  <c r="AC11" i="5"/>
  <c r="AB11" i="5"/>
  <c r="AA11" i="5"/>
  <c r="Z11" i="5"/>
  <c r="Y11" i="5"/>
  <c r="X11" i="5"/>
  <c r="W11" i="5"/>
  <c r="AO10" i="5"/>
  <c r="AN10" i="5"/>
  <c r="AM10" i="5"/>
  <c r="AL10" i="5"/>
  <c r="AK10" i="5"/>
  <c r="AJ10" i="5"/>
  <c r="AI10" i="5"/>
  <c r="AH10" i="5"/>
  <c r="AG10" i="5"/>
  <c r="AF10" i="5"/>
  <c r="AE10" i="5"/>
  <c r="AD10" i="5"/>
  <c r="AC10" i="5"/>
  <c r="AB10" i="5"/>
  <c r="AA10" i="5"/>
  <c r="Z10" i="5"/>
  <c r="Y10" i="5"/>
  <c r="X10" i="5"/>
  <c r="W10" i="5"/>
  <c r="AO9" i="5"/>
  <c r="AN9" i="5"/>
  <c r="AM9" i="5"/>
  <c r="AL9" i="5"/>
  <c r="AK9" i="5"/>
  <c r="AJ9" i="5"/>
  <c r="AI9" i="5"/>
  <c r="AH9" i="5"/>
  <c r="AG9" i="5"/>
  <c r="AF9" i="5"/>
  <c r="AE9" i="5"/>
  <c r="AD9" i="5"/>
  <c r="AC9" i="5"/>
  <c r="AB9" i="5"/>
  <c r="AA9" i="5"/>
  <c r="Z9" i="5"/>
  <c r="Y9" i="5"/>
  <c r="X9" i="5"/>
  <c r="W9" i="5"/>
  <c r="AO8" i="5"/>
  <c r="AN8" i="5"/>
  <c r="AM8" i="5"/>
  <c r="AL8" i="5"/>
  <c r="AK8" i="5"/>
  <c r="AJ8" i="5"/>
  <c r="AH8" i="5"/>
  <c r="AG8" i="5"/>
  <c r="AF8" i="5"/>
  <c r="AE8" i="5"/>
  <c r="AD8" i="5"/>
  <c r="AC8" i="5"/>
  <c r="AB8" i="5"/>
  <c r="AA8" i="5"/>
  <c r="Z8" i="5"/>
  <c r="W8" i="5"/>
  <c r="AO7" i="5"/>
  <c r="AN7" i="5"/>
  <c r="AM7" i="5"/>
  <c r="AL7" i="5"/>
  <c r="AK7" i="5"/>
  <c r="AJ7" i="5"/>
  <c r="AI7" i="5"/>
  <c r="AH7" i="5"/>
  <c r="AG7" i="5"/>
  <c r="AF7" i="5"/>
  <c r="AE7" i="5"/>
  <c r="AD7" i="5"/>
  <c r="AC7" i="5"/>
  <c r="AB7" i="5"/>
  <c r="AA7" i="5"/>
  <c r="Z7" i="5"/>
  <c r="Y7" i="5"/>
  <c r="X7" i="5"/>
  <c r="W7" i="5"/>
  <c r="AO6" i="5"/>
  <c r="AN6" i="5"/>
  <c r="AM6" i="5"/>
  <c r="AL6" i="5"/>
  <c r="AK6" i="5"/>
  <c r="AJ6" i="5"/>
  <c r="AI6" i="5"/>
  <c r="AH6" i="5"/>
  <c r="AG6" i="5"/>
  <c r="AF6" i="5"/>
  <c r="AE6" i="5"/>
  <c r="AD6" i="5"/>
  <c r="AC6" i="5"/>
  <c r="AB6" i="5"/>
  <c r="AA6" i="5"/>
  <c r="Z6" i="5"/>
  <c r="Y6" i="5"/>
  <c r="X6" i="5"/>
  <c r="W6" i="5"/>
  <c r="AN5" i="5"/>
  <c r="AM5" i="5"/>
  <c r="AL5" i="5"/>
  <c r="AK5" i="5"/>
  <c r="AJ5" i="5"/>
  <c r="AI5" i="5"/>
  <c r="AG5" i="5"/>
  <c r="AE5" i="5"/>
  <c r="AD5" i="5"/>
  <c r="AB5" i="5"/>
  <c r="AA5" i="5"/>
  <c r="Z5" i="5"/>
  <c r="AO4" i="5"/>
  <c r="AO78" i="5" s="1"/>
  <c r="AN4" i="5"/>
  <c r="AM4" i="5"/>
  <c r="AM78" i="5" s="1"/>
  <c r="AM80" i="5" s="1"/>
  <c r="AL4" i="5"/>
  <c r="AK4" i="5"/>
  <c r="AJ4" i="5"/>
  <c r="AI4" i="5"/>
  <c r="AI78" i="5" s="1"/>
  <c r="AH4" i="5"/>
  <c r="AG4" i="5"/>
  <c r="AF4" i="5"/>
  <c r="AE4" i="5"/>
  <c r="AE78" i="5" s="1"/>
  <c r="AE80" i="5" s="1"/>
  <c r="AD4" i="5"/>
  <c r="AC4" i="5"/>
  <c r="AB4" i="5"/>
  <c r="AA4" i="5"/>
  <c r="Z4" i="5"/>
  <c r="Y4" i="5"/>
  <c r="X4" i="5"/>
  <c r="W4" i="5"/>
  <c r="W78" i="5" s="1"/>
  <c r="W80" i="5" s="1"/>
  <c r="AO3" i="5"/>
  <c r="AN3" i="5"/>
  <c r="AM3" i="5"/>
  <c r="AL3" i="5"/>
  <c r="AK3" i="5"/>
  <c r="AJ3" i="5"/>
  <c r="AH3" i="5"/>
  <c r="AG3" i="5"/>
  <c r="AG78" i="5" s="1"/>
  <c r="AG80" i="5" s="1"/>
  <c r="AF3" i="5"/>
  <c r="AE3" i="5"/>
  <c r="AD3" i="5"/>
  <c r="AC3" i="5"/>
  <c r="AB3" i="5"/>
  <c r="AA3" i="5"/>
  <c r="Z3" i="5"/>
  <c r="Y3" i="5"/>
  <c r="Y78" i="5" s="1"/>
  <c r="Y80" i="5" s="1"/>
  <c r="X3" i="5"/>
  <c r="W3" i="5"/>
  <c r="AO2" i="5"/>
  <c r="AN2" i="5"/>
  <c r="AN78" i="5" s="1"/>
  <c r="AM2" i="5"/>
  <c r="AL2" i="5"/>
  <c r="AL78" i="5" s="1"/>
  <c r="AL80" i="5" s="1"/>
  <c r="AK2" i="5"/>
  <c r="AK78" i="5" s="1"/>
  <c r="AK80" i="5" s="1"/>
  <c r="AJ2" i="5"/>
  <c r="AJ78" i="5" s="1"/>
  <c r="AJ80" i="5" s="1"/>
  <c r="AH2" i="5"/>
  <c r="AH78" i="5" s="1"/>
  <c r="AG2" i="5"/>
  <c r="AF2" i="5"/>
  <c r="AF78" i="5" s="1"/>
  <c r="AF80" i="5" s="1"/>
  <c r="AE2" i="5"/>
  <c r="AD2" i="5"/>
  <c r="AD78" i="5" s="1"/>
  <c r="AD80" i="5" s="1"/>
  <c r="AC2" i="5"/>
  <c r="AC78" i="5" s="1"/>
  <c r="AC80" i="5" s="1"/>
  <c r="AB2" i="5"/>
  <c r="AB78" i="5" s="1"/>
  <c r="AB80" i="5" s="1"/>
  <c r="AA2" i="5"/>
  <c r="AA78" i="5" s="1"/>
  <c r="AA80" i="5" s="1"/>
  <c r="Z2" i="5"/>
  <c r="Z78" i="5" s="1"/>
  <c r="Z80" i="5" s="1"/>
  <c r="Y2" i="5"/>
  <c r="X2" i="5"/>
  <c r="X78" i="5" s="1"/>
  <c r="X80" i="5" s="1"/>
  <c r="W2" i="5"/>
  <c r="AO77" i="4"/>
  <c r="AN77" i="4"/>
  <c r="AM77" i="4"/>
  <c r="AK77" i="4"/>
  <c r="AI77" i="4"/>
  <c r="AH77" i="4"/>
  <c r="W77" i="4"/>
  <c r="N75" i="4"/>
  <c r="AO74" i="4"/>
  <c r="AN74" i="4"/>
  <c r="AM74" i="4"/>
  <c r="AL74" i="4"/>
  <c r="AK74" i="4"/>
  <c r="AI74" i="4"/>
  <c r="AH74" i="4"/>
  <c r="AG74" i="4"/>
  <c r="AF74" i="4"/>
  <c r="AD74" i="4"/>
  <c r="AC74" i="4"/>
  <c r="AB74" i="4"/>
  <c r="AA74" i="4"/>
  <c r="Z74" i="4"/>
  <c r="Y74" i="4"/>
  <c r="X74" i="4"/>
  <c r="W74" i="4"/>
  <c r="AO73" i="4"/>
  <c r="AN73" i="4"/>
  <c r="AK73" i="4"/>
  <c r="AJ73" i="4"/>
  <c r="AH73" i="4"/>
  <c r="AF73" i="4"/>
  <c r="AE73" i="4"/>
  <c r="AD73" i="4"/>
  <c r="AC73" i="4"/>
  <c r="Z73" i="4"/>
  <c r="W73" i="4"/>
  <c r="AO72" i="4"/>
  <c r="AN72" i="4"/>
  <c r="AM72" i="4"/>
  <c r="AK72" i="4"/>
  <c r="AJ72" i="4"/>
  <c r="AI72" i="4"/>
  <c r="AH72" i="4"/>
  <c r="AG72" i="4"/>
  <c r="AF72" i="4"/>
  <c r="AE72" i="4"/>
  <c r="AD72" i="4"/>
  <c r="AC72" i="4"/>
  <c r="AB72" i="4"/>
  <c r="AA72" i="4"/>
  <c r="Z72" i="4"/>
  <c r="Y72" i="4"/>
  <c r="X72" i="4"/>
  <c r="W72" i="4"/>
  <c r="AO71" i="4"/>
  <c r="AN71" i="4"/>
  <c r="AM71" i="4"/>
  <c r="AK71" i="4"/>
  <c r="AJ71" i="4"/>
  <c r="AF71" i="4"/>
  <c r="AE71" i="4"/>
  <c r="AD71" i="4"/>
  <c r="AC71" i="4"/>
  <c r="AA71" i="4"/>
  <c r="Z71" i="4"/>
  <c r="Y71" i="4"/>
  <c r="X71" i="4"/>
  <c r="AO70" i="4"/>
  <c r="AN70" i="4"/>
  <c r="AM70" i="4"/>
  <c r="AL70" i="4"/>
  <c r="AK70" i="4"/>
  <c r="AJ70" i="4"/>
  <c r="AI70" i="4"/>
  <c r="AH70" i="4"/>
  <c r="AG70" i="4"/>
  <c r="AF70" i="4"/>
  <c r="AE70" i="4"/>
  <c r="AD70" i="4"/>
  <c r="AC70" i="4"/>
  <c r="AB70" i="4"/>
  <c r="AA70" i="4"/>
  <c r="Z70" i="4"/>
  <c r="Y70" i="4"/>
  <c r="X70" i="4"/>
  <c r="W70" i="4"/>
  <c r="AO69" i="4"/>
  <c r="AN69" i="4"/>
  <c r="AM69" i="4"/>
  <c r="AL69" i="4"/>
  <c r="AK69" i="4"/>
  <c r="AJ69" i="4"/>
  <c r="AI69" i="4"/>
  <c r="AH69" i="4"/>
  <c r="AG69" i="4"/>
  <c r="AF69" i="4"/>
  <c r="AE69" i="4"/>
  <c r="AD69" i="4"/>
  <c r="AC69" i="4"/>
  <c r="AB69" i="4"/>
  <c r="AA69" i="4"/>
  <c r="Z69" i="4"/>
  <c r="Y69" i="4"/>
  <c r="X69" i="4"/>
  <c r="W69" i="4"/>
  <c r="AO68" i="4"/>
  <c r="AN68" i="4"/>
  <c r="AL68" i="4"/>
  <c r="AK68" i="4"/>
  <c r="AJ68" i="4"/>
  <c r="AF68" i="4"/>
  <c r="AE68" i="4"/>
  <c r="AD68" i="4"/>
  <c r="AA68" i="4"/>
  <c r="Z68" i="4"/>
  <c r="Y68" i="4"/>
  <c r="AO67" i="4"/>
  <c r="AN67" i="4"/>
  <c r="AK67" i="4"/>
  <c r="AJ67" i="4"/>
  <c r="AF67" i="4"/>
  <c r="AE67" i="4"/>
  <c r="AD67" i="4"/>
  <c r="AC67" i="4"/>
  <c r="Z67" i="4"/>
  <c r="Y67" i="4"/>
  <c r="X67" i="4"/>
  <c r="AO66" i="4"/>
  <c r="AN66" i="4"/>
  <c r="AL66" i="4"/>
  <c r="AK66" i="4"/>
  <c r="AJ66" i="4"/>
  <c r="AI66" i="4"/>
  <c r="AG66" i="4"/>
  <c r="AF66" i="4"/>
  <c r="AE66" i="4"/>
  <c r="AD66" i="4"/>
  <c r="AC66" i="4"/>
  <c r="AB66" i="4"/>
  <c r="AA66" i="4"/>
  <c r="Z66" i="4"/>
  <c r="Y66" i="4"/>
  <c r="X66" i="4"/>
  <c r="W66" i="4"/>
  <c r="AO65" i="4"/>
  <c r="AN65" i="4"/>
  <c r="AM65" i="4"/>
  <c r="AL65" i="4"/>
  <c r="AK65" i="4"/>
  <c r="AJ65" i="4"/>
  <c r="AI65" i="4"/>
  <c r="AH65" i="4"/>
  <c r="AG65" i="4"/>
  <c r="AF65" i="4"/>
  <c r="AE65" i="4"/>
  <c r="AD65" i="4"/>
  <c r="AA65" i="4"/>
  <c r="Z65" i="4"/>
  <c r="Y65" i="4"/>
  <c r="AO64" i="4"/>
  <c r="AN64" i="4"/>
  <c r="AK64" i="4"/>
  <c r="AJ64" i="4"/>
  <c r="AF64" i="4"/>
  <c r="AE64" i="4"/>
  <c r="AC64" i="4"/>
  <c r="AA64" i="4"/>
  <c r="Z64" i="4"/>
  <c r="X64" i="4"/>
  <c r="AO63" i="4"/>
  <c r="AN63" i="4"/>
  <c r="AM63" i="4"/>
  <c r="AL63" i="4"/>
  <c r="AK63" i="4"/>
  <c r="AJ63" i="4"/>
  <c r="AI63" i="4"/>
  <c r="AH63" i="4"/>
  <c r="AG63" i="4"/>
  <c r="AD63" i="4"/>
  <c r="AC63" i="4"/>
  <c r="AB63" i="4"/>
  <c r="AA63" i="4"/>
  <c r="Y63" i="4"/>
  <c r="X63" i="4"/>
  <c r="W63" i="4"/>
  <c r="AO62" i="4"/>
  <c r="AN62" i="4"/>
  <c r="AK62" i="4"/>
  <c r="AJ62" i="4"/>
  <c r="AF62" i="4"/>
  <c r="AE62" i="4"/>
  <c r="AD62" i="4"/>
  <c r="AA62" i="4"/>
  <c r="Z62" i="4"/>
  <c r="X62" i="4"/>
  <c r="AO61" i="4"/>
  <c r="AM61" i="4"/>
  <c r="AL61" i="4"/>
  <c r="AI61" i="4"/>
  <c r="AH61" i="4"/>
  <c r="AG61" i="4"/>
  <c r="AD61" i="4"/>
  <c r="AC61" i="4"/>
  <c r="AB61" i="4"/>
  <c r="AA61" i="4"/>
  <c r="Z61" i="4"/>
  <c r="Y61" i="4"/>
  <c r="X61" i="4"/>
  <c r="W61" i="4"/>
  <c r="AO60" i="4"/>
  <c r="AN60" i="4"/>
  <c r="AM60" i="4"/>
  <c r="AK60" i="4"/>
  <c r="AJ60" i="4"/>
  <c r="AH60" i="4"/>
  <c r="AG60" i="4"/>
  <c r="AF60" i="4"/>
  <c r="AE60" i="4"/>
  <c r="AD60" i="4"/>
  <c r="AC60" i="4"/>
  <c r="AB60" i="4"/>
  <c r="AA60" i="4"/>
  <c r="Z60" i="4"/>
  <c r="X60" i="4"/>
  <c r="W60" i="4"/>
  <c r="AM59" i="4"/>
  <c r="AL59" i="4"/>
  <c r="AH59" i="4"/>
  <c r="AG59" i="4"/>
  <c r="AD59" i="4"/>
  <c r="AC59" i="4"/>
  <c r="AB59" i="4"/>
  <c r="AA59" i="4"/>
  <c r="Z59" i="4"/>
  <c r="X59" i="4"/>
  <c r="W59" i="4"/>
  <c r="AO58" i="4"/>
  <c r="AM58" i="4"/>
  <c r="AL58" i="4"/>
  <c r="AI58" i="4"/>
  <c r="AH58" i="4"/>
  <c r="AG58" i="4"/>
  <c r="AD58" i="4"/>
  <c r="AC58" i="4"/>
  <c r="AB58" i="4"/>
  <c r="AA58" i="4"/>
  <c r="Z58" i="4"/>
  <c r="Y58" i="4"/>
  <c r="X58" i="4"/>
  <c r="W58" i="4"/>
  <c r="AO57" i="4"/>
  <c r="AM57" i="4"/>
  <c r="AL57" i="4"/>
  <c r="AI57" i="4"/>
  <c r="AH57" i="4"/>
  <c r="AG57" i="4"/>
  <c r="AD57" i="4"/>
  <c r="AC57" i="4"/>
  <c r="AB57" i="4"/>
  <c r="AA57" i="4"/>
  <c r="Z57" i="4"/>
  <c r="Y57" i="4"/>
  <c r="X57" i="4"/>
  <c r="W57" i="4"/>
  <c r="AO56" i="4"/>
  <c r="AN56" i="4"/>
  <c r="AK56" i="4"/>
  <c r="AJ56" i="4"/>
  <c r="AF56" i="4"/>
  <c r="AE56" i="4"/>
  <c r="AD56" i="4"/>
  <c r="Z56" i="4"/>
  <c r="Y56" i="4"/>
  <c r="X56" i="4"/>
  <c r="AO55" i="4"/>
  <c r="AN55" i="4"/>
  <c r="AM55" i="4"/>
  <c r="AL55" i="4"/>
  <c r="AK55" i="4"/>
  <c r="AJ55" i="4"/>
  <c r="AI55" i="4"/>
  <c r="AH55" i="4"/>
  <c r="AG55" i="4"/>
  <c r="AF55" i="4"/>
  <c r="AE55" i="4"/>
  <c r="AD55" i="4"/>
  <c r="AC55" i="4"/>
  <c r="AB55" i="4"/>
  <c r="AA55" i="4"/>
  <c r="Z55" i="4"/>
  <c r="Y55" i="4"/>
  <c r="X55" i="4"/>
  <c r="W55" i="4"/>
  <c r="AO54" i="4"/>
  <c r="AN54" i="4"/>
  <c r="AM54" i="4"/>
  <c r="AL54" i="4"/>
  <c r="AK54" i="4"/>
  <c r="AJ54" i="4"/>
  <c r="AI54" i="4"/>
  <c r="AH54" i="4"/>
  <c r="AG54" i="4"/>
  <c r="AF54" i="4"/>
  <c r="AE54" i="4"/>
  <c r="AD54" i="4"/>
  <c r="AC54" i="4"/>
  <c r="AB54" i="4"/>
  <c r="AA54" i="4"/>
  <c r="Z54" i="4"/>
  <c r="Y54" i="4"/>
  <c r="X54" i="4"/>
  <c r="W54" i="4"/>
  <c r="AO53" i="4"/>
  <c r="AM53" i="4"/>
  <c r="AL53" i="4"/>
  <c r="AI53" i="4"/>
  <c r="AH53" i="4"/>
  <c r="AG53" i="4"/>
  <c r="AC53" i="4"/>
  <c r="AB53" i="4"/>
  <c r="AA53" i="4"/>
  <c r="Z53" i="4"/>
  <c r="Y53" i="4"/>
  <c r="X53" i="4"/>
  <c r="W53" i="4"/>
  <c r="AM52" i="4"/>
  <c r="AL52" i="4"/>
  <c r="AI52" i="4"/>
  <c r="AH52" i="4"/>
  <c r="AG52" i="4"/>
  <c r="AF52" i="4"/>
  <c r="AD52" i="4"/>
  <c r="AC52" i="4"/>
  <c r="AB52" i="4"/>
  <c r="AA52" i="4"/>
  <c r="Z52" i="4"/>
  <c r="Y52" i="4"/>
  <c r="X52" i="4"/>
  <c r="W52" i="4"/>
  <c r="AN51" i="4"/>
  <c r="AM51" i="4"/>
  <c r="AL51" i="4"/>
  <c r="AJ51" i="4"/>
  <c r="AI51" i="4"/>
  <c r="AH51" i="4"/>
  <c r="AG51" i="4"/>
  <c r="AD51" i="4"/>
  <c r="AC51" i="4"/>
  <c r="AB51" i="4"/>
  <c r="AA51" i="4"/>
  <c r="Z51" i="4"/>
  <c r="Y51" i="4"/>
  <c r="X51" i="4"/>
  <c r="W51" i="4"/>
  <c r="AN50" i="4"/>
  <c r="AM50" i="4"/>
  <c r="AL50" i="4"/>
  <c r="AK50" i="4"/>
  <c r="AJ50" i="4"/>
  <c r="AI50" i="4"/>
  <c r="AH50" i="4"/>
  <c r="AG50" i="4"/>
  <c r="AD50" i="4"/>
  <c r="AC50" i="4"/>
  <c r="AB50" i="4"/>
  <c r="AA50" i="4"/>
  <c r="Z50" i="4"/>
  <c r="Y50" i="4"/>
  <c r="X50" i="4"/>
  <c r="W50" i="4"/>
  <c r="AO49" i="4"/>
  <c r="AN49" i="4"/>
  <c r="AM49" i="4"/>
  <c r="AL49" i="4"/>
  <c r="AK49" i="4"/>
  <c r="AJ49" i="4"/>
  <c r="AI49" i="4"/>
  <c r="AH49" i="4"/>
  <c r="AG49" i="4"/>
  <c r="AF49" i="4"/>
  <c r="AE49" i="4"/>
  <c r="AD49" i="4"/>
  <c r="AA49" i="4"/>
  <c r="Z49" i="4"/>
  <c r="Y49" i="4"/>
  <c r="W49" i="4"/>
  <c r="AO48" i="4"/>
  <c r="AN48" i="4"/>
  <c r="AM48" i="4"/>
  <c r="AL48" i="4"/>
  <c r="AK48" i="4"/>
  <c r="AJ48" i="4"/>
  <c r="AI48" i="4"/>
  <c r="AH48" i="4"/>
  <c r="AG48" i="4"/>
  <c r="AF48" i="4"/>
  <c r="AE48" i="4"/>
  <c r="AD48" i="4"/>
  <c r="AC48" i="4"/>
  <c r="AB48" i="4"/>
  <c r="AA48" i="4"/>
  <c r="Z48" i="4"/>
  <c r="Y48" i="4"/>
  <c r="X48" i="4"/>
  <c r="W48" i="4"/>
  <c r="AO47" i="4"/>
  <c r="AN47" i="4"/>
  <c r="AK47" i="4"/>
  <c r="AH47" i="4"/>
  <c r="AF47" i="4"/>
  <c r="AE47" i="4"/>
  <c r="Y47" i="4"/>
  <c r="AO46" i="4"/>
  <c r="AN46" i="4"/>
  <c r="AK46" i="4"/>
  <c r="AJ46" i="4"/>
  <c r="AF46" i="4"/>
  <c r="AE46" i="4"/>
  <c r="AD46" i="4"/>
  <c r="AC46" i="4"/>
  <c r="Z46" i="4"/>
  <c r="Y46" i="4"/>
  <c r="W46" i="4"/>
  <c r="AO45" i="4"/>
  <c r="AN45" i="4"/>
  <c r="AK45" i="4"/>
  <c r="AJ45" i="4"/>
  <c r="AF45" i="4"/>
  <c r="AE45" i="4"/>
  <c r="AD45" i="4"/>
  <c r="AC45" i="4"/>
  <c r="AA45" i="4"/>
  <c r="Z45" i="4"/>
  <c r="X45" i="4"/>
  <c r="W45" i="4"/>
  <c r="AO44" i="4"/>
  <c r="AN44" i="4"/>
  <c r="AM44" i="4"/>
  <c r="AL44" i="4"/>
  <c r="AK44" i="4"/>
  <c r="AJ44" i="4"/>
  <c r="AI44" i="4"/>
  <c r="AH44" i="4"/>
  <c r="AG44" i="4"/>
  <c r="AF44" i="4"/>
  <c r="AE44" i="4"/>
  <c r="AD44" i="4"/>
  <c r="AC44" i="4"/>
  <c r="AB44" i="4"/>
  <c r="AA44" i="4"/>
  <c r="Z44" i="4"/>
  <c r="Y44" i="4"/>
  <c r="X44" i="4"/>
  <c r="W44" i="4"/>
  <c r="AO43" i="4"/>
  <c r="AN43" i="4"/>
  <c r="AK43" i="4"/>
  <c r="AJ43" i="4"/>
  <c r="AF43" i="4"/>
  <c r="AE43" i="4"/>
  <c r="AB43" i="4"/>
  <c r="Z43" i="4"/>
  <c r="Y43" i="4"/>
  <c r="AO42" i="4"/>
  <c r="AN42" i="4"/>
  <c r="AM42" i="4"/>
  <c r="AL42" i="4"/>
  <c r="AK42" i="4"/>
  <c r="AI42" i="4"/>
  <c r="AH42" i="4"/>
  <c r="AG42" i="4"/>
  <c r="AF42" i="4"/>
  <c r="AE42" i="4"/>
  <c r="AD42" i="4"/>
  <c r="AC42" i="4"/>
  <c r="AA42" i="4"/>
  <c r="Z42" i="4"/>
  <c r="Y42" i="4"/>
  <c r="X42" i="4"/>
  <c r="W42" i="4"/>
  <c r="AO41" i="4"/>
  <c r="AN41" i="4"/>
  <c r="AM41" i="4"/>
  <c r="AL41" i="4"/>
  <c r="AK41" i="4"/>
  <c r="AJ41" i="4"/>
  <c r="AH41" i="4"/>
  <c r="AG41" i="4"/>
  <c r="AF41" i="4"/>
  <c r="AE41" i="4"/>
  <c r="AD41" i="4"/>
  <c r="AC41" i="4"/>
  <c r="AB41" i="4"/>
  <c r="AA41" i="4"/>
  <c r="Z41" i="4"/>
  <c r="Y41" i="4"/>
  <c r="X41" i="4"/>
  <c r="W41" i="4"/>
  <c r="AN40" i="4"/>
  <c r="AM40" i="4"/>
  <c r="AL40" i="4"/>
  <c r="AK40" i="4"/>
  <c r="AI40" i="4"/>
  <c r="AH40" i="4"/>
  <c r="AG40" i="4"/>
  <c r="AF40" i="4"/>
  <c r="AE40" i="4"/>
  <c r="AD40" i="4"/>
  <c r="AC40" i="4"/>
  <c r="AB40" i="4"/>
  <c r="AA40" i="4"/>
  <c r="Z40" i="4"/>
  <c r="X40" i="4"/>
  <c r="W40" i="4"/>
  <c r="AO39" i="4"/>
  <c r="AN39" i="4"/>
  <c r="AM39" i="4"/>
  <c r="AL39" i="4"/>
  <c r="AJ39" i="4"/>
  <c r="AI39" i="4"/>
  <c r="AH39" i="4"/>
  <c r="AG39" i="4"/>
  <c r="AF39" i="4"/>
  <c r="AE39" i="4"/>
  <c r="AD39" i="4"/>
  <c r="AC39" i="4"/>
  <c r="AB39" i="4"/>
  <c r="AA39" i="4"/>
  <c r="Z39" i="4"/>
  <c r="Y39" i="4"/>
  <c r="X39" i="4"/>
  <c r="W39" i="4"/>
  <c r="AO38" i="4"/>
  <c r="AN38" i="4"/>
  <c r="AM38" i="4"/>
  <c r="AL38" i="4"/>
  <c r="AK38" i="4"/>
  <c r="AJ38" i="4"/>
  <c r="AI38" i="4"/>
  <c r="AF38" i="4"/>
  <c r="AE38" i="4"/>
  <c r="AD38" i="4"/>
  <c r="AC38" i="4"/>
  <c r="Z38" i="4"/>
  <c r="Y38" i="4"/>
  <c r="W38" i="4"/>
  <c r="AO37" i="4"/>
  <c r="AN37" i="4"/>
  <c r="AM37" i="4"/>
  <c r="AL37" i="4"/>
  <c r="AK37" i="4"/>
  <c r="AJ37" i="4"/>
  <c r="AI37" i="4"/>
  <c r="AF37" i="4"/>
  <c r="AE37" i="4"/>
  <c r="AD37" i="4"/>
  <c r="AC37" i="4"/>
  <c r="Z37" i="4"/>
  <c r="Y37" i="4"/>
  <c r="W37" i="4"/>
  <c r="AH36" i="4"/>
  <c r="AF36" i="4"/>
  <c r="AC36" i="4"/>
  <c r="Z36" i="4"/>
  <c r="AO35" i="4"/>
  <c r="AN35" i="4"/>
  <c r="AM35" i="4"/>
  <c r="AL35" i="4"/>
  <c r="AK35" i="4"/>
  <c r="AJ35" i="4"/>
  <c r="AI35" i="4"/>
  <c r="AH35" i="4"/>
  <c r="AG35" i="4"/>
  <c r="AF35" i="4"/>
  <c r="AE35" i="4"/>
  <c r="AD35" i="4"/>
  <c r="AC35" i="4"/>
  <c r="AB35" i="4"/>
  <c r="AA35" i="4"/>
  <c r="Z35" i="4"/>
  <c r="Y35" i="4"/>
  <c r="X35" i="4"/>
  <c r="W35" i="4"/>
  <c r="AO34" i="4"/>
  <c r="AN34" i="4"/>
  <c r="AM34" i="4"/>
  <c r="AL34" i="4"/>
  <c r="AK34" i="4"/>
  <c r="AJ34" i="4"/>
  <c r="AI34" i="4"/>
  <c r="AH34" i="4"/>
  <c r="AG34" i="4"/>
  <c r="AF34" i="4"/>
  <c r="AE34" i="4"/>
  <c r="AD34" i="4"/>
  <c r="AC34" i="4"/>
  <c r="AB34" i="4"/>
  <c r="AA34" i="4"/>
  <c r="Z34" i="4"/>
  <c r="Y34" i="4"/>
  <c r="X34" i="4"/>
  <c r="W34" i="4"/>
  <c r="AO33" i="4"/>
  <c r="AN33" i="4"/>
  <c r="AK33" i="4"/>
  <c r="AJ33" i="4"/>
  <c r="AF33" i="4"/>
  <c r="AE33" i="4"/>
  <c r="AD33" i="4"/>
  <c r="Z33" i="4"/>
  <c r="Y33" i="4"/>
  <c r="AO32" i="4"/>
  <c r="AN32" i="4"/>
  <c r="AK32" i="4"/>
  <c r="AJ32" i="4"/>
  <c r="AF32" i="4"/>
  <c r="AE32" i="4"/>
  <c r="AD32" i="4"/>
  <c r="Z32" i="4"/>
  <c r="Y32" i="4"/>
  <c r="AO31" i="4"/>
  <c r="AN31" i="4"/>
  <c r="AK31" i="4"/>
  <c r="AJ31" i="4"/>
  <c r="AF31" i="4"/>
  <c r="AE31" i="4"/>
  <c r="AD31" i="4"/>
  <c r="AB31" i="4"/>
  <c r="Z31" i="4"/>
  <c r="Y31" i="4"/>
  <c r="AO30" i="4"/>
  <c r="AN30" i="4"/>
  <c r="AM30" i="4"/>
  <c r="AL30" i="4"/>
  <c r="AK30" i="4"/>
  <c r="AJ30" i="4"/>
  <c r="AI30" i="4"/>
  <c r="AH30" i="4"/>
  <c r="AG30" i="4"/>
  <c r="AF30" i="4"/>
  <c r="AE30" i="4"/>
  <c r="AD30" i="4"/>
  <c r="AB30" i="4"/>
  <c r="AA30" i="4"/>
  <c r="Z30" i="4"/>
  <c r="AO29" i="4"/>
  <c r="AN29" i="4"/>
  <c r="AL29" i="4"/>
  <c r="AK29" i="4"/>
  <c r="AJ29" i="4"/>
  <c r="AI29" i="4"/>
  <c r="AH29" i="4"/>
  <c r="AF29" i="4"/>
  <c r="AE29" i="4"/>
  <c r="AD29" i="4"/>
  <c r="AC29" i="4"/>
  <c r="AA29" i="4"/>
  <c r="Z29" i="4"/>
  <c r="Y29" i="4"/>
  <c r="X29" i="4"/>
  <c r="W29" i="4"/>
  <c r="AG28" i="4"/>
  <c r="AE28" i="4"/>
  <c r="AC28" i="4"/>
  <c r="AA28" i="4"/>
  <c r="X28" i="4"/>
  <c r="W28" i="4"/>
  <c r="AO27" i="4"/>
  <c r="AN27" i="4"/>
  <c r="AM27" i="4"/>
  <c r="AL27" i="4"/>
  <c r="AK27" i="4"/>
  <c r="AJ27" i="4"/>
  <c r="AI27" i="4"/>
  <c r="AH27" i="4"/>
  <c r="AF27" i="4"/>
  <c r="AE27" i="4"/>
  <c r="AD27" i="4"/>
  <c r="AC27" i="4"/>
  <c r="AB27" i="4"/>
  <c r="AA27" i="4"/>
  <c r="Z27" i="4"/>
  <c r="Y27" i="4"/>
  <c r="X27" i="4"/>
  <c r="W27" i="4"/>
  <c r="AO26" i="4"/>
  <c r="AN26" i="4"/>
  <c r="AM26" i="4"/>
  <c r="AL26" i="4"/>
  <c r="AK26" i="4"/>
  <c r="AJ26" i="4"/>
  <c r="AI26" i="4"/>
  <c r="AH26" i="4"/>
  <c r="AG26" i="4"/>
  <c r="AF26" i="4"/>
  <c r="AE26" i="4"/>
  <c r="AD26" i="4"/>
  <c r="AC26" i="4"/>
  <c r="AB26" i="4"/>
  <c r="AA26" i="4"/>
  <c r="Z26" i="4"/>
  <c r="Y26" i="4"/>
  <c r="X26" i="4"/>
  <c r="W26" i="4"/>
  <c r="AO25" i="4"/>
  <c r="AN25" i="4"/>
  <c r="AM25" i="4"/>
  <c r="AL25" i="4"/>
  <c r="AK25" i="4"/>
  <c r="AJ25" i="4"/>
  <c r="AH25" i="4"/>
  <c r="AG25" i="4"/>
  <c r="AF25" i="4"/>
  <c r="AE25" i="4"/>
  <c r="AD25" i="4"/>
  <c r="AA25" i="4"/>
  <c r="Z25" i="4"/>
  <c r="Y25" i="4"/>
  <c r="W25" i="4"/>
  <c r="AN24" i="4"/>
  <c r="AM24" i="4"/>
  <c r="AL24" i="4"/>
  <c r="AI24" i="4"/>
  <c r="AH24" i="4"/>
  <c r="AG24" i="4"/>
  <c r="AF24" i="4"/>
  <c r="AD24" i="4"/>
  <c r="AC24" i="4"/>
  <c r="AB24" i="4"/>
  <c r="AA24" i="4"/>
  <c r="Y24" i="4"/>
  <c r="X24" i="4"/>
  <c r="W24" i="4"/>
  <c r="AI23" i="4"/>
  <c r="AD23" i="4"/>
  <c r="Z23" i="4"/>
  <c r="W23" i="4"/>
  <c r="AO22" i="4"/>
  <c r="AN22" i="4"/>
  <c r="AK22" i="4"/>
  <c r="AJ22" i="4"/>
  <c r="AI22" i="4"/>
  <c r="AH22" i="4"/>
  <c r="AF22" i="4"/>
  <c r="AE22" i="4"/>
  <c r="AD22" i="4"/>
  <c r="AC22" i="4"/>
  <c r="Z22" i="4"/>
  <c r="W22" i="4"/>
  <c r="AO21" i="4"/>
  <c r="AN21" i="4"/>
  <c r="AL21" i="4"/>
  <c r="AK21" i="4"/>
  <c r="AJ21" i="4"/>
  <c r="AI21" i="4"/>
  <c r="AG21" i="4"/>
  <c r="AF21" i="4"/>
  <c r="AE21" i="4"/>
  <c r="AD21" i="4"/>
  <c r="AA21" i="4"/>
  <c r="Z21" i="4"/>
  <c r="Y21" i="4"/>
  <c r="W21" i="4"/>
  <c r="AO20" i="4"/>
  <c r="AN20" i="4"/>
  <c r="AL20" i="4"/>
  <c r="AK20" i="4"/>
  <c r="AJ20" i="4"/>
  <c r="AI20" i="4"/>
  <c r="AG20" i="4"/>
  <c r="AF20" i="4"/>
  <c r="AE20" i="4"/>
  <c r="AD20" i="4"/>
  <c r="AA20" i="4"/>
  <c r="Z20" i="4"/>
  <c r="Y20" i="4"/>
  <c r="W20" i="4"/>
  <c r="AO19" i="4"/>
  <c r="AN19" i="4"/>
  <c r="AM19" i="4"/>
  <c r="AL19" i="4"/>
  <c r="AK19" i="4"/>
  <c r="AJ19" i="4"/>
  <c r="AI19" i="4"/>
  <c r="AH19" i="4"/>
  <c r="AG19" i="4"/>
  <c r="AF19" i="4"/>
  <c r="AE19" i="4"/>
  <c r="AD19" i="4"/>
  <c r="AC19" i="4"/>
  <c r="AB19" i="4"/>
  <c r="AA19" i="4"/>
  <c r="Z19" i="4"/>
  <c r="Y19" i="4"/>
  <c r="X19" i="4"/>
  <c r="W19" i="4"/>
  <c r="AO18" i="4"/>
  <c r="AN18" i="4"/>
  <c r="AM18" i="4"/>
  <c r="AL18" i="4"/>
  <c r="AK18" i="4"/>
  <c r="AJ18" i="4"/>
  <c r="AH18" i="4"/>
  <c r="AG18" i="4"/>
  <c r="AF18" i="4"/>
  <c r="AE18" i="4"/>
  <c r="AD18" i="4"/>
  <c r="AA18" i="4"/>
  <c r="Z18" i="4"/>
  <c r="Y18" i="4"/>
  <c r="X18" i="4"/>
  <c r="W18" i="4"/>
  <c r="AO17" i="4"/>
  <c r="AN17" i="4"/>
  <c r="AL17" i="4"/>
  <c r="AK17" i="4"/>
  <c r="AJ17" i="4"/>
  <c r="AI17" i="4"/>
  <c r="AH17" i="4"/>
  <c r="AG17" i="4"/>
  <c r="AF17" i="4"/>
  <c r="AE17" i="4"/>
  <c r="AD17" i="4"/>
  <c r="AC17" i="4"/>
  <c r="AB17" i="4"/>
  <c r="AA17" i="4"/>
  <c r="Z17" i="4"/>
  <c r="W17" i="4"/>
  <c r="AM16" i="4"/>
  <c r="AL16" i="4"/>
  <c r="AI16" i="4"/>
  <c r="AH16" i="4"/>
  <c r="AG16" i="4"/>
  <c r="AF16" i="4"/>
  <c r="AD16" i="4"/>
  <c r="AC16" i="4"/>
  <c r="AB16" i="4"/>
  <c r="AA16" i="4"/>
  <c r="Z16" i="4"/>
  <c r="Y16" i="4"/>
  <c r="X16" i="4"/>
  <c r="W16" i="4"/>
  <c r="AM15" i="4"/>
  <c r="AL15" i="4"/>
  <c r="AI15" i="4"/>
  <c r="AH15" i="4"/>
  <c r="AG15" i="4"/>
  <c r="AF15" i="4"/>
  <c r="AD15" i="4"/>
  <c r="AC15" i="4"/>
  <c r="AB15" i="4"/>
  <c r="AA15" i="4"/>
  <c r="Z15" i="4"/>
  <c r="Y15" i="4"/>
  <c r="X15" i="4"/>
  <c r="W15" i="4"/>
  <c r="AO14" i="4"/>
  <c r="AN14" i="4"/>
  <c r="AM14" i="4"/>
  <c r="AL14" i="4"/>
  <c r="AK14" i="4"/>
  <c r="AJ14" i="4"/>
  <c r="AI14" i="4"/>
  <c r="AH14" i="4"/>
  <c r="AG14" i="4"/>
  <c r="AF14" i="4"/>
  <c r="AE14" i="4"/>
  <c r="AD14" i="4"/>
  <c r="AC14" i="4"/>
  <c r="AB14" i="4"/>
  <c r="AA14" i="4"/>
  <c r="Z14" i="4"/>
  <c r="Y14" i="4"/>
  <c r="X14" i="4"/>
  <c r="W14" i="4"/>
  <c r="AO13" i="4"/>
  <c r="AN13" i="4"/>
  <c r="AM13" i="4"/>
  <c r="AL13" i="4"/>
  <c r="AK13" i="4"/>
  <c r="AJ13" i="4"/>
  <c r="AI13" i="4"/>
  <c r="AH13" i="4"/>
  <c r="AG13" i="4"/>
  <c r="AF13" i="4"/>
  <c r="AE13" i="4"/>
  <c r="AD13" i="4"/>
  <c r="AC13" i="4"/>
  <c r="AB13" i="4"/>
  <c r="AA13" i="4"/>
  <c r="Z13" i="4"/>
  <c r="Y13" i="4"/>
  <c r="X13" i="4"/>
  <c r="W13" i="4"/>
  <c r="AO12" i="4"/>
  <c r="AN12" i="4"/>
  <c r="AM12" i="4"/>
  <c r="AL12" i="4"/>
  <c r="AK12" i="4"/>
  <c r="AH12" i="4"/>
  <c r="AG12" i="4"/>
  <c r="AD12" i="4"/>
  <c r="AC12" i="4"/>
  <c r="AB12" i="4"/>
  <c r="AA12" i="4"/>
  <c r="Z12" i="4"/>
  <c r="Y12" i="4"/>
  <c r="W12" i="4"/>
  <c r="AM11" i="4"/>
  <c r="AL11" i="4"/>
  <c r="AI11" i="4"/>
  <c r="AH11" i="4"/>
  <c r="AG11" i="4"/>
  <c r="AF11" i="4"/>
  <c r="AE11" i="4"/>
  <c r="AD11" i="4"/>
  <c r="AC11" i="4"/>
  <c r="AB11" i="4"/>
  <c r="AA11" i="4"/>
  <c r="Z11" i="4"/>
  <c r="Y11" i="4"/>
  <c r="X11" i="4"/>
  <c r="W11" i="4"/>
  <c r="AO10" i="4"/>
  <c r="AN10" i="4"/>
  <c r="AM10" i="4"/>
  <c r="AL10" i="4"/>
  <c r="AK10" i="4"/>
  <c r="AJ10" i="4"/>
  <c r="AI10" i="4"/>
  <c r="AH10" i="4"/>
  <c r="AG10" i="4"/>
  <c r="AF10" i="4"/>
  <c r="AE10" i="4"/>
  <c r="AD10" i="4"/>
  <c r="AC10" i="4"/>
  <c r="AB10" i="4"/>
  <c r="AA10" i="4"/>
  <c r="Z10" i="4"/>
  <c r="Y10" i="4"/>
  <c r="X10" i="4"/>
  <c r="W10" i="4"/>
  <c r="AO9" i="4"/>
  <c r="AN9" i="4"/>
  <c r="AM9" i="4"/>
  <c r="AL9" i="4"/>
  <c r="AK9" i="4"/>
  <c r="AJ9" i="4"/>
  <c r="AI9" i="4"/>
  <c r="AH9" i="4"/>
  <c r="AG9" i="4"/>
  <c r="AF9" i="4"/>
  <c r="AE9" i="4"/>
  <c r="AD9" i="4"/>
  <c r="AC9" i="4"/>
  <c r="AB9" i="4"/>
  <c r="AA9" i="4"/>
  <c r="Z9" i="4"/>
  <c r="Y9" i="4"/>
  <c r="X9" i="4"/>
  <c r="W9" i="4"/>
  <c r="AO8" i="4"/>
  <c r="AN8" i="4"/>
  <c r="AM8" i="4"/>
  <c r="AL8" i="4"/>
  <c r="AK8" i="4"/>
  <c r="AJ8" i="4"/>
  <c r="AH8" i="4"/>
  <c r="AG8" i="4"/>
  <c r="AF8" i="4"/>
  <c r="AE8" i="4"/>
  <c r="AD8" i="4"/>
  <c r="AC8" i="4"/>
  <c r="AB8" i="4"/>
  <c r="AA8" i="4"/>
  <c r="Z8" i="4"/>
  <c r="W8" i="4"/>
  <c r="AO7" i="4"/>
  <c r="AN7" i="4"/>
  <c r="AM7" i="4"/>
  <c r="AL7" i="4"/>
  <c r="AK7" i="4"/>
  <c r="AJ7" i="4"/>
  <c r="AI7" i="4"/>
  <c r="AH7" i="4"/>
  <c r="AG7" i="4"/>
  <c r="AF7" i="4"/>
  <c r="AE7" i="4"/>
  <c r="AD7" i="4"/>
  <c r="AC7" i="4"/>
  <c r="AB7" i="4"/>
  <c r="AA7" i="4"/>
  <c r="Z7" i="4"/>
  <c r="Y7" i="4"/>
  <c r="X7" i="4"/>
  <c r="W7" i="4"/>
  <c r="AO6" i="4"/>
  <c r="AO76" i="4" s="1"/>
  <c r="AO78" i="4" s="1"/>
  <c r="AN6" i="4"/>
  <c r="AM6" i="4"/>
  <c r="AL6" i="4"/>
  <c r="AK6" i="4"/>
  <c r="AJ6" i="4"/>
  <c r="AI6" i="4"/>
  <c r="AH6" i="4"/>
  <c r="AG6" i="4"/>
  <c r="AG76" i="4" s="1"/>
  <c r="AG78" i="4" s="1"/>
  <c r="AF6" i="4"/>
  <c r="AE6" i="4"/>
  <c r="AD6" i="4"/>
  <c r="AC6" i="4"/>
  <c r="AB6" i="4"/>
  <c r="AA6" i="4"/>
  <c r="AA76" i="4" s="1"/>
  <c r="AA78" i="4" s="1"/>
  <c r="Z6" i="4"/>
  <c r="Y6" i="4"/>
  <c r="Y76" i="4" s="1"/>
  <c r="Y78" i="4" s="1"/>
  <c r="X6" i="4"/>
  <c r="W6" i="4"/>
  <c r="AN5" i="4"/>
  <c r="AM5" i="4"/>
  <c r="AL5" i="4"/>
  <c r="AK5" i="4"/>
  <c r="AJ5" i="4"/>
  <c r="AI5" i="4"/>
  <c r="AI76" i="4" s="1"/>
  <c r="AG5" i="4"/>
  <c r="AE5" i="4"/>
  <c r="AD5" i="4"/>
  <c r="AB5" i="4"/>
  <c r="AA5" i="4"/>
  <c r="Z5" i="4"/>
  <c r="AO4" i="4"/>
  <c r="AN4" i="4"/>
  <c r="AM4" i="4"/>
  <c r="AL4" i="4"/>
  <c r="AK4" i="4"/>
  <c r="AJ4" i="4"/>
  <c r="AI4" i="4"/>
  <c r="AH4" i="4"/>
  <c r="AG4" i="4"/>
  <c r="AF4" i="4"/>
  <c r="AE4" i="4"/>
  <c r="AD4" i="4"/>
  <c r="AC4" i="4"/>
  <c r="AB4" i="4"/>
  <c r="AA4" i="4"/>
  <c r="Z4" i="4"/>
  <c r="Y4" i="4"/>
  <c r="X4" i="4"/>
  <c r="W4" i="4"/>
  <c r="AO3" i="4"/>
  <c r="AN3" i="4"/>
  <c r="AM3" i="4"/>
  <c r="AL3" i="4"/>
  <c r="AK3" i="4"/>
  <c r="AJ3" i="4"/>
  <c r="AH3" i="4"/>
  <c r="AG3" i="4"/>
  <c r="AF3" i="4"/>
  <c r="AE3" i="4"/>
  <c r="AD3" i="4"/>
  <c r="AC3" i="4"/>
  <c r="AB3" i="4"/>
  <c r="AA3" i="4"/>
  <c r="Z3" i="4"/>
  <c r="Y3" i="4"/>
  <c r="X3" i="4"/>
  <c r="W3" i="4"/>
  <c r="AO2" i="4"/>
  <c r="AN2" i="4"/>
  <c r="AN76" i="4" s="1"/>
  <c r="AN78" i="4" s="1"/>
  <c r="AM2" i="4"/>
  <c r="AM76" i="4" s="1"/>
  <c r="AM78" i="4" s="1"/>
  <c r="AL2" i="4"/>
  <c r="AL76" i="4" s="1"/>
  <c r="AL78" i="4" s="1"/>
  <c r="AK2" i="4"/>
  <c r="AK76" i="4" s="1"/>
  <c r="AJ2" i="4"/>
  <c r="AJ76" i="4" s="1"/>
  <c r="AJ78" i="4" s="1"/>
  <c r="AH2" i="4"/>
  <c r="AH76" i="4" s="1"/>
  <c r="AG2" i="4"/>
  <c r="AF2" i="4"/>
  <c r="AF76" i="4" s="1"/>
  <c r="AF78" i="4" s="1"/>
  <c r="AE2" i="4"/>
  <c r="AE76" i="4" s="1"/>
  <c r="AE78" i="4" s="1"/>
  <c r="AD2" i="4"/>
  <c r="AD76" i="4" s="1"/>
  <c r="AD78" i="4" s="1"/>
  <c r="AC2" i="4"/>
  <c r="AC76" i="4" s="1"/>
  <c r="AC78" i="4" s="1"/>
  <c r="AB2" i="4"/>
  <c r="AB76" i="4" s="1"/>
  <c r="AB78" i="4" s="1"/>
  <c r="AA2" i="4"/>
  <c r="Z2" i="4"/>
  <c r="Z76" i="4" s="1"/>
  <c r="Z78" i="4" s="1"/>
  <c r="Y2" i="4"/>
  <c r="X2" i="4"/>
  <c r="X76" i="4" s="1"/>
  <c r="X78" i="4" s="1"/>
  <c r="W2" i="4"/>
  <c r="W76" i="4" s="1"/>
  <c r="AO74" i="3"/>
  <c r="AN74" i="3"/>
  <c r="AM74" i="3"/>
  <c r="AL74" i="3"/>
  <c r="AK74" i="3"/>
  <c r="AI74" i="3"/>
  <c r="AH74" i="3"/>
  <c r="AG74" i="3"/>
  <c r="AF74" i="3"/>
  <c r="AD74" i="3"/>
  <c r="AC74" i="3"/>
  <c r="AB74" i="3"/>
  <c r="AA74" i="3"/>
  <c r="Z74" i="3"/>
  <c r="Y74" i="3"/>
  <c r="X74" i="3"/>
  <c r="W74" i="3"/>
  <c r="AO73" i="3"/>
  <c r="AN73" i="3"/>
  <c r="AK73" i="3"/>
  <c r="AJ73" i="3"/>
  <c r="AH73" i="3"/>
  <c r="AF73" i="3"/>
  <c r="AE73" i="3"/>
  <c r="AD73" i="3"/>
  <c r="AC73" i="3"/>
  <c r="Z73" i="3"/>
  <c r="W73" i="3"/>
  <c r="AO72" i="3"/>
  <c r="AN72" i="3"/>
  <c r="AM72" i="3"/>
  <c r="AK72" i="3"/>
  <c r="AJ72" i="3"/>
  <c r="AI72" i="3"/>
  <c r="AH72" i="3"/>
  <c r="AG72" i="3"/>
  <c r="AF72" i="3"/>
  <c r="AE72" i="3"/>
  <c r="AD72" i="3"/>
  <c r="AC72" i="3"/>
  <c r="AB72" i="3"/>
  <c r="AA72" i="3"/>
  <c r="Z72" i="3"/>
  <c r="Y72" i="3"/>
  <c r="X72" i="3"/>
  <c r="W72" i="3"/>
  <c r="AO71" i="3"/>
  <c r="AN71" i="3"/>
  <c r="AM71" i="3"/>
  <c r="AK71" i="3"/>
  <c r="AJ71" i="3"/>
  <c r="AF71" i="3"/>
  <c r="AE71" i="3"/>
  <c r="AD71" i="3"/>
  <c r="AC71" i="3"/>
  <c r="AA71" i="3"/>
  <c r="Z71" i="3"/>
  <c r="Y71" i="3"/>
  <c r="X71" i="3"/>
  <c r="AO70" i="3"/>
  <c r="AN70" i="3"/>
  <c r="AM70" i="3"/>
  <c r="AL70" i="3"/>
  <c r="AK70" i="3"/>
  <c r="AJ70" i="3"/>
  <c r="AI70" i="3"/>
  <c r="AH70" i="3"/>
  <c r="AG70" i="3"/>
  <c r="AF70" i="3"/>
  <c r="AE70" i="3"/>
  <c r="AD70" i="3"/>
  <c r="AC70" i="3"/>
  <c r="AB70" i="3"/>
  <c r="AA70" i="3"/>
  <c r="Z70" i="3"/>
  <c r="Y70" i="3"/>
  <c r="X70" i="3"/>
  <c r="W70" i="3"/>
  <c r="AO69" i="3"/>
  <c r="AN69" i="3"/>
  <c r="AM69" i="3"/>
  <c r="AL69" i="3"/>
  <c r="AK69" i="3"/>
  <c r="AJ69" i="3"/>
  <c r="AI69" i="3"/>
  <c r="AH69" i="3"/>
  <c r="AG69" i="3"/>
  <c r="AF69" i="3"/>
  <c r="AE69" i="3"/>
  <c r="AD69" i="3"/>
  <c r="AC69" i="3"/>
  <c r="AB69" i="3"/>
  <c r="AA69" i="3"/>
  <c r="Z69" i="3"/>
  <c r="Y69" i="3"/>
  <c r="X69" i="3"/>
  <c r="W69" i="3"/>
  <c r="AO68" i="3"/>
  <c r="AN68" i="3"/>
  <c r="AL68" i="3"/>
  <c r="AK68" i="3"/>
  <c r="AJ68" i="3"/>
  <c r="AF68" i="3"/>
  <c r="AE68" i="3"/>
  <c r="AD68" i="3"/>
  <c r="AA68" i="3"/>
  <c r="Z68" i="3"/>
  <c r="Y68" i="3"/>
  <c r="AO67" i="3"/>
  <c r="AN67" i="3"/>
  <c r="AL67" i="3"/>
  <c r="AK67" i="3"/>
  <c r="AJ67" i="3"/>
  <c r="AF67" i="3"/>
  <c r="AE67" i="3"/>
  <c r="AD67" i="3"/>
  <c r="AA67" i="3"/>
  <c r="Z67" i="3"/>
  <c r="Y67" i="3"/>
  <c r="AO66" i="3"/>
  <c r="AN66" i="3"/>
  <c r="AL66" i="3"/>
  <c r="AK66" i="3"/>
  <c r="AJ66" i="3"/>
  <c r="AI66" i="3"/>
  <c r="AG66" i="3"/>
  <c r="AF66" i="3"/>
  <c r="AE66" i="3"/>
  <c r="AD66" i="3"/>
  <c r="AC66" i="3"/>
  <c r="AB66" i="3"/>
  <c r="AA66" i="3"/>
  <c r="Z66" i="3"/>
  <c r="Y66" i="3"/>
  <c r="X66" i="3"/>
  <c r="W66" i="3"/>
  <c r="AO65" i="3"/>
  <c r="AN65" i="3"/>
  <c r="AM65" i="3"/>
  <c r="AL65" i="3"/>
  <c r="AK65" i="3"/>
  <c r="AJ65" i="3"/>
  <c r="AI65" i="3"/>
  <c r="AH65" i="3"/>
  <c r="AG65" i="3"/>
  <c r="AF65" i="3"/>
  <c r="AE65" i="3"/>
  <c r="AD65" i="3"/>
  <c r="AC65" i="3"/>
  <c r="AB65" i="3"/>
  <c r="AA65" i="3"/>
  <c r="Z65" i="3"/>
  <c r="Y65" i="3"/>
  <c r="X65" i="3"/>
  <c r="AO64" i="3"/>
  <c r="AN64" i="3"/>
  <c r="AK64" i="3"/>
  <c r="AJ64" i="3"/>
  <c r="AF64" i="3"/>
  <c r="AE64" i="3"/>
  <c r="AC64" i="3"/>
  <c r="AA64" i="3"/>
  <c r="Z64" i="3"/>
  <c r="X64" i="3"/>
  <c r="AO63" i="3"/>
  <c r="AN63" i="3"/>
  <c r="AM63" i="3"/>
  <c r="AL63" i="3"/>
  <c r="AK63" i="3"/>
  <c r="AJ63" i="3"/>
  <c r="AI63" i="3"/>
  <c r="AH63" i="3"/>
  <c r="AG63" i="3"/>
  <c r="AF63" i="3"/>
  <c r="AE63" i="3"/>
  <c r="AD63" i="3"/>
  <c r="AC63" i="3"/>
  <c r="AB63" i="3"/>
  <c r="AA63" i="3"/>
  <c r="Z63" i="3"/>
  <c r="Y63" i="3"/>
  <c r="X63" i="3"/>
  <c r="W63" i="3"/>
  <c r="AO62" i="3"/>
  <c r="AN62" i="3"/>
  <c r="AK62" i="3"/>
  <c r="AJ62" i="3"/>
  <c r="AF62" i="3"/>
  <c r="AE62" i="3"/>
  <c r="AD62" i="3"/>
  <c r="AC62" i="3"/>
  <c r="AA62" i="3"/>
  <c r="Z62" i="3"/>
  <c r="X62" i="3"/>
  <c r="AO61" i="3"/>
  <c r="AM61" i="3"/>
  <c r="AL61" i="3"/>
  <c r="AI61" i="3"/>
  <c r="AH61" i="3"/>
  <c r="AG61" i="3"/>
  <c r="AD61" i="3"/>
  <c r="AC61" i="3"/>
  <c r="AB61" i="3"/>
  <c r="AA61" i="3"/>
  <c r="Z61" i="3"/>
  <c r="Y61" i="3"/>
  <c r="X61" i="3"/>
  <c r="W61" i="3"/>
  <c r="AO60" i="3"/>
  <c r="AN60" i="3"/>
  <c r="AM60" i="3"/>
  <c r="AK60" i="3"/>
  <c r="AJ60" i="3"/>
  <c r="AH60" i="3"/>
  <c r="AG60" i="3"/>
  <c r="AF60" i="3"/>
  <c r="AE60" i="3"/>
  <c r="AD60" i="3"/>
  <c r="AC60" i="3"/>
  <c r="AB60" i="3"/>
  <c r="AA60" i="3"/>
  <c r="Z60" i="3"/>
  <c r="X60" i="3"/>
  <c r="W60" i="3"/>
  <c r="AM59" i="3"/>
  <c r="AL59" i="3"/>
  <c r="AH59" i="3"/>
  <c r="AG59" i="3"/>
  <c r="AD59" i="3"/>
  <c r="AC59" i="3"/>
  <c r="AB59" i="3"/>
  <c r="AA59" i="3"/>
  <c r="Z59" i="3"/>
  <c r="X59" i="3"/>
  <c r="W59" i="3"/>
  <c r="AO58" i="3"/>
  <c r="AM58" i="3"/>
  <c r="AL58" i="3"/>
  <c r="AI58" i="3"/>
  <c r="AH58" i="3"/>
  <c r="AG58" i="3"/>
  <c r="AD58" i="3"/>
  <c r="AC58" i="3"/>
  <c r="AB58" i="3"/>
  <c r="AA58" i="3"/>
  <c r="Z58" i="3"/>
  <c r="Y58" i="3"/>
  <c r="X58" i="3"/>
  <c r="W58" i="3"/>
  <c r="AO57" i="3"/>
  <c r="AM57" i="3"/>
  <c r="AL57" i="3"/>
  <c r="AI57" i="3"/>
  <c r="AH57" i="3"/>
  <c r="AG57" i="3"/>
  <c r="AD57" i="3"/>
  <c r="AC57" i="3"/>
  <c r="AB57" i="3"/>
  <c r="AA57" i="3"/>
  <c r="Z57" i="3"/>
  <c r="Y57" i="3"/>
  <c r="X57" i="3"/>
  <c r="W57" i="3"/>
  <c r="AO56" i="3"/>
  <c r="AN56" i="3"/>
  <c r="AK56" i="3"/>
  <c r="AJ56" i="3"/>
  <c r="AF56" i="3"/>
  <c r="AE56" i="3"/>
  <c r="AD56" i="3"/>
  <c r="AB56" i="3"/>
  <c r="Z56" i="3"/>
  <c r="Y56" i="3"/>
  <c r="AO55" i="3"/>
  <c r="AN55" i="3"/>
  <c r="AM55" i="3"/>
  <c r="AL55" i="3"/>
  <c r="AK55" i="3"/>
  <c r="AJ55" i="3"/>
  <c r="AI55" i="3"/>
  <c r="AH55" i="3"/>
  <c r="AG55" i="3"/>
  <c r="AF55" i="3"/>
  <c r="AE55" i="3"/>
  <c r="AD55" i="3"/>
  <c r="AC55" i="3"/>
  <c r="AB55" i="3"/>
  <c r="AA55" i="3"/>
  <c r="Z55" i="3"/>
  <c r="Y55" i="3"/>
  <c r="X55" i="3"/>
  <c r="W55" i="3"/>
  <c r="AO54" i="3"/>
  <c r="AN54" i="3"/>
  <c r="AM54" i="3"/>
  <c r="AL54" i="3"/>
  <c r="AK54" i="3"/>
  <c r="AJ54" i="3"/>
  <c r="AI54" i="3"/>
  <c r="AH54" i="3"/>
  <c r="AG54" i="3"/>
  <c r="AF54" i="3"/>
  <c r="AE54" i="3"/>
  <c r="AD54" i="3"/>
  <c r="AC54" i="3"/>
  <c r="AB54" i="3"/>
  <c r="AA54" i="3"/>
  <c r="Z54" i="3"/>
  <c r="Y54" i="3"/>
  <c r="X54" i="3"/>
  <c r="W54" i="3"/>
  <c r="AO53" i="3"/>
  <c r="AM53" i="3"/>
  <c r="AL53" i="3"/>
  <c r="AI53" i="3"/>
  <c r="AH53" i="3"/>
  <c r="AG53" i="3"/>
  <c r="AC53" i="3"/>
  <c r="AB53" i="3"/>
  <c r="AA53" i="3"/>
  <c r="Z53" i="3"/>
  <c r="Y53" i="3"/>
  <c r="X53" i="3"/>
  <c r="W53" i="3"/>
  <c r="AM52" i="3"/>
  <c r="AL52" i="3"/>
  <c r="AI52" i="3"/>
  <c r="AH52" i="3"/>
  <c r="AG52" i="3"/>
  <c r="AF52" i="3"/>
  <c r="AD52" i="3"/>
  <c r="AC52" i="3"/>
  <c r="AB52" i="3"/>
  <c r="AA52" i="3"/>
  <c r="Z52" i="3"/>
  <c r="Y52" i="3"/>
  <c r="X52" i="3"/>
  <c r="W52" i="3"/>
  <c r="AN51" i="3"/>
  <c r="AM51" i="3"/>
  <c r="AL51" i="3"/>
  <c r="AJ51" i="3"/>
  <c r="AI51" i="3"/>
  <c r="AH51" i="3"/>
  <c r="AG51" i="3"/>
  <c r="AF51" i="3"/>
  <c r="AE51" i="3"/>
  <c r="AD51" i="3"/>
  <c r="AC51" i="3"/>
  <c r="AB51" i="3"/>
  <c r="AA51" i="3"/>
  <c r="Z51" i="3"/>
  <c r="Y51" i="3"/>
  <c r="X51" i="3"/>
  <c r="W51" i="3"/>
  <c r="AN50" i="3"/>
  <c r="AM50" i="3"/>
  <c r="AL50" i="3"/>
  <c r="AK50" i="3"/>
  <c r="AJ50" i="3"/>
  <c r="AI50" i="3"/>
  <c r="AH50" i="3"/>
  <c r="AG50" i="3"/>
  <c r="AF50" i="3"/>
  <c r="AE50" i="3"/>
  <c r="AD50" i="3"/>
  <c r="AC50" i="3"/>
  <c r="AB50" i="3"/>
  <c r="AA50" i="3"/>
  <c r="Z50" i="3"/>
  <c r="Y50" i="3"/>
  <c r="X50" i="3"/>
  <c r="W50" i="3"/>
  <c r="AO49" i="3"/>
  <c r="AN49" i="3"/>
  <c r="AM49" i="3"/>
  <c r="AL49" i="3"/>
  <c r="AK49" i="3"/>
  <c r="AJ49" i="3"/>
  <c r="AI49" i="3"/>
  <c r="AH49" i="3"/>
  <c r="AG49" i="3"/>
  <c r="AF49" i="3"/>
  <c r="AE49" i="3"/>
  <c r="AD49" i="3"/>
  <c r="AC49" i="3"/>
  <c r="AB49" i="3"/>
  <c r="AA49" i="3"/>
  <c r="Z49" i="3"/>
  <c r="Y49" i="3"/>
  <c r="X49" i="3"/>
  <c r="W49" i="3"/>
  <c r="AO48" i="3"/>
  <c r="AN48" i="3"/>
  <c r="AM48" i="3"/>
  <c r="AL48" i="3"/>
  <c r="AK48" i="3"/>
  <c r="AJ48" i="3"/>
  <c r="AI48" i="3"/>
  <c r="AH48" i="3"/>
  <c r="AG48" i="3"/>
  <c r="AF48" i="3"/>
  <c r="AE48" i="3"/>
  <c r="AD48" i="3"/>
  <c r="AC48" i="3"/>
  <c r="AB48" i="3"/>
  <c r="AA48" i="3"/>
  <c r="Z48" i="3"/>
  <c r="Y48" i="3"/>
  <c r="X48" i="3"/>
  <c r="W48" i="3"/>
  <c r="AO47" i="3"/>
  <c r="AN47" i="3"/>
  <c r="AK47" i="3"/>
  <c r="AH47" i="3"/>
  <c r="AF47" i="3"/>
  <c r="AE47" i="3"/>
  <c r="AA47" i="3"/>
  <c r="Z47" i="3"/>
  <c r="Y47" i="3"/>
  <c r="AO46" i="3"/>
  <c r="AN46" i="3"/>
  <c r="AK46" i="3"/>
  <c r="AJ46" i="3"/>
  <c r="AF46" i="3"/>
  <c r="AE46" i="3"/>
  <c r="AD46" i="3"/>
  <c r="AC46" i="3"/>
  <c r="Z46" i="3"/>
  <c r="Y46" i="3"/>
  <c r="W46" i="3"/>
  <c r="AO45" i="3"/>
  <c r="AN45" i="3"/>
  <c r="AK45" i="3"/>
  <c r="AJ45" i="3"/>
  <c r="AF45" i="3"/>
  <c r="AE45" i="3"/>
  <c r="AD45" i="3"/>
  <c r="AC45" i="3"/>
  <c r="AA45" i="3"/>
  <c r="Z45" i="3"/>
  <c r="X45" i="3"/>
  <c r="W45" i="3"/>
  <c r="AO44" i="3"/>
  <c r="AN44" i="3"/>
  <c r="AM44" i="3"/>
  <c r="AL44" i="3"/>
  <c r="AK44" i="3"/>
  <c r="AJ44" i="3"/>
  <c r="AI44" i="3"/>
  <c r="AH44" i="3"/>
  <c r="AG44" i="3"/>
  <c r="AF44" i="3"/>
  <c r="AE44" i="3"/>
  <c r="AD44" i="3"/>
  <c r="AC44" i="3"/>
  <c r="AB44" i="3"/>
  <c r="AA44" i="3"/>
  <c r="Z44" i="3"/>
  <c r="Y44" i="3"/>
  <c r="X44" i="3"/>
  <c r="W44" i="3"/>
  <c r="AO43" i="3"/>
  <c r="AN43" i="3"/>
  <c r="AK43" i="3"/>
  <c r="AJ43" i="3"/>
  <c r="AF43" i="3"/>
  <c r="AE43" i="3"/>
  <c r="AB43" i="3"/>
  <c r="Z43" i="3"/>
  <c r="Y43" i="3"/>
  <c r="AO42" i="3"/>
  <c r="AN42" i="3"/>
  <c r="AM42" i="3"/>
  <c r="AL42" i="3"/>
  <c r="AK42" i="3"/>
  <c r="AI42" i="3"/>
  <c r="AH42" i="3"/>
  <c r="AG42" i="3"/>
  <c r="AF42" i="3"/>
  <c r="AE42" i="3"/>
  <c r="AD42" i="3"/>
  <c r="AC42" i="3"/>
  <c r="AA42" i="3"/>
  <c r="Z42" i="3"/>
  <c r="Y42" i="3"/>
  <c r="X42" i="3"/>
  <c r="W42" i="3"/>
  <c r="AO41" i="3"/>
  <c r="AN41" i="3"/>
  <c r="AM41" i="3"/>
  <c r="AL41" i="3"/>
  <c r="AK41" i="3"/>
  <c r="AJ41" i="3"/>
  <c r="AH41" i="3"/>
  <c r="AG41" i="3"/>
  <c r="AF41" i="3"/>
  <c r="AE41" i="3"/>
  <c r="AD41" i="3"/>
  <c r="AC41" i="3"/>
  <c r="AB41" i="3"/>
  <c r="AA41" i="3"/>
  <c r="Z41" i="3"/>
  <c r="Y41" i="3"/>
  <c r="X41" i="3"/>
  <c r="W41" i="3"/>
  <c r="AN40" i="3"/>
  <c r="AM40" i="3"/>
  <c r="AL40" i="3"/>
  <c r="AK40" i="3"/>
  <c r="AI40" i="3"/>
  <c r="AH40" i="3"/>
  <c r="AG40" i="3"/>
  <c r="AF40" i="3"/>
  <c r="AE40" i="3"/>
  <c r="AD40" i="3"/>
  <c r="AC40" i="3"/>
  <c r="AB40" i="3"/>
  <c r="AA40" i="3"/>
  <c r="Z40" i="3"/>
  <c r="X40" i="3"/>
  <c r="W40" i="3"/>
  <c r="AO39" i="3"/>
  <c r="AN39" i="3"/>
  <c r="AM39" i="3"/>
  <c r="AL39" i="3"/>
  <c r="AJ39" i="3"/>
  <c r="AI39" i="3"/>
  <c r="AH39" i="3"/>
  <c r="AG39" i="3"/>
  <c r="AF39" i="3"/>
  <c r="AE39" i="3"/>
  <c r="AD39" i="3"/>
  <c r="AC39" i="3"/>
  <c r="AB39" i="3"/>
  <c r="AA39" i="3"/>
  <c r="Z39" i="3"/>
  <c r="Y39" i="3"/>
  <c r="X39" i="3"/>
  <c r="W39" i="3"/>
  <c r="AO38" i="3"/>
  <c r="AN38" i="3"/>
  <c r="AM38" i="3"/>
  <c r="AL38" i="3"/>
  <c r="AK38" i="3"/>
  <c r="AJ38" i="3"/>
  <c r="AI38" i="3"/>
  <c r="AF38" i="3"/>
  <c r="AE38" i="3"/>
  <c r="AD38" i="3"/>
  <c r="AC38" i="3"/>
  <c r="Z38" i="3"/>
  <c r="Y38" i="3"/>
  <c r="W38" i="3"/>
  <c r="AO37" i="3"/>
  <c r="AN37" i="3"/>
  <c r="AM37" i="3"/>
  <c r="AL37" i="3"/>
  <c r="AK37" i="3"/>
  <c r="AJ37" i="3"/>
  <c r="AI37" i="3"/>
  <c r="AF37" i="3"/>
  <c r="AE37" i="3"/>
  <c r="AD37" i="3"/>
  <c r="AC37" i="3"/>
  <c r="Z37" i="3"/>
  <c r="Y37" i="3"/>
  <c r="W37" i="3"/>
  <c r="AH36" i="3"/>
  <c r="AF36" i="3"/>
  <c r="AC36" i="3"/>
  <c r="Z36" i="3"/>
  <c r="AO35" i="3"/>
  <c r="AN35" i="3"/>
  <c r="AM35" i="3"/>
  <c r="AL35" i="3"/>
  <c r="AK35" i="3"/>
  <c r="AJ35" i="3"/>
  <c r="AI35" i="3"/>
  <c r="AH35" i="3"/>
  <c r="AG35" i="3"/>
  <c r="AF35" i="3"/>
  <c r="AE35" i="3"/>
  <c r="AD35" i="3"/>
  <c r="AC35" i="3"/>
  <c r="AB35" i="3"/>
  <c r="AA35" i="3"/>
  <c r="Z35" i="3"/>
  <c r="Y35" i="3"/>
  <c r="X35" i="3"/>
  <c r="W35" i="3"/>
  <c r="AO34" i="3"/>
  <c r="AN34" i="3"/>
  <c r="AM34" i="3"/>
  <c r="AL34" i="3"/>
  <c r="AK34" i="3"/>
  <c r="AJ34" i="3"/>
  <c r="AI34" i="3"/>
  <c r="AH34" i="3"/>
  <c r="AG34" i="3"/>
  <c r="AF34" i="3"/>
  <c r="AE34" i="3"/>
  <c r="AD34" i="3"/>
  <c r="AC34" i="3"/>
  <c r="AB34" i="3"/>
  <c r="AA34" i="3"/>
  <c r="Z34" i="3"/>
  <c r="Y34" i="3"/>
  <c r="X34" i="3"/>
  <c r="W34" i="3"/>
  <c r="AO33" i="3"/>
  <c r="AN33" i="3"/>
  <c r="AK33" i="3"/>
  <c r="AJ33" i="3"/>
  <c r="AF33" i="3"/>
  <c r="AE33" i="3"/>
  <c r="AD33" i="3"/>
  <c r="AB33" i="3"/>
  <c r="Z33" i="3"/>
  <c r="Y33" i="3"/>
  <c r="AO32" i="3"/>
  <c r="AN32" i="3"/>
  <c r="AK32" i="3"/>
  <c r="AJ32" i="3"/>
  <c r="AF32" i="3"/>
  <c r="AE32" i="3"/>
  <c r="AD32" i="3"/>
  <c r="AB32" i="3"/>
  <c r="Z32" i="3"/>
  <c r="Y32" i="3"/>
  <c r="AO31" i="3"/>
  <c r="AN31" i="3"/>
  <c r="AK31" i="3"/>
  <c r="AJ31" i="3"/>
  <c r="AF31" i="3"/>
  <c r="AE31" i="3"/>
  <c r="AD31" i="3"/>
  <c r="AB31" i="3"/>
  <c r="Z31" i="3"/>
  <c r="Y31" i="3"/>
  <c r="AO30" i="3"/>
  <c r="AN30" i="3"/>
  <c r="AM30" i="3"/>
  <c r="AL30" i="3"/>
  <c r="AK30" i="3"/>
  <c r="AJ30" i="3"/>
  <c r="AI30" i="3"/>
  <c r="AH30" i="3"/>
  <c r="AG30" i="3"/>
  <c r="AF30" i="3"/>
  <c r="AE30" i="3"/>
  <c r="AD30" i="3"/>
  <c r="AB30" i="3"/>
  <c r="AA30" i="3"/>
  <c r="Z30" i="3"/>
  <c r="AO29" i="3"/>
  <c r="AN29" i="3"/>
  <c r="AL29" i="3"/>
  <c r="AK29" i="3"/>
  <c r="AJ29" i="3"/>
  <c r="AI29" i="3"/>
  <c r="AH29" i="3"/>
  <c r="AF29" i="3"/>
  <c r="AE29" i="3"/>
  <c r="AD29" i="3"/>
  <c r="AC29" i="3"/>
  <c r="AA29" i="3"/>
  <c r="Z29" i="3"/>
  <c r="Y29" i="3"/>
  <c r="X29" i="3"/>
  <c r="W29" i="3"/>
  <c r="AG28" i="3"/>
  <c r="AE28" i="3"/>
  <c r="AC28" i="3"/>
  <c r="AA28" i="3"/>
  <c r="X28" i="3"/>
  <c r="W28" i="3"/>
  <c r="AO27" i="3"/>
  <c r="AN27" i="3"/>
  <c r="AM27" i="3"/>
  <c r="AL27" i="3"/>
  <c r="AK27" i="3"/>
  <c r="AJ27" i="3"/>
  <c r="AI27" i="3"/>
  <c r="AH27" i="3"/>
  <c r="AF27" i="3"/>
  <c r="AE27" i="3"/>
  <c r="AD27" i="3"/>
  <c r="AC27" i="3"/>
  <c r="AB27" i="3"/>
  <c r="AA27" i="3"/>
  <c r="Z27" i="3"/>
  <c r="Y27" i="3"/>
  <c r="X27" i="3"/>
  <c r="W27" i="3"/>
  <c r="AO26" i="3"/>
  <c r="AN26" i="3"/>
  <c r="AM26" i="3"/>
  <c r="AL26" i="3"/>
  <c r="AK26" i="3"/>
  <c r="AJ26" i="3"/>
  <c r="AI26" i="3"/>
  <c r="AH26" i="3"/>
  <c r="AG26" i="3"/>
  <c r="AF26" i="3"/>
  <c r="AE26" i="3"/>
  <c r="AD26" i="3"/>
  <c r="AC26" i="3"/>
  <c r="AB26" i="3"/>
  <c r="AA26" i="3"/>
  <c r="Z26" i="3"/>
  <c r="Y26" i="3"/>
  <c r="X26" i="3"/>
  <c r="W26" i="3"/>
  <c r="AO25" i="3"/>
  <c r="AN25" i="3"/>
  <c r="AM25" i="3"/>
  <c r="AL25" i="3"/>
  <c r="AK25" i="3"/>
  <c r="AJ25" i="3"/>
  <c r="AH25" i="3"/>
  <c r="AG25" i="3"/>
  <c r="AF25" i="3"/>
  <c r="AE25" i="3"/>
  <c r="AD25" i="3"/>
  <c r="AC25" i="3"/>
  <c r="AB25" i="3"/>
  <c r="AA25" i="3"/>
  <c r="Z25" i="3"/>
  <c r="Y25" i="3"/>
  <c r="X25" i="3"/>
  <c r="W25" i="3"/>
  <c r="AN24" i="3"/>
  <c r="AM24" i="3"/>
  <c r="AL24" i="3"/>
  <c r="AI24" i="3"/>
  <c r="AH24" i="3"/>
  <c r="AG24" i="3"/>
  <c r="AF24" i="3"/>
  <c r="AD24" i="3"/>
  <c r="AC24" i="3"/>
  <c r="AB24" i="3"/>
  <c r="AA24" i="3"/>
  <c r="Y24" i="3"/>
  <c r="X24" i="3"/>
  <c r="W24" i="3"/>
  <c r="AI23" i="3"/>
  <c r="AD23" i="3"/>
  <c r="Z23" i="3"/>
  <c r="W23" i="3"/>
  <c r="AO22" i="3"/>
  <c r="AN22" i="3"/>
  <c r="AK22" i="3"/>
  <c r="AJ22" i="3"/>
  <c r="AI22" i="3"/>
  <c r="AH22" i="3"/>
  <c r="AF22" i="3"/>
  <c r="AE22" i="3"/>
  <c r="AD22" i="3"/>
  <c r="AC22" i="3"/>
  <c r="Z22" i="3"/>
  <c r="W22" i="3"/>
  <c r="AO21" i="3"/>
  <c r="AN21" i="3"/>
  <c r="AL21" i="3"/>
  <c r="AK21" i="3"/>
  <c r="AJ21" i="3"/>
  <c r="AI21" i="3"/>
  <c r="AG21" i="3"/>
  <c r="AF21" i="3"/>
  <c r="AE21" i="3"/>
  <c r="AD21" i="3"/>
  <c r="AC21" i="3"/>
  <c r="AA21" i="3"/>
  <c r="Z21" i="3"/>
  <c r="Y21" i="3"/>
  <c r="X21" i="3"/>
  <c r="W21" i="3"/>
  <c r="AO20" i="3"/>
  <c r="AN20" i="3"/>
  <c r="AL20" i="3"/>
  <c r="AK20" i="3"/>
  <c r="AJ20" i="3"/>
  <c r="AI20" i="3"/>
  <c r="AG20" i="3"/>
  <c r="AF20" i="3"/>
  <c r="AE20" i="3"/>
  <c r="AD20" i="3"/>
  <c r="AC20" i="3"/>
  <c r="AA20" i="3"/>
  <c r="Z20" i="3"/>
  <c r="Y20" i="3"/>
  <c r="X20" i="3"/>
  <c r="W20" i="3"/>
  <c r="AO19" i="3"/>
  <c r="AN19" i="3"/>
  <c r="AM19" i="3"/>
  <c r="AL19" i="3"/>
  <c r="AK19" i="3"/>
  <c r="AJ19" i="3"/>
  <c r="AI19" i="3"/>
  <c r="AH19" i="3"/>
  <c r="AG19" i="3"/>
  <c r="AF19" i="3"/>
  <c r="AE19" i="3"/>
  <c r="AD19" i="3"/>
  <c r="AC19" i="3"/>
  <c r="AB19" i="3"/>
  <c r="AA19" i="3"/>
  <c r="Z19" i="3"/>
  <c r="Y19" i="3"/>
  <c r="X19" i="3"/>
  <c r="W19" i="3"/>
  <c r="AO18" i="3"/>
  <c r="AN18" i="3"/>
  <c r="AM18" i="3"/>
  <c r="AL18" i="3"/>
  <c r="AK18" i="3"/>
  <c r="AJ18" i="3"/>
  <c r="AH18" i="3"/>
  <c r="AG18" i="3"/>
  <c r="AF18" i="3"/>
  <c r="AE18" i="3"/>
  <c r="AD18" i="3"/>
  <c r="AA18" i="3"/>
  <c r="Z18" i="3"/>
  <c r="Y18" i="3"/>
  <c r="X18" i="3"/>
  <c r="W18" i="3"/>
  <c r="AO17" i="3"/>
  <c r="AN17" i="3"/>
  <c r="AL17" i="3"/>
  <c r="AK17" i="3"/>
  <c r="AJ17" i="3"/>
  <c r="AI17" i="3"/>
  <c r="AH17" i="3"/>
  <c r="AG17" i="3"/>
  <c r="AF17" i="3"/>
  <c r="AE17" i="3"/>
  <c r="AD17" i="3"/>
  <c r="AC17" i="3"/>
  <c r="AB17" i="3"/>
  <c r="AA17" i="3"/>
  <c r="Z17" i="3"/>
  <c r="X17" i="3"/>
  <c r="W17" i="3"/>
  <c r="AM16" i="3"/>
  <c r="AL16" i="3"/>
  <c r="AI16" i="3"/>
  <c r="AH16" i="3"/>
  <c r="AG16" i="3"/>
  <c r="AF16" i="3"/>
  <c r="AD16" i="3"/>
  <c r="AC16" i="3"/>
  <c r="AB16" i="3"/>
  <c r="AA16" i="3"/>
  <c r="Z16" i="3"/>
  <c r="Y16" i="3"/>
  <c r="X16" i="3"/>
  <c r="W16" i="3"/>
  <c r="AM15" i="3"/>
  <c r="AL15" i="3"/>
  <c r="AI15" i="3"/>
  <c r="AH15" i="3"/>
  <c r="AG15" i="3"/>
  <c r="AF15" i="3"/>
  <c r="AD15" i="3"/>
  <c r="AC15" i="3"/>
  <c r="AB15" i="3"/>
  <c r="AA15" i="3"/>
  <c r="Z15" i="3"/>
  <c r="Y15" i="3"/>
  <c r="X15" i="3"/>
  <c r="W15" i="3"/>
  <c r="AO14" i="3"/>
  <c r="AN14" i="3"/>
  <c r="AM14" i="3"/>
  <c r="AL14" i="3"/>
  <c r="AK14" i="3"/>
  <c r="AJ14" i="3"/>
  <c r="AI14" i="3"/>
  <c r="AH14" i="3"/>
  <c r="AG14" i="3"/>
  <c r="AF14" i="3"/>
  <c r="AE14" i="3"/>
  <c r="AD14" i="3"/>
  <c r="AC14" i="3"/>
  <c r="AB14" i="3"/>
  <c r="AA14" i="3"/>
  <c r="Z14" i="3"/>
  <c r="Y14" i="3"/>
  <c r="X14" i="3"/>
  <c r="W14" i="3"/>
  <c r="AO13" i="3"/>
  <c r="AN13" i="3"/>
  <c r="AM13" i="3"/>
  <c r="AL13" i="3"/>
  <c r="AK13" i="3"/>
  <c r="AJ13" i="3"/>
  <c r="AI13" i="3"/>
  <c r="AH13" i="3"/>
  <c r="AG13" i="3"/>
  <c r="AF13" i="3"/>
  <c r="AE13" i="3"/>
  <c r="AD13" i="3"/>
  <c r="AC13" i="3"/>
  <c r="AB13" i="3"/>
  <c r="AA13" i="3"/>
  <c r="Z13" i="3"/>
  <c r="Y13" i="3"/>
  <c r="X13" i="3"/>
  <c r="W13" i="3"/>
  <c r="AO12" i="3"/>
  <c r="AN12" i="3"/>
  <c r="AM12" i="3"/>
  <c r="AL12" i="3"/>
  <c r="AK12" i="3"/>
  <c r="AH12" i="3"/>
  <c r="AG12" i="3"/>
  <c r="AD12" i="3"/>
  <c r="AC12" i="3"/>
  <c r="AB12" i="3"/>
  <c r="AA12" i="3"/>
  <c r="Z12" i="3"/>
  <c r="Y12" i="3"/>
  <c r="W12" i="3"/>
  <c r="AM11" i="3"/>
  <c r="AL11" i="3"/>
  <c r="AI11" i="3"/>
  <c r="AH11" i="3"/>
  <c r="AG11" i="3"/>
  <c r="AF11" i="3"/>
  <c r="AE11" i="3"/>
  <c r="AD11" i="3"/>
  <c r="AC11" i="3"/>
  <c r="AB11" i="3"/>
  <c r="AA11" i="3"/>
  <c r="Z11" i="3"/>
  <c r="Y11" i="3"/>
  <c r="X11" i="3"/>
  <c r="W11" i="3"/>
  <c r="AO10" i="3"/>
  <c r="AN10" i="3"/>
  <c r="AM10" i="3"/>
  <c r="AL10" i="3"/>
  <c r="AK10" i="3"/>
  <c r="AJ10" i="3"/>
  <c r="AI10" i="3"/>
  <c r="AH10" i="3"/>
  <c r="AG10" i="3"/>
  <c r="AF10" i="3"/>
  <c r="AE10" i="3"/>
  <c r="AD10" i="3"/>
  <c r="AC10" i="3"/>
  <c r="AB10" i="3"/>
  <c r="AA10" i="3"/>
  <c r="Z10" i="3"/>
  <c r="Y10" i="3"/>
  <c r="X10" i="3"/>
  <c r="W10" i="3"/>
  <c r="AO9" i="3"/>
  <c r="AN9" i="3"/>
  <c r="AM9" i="3"/>
  <c r="AL9" i="3"/>
  <c r="AK9" i="3"/>
  <c r="AJ9" i="3"/>
  <c r="AI9" i="3"/>
  <c r="AH9" i="3"/>
  <c r="AG9" i="3"/>
  <c r="AF9" i="3"/>
  <c r="AE9" i="3"/>
  <c r="AD9" i="3"/>
  <c r="AC9" i="3"/>
  <c r="AB9" i="3"/>
  <c r="AA9" i="3"/>
  <c r="Z9" i="3"/>
  <c r="Y9" i="3"/>
  <c r="X9" i="3"/>
  <c r="W9" i="3"/>
  <c r="AO8" i="3"/>
  <c r="AN8" i="3"/>
  <c r="AM8" i="3"/>
  <c r="AL8" i="3"/>
  <c r="AK8" i="3"/>
  <c r="AJ8" i="3"/>
  <c r="AH8" i="3"/>
  <c r="AG8" i="3"/>
  <c r="AF8" i="3"/>
  <c r="AE8" i="3"/>
  <c r="AD8" i="3"/>
  <c r="AC8" i="3"/>
  <c r="AB8" i="3"/>
  <c r="AA8" i="3"/>
  <c r="Z8" i="3"/>
  <c r="W8" i="3"/>
  <c r="AO7" i="3"/>
  <c r="AN7" i="3"/>
  <c r="AM7" i="3"/>
  <c r="AL7" i="3"/>
  <c r="AK7" i="3"/>
  <c r="AJ7" i="3"/>
  <c r="AI7" i="3"/>
  <c r="AH7" i="3"/>
  <c r="AG7" i="3"/>
  <c r="AF7" i="3"/>
  <c r="AE7" i="3"/>
  <c r="AD7" i="3"/>
  <c r="AC7" i="3"/>
  <c r="AB7" i="3"/>
  <c r="AA7" i="3"/>
  <c r="Z7" i="3"/>
  <c r="Y7" i="3"/>
  <c r="X7" i="3"/>
  <c r="W7" i="3"/>
  <c r="AO6" i="3"/>
  <c r="AN6" i="3"/>
  <c r="AM6" i="3"/>
  <c r="AL6" i="3"/>
  <c r="AK6" i="3"/>
  <c r="AJ6" i="3"/>
  <c r="AI6" i="3"/>
  <c r="AH6" i="3"/>
  <c r="AG6" i="3"/>
  <c r="AF6" i="3"/>
  <c r="AE6" i="3"/>
  <c r="AD6" i="3"/>
  <c r="AC6" i="3"/>
  <c r="AB6" i="3"/>
  <c r="AA6" i="3"/>
  <c r="Z6" i="3"/>
  <c r="Y6" i="3"/>
  <c r="X6" i="3"/>
  <c r="W6" i="3"/>
  <c r="AN5" i="3"/>
  <c r="AM5" i="3"/>
  <c r="AL5" i="3"/>
  <c r="AK5" i="3"/>
  <c r="AJ5" i="3"/>
  <c r="AI5" i="3"/>
  <c r="AG5" i="3"/>
  <c r="AE5" i="3"/>
  <c r="AD5" i="3"/>
  <c r="AB5" i="3"/>
  <c r="AA5" i="3"/>
  <c r="Z5" i="3"/>
  <c r="AO4" i="3"/>
  <c r="AN4" i="3"/>
  <c r="AM4" i="3"/>
  <c r="AL4" i="3"/>
  <c r="AK4" i="3"/>
  <c r="AJ4" i="3"/>
  <c r="AI4" i="3"/>
  <c r="AH4" i="3"/>
  <c r="AG4" i="3"/>
  <c r="AF4" i="3"/>
  <c r="AE4" i="3"/>
  <c r="AD4" i="3"/>
  <c r="AC4" i="3"/>
  <c r="AB4" i="3"/>
  <c r="AA4" i="3"/>
  <c r="Z4" i="3"/>
  <c r="Y4" i="3"/>
  <c r="X4" i="3"/>
  <c r="W4" i="3"/>
  <c r="AO3" i="3"/>
  <c r="AN3" i="3"/>
  <c r="AM3" i="3"/>
  <c r="AL3" i="3"/>
  <c r="AK3" i="3"/>
  <c r="AJ3" i="3"/>
  <c r="AH3" i="3"/>
  <c r="AG3" i="3"/>
  <c r="AF3" i="3"/>
  <c r="AE3" i="3"/>
  <c r="AD3" i="3"/>
  <c r="AC3" i="3"/>
  <c r="AB3" i="3"/>
  <c r="AA3" i="3"/>
  <c r="Z3" i="3"/>
  <c r="Y3" i="3"/>
  <c r="X3" i="3"/>
  <c r="W3" i="3"/>
  <c r="AO2" i="3"/>
  <c r="AN2" i="3"/>
  <c r="AM2" i="3"/>
  <c r="AL2" i="3"/>
  <c r="AK2" i="3"/>
  <c r="AJ2" i="3"/>
  <c r="AH2" i="3"/>
  <c r="AG2" i="3"/>
  <c r="AF2" i="3"/>
  <c r="AE2" i="3"/>
  <c r="AD2" i="3"/>
  <c r="AC2" i="3"/>
  <c r="AB2" i="3"/>
  <c r="AA2" i="3"/>
  <c r="Z2" i="3"/>
  <c r="Y2" i="3"/>
  <c r="X2" i="3"/>
  <c r="W2" i="3"/>
  <c r="N76" i="2"/>
  <c r="N209" i="1"/>
  <c r="AI78" i="4" l="1"/>
  <c r="AK78" i="4"/>
  <c r="AH80" i="5"/>
  <c r="W80" i="4"/>
  <c r="W78" i="4"/>
  <c r="AI80" i="5"/>
  <c r="AN80" i="5"/>
  <c r="AH78" i="4"/>
  <c r="AO80" i="5"/>
</calcChain>
</file>

<file path=xl/sharedStrings.xml><?xml version="1.0" encoding="utf-8"?>
<sst xmlns="http://schemas.openxmlformats.org/spreadsheetml/2006/main" count="21030" uniqueCount="1340">
  <si>
    <t>Marca temporal</t>
  </si>
  <si>
    <t>Dirección de correo electrónico</t>
  </si>
  <si>
    <t>Nombre OFICIAL y COMPLETO de la institución educativa</t>
  </si>
  <si>
    <t>codigo unico de escuela (cue)</t>
  </si>
  <si>
    <t>tipo de institucion educativa y orientacion</t>
  </si>
  <si>
    <t>Especifique su orientación</t>
  </si>
  <si>
    <t xml:space="preserve">Gestión </t>
  </si>
  <si>
    <t>Nombre y apellido del/la docente responsable de la visita</t>
  </si>
  <si>
    <t>Nombre y apellido del/la docente acompañante 1</t>
  </si>
  <si>
    <t>Nombre y apellido del/la docente acompañante 2</t>
  </si>
  <si>
    <t>Dirección de correo electrónico para recibir resultado de la asignación</t>
  </si>
  <si>
    <t>ubicacion de la escuela</t>
  </si>
  <si>
    <t>Barrio/Localidad de la escuela</t>
  </si>
  <si>
    <t>cantidad de alumnos que asistiran</t>
  </si>
  <si>
    <t>curso que asistira</t>
  </si>
  <si>
    <t>Conectividad en la institución</t>
  </si>
  <si>
    <t>Acceso a las ciencias exactas y naturales</t>
  </si>
  <si>
    <t>porcentaje aproximado de estudiantes de familias de bajos recursos</t>
  </si>
  <si>
    <t>Exprese observaciones o comentarios que considere pertinentes</t>
  </si>
  <si>
    <t>Turno/s solicitado/s [Turno mañana (9:00 a 12.30 hs.)]</t>
  </si>
  <si>
    <t>Turno/s solicitado/s [Turno tarde (12.30 a 16:00 hs.)]</t>
  </si>
  <si>
    <t>turno solicitado</t>
  </si>
  <si>
    <t>fecha solicitada</t>
  </si>
  <si>
    <t>CHARLAS  [9:30 Redes sociales: la matemática detrás de los "influencers". Rocío Balderrama]</t>
  </si>
  <si>
    <t>CHARLAS  [11:30 La Biblio junto a... la calculadora. Historias que no hacen historia. Juan Carlos Pedraza]</t>
  </si>
  <si>
    <t>CHARLAS  [14:00 ¿Cómo hacer ciencia con Twitter? Sofía del Pozo]</t>
  </si>
  <si>
    <t>ESTACIONES INTERACTIVAS  [9:30]</t>
  </si>
  <si>
    <t>ESTACIONES INTERACTIVAS  [10:30]</t>
  </si>
  <si>
    <t>ESTACIONES INTERACTIVAS  [11:30]</t>
  </si>
  <si>
    <t>ESTACIONES INTERACTIVAS  [13:00]</t>
  </si>
  <si>
    <t>ESTACIONES INTERACTIVAS  [14:00]</t>
  </si>
  <si>
    <t>ESTACIONES INTERACTIVAS  [15:00]</t>
  </si>
  <si>
    <t>TALLERES  [9:30]</t>
  </si>
  <si>
    <t>TALLERES  [10:30]</t>
  </si>
  <si>
    <t>TALLERES  [11:30]</t>
  </si>
  <si>
    <t>TALLERES  [14:00]</t>
  </si>
  <si>
    <t>TALLERES  [15:00]</t>
  </si>
  <si>
    <t>ARTE MATEMÁTICO [9:30]</t>
  </si>
  <si>
    <t>ARTE MATEMÁTICO [10:30]</t>
  </si>
  <si>
    <t>ARTE MATEMÁTICO [11:30]</t>
  </si>
  <si>
    <t>ARTE MATEMÁTICO [14:00]</t>
  </si>
  <si>
    <t>ARTE MATEMÁTICO [15:00]</t>
  </si>
  <si>
    <t>VISITAS GUIADAS TEMÁTICAS [10:30]</t>
  </si>
  <si>
    <t>VISITAS GUIADAS TEMÁTICAS [11:30]</t>
  </si>
  <si>
    <t>VISITAS GUIADAS TEMÁTICAS [14:00]</t>
  </si>
  <si>
    <t>VISITAS GUIADAS TEMÁTICAS [15:00]</t>
  </si>
  <si>
    <t>Exprese cualquier aclaración sobre la solicitud de inscripción que facilite la administración de vacantes.</t>
  </si>
  <si>
    <t>CHARLAS  [9:30 Desorden ordenado, ¡qué caos es esto! Paula Kuna]</t>
  </si>
  <si>
    <t>CHARLAS  [11:30 ¿Tenés una idea para cambiar el mundo? Primero simulalo. Rodrigo Castro]</t>
  </si>
  <si>
    <t>CHARLAS  [14:00 Embaldosados Fractales. Ursula Molter]</t>
  </si>
  <si>
    <t>TALLERES  [9.30]</t>
  </si>
  <si>
    <t>VISITA GUIADA [10:30]</t>
  </si>
  <si>
    <t>VISITA GUIADA [11:30]</t>
  </si>
  <si>
    <t>VISITA GUIADA [14:00]</t>
  </si>
  <si>
    <t>VISITA GUIADA [15:00]</t>
  </si>
  <si>
    <t>CHARLAS  [9:30 Geometría proyectiva, fotografía y la final del mundo. Charly Di Fiore]</t>
  </si>
  <si>
    <t>CHARLAS  [11:30 Detective de datos. Guillermo Solovey]</t>
  </si>
  <si>
    <t>CHARLAS  [14:00 Datos y deportes. Iván Monardo]</t>
  </si>
  <si>
    <t>TALLERES  [10:30 ]</t>
  </si>
  <si>
    <t>alvarezmarisaclaudia@gmail.com</t>
  </si>
  <si>
    <t>Instituto Saenz</t>
  </si>
  <si>
    <t>051</t>
  </si>
  <si>
    <t>1. Liceos / Normales / Colegios / Institutos  orientados en ciencias naturales y/o exactas</t>
  </si>
  <si>
    <t xml:space="preserve">Ciencias naturales </t>
  </si>
  <si>
    <t>Privada</t>
  </si>
  <si>
    <t xml:space="preserve">Marisa Álvarez </t>
  </si>
  <si>
    <t xml:space="preserve">Carla Sureda </t>
  </si>
  <si>
    <t xml:space="preserve">Andrea Ledesma </t>
  </si>
  <si>
    <t>PARTIDOS DEL GRAN BUENOS AIRES-SUR</t>
  </si>
  <si>
    <t>Lomas de zamorac</t>
  </si>
  <si>
    <t>6º Secundaria (Prov.) / 5º Media (CABA)</t>
  </si>
  <si>
    <t>Si</t>
  </si>
  <si>
    <t>No</t>
  </si>
  <si>
    <t>Jornada simple: sólo turno mañana (9:00 a 12.30 hs.)</t>
  </si>
  <si>
    <t>Miércoles 24/4</t>
  </si>
  <si>
    <t>muestra034@gmail.com</t>
  </si>
  <si>
    <t xml:space="preserve">Instituto Sáenz </t>
  </si>
  <si>
    <t xml:space="preserve">C naturales </t>
  </si>
  <si>
    <t xml:space="preserve">Mauro Uranga </t>
  </si>
  <si>
    <t xml:space="preserve">Carla sureda </t>
  </si>
  <si>
    <t>Lomas de samorac</t>
  </si>
  <si>
    <t>jmarinelli@dellibertador.edu.ar</t>
  </si>
  <si>
    <t>INST. COLEGIO DEL LIBERTADOR</t>
  </si>
  <si>
    <t>020125200</t>
  </si>
  <si>
    <t>9. Liceos / Normales / Colegios / Institutos  orientados en ciencias sociales y/o humanidades</t>
  </si>
  <si>
    <t>Orientación en Lenguas Extranjeras y en Ciencias Sociales y Humanidades</t>
  </si>
  <si>
    <t>Javier Marinelli</t>
  </si>
  <si>
    <t>Damian Vattimo</t>
  </si>
  <si>
    <t>Marina Lavigna</t>
  </si>
  <si>
    <t>CABA</t>
  </si>
  <si>
    <t>FLORES</t>
  </si>
  <si>
    <t>NINGUNO</t>
  </si>
  <si>
    <t>Orientación en Lenguas Extranjeras y Ciencias Sociales y Humanidades</t>
  </si>
  <si>
    <t>NINGUNA</t>
  </si>
  <si>
    <t>m.alvarez@institutosaenz.edu.ar</t>
  </si>
  <si>
    <t>Instituto saenz</t>
  </si>
  <si>
    <t xml:space="preserve">Cnaturalez </t>
  </si>
  <si>
    <t xml:space="preserve">Laura Condo </t>
  </si>
  <si>
    <t xml:space="preserve">Gabriel Celuberti </t>
  </si>
  <si>
    <t xml:space="preserve">Belen Bruno </t>
  </si>
  <si>
    <t xml:space="preserve">Lomas de Zamora </t>
  </si>
  <si>
    <t>mcappussi@yahoo.com.ar</t>
  </si>
  <si>
    <t>EES N 2 Francisco Ramírez Lanus</t>
  </si>
  <si>
    <t>061024600</t>
  </si>
  <si>
    <t>Naturales</t>
  </si>
  <si>
    <t>Estatal</t>
  </si>
  <si>
    <t>Cappussi Mercedes</t>
  </si>
  <si>
    <t>Maria Jose Ferrer</t>
  </si>
  <si>
    <t>Lanus</t>
  </si>
  <si>
    <t>Jornada completa: turno completo (9:00 a 16.00 hs.)</t>
  </si>
  <si>
    <t xml:space="preserve">EES N 2 Francisco Ramírez </t>
  </si>
  <si>
    <t xml:space="preserve">Economía </t>
  </si>
  <si>
    <t>Ferrer María jose</t>
  </si>
  <si>
    <t>morelli.nicolas.a@gmail.com</t>
  </si>
  <si>
    <t>Colegio Norbridge</t>
  </si>
  <si>
    <t>020082300</t>
  </si>
  <si>
    <t xml:space="preserve">Administración </t>
  </si>
  <si>
    <t>Nicolás Morelli</t>
  </si>
  <si>
    <t>Analia Mezzelani</t>
  </si>
  <si>
    <t>Liliana Villena</t>
  </si>
  <si>
    <t>Saavedra</t>
  </si>
  <si>
    <t>En lo posible nos gustaría recibir la visita guiada para que los estudiantes conozcan las instalaciones. Gracias!</t>
  </si>
  <si>
    <t>Por favor en lo posible nos gustaría acceder a la visita guiada. Muchas gracias por todo el trabajo!</t>
  </si>
  <si>
    <t>ctoperberg@colegio-isma.com.ar</t>
  </si>
  <si>
    <t>Instituto Santa María de los Ángeles (A-455)</t>
  </si>
  <si>
    <t>020038700</t>
  </si>
  <si>
    <t>Bachillerato en Ciencias Naturales</t>
  </si>
  <si>
    <t>Lucas Caram</t>
  </si>
  <si>
    <t>Camila Toperberg</t>
  </si>
  <si>
    <t>Coghlan</t>
  </si>
  <si>
    <t>agustinpereyra@abc.gob.ar</t>
  </si>
  <si>
    <t>Colegio Madre Teresa</t>
  </si>
  <si>
    <t>061690800</t>
  </si>
  <si>
    <t>10. Liceos / Normales / Colegios / Institutos de otras orientaciones</t>
  </si>
  <si>
    <t>Economía</t>
  </si>
  <si>
    <t>Pereyra Varela Agustín</t>
  </si>
  <si>
    <t>Simón Sabrina</t>
  </si>
  <si>
    <t>Baini Jesica</t>
  </si>
  <si>
    <t>PARTIDOS DEL GRAN BUENOS AIRES-NORTE</t>
  </si>
  <si>
    <t>Virreyes</t>
  </si>
  <si>
    <t>Nuñez Silvina</t>
  </si>
  <si>
    <t>veronica.garces@bue.edu.ar</t>
  </si>
  <si>
    <t>Colegio N 17 DE 7</t>
  </si>
  <si>
    <t>Bachiller orientación en ciencias sociales</t>
  </si>
  <si>
    <t xml:space="preserve">Verónica Garcés </t>
  </si>
  <si>
    <t>Mancuso Laura</t>
  </si>
  <si>
    <t>Claudia Uzal</t>
  </si>
  <si>
    <t>Caballito3</t>
  </si>
  <si>
    <t>5º Secundaria (Prov.) / 4º Media (CABA)</t>
  </si>
  <si>
    <t>patferre@gmail.com</t>
  </si>
  <si>
    <t>Instituto San Luis</t>
  </si>
  <si>
    <t>060407300</t>
  </si>
  <si>
    <t>Cs Naturales</t>
  </si>
  <si>
    <t>Patricia Ferreyra</t>
  </si>
  <si>
    <t>Alicia Gil</t>
  </si>
  <si>
    <t>Nicolas Ambrosoni</t>
  </si>
  <si>
    <t>Victoria/ San Fernando</t>
  </si>
  <si>
    <t>Es colegio subvencionado</t>
  </si>
  <si>
    <t>Puede dividirse en 2 subgrupos.
 Asistiremos con otro curso del mismo colegio</t>
  </si>
  <si>
    <t>Naturales y sociales</t>
  </si>
  <si>
    <t xml:space="preserve">Patricia Ferreyra </t>
  </si>
  <si>
    <t>Nicolás Ambrosoni</t>
  </si>
  <si>
    <t>Victoria/San Fernando</t>
  </si>
  <si>
    <t>Es subvencionado, los cursos tienen ambas orientaciones</t>
  </si>
  <si>
    <t>Pueden dividirse en 2 subgrupos.
Agradeceremos asistir los 2 cursos del colegio.</t>
  </si>
  <si>
    <t>horaciovarela@institutosanfelipeneri.edu.ar</t>
  </si>
  <si>
    <t xml:space="preserve">Instituto San Felipe Neri </t>
  </si>
  <si>
    <t>020130000</t>
  </si>
  <si>
    <t>7. Técnicas en diseño (gráfico, interiores, comunicación publicitaria, artesanías, indumentaria, mueble, orfebrería, jardinería y paisajismo)</t>
  </si>
  <si>
    <t>Informatico</t>
  </si>
  <si>
    <t>Horacio Varela</t>
  </si>
  <si>
    <t>Pablo Gonzalez</t>
  </si>
  <si>
    <t>Laura Vaamonde</t>
  </si>
  <si>
    <t>Mataderos</t>
  </si>
  <si>
    <t>gabriela.gonzalog@gmail.com</t>
  </si>
  <si>
    <t>Colegio Irlandes</t>
  </si>
  <si>
    <t>061602200</t>
  </si>
  <si>
    <t>Ciencias sociales</t>
  </si>
  <si>
    <t>Gabriela Gonzalo Grilo</t>
  </si>
  <si>
    <t>Sabrina Alvarenga</t>
  </si>
  <si>
    <t>Romina Ramos</t>
  </si>
  <si>
    <t>Almirante Brown</t>
  </si>
  <si>
    <t xml:space="preserve">Es una hermosa oportunidad de hacer matemática y de que conozcan la facultad. Muchas gracias </t>
  </si>
  <si>
    <t>lucilazobra@beataimelda.org</t>
  </si>
  <si>
    <t>INSTITUTO BEATA IMELDA</t>
  </si>
  <si>
    <t>020067400</t>
  </si>
  <si>
    <t>Sociales y Humanidades</t>
  </si>
  <si>
    <t>Lucila Zobra</t>
  </si>
  <si>
    <t>Rodrigo Riedel</t>
  </si>
  <si>
    <t>Andrea Chiola</t>
  </si>
  <si>
    <t>Villa Urquiza</t>
  </si>
  <si>
    <t>No tengo problema con la asignación de horarios dentro del turno y, si bien elegí el miércoles 25/4 también podría concurrir el jueves 26.</t>
  </si>
  <si>
    <t>Economía y Administración</t>
  </si>
  <si>
    <t>María Arangue</t>
  </si>
  <si>
    <t>María Eugenia Castro</t>
  </si>
  <si>
    <t>zelayaandrea@hotmail.com</t>
  </si>
  <si>
    <t>El Bosque</t>
  </si>
  <si>
    <t>6020645.00</t>
  </si>
  <si>
    <t>Exactas</t>
  </si>
  <si>
    <t>Gliozzi Sandra noemi</t>
  </si>
  <si>
    <t>.</t>
  </si>
  <si>
    <t xml:space="preserve">Almirante Brown </t>
  </si>
  <si>
    <t>mapaulasuarez@yahoo.com.ar</t>
  </si>
  <si>
    <t>Instituto Social Militar Dr Dámaso Centeno</t>
  </si>
  <si>
    <t>Ciencias Naturales y Gestión</t>
  </si>
  <si>
    <t>María Paula Suárez</t>
  </si>
  <si>
    <t>Lisette Mendez</t>
  </si>
  <si>
    <t>Bruno Bagniole</t>
  </si>
  <si>
    <t>Caballito</t>
  </si>
  <si>
    <t>julieta.pianetti@bue.edu.ar</t>
  </si>
  <si>
    <t>ESC. TEC. Nº 30 NORBERTO PINERO DE 02</t>
  </si>
  <si>
    <t>020144800</t>
  </si>
  <si>
    <t>6. Técnicas en química y tecnología de alimentos</t>
  </si>
  <si>
    <t>Quimica</t>
  </si>
  <si>
    <t>Julieta Pianetti</t>
  </si>
  <si>
    <t>Alejandra Ciarlantini</t>
  </si>
  <si>
    <t>Lautaro Aquino</t>
  </si>
  <si>
    <t>Almagro</t>
  </si>
  <si>
    <t>lbusso@colegioeltaller.com.ar</t>
  </si>
  <si>
    <t>Instituto secundario el taller</t>
  </si>
  <si>
    <t xml:space="preserve">Comunicación </t>
  </si>
  <si>
    <t xml:space="preserve">María Laura Busso </t>
  </si>
  <si>
    <t>Rosana Novegil</t>
  </si>
  <si>
    <t>Carolina Puente</t>
  </si>
  <si>
    <t>Boedo</t>
  </si>
  <si>
    <t>brian.monzon@sagrado-boulogne.edu.ar</t>
  </si>
  <si>
    <t xml:space="preserve">Colegio Sagrado Corazón de Jesús </t>
  </si>
  <si>
    <t>061211300</t>
  </si>
  <si>
    <t xml:space="preserve">Economía y administración </t>
  </si>
  <si>
    <t>Brian Leonel Monzon</t>
  </si>
  <si>
    <t>Aldana Carboni</t>
  </si>
  <si>
    <t>Boulogne</t>
  </si>
  <si>
    <t>juliangosatti@holmbergschule.edu.ar</t>
  </si>
  <si>
    <t>instituto educativo Eduardo L. Holmberg</t>
  </si>
  <si>
    <t>060399600</t>
  </si>
  <si>
    <t>Ciencias Naturales</t>
  </si>
  <si>
    <t>Julián Gosatti</t>
  </si>
  <si>
    <t>Florencia Rivas</t>
  </si>
  <si>
    <t>quilmes</t>
  </si>
  <si>
    <t>pamel_7787@hotmail.com</t>
  </si>
  <si>
    <t xml:space="preserve">Escuela de educación secundaria N*22 Morón </t>
  </si>
  <si>
    <t>060615900</t>
  </si>
  <si>
    <t xml:space="preserve">Cintia Borda </t>
  </si>
  <si>
    <t xml:space="preserve">José Luis Escalante </t>
  </si>
  <si>
    <t xml:space="preserve">Ricarte Yanina </t>
  </si>
  <si>
    <t>PARTIDOS DEL GRAN BUENOS AIRES-OESTE</t>
  </si>
  <si>
    <t xml:space="preserve">Morón </t>
  </si>
  <si>
    <t xml:space="preserve">Los chicos desean conocer la UBA ya que varios están pensando seguir sus estudios una vez finalizada la secundaria. </t>
  </si>
  <si>
    <t xml:space="preserve">Aquellas actividades relacionadas con la aplicación de la matemática a la vida cotidiana y la realidad de los chicos es lo que más nos atrae de la muestra </t>
  </si>
  <si>
    <t>Ciencias Sociales</t>
  </si>
  <si>
    <t>Brian Monzon</t>
  </si>
  <si>
    <t>Marcelo Citracca</t>
  </si>
  <si>
    <t>luis.barrio@bue.edu.ar</t>
  </si>
  <si>
    <t>ESC. DE COM. Nº 20 DR. JUAN AGUSTIN GARCIA DE 14</t>
  </si>
  <si>
    <t>Administración y Economía</t>
  </si>
  <si>
    <t>Luis Octavio Barrio</t>
  </si>
  <si>
    <t>David Nuñez Duarte</t>
  </si>
  <si>
    <t>La Paternal</t>
  </si>
  <si>
    <t>Prioridad: 
9:30 Charla
10:30 Taller
11:30 Estaciones interactivas</t>
  </si>
  <si>
    <t>yanina.ricarte@gmail.com</t>
  </si>
  <si>
    <t>Escuela de educacion secundaria n°22 moron</t>
  </si>
  <si>
    <t xml:space="preserve"> sociales</t>
  </si>
  <si>
    <t>Adriana Yanina ricarte</t>
  </si>
  <si>
    <t>Cintia borda</t>
  </si>
  <si>
    <t>Jose luis escalante</t>
  </si>
  <si>
    <t>Moron</t>
  </si>
  <si>
    <t>gladys.cristina.albano@gmail.com</t>
  </si>
  <si>
    <t>Instituto Nuestra Señora del Milagro</t>
  </si>
  <si>
    <t>020167500</t>
  </si>
  <si>
    <t>Humanidades</t>
  </si>
  <si>
    <t>Gladys Cristina Albano</t>
  </si>
  <si>
    <t>Gabriela Lopez</t>
  </si>
  <si>
    <t>Villa Luro</t>
  </si>
  <si>
    <t>marisaleg2020@gmail.com</t>
  </si>
  <si>
    <t>Escuela de educación superior técnica N°3 "Japón"</t>
  </si>
  <si>
    <t>0605618</t>
  </si>
  <si>
    <t>2. Técnicas en computación, electrónica, informática</t>
  </si>
  <si>
    <t xml:space="preserve">Electromecánica </t>
  </si>
  <si>
    <t xml:space="preserve">Marisa Leguizamón </t>
  </si>
  <si>
    <t>Silvia Villalba</t>
  </si>
  <si>
    <t>Gladys Giordana</t>
  </si>
  <si>
    <t xml:space="preserve">San Miguel </t>
  </si>
  <si>
    <t>4º Secundaria (Prov:) / 3º Media (CABA)</t>
  </si>
  <si>
    <t xml:space="preserve">Ninguno </t>
  </si>
  <si>
    <t>mabeneto@gmail.com</t>
  </si>
  <si>
    <t>Escuela de Educación Secundaria Técnica Juan XXIII</t>
  </si>
  <si>
    <t>5. Técnicas área producción (electromecánica, mecánica, metalurgia, electricidad, automotores, refrigeración, construcciones, maestro mayor de obras, aeronáutica, naval, aviónico, óptico, en geografía matemática)</t>
  </si>
  <si>
    <t xml:space="preserve">Mabel Neto </t>
  </si>
  <si>
    <t>Norma Randone</t>
  </si>
  <si>
    <t>Fernanda Ruta</t>
  </si>
  <si>
    <t>Marcos Paz</t>
  </si>
  <si>
    <t>045c.arciello@companiademaria.edu.ar</t>
  </si>
  <si>
    <t>INSTITUTO COMPAÑIA DE MARIA</t>
  </si>
  <si>
    <t>020099900</t>
  </si>
  <si>
    <t>Bachiller en Ciencias Sociales y Humanidades</t>
  </si>
  <si>
    <t>Carolina Arciello</t>
  </si>
  <si>
    <t>Martin Carrano</t>
  </si>
  <si>
    <t>Anabella Lange</t>
  </si>
  <si>
    <t>caroarciello@gmail.com</t>
  </si>
  <si>
    <t>Colegiales</t>
  </si>
  <si>
    <t>Bachiller en Economía y Administración</t>
  </si>
  <si>
    <t>Martín Carrano</t>
  </si>
  <si>
    <t>soledadcabodevila@docentes.sanmaron.edu.ar</t>
  </si>
  <si>
    <t>Instituto San Marón</t>
  </si>
  <si>
    <t>Ciencias Sociales y Humanidades</t>
  </si>
  <si>
    <t>Soledad Cabodevila</t>
  </si>
  <si>
    <t>Cecilia Díaz</t>
  </si>
  <si>
    <t>San Nicolás</t>
  </si>
  <si>
    <t>felipe.saenzpaz@escueladelmirador.edu.ar</t>
  </si>
  <si>
    <t>Escuela del Mirador</t>
  </si>
  <si>
    <t>En Ciencias Sociales y Humanidades. Educación bilingüe en inglés</t>
  </si>
  <si>
    <t>Felipe Saenz Paz</t>
  </si>
  <si>
    <t>Veronica Mollinari</t>
  </si>
  <si>
    <t>Villa Devoto</t>
  </si>
  <si>
    <t>Veronica Mollineri</t>
  </si>
  <si>
    <t>jp.alvarez29@gmail.com</t>
  </si>
  <si>
    <t xml:space="preserve">Instituto Parroquial Cristo Obrero </t>
  </si>
  <si>
    <t>0605718</t>
  </si>
  <si>
    <t xml:space="preserve">Sociales </t>
  </si>
  <si>
    <t xml:space="preserve">Juan Pablo Alvarez </t>
  </si>
  <si>
    <t xml:space="preserve">Vanina Barbera </t>
  </si>
  <si>
    <t xml:space="preserve">Haedo, Morón </t>
  </si>
  <si>
    <t>eri.bet.80@gmail.com</t>
  </si>
  <si>
    <t>EES27 de José C. Paz</t>
  </si>
  <si>
    <t>061744400</t>
  </si>
  <si>
    <t xml:space="preserve">Pogonza Erica </t>
  </si>
  <si>
    <t>Ferrier Leris</t>
  </si>
  <si>
    <t>Núñez Vanesa</t>
  </si>
  <si>
    <t xml:space="preserve">San Gabriel </t>
  </si>
  <si>
    <t>normabcer@hotmail.com</t>
  </si>
  <si>
    <t>Instituto Parroquial Cristo Obrero</t>
  </si>
  <si>
    <t xml:space="preserve">Secundaria con orientación en Ciencias Sociales </t>
  </si>
  <si>
    <t xml:space="preserve">Norma Certo </t>
  </si>
  <si>
    <t>Walter Francitorra</t>
  </si>
  <si>
    <t xml:space="preserve">Juan Álvarez </t>
  </si>
  <si>
    <t xml:space="preserve">Haedo </t>
  </si>
  <si>
    <t>Atoranza@icristoobrero.edu.ar</t>
  </si>
  <si>
    <t xml:space="preserve">Economía y Administración de empresas/ Ciencias Sociales </t>
  </si>
  <si>
    <t>Toranza Antonella Aylen</t>
  </si>
  <si>
    <t>Gonzalez Daniela (preceptora)</t>
  </si>
  <si>
    <t>Martinez Mariela (vice)</t>
  </si>
  <si>
    <t>atoranza@hotmail.com</t>
  </si>
  <si>
    <t>Haedo</t>
  </si>
  <si>
    <t>jzalla@abc.gob.ar</t>
  </si>
  <si>
    <t xml:space="preserve">EEST N°10 </t>
  </si>
  <si>
    <t>INFORMATICA</t>
  </si>
  <si>
    <t>GABRIEL ZALLA</t>
  </si>
  <si>
    <t>LUCIANA DI MARE</t>
  </si>
  <si>
    <t>CAROLA RODRIGUEZ</t>
  </si>
  <si>
    <t>VILLA MADERO</t>
  </si>
  <si>
    <t>3º Secundaria (Prov.) / 2º Media (CABA)</t>
  </si>
  <si>
    <t>Jornada simple: sólo turno tarde (12.30 a 16:00 hs.)</t>
  </si>
  <si>
    <t>lencinaluisalberto@gmail.com</t>
  </si>
  <si>
    <t>EES 15 - La Calandria</t>
  </si>
  <si>
    <t>061544600</t>
  </si>
  <si>
    <t>Cs. Sociales</t>
  </si>
  <si>
    <t xml:space="preserve">Lencina Luis </t>
  </si>
  <si>
    <t>Quevedo Matias</t>
  </si>
  <si>
    <t>Quintana Alejandro</t>
  </si>
  <si>
    <t>San José, Alte. Brown</t>
  </si>
  <si>
    <t>velz2017@gmail.com</t>
  </si>
  <si>
    <t xml:space="preserve">EES N° 98 </t>
  </si>
  <si>
    <t>061749800</t>
  </si>
  <si>
    <t xml:space="preserve">Viviana Leaños </t>
  </si>
  <si>
    <t>Veronica Soler</t>
  </si>
  <si>
    <t xml:space="preserve">Isidro Casanova </t>
  </si>
  <si>
    <t>cfp10bachiller@gmail.com</t>
  </si>
  <si>
    <t>cfp nº10 BACHILLER CON ORIENTACIÓN EN INFORMÁTICA</t>
  </si>
  <si>
    <t>0200200700</t>
  </si>
  <si>
    <t xml:space="preserve">iNFORMÁTICA </t>
  </si>
  <si>
    <t>MARISA MARIANI</t>
  </si>
  <si>
    <t>NADIA CURA</t>
  </si>
  <si>
    <t>JUAN MIGUEZ</t>
  </si>
  <si>
    <t>CFP10BACHILLER@GMAIL.COM</t>
  </si>
  <si>
    <t>MICROCENTRO</t>
  </si>
  <si>
    <t xml:space="preserve">sOMOS UN SECUNDARIO DE TERMINALIDAD SECUNDARIA </t>
  </si>
  <si>
    <t xml:space="preserve">ES IMPERIOSO PARA NOSOTROS CONCURRIR POR LA MAÑANA </t>
  </si>
  <si>
    <t>veroale1985@yahoo.com.ar</t>
  </si>
  <si>
    <t>Escuela de Educación Secundaria N°102(E.E.S N°102)</t>
  </si>
  <si>
    <t>061855100</t>
  </si>
  <si>
    <t>Es la Escuela de Educación Secundaria y la modalidad es Economía y Administración</t>
  </si>
  <si>
    <t>Miranda Calderón Verónica</t>
  </si>
  <si>
    <t>Maidana Susana</t>
  </si>
  <si>
    <t>Delgado Gabriela</t>
  </si>
  <si>
    <t>Gonzalez Catan Barrio: Independencia</t>
  </si>
  <si>
    <t>veronica.basualdo@bue.edu.ar</t>
  </si>
  <si>
    <t>Escuela de Comercio N° 12 DE 21</t>
  </si>
  <si>
    <t>3. Técnicas en administración de empresas, administración de las organizaciones, servicios turísticos, multimedios</t>
  </si>
  <si>
    <t>Administración Contable</t>
  </si>
  <si>
    <t>Jimena Leal</t>
  </si>
  <si>
    <t>Selene Barraza</t>
  </si>
  <si>
    <t>Julieta Iovaldi</t>
  </si>
  <si>
    <t>Villa Lugano</t>
  </si>
  <si>
    <t>Es una excelente propuesta didáctica para los y las estdiantes</t>
  </si>
  <si>
    <t xml:space="preserve">La facultad favorece el acercamiento de los y las estudiantes de la escuela media a la propuesta académica universitaria que permite otro encuentro de aprendizaje en el campo de la Matemática </t>
  </si>
  <si>
    <t>andreromero6@abc.gob.ar</t>
  </si>
  <si>
    <t>ESCUELA SECUNDARIA N°2 "Hernando Arias de Saavedra"</t>
  </si>
  <si>
    <t>060765300</t>
  </si>
  <si>
    <t xml:space="preserve">Sociales Naturales Arte Economía </t>
  </si>
  <si>
    <t xml:space="preserve">Romero Andrea </t>
  </si>
  <si>
    <t>Quintana Andrea</t>
  </si>
  <si>
    <t>Cerutti Romina</t>
  </si>
  <si>
    <t>secundaria2sanfernando@abc.gob.ar</t>
  </si>
  <si>
    <t>Victoria</t>
  </si>
  <si>
    <t>Consultar si disponen de transporte para traslado</t>
  </si>
  <si>
    <t>larroudev@gmail.com</t>
  </si>
  <si>
    <t>Instituto Casa de Jesús</t>
  </si>
  <si>
    <t>020042000</t>
  </si>
  <si>
    <t>Economía e Informática</t>
  </si>
  <si>
    <t>Victoria Larroudé</t>
  </si>
  <si>
    <t>Fabiana Scala</t>
  </si>
  <si>
    <t>melisa.vega@bue.edu.ar</t>
  </si>
  <si>
    <t>Colegio 4 D.E 9 "Nicolás Avellaneda"</t>
  </si>
  <si>
    <t>Ciencias Naturales.</t>
  </si>
  <si>
    <t>Melisa Mariel Vega</t>
  </si>
  <si>
    <t>Gilda Karina Espinoza</t>
  </si>
  <si>
    <t>Verónica Mariana Corral</t>
  </si>
  <si>
    <t>Palermo.</t>
  </si>
  <si>
    <t>Colegio 4 D.E. 9 "Nicolas Avellaneda"</t>
  </si>
  <si>
    <t>20.</t>
  </si>
  <si>
    <t>flavia.huanuco@bue.edu.ar</t>
  </si>
  <si>
    <t>Esc. 17 DE 13 ESC. TEC. Nº 17 BRIG.GRAL CORNELIO SAAVEDRA DE 13</t>
  </si>
  <si>
    <t>Maestro mayor de obra</t>
  </si>
  <si>
    <t xml:space="preserve">Flavia Huanuco </t>
  </si>
  <si>
    <t xml:space="preserve">Sandra Navarro </t>
  </si>
  <si>
    <t xml:space="preserve">Parque Avellaneda </t>
  </si>
  <si>
    <t>dekergustavo@gmail.com</t>
  </si>
  <si>
    <t>Instituto La Candelaria</t>
  </si>
  <si>
    <t>020017800</t>
  </si>
  <si>
    <t>Gustavo Deker</t>
  </si>
  <si>
    <t>Florencia Carabajal</t>
  </si>
  <si>
    <t>Marcelo Collavino</t>
  </si>
  <si>
    <t>Floresta</t>
  </si>
  <si>
    <t>florenciainescarbajal@gmail.com</t>
  </si>
  <si>
    <t>INSTITUTO LA CANDELARIA</t>
  </si>
  <si>
    <t>ECONOMÍA</t>
  </si>
  <si>
    <t>Florencia Carbajal</t>
  </si>
  <si>
    <t>florenciainescarbjal@gmail.com</t>
  </si>
  <si>
    <t>CIENCIAS SOCIALES</t>
  </si>
  <si>
    <t>COMUNICACIÓN</t>
  </si>
  <si>
    <t>cdpatzi@colegioesquiu.edu.ar</t>
  </si>
  <si>
    <t xml:space="preserve">INSTITUTO ESQUIU	</t>
  </si>
  <si>
    <t>020097600</t>
  </si>
  <si>
    <t>Contables</t>
  </si>
  <si>
    <t>Cristian Marcos Diaz Patzi</t>
  </si>
  <si>
    <t>Luciana Belossi</t>
  </si>
  <si>
    <t>Palermo</t>
  </si>
  <si>
    <t>diroldan@abc.gob.ar</t>
  </si>
  <si>
    <t>E.E.S. N°29 "DR. ESTEBAN MARADONA"</t>
  </si>
  <si>
    <t>061744300</t>
  </si>
  <si>
    <t>ORIENTACIÓN EN ECONOMÍA Y GESTIÓN</t>
  </si>
  <si>
    <t>DIEGO ROLDAN</t>
  </si>
  <si>
    <t>ROMERO ROXANA</t>
  </si>
  <si>
    <t>PAVON MIRTA</t>
  </si>
  <si>
    <t>JOSE C. PAZ</t>
  </si>
  <si>
    <t>Nuestra comunidad está compuesta por familias de bajo recursos económicos, y por ese motivo no pueden solventar una salida de este tipo. Así que estamos muy agradecidos de esta oportunidad que se nos brinda y esperamos con ansias la confirmación de la salida.</t>
  </si>
  <si>
    <t>Muchas gracias.</t>
  </si>
  <si>
    <t>paolaf@proyeccionxxi.com.ar</t>
  </si>
  <si>
    <t>Instituto Proyección XXI</t>
  </si>
  <si>
    <t>062217900</t>
  </si>
  <si>
    <t>Maria Paola Flosi</t>
  </si>
  <si>
    <t>Estrella Lopez</t>
  </si>
  <si>
    <t>Eliana Panzeri</t>
  </si>
  <si>
    <t>Quilmes - Bernal oeste</t>
  </si>
  <si>
    <t>siomaralaghi@gmail.com</t>
  </si>
  <si>
    <t xml:space="preserve">Stella Fernández </t>
  </si>
  <si>
    <t>cecilia.nieves@colegioriodelaplata.edu.ar</t>
  </si>
  <si>
    <t>COLEGIO RIO DE LA PLATA</t>
  </si>
  <si>
    <t>020092200</t>
  </si>
  <si>
    <t>Bachiller bulingue con orientacion en Economia y Administracion</t>
  </si>
  <si>
    <t>Veronica Spraggon</t>
  </si>
  <si>
    <t>Marco Beretta</t>
  </si>
  <si>
    <t>Ariel Gercovich</t>
  </si>
  <si>
    <t>Recoleta</t>
  </si>
  <si>
    <t>Colegio Rio de la Plata</t>
  </si>
  <si>
    <t>Bachiller bilingue con orientacion en economia y administracion</t>
  </si>
  <si>
    <t>Veronica Spragon</t>
  </si>
  <si>
    <t>recoleta</t>
  </si>
  <si>
    <t>paula.aguirre@bue.edu.ar</t>
  </si>
  <si>
    <t>Escuela Argentina Modelo</t>
  </si>
  <si>
    <t>020072100</t>
  </si>
  <si>
    <t>Area de Naturales</t>
  </si>
  <si>
    <t>Paula Aguirre</t>
  </si>
  <si>
    <t>Sofia Sordelli</t>
  </si>
  <si>
    <t>carmarespindola@gmail.com</t>
  </si>
  <si>
    <t>E.E.S.T. Nº 4 "JUAN MANUEL FANGIO"</t>
  </si>
  <si>
    <t>060765500</t>
  </si>
  <si>
    <t>Análisis Matemático</t>
  </si>
  <si>
    <t>Carla Espíndola</t>
  </si>
  <si>
    <t>Martín Suarez</t>
  </si>
  <si>
    <t>San Justo</t>
  </si>
  <si>
    <t>Para nosotros sería una oportunidad muy importante poder asistir</t>
  </si>
  <si>
    <t>Martín Suárez</t>
  </si>
  <si>
    <t>Esperamos ansiosos poder asistir</t>
  </si>
  <si>
    <t>De ser necesario se pueden modificar horarios</t>
  </si>
  <si>
    <t>fgarcia@iiconcepcion.edu.ar</t>
  </si>
  <si>
    <t>Instituto Inmaculada Concepción</t>
  </si>
  <si>
    <t>0201239</t>
  </si>
  <si>
    <t>Bachiller con orientación en informática</t>
  </si>
  <si>
    <t>Florencia Garcia</t>
  </si>
  <si>
    <t>Facundo Romano</t>
  </si>
  <si>
    <t>Javier Francario</t>
  </si>
  <si>
    <t>Constitución</t>
  </si>
  <si>
    <t>kaovejluci@gmail.com</t>
  </si>
  <si>
    <t>SECUNDARIA 26 "LUIS ALBERTO SPINETTA"</t>
  </si>
  <si>
    <t>061794100</t>
  </si>
  <si>
    <t>4. Artísticas de todas las orientaciones</t>
  </si>
  <si>
    <t xml:space="preserve">ARTE Y MÚSICA </t>
  </si>
  <si>
    <t>KARINA OVEJERO</t>
  </si>
  <si>
    <t>DAIANA RODRIGUEZ</t>
  </si>
  <si>
    <t>SABRINA ALONSO</t>
  </si>
  <si>
    <t>JOSÉ LEÓN SUÁREZ</t>
  </si>
  <si>
    <t>SELECCIONÉ ESOS HORARIOS PORQUE TENEMOS UN LARGO VIAJE, PERO EL RANGO DE HORARIOS SERÍA DE 10.30 A 14, EL ORDEN DE LAS ACTIVIDADES ES INDISTINTO.</t>
  </si>
  <si>
    <t>candelaldana@gmail.com</t>
  </si>
  <si>
    <t>INSTITUTO SAN LUIS GONZAGA</t>
  </si>
  <si>
    <t>061107100</t>
  </si>
  <si>
    <t xml:space="preserve">Economia y Administración. </t>
  </si>
  <si>
    <t>Candela Aldana Lorusso</t>
  </si>
  <si>
    <t>Aun no están definidos los profesores acompañantes</t>
  </si>
  <si>
    <t>Tapiales / La Matanza</t>
  </si>
  <si>
    <t>Martes 23/4</t>
  </si>
  <si>
    <t>Economía y administración</t>
  </si>
  <si>
    <t>Aun no están determinados los profesores acompañantes</t>
  </si>
  <si>
    <t>Comunicaciones</t>
  </si>
  <si>
    <t>santiagoandreanoemi@gmail.com</t>
  </si>
  <si>
    <t>Escuela de Educación Secundaria N° 3 Profeso Francisco J Salustio Quilmes</t>
  </si>
  <si>
    <t>061000200</t>
  </si>
  <si>
    <t xml:space="preserve">Andrea Santiago </t>
  </si>
  <si>
    <t xml:space="preserve">Gabriela Cortés </t>
  </si>
  <si>
    <t>Jorge Domeneguini</t>
  </si>
  <si>
    <t xml:space="preserve">Quilmes Oeste </t>
  </si>
  <si>
    <t>fbillone@lasnieves.edu.ar</t>
  </si>
  <si>
    <t xml:space="preserve">Nuestra señora de las nieves </t>
  </si>
  <si>
    <t>020073800</t>
  </si>
  <si>
    <t xml:space="preserve">Florencia billone </t>
  </si>
  <si>
    <t>Mariana Ceraolo</t>
  </si>
  <si>
    <t>Liniers</t>
  </si>
  <si>
    <t>rominasanchez@njypater.com</t>
  </si>
  <si>
    <t>Instituto Pater c.e.</t>
  </si>
  <si>
    <t>061933100</t>
  </si>
  <si>
    <t>Sociales y economia</t>
  </si>
  <si>
    <t>Romina Sanchez</t>
  </si>
  <si>
    <t>Gisela Marino</t>
  </si>
  <si>
    <t>Pablo Godoi</t>
  </si>
  <si>
    <t>Bernal Quilmes</t>
  </si>
  <si>
    <t>Los alumnos realizan un proyecto sobre mate juegos y vendría genial! Gracias!</t>
  </si>
  <si>
    <t>secundaria@santiagoapostol.edu.ar</t>
  </si>
  <si>
    <t xml:space="preserve">Instituto Argentino Gallego Santiago Apóstol </t>
  </si>
  <si>
    <t>020212700</t>
  </si>
  <si>
    <t>Bachiller con Orientación en ciencias sociales y humanidades</t>
  </si>
  <si>
    <t>Rodriguez Bibiana</t>
  </si>
  <si>
    <t>Da Silva Rocio</t>
  </si>
  <si>
    <t xml:space="preserve">Once </t>
  </si>
  <si>
    <t>secundario@santiagoapostol.edu.ar</t>
  </si>
  <si>
    <t>Bachiller con Orientación en Ciencias Sociales y Humanidades</t>
  </si>
  <si>
    <t xml:space="preserve">Rocio Da Silva </t>
  </si>
  <si>
    <t>Diego Colombo</t>
  </si>
  <si>
    <t>Once</t>
  </si>
  <si>
    <t xml:space="preserve">Hicimos otra respuesta para poder ir con 4º y 5º año </t>
  </si>
  <si>
    <t>Hicimos dos formularios para ir con nuestros estudiantes de 4º y 5º año</t>
  </si>
  <si>
    <t>Sociales y Economia</t>
  </si>
  <si>
    <t>Los estudiantes harán un proyecto sobre mate juegos vendría genial esta visita! Gracias</t>
  </si>
  <si>
    <t>jvibanez13@gmail.com</t>
  </si>
  <si>
    <t>Instituto Mercedes Pacheco</t>
  </si>
  <si>
    <t>020029500</t>
  </si>
  <si>
    <t>Jorge Ibañez</t>
  </si>
  <si>
    <t>Luciana Perea</t>
  </si>
  <si>
    <t>Nunca participamos</t>
  </si>
  <si>
    <t>auniversidad@goethe.edu.ar</t>
  </si>
  <si>
    <t>Instituto Escolar Goethe Schule</t>
  </si>
  <si>
    <t>061215200</t>
  </si>
  <si>
    <t>Tatiana Wolff</t>
  </si>
  <si>
    <t>Melina Seinfert</t>
  </si>
  <si>
    <t>Boologne Sur Mer</t>
  </si>
  <si>
    <t>jessicaamaidana@gmail.com</t>
  </si>
  <si>
    <t>Instituto Educacional Argentino Nuestra Señora de Luján</t>
  </si>
  <si>
    <t>Maidana Jessica</t>
  </si>
  <si>
    <t xml:space="preserve">Fenando beitia </t>
  </si>
  <si>
    <t>Fernanda goldaracena</t>
  </si>
  <si>
    <t xml:space="preserve">Villa Pueyrredón </t>
  </si>
  <si>
    <t>mercedesgonzalez@institutourquiza.edu.ar</t>
  </si>
  <si>
    <t>Instituto Justo José de Urquiza SRL</t>
  </si>
  <si>
    <t>Comunicación</t>
  </si>
  <si>
    <t>Mercedes Gonzalez</t>
  </si>
  <si>
    <t xml:space="preserve">Martín Volpatti </t>
  </si>
  <si>
    <t>Carlos Espósito</t>
  </si>
  <si>
    <t>vanina.acuna89@gmail.com</t>
  </si>
  <si>
    <t>Instituto palomar de caseros</t>
  </si>
  <si>
    <t>060578000</t>
  </si>
  <si>
    <t xml:space="preserve">Ciencias sociales </t>
  </si>
  <si>
    <t xml:space="preserve">Vanina Acuña </t>
  </si>
  <si>
    <t>Claudia Cicarelli</t>
  </si>
  <si>
    <t>Leonardo Cardaci</t>
  </si>
  <si>
    <t xml:space="preserve">Ciudad jardin </t>
  </si>
  <si>
    <t xml:space="preserve">Comunicaciones </t>
  </si>
  <si>
    <t>Vanina acuña</t>
  </si>
  <si>
    <t>Claudia cicarelli</t>
  </si>
  <si>
    <t>Leonardo cardaci</t>
  </si>
  <si>
    <t>Ciudad jardin</t>
  </si>
  <si>
    <t>Electromecánica</t>
  </si>
  <si>
    <t xml:space="preserve">Julieta Pianetti </t>
  </si>
  <si>
    <t xml:space="preserve">Gisela Martínez </t>
  </si>
  <si>
    <t>Alejandro Barrera</t>
  </si>
  <si>
    <t>lucila.zobra@colegiosanfranciscocoll.com.ar</t>
  </si>
  <si>
    <t xml:space="preserve">	COLEGIO SAN FRANCISCO COLL</t>
  </si>
  <si>
    <t>020078500</t>
  </si>
  <si>
    <t>María Lucila Zobra</t>
  </si>
  <si>
    <t>Silvina Salvia</t>
  </si>
  <si>
    <t>Sofía Rodríguez Bazzi</t>
  </si>
  <si>
    <t>No habría problema con modificar los horarios de talleres, actividades y charlas respetando día y turno.</t>
  </si>
  <si>
    <t>COLEGIO SAN FRANCISCO COLL</t>
  </si>
  <si>
    <t>Cecilia Mota</t>
  </si>
  <si>
    <t>Macarena Sanguiao</t>
  </si>
  <si>
    <t>Instituto Don Orione</t>
  </si>
  <si>
    <t>Zelaya  maria Andrea</t>
  </si>
  <si>
    <t>Glliozzi sandra</t>
  </si>
  <si>
    <t>SCHMITLEIN CLAUDIA</t>
  </si>
  <si>
    <t>Florencio varela</t>
  </si>
  <si>
    <t xml:space="preserve">Instituto Don Orione </t>
  </si>
  <si>
    <t xml:space="preserve">Orientacion en Economía </t>
  </si>
  <si>
    <t xml:space="preserve">Zelaya Maria Andrea </t>
  </si>
  <si>
    <t>Gliozzi Sandra</t>
  </si>
  <si>
    <t>Schmitlein claudia</t>
  </si>
  <si>
    <t xml:space="preserve">Florencio Varela </t>
  </si>
  <si>
    <t>lilianamercado@colegioubaescobar.gob.ar</t>
  </si>
  <si>
    <t>Cereijo UBA</t>
  </si>
  <si>
    <t xml:space="preserve">Liliana Mercado </t>
  </si>
  <si>
    <t>Marlene Aguirre</t>
  </si>
  <si>
    <t>Belén de Escobar</t>
  </si>
  <si>
    <t xml:space="preserve">Cereijo UBA </t>
  </si>
  <si>
    <t xml:space="preserve">Arte </t>
  </si>
  <si>
    <t>Sebastián Furlong</t>
  </si>
  <si>
    <t>saulprofe2024@gmail.com</t>
  </si>
  <si>
    <t>Escuela de Educación Secundaria Nro 5 Belgrano Educador</t>
  </si>
  <si>
    <t>060917900</t>
  </si>
  <si>
    <t>Ciencias naturales y ciencias sociales</t>
  </si>
  <si>
    <t>Saúl Flores</t>
  </si>
  <si>
    <t>Walter Marquez</t>
  </si>
  <si>
    <t>Nadia Oflaerti</t>
  </si>
  <si>
    <t>Campo de mayo</t>
  </si>
  <si>
    <t>No me deja marcar las opciones de visitaa guiadas y talleres.</t>
  </si>
  <si>
    <t>gisela.serrano@bue.edu.ar</t>
  </si>
  <si>
    <t>Escuela Normal Superior N°4 "Estanislao S. Zeballos"</t>
  </si>
  <si>
    <t>Matemática-Física</t>
  </si>
  <si>
    <t>Gisela Serrano</t>
  </si>
  <si>
    <t>Natalia Grandal</t>
  </si>
  <si>
    <t>Yamile Bohorquez</t>
  </si>
  <si>
    <t>simonespinoza@colegiopiaget.edu.ar</t>
  </si>
  <si>
    <t>COLEGIO PIAGET</t>
  </si>
  <si>
    <t>061222400</t>
  </si>
  <si>
    <t xml:space="preserve">Secundario orientación en artes </t>
  </si>
  <si>
    <t>Magalí Garbuglia</t>
  </si>
  <si>
    <t>Gustavo Jaimes</t>
  </si>
  <si>
    <t xml:space="preserve">Simón Espinoza </t>
  </si>
  <si>
    <t>secundaria@colegiopiaget.edu.ar</t>
  </si>
  <si>
    <t>San Isidro</t>
  </si>
  <si>
    <t xml:space="preserve">Deseamos que nuestros estudiantes reconozcan la importancia de la matemática como disciplina transversal a todas </t>
  </si>
  <si>
    <t>laurabusso@bue.edu.ar</t>
  </si>
  <si>
    <t>Normal 9 D. F. Sarmiento</t>
  </si>
  <si>
    <t>00201177</t>
  </si>
  <si>
    <t xml:space="preserve">Naturales y turismo </t>
  </si>
  <si>
    <t>Gonzalo Godoy</t>
  </si>
  <si>
    <t xml:space="preserve">Lorena García </t>
  </si>
  <si>
    <t>laurabusso@bue.edu</t>
  </si>
  <si>
    <t>Balvanera</t>
  </si>
  <si>
    <t>Poblacion escolar en su mayor parte del barrio de retiro</t>
  </si>
  <si>
    <t>wmarquez@abc.gob.ar</t>
  </si>
  <si>
    <t>E.E.S n⁰5 "Belgrano Educador"</t>
  </si>
  <si>
    <t>Javier Delia</t>
  </si>
  <si>
    <t>Silvana Sosa</t>
  </si>
  <si>
    <t xml:space="preserve">San miguel </t>
  </si>
  <si>
    <t>Normal 9</t>
  </si>
  <si>
    <t>Turismo y naturales</t>
  </si>
  <si>
    <t xml:space="preserve">Gonzalo Godoy </t>
  </si>
  <si>
    <t>marucha1673@gmail.com</t>
  </si>
  <si>
    <t xml:space="preserve">INSTITUTO EDUCACIONAL ARGENTINO NUESTRA SEÑORA DE LUJAN </t>
  </si>
  <si>
    <t xml:space="preserve">Informática </t>
  </si>
  <si>
    <t>LAUTARO</t>
  </si>
  <si>
    <t>PEREYRA LIMA</t>
  </si>
  <si>
    <t>Fernanda Goldaracena</t>
  </si>
  <si>
    <t>maru.cuba73@gmail.com</t>
  </si>
  <si>
    <t>Vila Pueyrredon</t>
  </si>
  <si>
    <t>INSTITUTO EDUCACIONAL ARGENTINO NUESTRA SEÑORA DE LUJAN</t>
  </si>
  <si>
    <t>MARIELA CUBA</t>
  </si>
  <si>
    <t>FERNANDO OLIVA</t>
  </si>
  <si>
    <t>FERNANDA GOLDARACENA</t>
  </si>
  <si>
    <t>VILLA PUEYRREDON</t>
  </si>
  <si>
    <t>LOS ALUMNOS ESTAN BUSCANDO QUE ESTUDIAR Y ESTO LES AYUDARIA MUCHISIMO</t>
  </si>
  <si>
    <t>smorel@sanvicenteescobar.edu.ar</t>
  </si>
  <si>
    <t>Instituto San Vicente de Paul</t>
  </si>
  <si>
    <t>061310300</t>
  </si>
  <si>
    <t>Bachiller con orientación en Ciencias Naturales</t>
  </si>
  <si>
    <t xml:space="preserve">Silvana Morel </t>
  </si>
  <si>
    <t>Lorena Medina</t>
  </si>
  <si>
    <t>Diego Torres</t>
  </si>
  <si>
    <t>Escobar</t>
  </si>
  <si>
    <t>lmedina@sanvicenteescobar.edu.ar</t>
  </si>
  <si>
    <t xml:space="preserve">Instituto San Vicente de Paul </t>
  </si>
  <si>
    <t>Bachiller con orientación en Cs Sociales</t>
  </si>
  <si>
    <t xml:space="preserve">Lorena Medina </t>
  </si>
  <si>
    <t>Silvana Morel</t>
  </si>
  <si>
    <t>Lorena Rodriguez</t>
  </si>
  <si>
    <t>silviaetchebehere@colegiocanada.edu.ar</t>
  </si>
  <si>
    <t xml:space="preserve">Colegio Canadá </t>
  </si>
  <si>
    <t>Silvia Mara Etchebehere</t>
  </si>
  <si>
    <t>Luciana Rodríguez</t>
  </si>
  <si>
    <t>Paola Reyes</t>
  </si>
  <si>
    <t>Caballito/Caba31</t>
  </si>
  <si>
    <t>Caballito Caba</t>
  </si>
  <si>
    <t>jaquelin.e.pereyra@hotmail.com</t>
  </si>
  <si>
    <t>Escuela de Educación Secundaria N°35</t>
  </si>
  <si>
    <t>061826600</t>
  </si>
  <si>
    <t xml:space="preserve">Jaqueline Pereyra </t>
  </si>
  <si>
    <t>Natalia Gómez</t>
  </si>
  <si>
    <t>Norma Gaitán</t>
  </si>
  <si>
    <t xml:space="preserve">Luis Guillón </t>
  </si>
  <si>
    <t>Los alumnos de nuestra institución provienen de un sector social y económicamente bulnerables por lo que esperan y valoran las salidas educativas</t>
  </si>
  <si>
    <t>La cantidad de alumnos es aproximada debido a que algunos están en condición de rendir 3er materia para pasar a 6to</t>
  </si>
  <si>
    <t>mzeni1@abc.gov.ar</t>
  </si>
  <si>
    <t xml:space="preserve">EET N°3 JAPÓN </t>
  </si>
  <si>
    <t>060561800</t>
  </si>
  <si>
    <t xml:space="preserve">Automotores </t>
  </si>
  <si>
    <t xml:space="preserve">María Zeni </t>
  </si>
  <si>
    <t xml:space="preserve">Silvia Villalba </t>
  </si>
  <si>
    <t xml:space="preserve">Preferentemente turno mañana </t>
  </si>
  <si>
    <t>agustina.stern@strinidad.edu.ar</t>
  </si>
  <si>
    <t>COLEGIO SANTA TRINIDAD</t>
  </si>
  <si>
    <t>061217100</t>
  </si>
  <si>
    <t>María Agustina Stern</t>
  </si>
  <si>
    <t>Paula Giussi</t>
  </si>
  <si>
    <t>Sociales</t>
  </si>
  <si>
    <t xml:space="preserve">San isidro </t>
  </si>
  <si>
    <t>rosana.dionisio@bue.edu.ar</t>
  </si>
  <si>
    <t>Esc. de Comercio N° 33 DE 18 "Maipú"</t>
  </si>
  <si>
    <t>Dionisio Rosana</t>
  </si>
  <si>
    <t>Daniel Guillermo</t>
  </si>
  <si>
    <t>Illariuzzi Ignacio</t>
  </si>
  <si>
    <t>Monte Castro</t>
  </si>
  <si>
    <t>sgil@sancayetanoliniers.edu.ar</t>
  </si>
  <si>
    <t>Instituto San Cayetano</t>
  </si>
  <si>
    <t>020066300</t>
  </si>
  <si>
    <t>Economía y humanidades</t>
  </si>
  <si>
    <t>Stella Maris Gil</t>
  </si>
  <si>
    <t>Lorena Garay</t>
  </si>
  <si>
    <t>Sgil@sancayetanoliniers.edu.ar</t>
  </si>
  <si>
    <t>Economia y humanidades</t>
  </si>
  <si>
    <t>Gil stella Maris</t>
  </si>
  <si>
    <t>Galvan</t>
  </si>
  <si>
    <t xml:space="preserve">Instituto Almirante Guillermo Brown </t>
  </si>
  <si>
    <t xml:space="preserve">Carolina Roqueiro </t>
  </si>
  <si>
    <t xml:space="preserve">Cecilia Cuello </t>
  </si>
  <si>
    <t>Instituto Educacional Argentino Nuestra Señorra de Luján</t>
  </si>
  <si>
    <t>Informática</t>
  </si>
  <si>
    <t>Jessica Maidana</t>
  </si>
  <si>
    <t>Fernando Beitia</t>
  </si>
  <si>
    <t>Villa Pueyrredon</t>
  </si>
  <si>
    <t>Nos encantaría que los estudiantes participen de esta propuestas.</t>
  </si>
  <si>
    <t>Instituto Educacional Argentino Nuestra Señara de Luján</t>
  </si>
  <si>
    <t xml:space="preserve">Fernanda Goldaracena </t>
  </si>
  <si>
    <t>agustinacafiero@gregorys.com.ar</t>
  </si>
  <si>
    <t xml:space="preserve">Colegio San Gregorio </t>
  </si>
  <si>
    <t>061312300</t>
  </si>
  <si>
    <t>Gestión/ TICs</t>
  </si>
  <si>
    <t>Agustina Cafiero</t>
  </si>
  <si>
    <t>German Delgado</t>
  </si>
  <si>
    <t>Manuela Seisdedos</t>
  </si>
  <si>
    <t xml:space="preserve">Vicent López </t>
  </si>
  <si>
    <t>luisangelrovella@gmail.com</t>
  </si>
  <si>
    <t>Instituto Esquiú</t>
  </si>
  <si>
    <t xml:space="preserve">Científica </t>
  </si>
  <si>
    <t>Luis Rovella</t>
  </si>
  <si>
    <t>Cristian Diaz Patzi</t>
  </si>
  <si>
    <t>larovella@colegioesquiu.edu.ar</t>
  </si>
  <si>
    <t>Caba</t>
  </si>
  <si>
    <t>Puede que sean menos chicos de lo indicado... pero siempre mayor a 20</t>
  </si>
  <si>
    <t>Orientación en artes</t>
  </si>
  <si>
    <t>Simón Espinoza</t>
  </si>
  <si>
    <t xml:space="preserve">Deseamos que nuestros estudiantes conozcan la transversalidad de la matemática en todas las disciplinas </t>
  </si>
  <si>
    <t>williams.pereyra@bue.edu.ar</t>
  </si>
  <si>
    <t xml:space="preserve">ENS N° 3 Bernardino Rivadavia </t>
  </si>
  <si>
    <t>020053600</t>
  </si>
  <si>
    <t>MATEMÁTICA</t>
  </si>
  <si>
    <t>Pereyra Williams</t>
  </si>
  <si>
    <t>Claudia Vivanco</t>
  </si>
  <si>
    <t xml:space="preserve">Silvio Benitez </t>
  </si>
  <si>
    <t>San Telmo</t>
  </si>
  <si>
    <t>vebv05@gmail.com</t>
  </si>
  <si>
    <t>Escuela de Comercio N12 DE 21</t>
  </si>
  <si>
    <t xml:space="preserve">Administración contable </t>
  </si>
  <si>
    <t>Andrea Quiroz</t>
  </si>
  <si>
    <t xml:space="preserve">Leonardo Maciel </t>
  </si>
  <si>
    <t>Ezequiel Catanzaro</t>
  </si>
  <si>
    <t>mariela.quiroz@bue.edu.ar</t>
  </si>
  <si>
    <t xml:space="preserve">Es una buena oportunidad para promover  el intercsmbio emtre estudiantes de escuela Media y esrudiantes universitarios </t>
  </si>
  <si>
    <t xml:space="preserve">Son estudiantes que no tienen tantas oportunidades para acceder  al mundo académico   de la universidad . Consideramos que es una excelente posibilidad para participar de la semana de la  Matemática </t>
  </si>
  <si>
    <t>cesettialdo7@gmail.com</t>
  </si>
  <si>
    <t xml:space="preserve">Escuela de Comercio 12 </t>
  </si>
  <si>
    <t>Admnistrativo Contable</t>
  </si>
  <si>
    <t>Leonardo Maciel</t>
  </si>
  <si>
    <t>Andrea Suarez</t>
  </si>
  <si>
    <t>Aldo Cesetti Roscini</t>
  </si>
  <si>
    <t>Hola, la idea es que los/as estudiantes puedan tener un acercamiento al ambiente académico universitario al cual ven como lejano y poco accesible.</t>
  </si>
  <si>
    <t>Ojalá podamos participar, aguante la Educación Pública y la UBA</t>
  </si>
  <si>
    <t>Escuela de Comercio N 12</t>
  </si>
  <si>
    <t>Administrativo contable</t>
  </si>
  <si>
    <t>Antonio Borda</t>
  </si>
  <si>
    <t>La idea es que nuestros/as estudiantes tengan una aproximación al mundo universitario el cual ven lejos y poco accesible</t>
  </si>
  <si>
    <t>Ojalá podamos vernos ahí, abrazo y aguante la UBA</t>
  </si>
  <si>
    <t>flaviahuanuco@tec17ba.edu.ar</t>
  </si>
  <si>
    <t>Angela Ludueña</t>
  </si>
  <si>
    <t>Electricidad</t>
  </si>
  <si>
    <t xml:space="preserve">Flavia </t>
  </si>
  <si>
    <t xml:space="preserve">Huanuco </t>
  </si>
  <si>
    <t>r.garnica@institutocrear.edu.ar</t>
  </si>
  <si>
    <t>Instituto Educativo CREAR</t>
  </si>
  <si>
    <t>12. Especial</t>
  </si>
  <si>
    <t>Romina Garnica</t>
  </si>
  <si>
    <t xml:space="preserve">Juan Pablo Loyola </t>
  </si>
  <si>
    <t>r.garnica@institutosanpedro.edu.ar</t>
  </si>
  <si>
    <t xml:space="preserve">Villa Urquiza </t>
  </si>
  <si>
    <t>pamelamartinezz111@gmail.com</t>
  </si>
  <si>
    <t>Instituto Crisro Rey</t>
  </si>
  <si>
    <t>Pamela Martinez</t>
  </si>
  <si>
    <t>Marisa García</t>
  </si>
  <si>
    <t>A designar</t>
  </si>
  <si>
    <t>Lanús</t>
  </si>
  <si>
    <t>La cantidad de estudiantes es estimativa dada que a la fecha no están las listas definitivas. Pueden ser menos. La idea es poder concurrir con los 5tos que tiene el colegio. Esta corresponde a uno de ellos. Si bien sabemos que las vacantes son prioritarias para los 6tos años, quería comentar que en el colegio tenemos la impronta de darle prioridad a la visita a las Universidad en el 5to Año. Por eso quería solicitar si continuando este proyecto, podían realizarnos la inscripción.</t>
  </si>
  <si>
    <t xml:space="preserve">Como les comenté en el item anterior, la idea es concurrir con los 5tos años (son dos) ya que se iniciamos el recorrida al descubrimiento de distintas Universidades.
Gracias
</t>
  </si>
  <si>
    <t>Instituto Cristo Rey</t>
  </si>
  <si>
    <t>La cantidad de estudiantes es estimativa dada que a la fecha no están las listas definitivas. Pueden ser menos. La idea es poder concurrir con los 5tos que tiene el colegio. Esta corresponde al otro de ellos. Si bien sabemos que las vacantes son prioritarias para los 6tos años, quería comentar que en el colegio tenemos la impronta de darle prioridad a la visita a las Universidad en el 5to Año. Por eso quería solicitar si continuando este proyecto, podían realizarnos la inscripción.</t>
  </si>
  <si>
    <t>rodrigog.diaz@bue.edu.ar</t>
  </si>
  <si>
    <t>020122500</t>
  </si>
  <si>
    <t>Bachiller con Especialidad en Informática</t>
  </si>
  <si>
    <t>Rodrigo Díaz</t>
  </si>
  <si>
    <t>Gastón Maire</t>
  </si>
  <si>
    <t>Nazareno Aguirre</t>
  </si>
  <si>
    <t>Escuela de Comercio N° 16 D.E. 7° "Gabriela Mistral"</t>
  </si>
  <si>
    <t>Bachiller con Especialidad en Economía y Administración</t>
  </si>
  <si>
    <t>Lucía Florentín</t>
  </si>
  <si>
    <t xml:space="preserve"> Maximiliano Abad</t>
  </si>
  <si>
    <t>Vila Crespo</t>
  </si>
  <si>
    <t>Concurrirían a la visita estudiantes sordos con su intérprete de lengua de señas argentina</t>
  </si>
  <si>
    <t>mmcannilla@gmail.com</t>
  </si>
  <si>
    <t xml:space="preserve">COLEGIO LINCOLN </t>
  </si>
  <si>
    <t>Bachiller Bilingue con Orientación en letras y ciencias sociales</t>
  </si>
  <si>
    <t>María Marta Cannilla</t>
  </si>
  <si>
    <t>Belgrano</t>
  </si>
  <si>
    <t>mpflosi@gmail.com</t>
  </si>
  <si>
    <t>Escuela Secundaria del Sol</t>
  </si>
  <si>
    <t>062277500</t>
  </si>
  <si>
    <t>Zacarias Liliana</t>
  </si>
  <si>
    <t>Ayelen Ferreyra</t>
  </si>
  <si>
    <t>Berazategui</t>
  </si>
  <si>
    <t>gustavobailoni85@gmail.com</t>
  </si>
  <si>
    <t>EES N°1 LUIS FEDERICO LELOIR</t>
  </si>
  <si>
    <t>NATURALES</t>
  </si>
  <si>
    <t>GUSTAVO BAILONI</t>
  </si>
  <si>
    <t>JULIO SARASPE</t>
  </si>
  <si>
    <t>ITUZAINGO</t>
  </si>
  <si>
    <t>LA CANTIDAD NO ESTA CONFIRMADA, NO HAY ACCESO A SEVICIO DE INTERNET Y DEPENDENCIAS POR EVENTO CLIMATICO CON VOLADURA DE TECHO , POR FAVOR TAMBIEN NOS INTERESA EL SUBSIDIO DE TRANSPORTE, SI HAY CONFIRMACION PODEMOS HABLAR CON OTROS CURSOS PARA UN MISMO VIAJE AUNQUE ENTENDI QUE ES UNA INSCRIPCION POR CURSO , PERO LOS CUSOS NO SON NUMEROSOS PODRIAN IR JUNTOS Y NO LLEGARIAN A 35 ALUMNOS, SIN EL SUBSIDIO EL VIAJE SERIA IMPOSIBLE, DISCUPA LA REDACCION PORQUE NO PUEDO VISUALIZAR EL MENSAJE COMPLETO, GRACIAS</t>
  </si>
  <si>
    <t>LOS HORARIOS Y ACTIVIDADES LOS PUEDEN MODIFICAR PORQUE NO SE EXACTAMENTE LA DURACION DE LOS MISMOS, SOLO PODREMOS ASISTIR SI EL VIAJE ES SUBSIDIADO YA QUE LOS ALUMNOS SON DE ESCASOS RECURSOS, TENEMOS UNA ESCUELA  ABIERTA PERO POR VOLADURA DE TECHOS ESTUDIAMOS EN CONDICIONES PRECARIAS, SERIA BUENO QUE LES MOSTREMOS PUERTAS A LA EDUCACION Y QUEREMOS QUE LA ESCULA LOS ACOMPAÑE, GRACIAS</t>
  </si>
  <si>
    <t>rectoria@misericordiadevoto.edu.ar</t>
  </si>
  <si>
    <t>Instituto Nuestra Señora de la Misericordia</t>
  </si>
  <si>
    <t>Alejandra Regeiro</t>
  </si>
  <si>
    <t>Sandra Papandrea</t>
  </si>
  <si>
    <t>Maria Laura Dengis</t>
  </si>
  <si>
    <t xml:space="preserve">Instituto Educativo CREAR </t>
  </si>
  <si>
    <t>02003232600</t>
  </si>
  <si>
    <t>Juan Pablo Loyola</t>
  </si>
  <si>
    <t>sznakcaro@c-sn.edu.ar</t>
  </si>
  <si>
    <t>St. Nicholas'</t>
  </si>
  <si>
    <t>060676600</t>
  </si>
  <si>
    <t>Ciencias naturales</t>
  </si>
  <si>
    <t>Carolina Sznák</t>
  </si>
  <si>
    <t>Jan Lamas</t>
  </si>
  <si>
    <t>Matías Gaburri</t>
  </si>
  <si>
    <t>Olivos</t>
  </si>
  <si>
    <t>graciela.grosman@bue.edu.ar</t>
  </si>
  <si>
    <t>Escuela técnica Nro 24 Defensa de Buenos Aires</t>
  </si>
  <si>
    <t>Gado</t>
  </si>
  <si>
    <t xml:space="preserve">Graciela Grosman </t>
  </si>
  <si>
    <t xml:space="preserve">Claudia Russo </t>
  </si>
  <si>
    <t>Sonja Urrutia</t>
  </si>
  <si>
    <t>Villa del parque</t>
  </si>
  <si>
    <t>Se puede recorrer nosotros solos? Somos 3 cursos</t>
  </si>
  <si>
    <t>graciela.morales@docentes.colegiodelaciudad.org</t>
  </si>
  <si>
    <t>COLEGIO DE LA CIUDAD</t>
  </si>
  <si>
    <t>020221500</t>
  </si>
  <si>
    <t>Bachillerato con orientación en Ciencias Sociales y Humanidades, con ampliación en Ciencias Naturales.</t>
  </si>
  <si>
    <t>Valentín Nico</t>
  </si>
  <si>
    <t>Graciela Morales</t>
  </si>
  <si>
    <t>Pusimos todas nuestras opciones horarias, no tenemos preferencia sobre el tipo de actividad que nos tocará. Gracias!</t>
  </si>
  <si>
    <t>estelab.silvaa76@gmail.com</t>
  </si>
  <si>
    <t>Instituto William C Morris A-530</t>
  </si>
  <si>
    <t xml:space="preserve">Economía y Administración </t>
  </si>
  <si>
    <t>Estela Silva</t>
  </si>
  <si>
    <t>Marianella Infante</t>
  </si>
  <si>
    <t>Agustina Zerda</t>
  </si>
  <si>
    <t>La Boca</t>
  </si>
  <si>
    <t>secretaria.secundaria@sangregorio.edu.ar</t>
  </si>
  <si>
    <t>A466</t>
  </si>
  <si>
    <t>economía y administración</t>
  </si>
  <si>
    <t>Margossian Adriana</t>
  </si>
  <si>
    <t>Crespo Mariana</t>
  </si>
  <si>
    <t>silvina.bauleo@smt.edu.ar</t>
  </si>
  <si>
    <t>COLEGIO SAN MARTIN DE TOURS (MUJERES)</t>
  </si>
  <si>
    <t>Silvina Bauleo</t>
  </si>
  <si>
    <t xml:space="preserve"> María GONZALEZ WARCALDE</t>
  </si>
  <si>
    <t>Ana Piñero</t>
  </si>
  <si>
    <t>Por favor hacer coincidir dentro de las posibilidades a los cuatro cursos del colegio en los mismos horarios de charlas, talleres, estaciones o visita. ¡Muchas gracias!</t>
  </si>
  <si>
    <t>COLEGIO SAN MARTÍN DE TOURS (MUJERES)</t>
  </si>
  <si>
    <t>María Gonzalez Warcalde</t>
  </si>
  <si>
    <t>marisolnolasco874@gmail.com</t>
  </si>
  <si>
    <t>EES N° 49 HEROES DE MALVINAS</t>
  </si>
  <si>
    <t xml:space="preserve">Matemática </t>
  </si>
  <si>
    <t>Marisol Nolasco</t>
  </si>
  <si>
    <t xml:space="preserve">Enrique Medina </t>
  </si>
  <si>
    <t>Estudiantes de buen comportamiento</t>
  </si>
  <si>
    <t>Nunca visitaron la UBA</t>
  </si>
  <si>
    <t>jesicabaini@gmail.com</t>
  </si>
  <si>
    <t>Colegio Parroquial San Pablo</t>
  </si>
  <si>
    <t>060486800</t>
  </si>
  <si>
    <t>Jesica Celeste Baini</t>
  </si>
  <si>
    <t>Matias Pereyra</t>
  </si>
  <si>
    <t>Alonso Laura</t>
  </si>
  <si>
    <t>Soy profe recibida en la uba y ya varios años quise ir y aún no pude lograrlo. Ojalá este año tenga suerte! Gracias</t>
  </si>
  <si>
    <t>Jueves 25/4</t>
  </si>
  <si>
    <t>Varios intentos fallidos para participar</t>
  </si>
  <si>
    <t>natalia.grandal@bue.edu.ar</t>
  </si>
  <si>
    <t xml:space="preserve">ENS Nro 2 “Mariano Acosta” </t>
  </si>
  <si>
    <t>0200866</t>
  </si>
  <si>
    <t xml:space="preserve">Físico matemático </t>
  </si>
  <si>
    <t>natalia.grandal@gmail.com</t>
  </si>
  <si>
    <t>Balvaners</t>
  </si>
  <si>
    <t>kppietra@yahoo.com.ar</t>
  </si>
  <si>
    <t>Colegio Elvira Sullivan</t>
  </si>
  <si>
    <t>060434800</t>
  </si>
  <si>
    <t>Artes visuales</t>
  </si>
  <si>
    <t xml:space="preserve">Karina Pietramala </t>
  </si>
  <si>
    <t>Rafael del Campo</t>
  </si>
  <si>
    <t>Merlo35</t>
  </si>
  <si>
    <t>secundaria71moreno@abc.gob.ar</t>
  </si>
  <si>
    <t>Escuela de Educación Secundaria N°71</t>
  </si>
  <si>
    <t>061835300</t>
  </si>
  <si>
    <t>comunicaciones</t>
  </si>
  <si>
    <t>Karina Fernandez</t>
  </si>
  <si>
    <t>Guadalupe Dielma</t>
  </si>
  <si>
    <t>Fogarini Juan</t>
  </si>
  <si>
    <t>Moreno</t>
  </si>
  <si>
    <t xml:space="preserve">Son dos cursos, 15 estudiantes de 6° y 20 estudiantes de 5° ya que son cursos poco numerosos </t>
  </si>
  <si>
    <t>smorel@mariaguadalupe.org.ar</t>
  </si>
  <si>
    <t xml:space="preserve">Colegio secundario Maria de Guadalupe </t>
  </si>
  <si>
    <t>062331200</t>
  </si>
  <si>
    <t>Bachiller con orientación en Ciencias Sociales</t>
  </si>
  <si>
    <t>Rocio Nowell</t>
  </si>
  <si>
    <t>Carolina Mc Loughin</t>
  </si>
  <si>
    <t>General Pacheco</t>
  </si>
  <si>
    <t>rnowell@mariaguadalupe.org</t>
  </si>
  <si>
    <t>Colegio secundario María de Guadalupe</t>
  </si>
  <si>
    <t>gonzalez.mercedes.sanjo@gmail.com</t>
  </si>
  <si>
    <t>INSTITUTO SAN JOSÉ</t>
  </si>
  <si>
    <t>Administración y economía</t>
  </si>
  <si>
    <t>Diego Pozzi</t>
  </si>
  <si>
    <t>Violeta Nessi</t>
  </si>
  <si>
    <t>claudia_wavrenchuk@yahoo.com.ar</t>
  </si>
  <si>
    <t xml:space="preserve">Instituto Nuestra Señora del Lujan </t>
  </si>
  <si>
    <t>060266000</t>
  </si>
  <si>
    <t xml:space="preserve">Ciencias Naturales </t>
  </si>
  <si>
    <t xml:space="preserve">Claudia Wavrenchuk </t>
  </si>
  <si>
    <t>Antonella Marchionne</t>
  </si>
  <si>
    <t>Estela Tamagno</t>
  </si>
  <si>
    <t>Adrogué</t>
  </si>
  <si>
    <t>julieta.ojedasanese@gmail.com</t>
  </si>
  <si>
    <t>INSTITUTO ESCUELA JUAN PABLO II</t>
  </si>
  <si>
    <t>060668300</t>
  </si>
  <si>
    <t xml:space="preserve">Economía y gestión </t>
  </si>
  <si>
    <t>Julieta Ojeda</t>
  </si>
  <si>
    <t>Verónica Garay</t>
  </si>
  <si>
    <t>Camila Castelli</t>
  </si>
  <si>
    <t>Villa madero</t>
  </si>
  <si>
    <t xml:space="preserve">Por favor, el año pasado no pudimos asistir ya que somos dos cursos nada más y solo anotaron a uno. Y como política institucional no queremos hacer diferencias y llevar a uno solo. En total son menos de 45 chicos entre ambos turnos y no queremos perdernos la experiencia ya que nos resulta muy interesante y rica para los chicos. Gracias!! </t>
  </si>
  <si>
    <t>Sin saber que actividades son podemos adaptarnos a los horarios que nos indiquen. Estaría bueno poder anotarnos sabiendo a qué propuestas puntuales hay.</t>
  </si>
  <si>
    <t>berogaray@hotmail.com.ar</t>
  </si>
  <si>
    <t>INSTITUTO JUAN PABLO II</t>
  </si>
  <si>
    <t xml:space="preserve">Económicas y gestión </t>
  </si>
  <si>
    <t>Villa Madero</t>
  </si>
  <si>
    <t xml:space="preserve">Al no saber que actividades son las que se realizarán estamos sujetos a lo que nos indiquen </t>
  </si>
  <si>
    <t>Estefania Denis</t>
  </si>
  <si>
    <t xml:space="preserve">EEST N° 5 </t>
  </si>
  <si>
    <t>060818900</t>
  </si>
  <si>
    <t xml:space="preserve">Análisis Matemático </t>
  </si>
  <si>
    <t xml:space="preserve">Carla Espíndola </t>
  </si>
  <si>
    <t>Eliana Viale</t>
  </si>
  <si>
    <t xml:space="preserve">San Justo </t>
  </si>
  <si>
    <t xml:space="preserve">Escuela de excelencia con orientación en Química </t>
  </si>
  <si>
    <t>Los horarios se pueden adaptar</t>
  </si>
  <si>
    <t>profesilvina@gmail.com</t>
  </si>
  <si>
    <t>Instituto Superior de Formación Docente Nro 50</t>
  </si>
  <si>
    <t>061029200</t>
  </si>
  <si>
    <t>Profesorado de matemática</t>
  </si>
  <si>
    <t>Silvina Busto</t>
  </si>
  <si>
    <t>Carlos Pintos</t>
  </si>
  <si>
    <t>7º Técnica (Prov.) / 6º Técnica (CABA)</t>
  </si>
  <si>
    <t>son estudiantes de 2do año del profesorado de matematica</t>
  </si>
  <si>
    <t>no puedo ver los talleres y visitas , a cuales corresponde</t>
  </si>
  <si>
    <t>marisofernandez3@abc.gob.ar</t>
  </si>
  <si>
    <t>E.E.S n°45 de Villa Sarmiento</t>
  </si>
  <si>
    <t>061804300</t>
  </si>
  <si>
    <t>ciencias economicas</t>
  </si>
  <si>
    <t>FERNANDEZ MARISOL</t>
  </si>
  <si>
    <t>CLAUDIA PACHECO</t>
  </si>
  <si>
    <t>Villa sarmiento</t>
  </si>
  <si>
    <t>magalimorelli@misericordia.edu.ar</t>
  </si>
  <si>
    <t>Magalí Morelli</t>
  </si>
  <si>
    <t>Andrea Mortati</t>
  </si>
  <si>
    <t>La idea es ir con el otro curso de 5to año del colegio. Muchas gracias</t>
  </si>
  <si>
    <t>Ximena Ávila</t>
  </si>
  <si>
    <t>EES N°32</t>
  </si>
  <si>
    <t>061859200</t>
  </si>
  <si>
    <t>Artes Visuales</t>
  </si>
  <si>
    <t>Lencina Luis</t>
  </si>
  <si>
    <t>Malfatto Silvina</t>
  </si>
  <si>
    <t>Velazco Rocío</t>
  </si>
  <si>
    <t>Adrogue</t>
  </si>
  <si>
    <t>DANIEL BISU</t>
  </si>
  <si>
    <t>profegigante876@gmail.com</t>
  </si>
  <si>
    <t>ESCUELA DE EDUCACION SECUNDARIA TECNICA N°3</t>
  </si>
  <si>
    <t>Electromecanica</t>
  </si>
  <si>
    <t>GLADYS GIORDANA</t>
  </si>
  <si>
    <t>ANDREA GIGANTE</t>
  </si>
  <si>
    <t>SILVIA VILLALBA</t>
  </si>
  <si>
    <t>SAN MIGUEL</t>
  </si>
  <si>
    <t>anibalbenitofernandezf@gmail.com</t>
  </si>
  <si>
    <t>Escuela de Educación Secundaria Tecnica n°3 de San Miguel</t>
  </si>
  <si>
    <t>Fernandez Anibal Benito</t>
  </si>
  <si>
    <t>anibalbenitof@gmail.com</t>
  </si>
  <si>
    <t>San Miguel</t>
  </si>
  <si>
    <t>Escuela de educación secundaria técnica n°3</t>
  </si>
  <si>
    <t xml:space="preserve">Aníbal Benito Fernández </t>
  </si>
  <si>
    <t xml:space="preserve">El curso es 4°1° Electromecánica </t>
  </si>
  <si>
    <t>laurapavone1112@yahoo.com.ar</t>
  </si>
  <si>
    <t xml:space="preserve">Instituto de Educaciòn Catòlica </t>
  </si>
  <si>
    <t>060343000</t>
  </si>
  <si>
    <t>Economìa y administraciòn</t>
  </si>
  <si>
    <t>Marìa Laura Pavone</t>
  </si>
  <si>
    <t>Elisa Fernandez</t>
  </si>
  <si>
    <t>laurapavone1112@gmail.com</t>
  </si>
  <si>
    <t>PARTIDOS DEL INTERIOR DE LA PROVINCIA DE BUENOS AIRES</t>
  </si>
  <si>
    <t xml:space="preserve">Chacabuco </t>
  </si>
  <si>
    <t>Probablemente el segundo acompañante tenga que cambiarlo y/o agregar otro por el viaje en colectivo</t>
  </si>
  <si>
    <t>electromecánica</t>
  </si>
  <si>
    <t>Julieta Sciarra</t>
  </si>
  <si>
    <t>Alejandra D´angelo</t>
  </si>
  <si>
    <t>Quimicia</t>
  </si>
  <si>
    <t>betsabescerba@gmail.com</t>
  </si>
  <si>
    <t>EES N°15</t>
  </si>
  <si>
    <t>061805000</t>
  </si>
  <si>
    <t xml:space="preserve">Aldana Scerba </t>
  </si>
  <si>
    <t>Gustavo Arrieta</t>
  </si>
  <si>
    <t>Griselda Mendez</t>
  </si>
  <si>
    <t xml:space="preserve">Villa Club </t>
  </si>
  <si>
    <t>patricia.trenti@institutosanjosempd.edu.ar</t>
  </si>
  <si>
    <t>Instituto San Jose de la Palabra de Dios</t>
  </si>
  <si>
    <t>0200222300</t>
  </si>
  <si>
    <t>Bachiller en economía y administración</t>
  </si>
  <si>
    <t>Teresa Zanotto</t>
  </si>
  <si>
    <t>Patricia Trenti</t>
  </si>
  <si>
    <t>Karina Pavone</t>
  </si>
  <si>
    <t>Villa Crespo</t>
  </si>
  <si>
    <t>Instituto San José de la palabra de Dios</t>
  </si>
  <si>
    <t>020022300</t>
  </si>
  <si>
    <t>Trenti Patricia</t>
  </si>
  <si>
    <t>Alladio Damian</t>
  </si>
  <si>
    <t>pablocantoni71@gmail.com</t>
  </si>
  <si>
    <t>EEST n°3 japon</t>
  </si>
  <si>
    <t xml:space="preserve">Electromecánico </t>
  </si>
  <si>
    <t>Pablo cantoni</t>
  </si>
  <si>
    <t>Silvia villalba</t>
  </si>
  <si>
    <t>Caren chamorro</t>
  </si>
  <si>
    <t>San miguel</t>
  </si>
  <si>
    <t>Esc. de Comercio N° 33 DE 18 Maipú</t>
  </si>
  <si>
    <t>Zarlenga Silvina</t>
  </si>
  <si>
    <t>miriam.maceri@institutosanpedro.edu.ar</t>
  </si>
  <si>
    <t>INSTITUTO SAN PEDRO A-417</t>
  </si>
  <si>
    <t>020118700</t>
  </si>
  <si>
    <t>ADMINISTRATIVA CONTABLE</t>
  </si>
  <si>
    <t>MIRIAM MACERI</t>
  </si>
  <si>
    <t>ROMINA RINALDI</t>
  </si>
  <si>
    <t>MARIANA PEÑA</t>
  </si>
  <si>
    <t>monte castro</t>
  </si>
  <si>
    <t>es nuestra primer experiencia</t>
  </si>
  <si>
    <t>INSTITUTO SAN PEDRO APOSTOL A-417</t>
  </si>
  <si>
    <t>es nuestra primer experiencia, no se si estoy armando bien los itinerarios</t>
  </si>
  <si>
    <t>ADMINISTARTIVO CONTABLE</t>
  </si>
  <si>
    <t>MONTE CASTRO</t>
  </si>
  <si>
    <t>NO SE SI ESTOY ARMANDO BIEN EL ITINERARIO</t>
  </si>
  <si>
    <t>jonatan.velez@bue.edu.ar</t>
  </si>
  <si>
    <t>LICEO 12 FRAY MAMERTO ESQUIÚ DE 8</t>
  </si>
  <si>
    <t>Ciencias Naturales y exactas</t>
  </si>
  <si>
    <t>Jonatan Marcelo Velez</t>
  </si>
  <si>
    <t>Enrique Esteban Villagran</t>
  </si>
  <si>
    <t>Nayla Escobar</t>
  </si>
  <si>
    <t>CABALLITO</t>
  </si>
  <si>
    <t>enrique.villagran@bue.edu.ar</t>
  </si>
  <si>
    <t>Liceo N° 12 Fray Mamerto Esquiu DE 08</t>
  </si>
  <si>
    <t>Ciencias Sociales y Naturales</t>
  </si>
  <si>
    <t>nayla.escobar@bue.edu.ar</t>
  </si>
  <si>
    <t>Liceo N°12 "Fray Mamerto Esquiú"</t>
  </si>
  <si>
    <t xml:space="preserve">Orientación en Ciencias Exactas y Naturales </t>
  </si>
  <si>
    <t xml:space="preserve">Nayla Escobar </t>
  </si>
  <si>
    <t>Victoria Fandiño</t>
  </si>
  <si>
    <t>Jonatan Velez</t>
  </si>
  <si>
    <t xml:space="preserve">Caballito </t>
  </si>
  <si>
    <t>nicolas.damonte@nightingaleschool.edu.ar</t>
  </si>
  <si>
    <t>Colegio Florencia Nightingale</t>
  </si>
  <si>
    <t>061213500</t>
  </si>
  <si>
    <t>Evangelina Mazzei</t>
  </si>
  <si>
    <t>Nicolas Damonte</t>
  </si>
  <si>
    <t>Acassuso</t>
  </si>
  <si>
    <t xml:space="preserve">Nos sería importante que nuestros estudiantes se motiven y encariñen con las ciencias exactas. Podríamos ir los jueves. </t>
  </si>
  <si>
    <t xml:space="preserve">Marcamos todas las opciones anteriores dando a entender que estamos abiertos a cualquier plan que se acomode a las disponibilidades horarias ofrecidas. Muchas gracias. </t>
  </si>
  <si>
    <t>nmorelli1@abc.gob.ar</t>
  </si>
  <si>
    <t>Escuela de Educación Secundaria 5 “Islas Malvinas”</t>
  </si>
  <si>
    <t>061032200</t>
  </si>
  <si>
    <t>Elsa Ursino</t>
  </si>
  <si>
    <t>Lorena Martínez</t>
  </si>
  <si>
    <t>Villa Luzuriaga</t>
  </si>
  <si>
    <t>Es la primera vez que la escuela concurre a esta actividad y los estudiantes están muy entusiasmados! Ojalá podamos contar con la visita guiada. Muchas gracias.</t>
  </si>
  <si>
    <t>Humanidades y Ciencias Sociales</t>
  </si>
  <si>
    <t>mariade.castro@bue.edu.ar</t>
  </si>
  <si>
    <t>Colegio N19 DE 17 "Luis Pasteur"</t>
  </si>
  <si>
    <t>Castro Maria de los Angeles</t>
  </si>
  <si>
    <t>Soñora Maria Virginia</t>
  </si>
  <si>
    <t>roxanasmfl@gmail.com</t>
  </si>
  <si>
    <t xml:space="preserve">Instituto Santa María del Rosario </t>
  </si>
  <si>
    <t>020148200</t>
  </si>
  <si>
    <t>Roxana</t>
  </si>
  <si>
    <t xml:space="preserve">Maria Florencia Solari </t>
  </si>
  <si>
    <t>Tamara Ameijeiras</t>
  </si>
  <si>
    <t>ECONOMÍA Y ADMINISTRACIÓN</t>
  </si>
  <si>
    <t xml:space="preserve">Roxana Mamani </t>
  </si>
  <si>
    <t xml:space="preserve">Barracas </t>
  </si>
  <si>
    <t>La institución cuenta con dos divisiones con orientación Economía y Administración. Se completaron dos formularios. Si existe la posiblidad de que asistan ambas divisiones estaremos agradecidos.</t>
  </si>
  <si>
    <t>miguel.max.82@gmail.com</t>
  </si>
  <si>
    <t xml:space="preserve">EESN13 </t>
  </si>
  <si>
    <t>060860500</t>
  </si>
  <si>
    <t>Economia</t>
  </si>
  <si>
    <t xml:space="preserve">Jesús Miguel Cruz </t>
  </si>
  <si>
    <t>Lucia Diaz</t>
  </si>
  <si>
    <t>Claudia Jimenez</t>
  </si>
  <si>
    <t>Almirante brown</t>
  </si>
  <si>
    <t>mduro@macnabbernal.edu.ar</t>
  </si>
  <si>
    <t xml:space="preserve">Obra Conservación de la Fe N°5 - Fundación Macnab Bernal </t>
  </si>
  <si>
    <t>020064100</t>
  </si>
  <si>
    <t>María Belén Duro</t>
  </si>
  <si>
    <t>María de los Angeles Vergara</t>
  </si>
  <si>
    <t>Comuna 8 - Villa Lugano</t>
  </si>
  <si>
    <t>Instituto El Castillo</t>
  </si>
  <si>
    <t>060863900</t>
  </si>
  <si>
    <t>Martinez Pamela</t>
  </si>
  <si>
    <t>Grance Lilian</t>
  </si>
  <si>
    <t>Voy a hacer la preinscipción para los tres 6tos del Instituto El Castillo. Esta inscripción es para 6toA.</t>
  </si>
  <si>
    <t xml:space="preserve">Nos interesa poder concurrir con los tres 6tos que tiene la escuela. </t>
  </si>
  <si>
    <t>Voy a hacer la preinscipción para los tres 6tos del Instituto El Castillo. Esta inscripción es para 6toB.</t>
  </si>
  <si>
    <t>Nos interesa poder concurrir con los tres 6tos que tiene la escuela.</t>
  </si>
  <si>
    <t>rominagarnica@institutosanpedro.edu.ar</t>
  </si>
  <si>
    <t>Instituto San Pedro</t>
  </si>
  <si>
    <t>Romina Carolina Garnica</t>
  </si>
  <si>
    <t xml:space="preserve">Julián Cañete </t>
  </si>
  <si>
    <t>Lilian Grance</t>
  </si>
  <si>
    <t>Voy a hacer la preinscipción para los tres 6tos del Instituto El Castillo. Esta inscripción es para 6toC.</t>
  </si>
  <si>
    <t>jorge.penedo@bue.edu.ar</t>
  </si>
  <si>
    <t>Escuela Normal Superior Nº 1, en Lenguas Vivas, Pte Roque Sáenz Peña</t>
  </si>
  <si>
    <t>Bachillerato Físico Matemático</t>
  </si>
  <si>
    <t>Penedo Jorge Omar</t>
  </si>
  <si>
    <t xml:space="preserve">Balegno Mazzini Alberto Rodrigo Emanuel </t>
  </si>
  <si>
    <t>Recoleta - CABA</t>
  </si>
  <si>
    <t>Los alumnos son 18 de 5º año y 17 de 3ºAño.</t>
  </si>
  <si>
    <t>Hemos elegido turno mañana porque los alumnos cursan en ese turno. Gracias.</t>
  </si>
  <si>
    <t>brice.lebre@mermoz.edu.ar</t>
  </si>
  <si>
    <t>Liceo franco argentino Jean Mermoz</t>
  </si>
  <si>
    <t>020124800</t>
  </si>
  <si>
    <t xml:space="preserve">Ciencias exactas </t>
  </si>
  <si>
    <t>Brice LEBRE</t>
  </si>
  <si>
    <t>Agnes CARMINATI</t>
  </si>
  <si>
    <t>Barrio River</t>
  </si>
  <si>
    <t>macharreun@yahoo.com.ar</t>
  </si>
  <si>
    <t>Escuela de educacion secundaria N° 11 Martin Miguel de Guemes</t>
  </si>
  <si>
    <t>060766200</t>
  </si>
  <si>
    <t>Bachiller en ciencias  naturales y exactas</t>
  </si>
  <si>
    <t>Charreun Monica</t>
  </si>
  <si>
    <t>Saiquita Enzo</t>
  </si>
  <si>
    <t>Lanus Este</t>
  </si>
  <si>
    <t>Es una escuela que recibe alumnos de la perisferia, con muchas carencias</t>
  </si>
  <si>
    <t>Quilmes - Bernal Oeste</t>
  </si>
  <si>
    <t>Secundaria 25 "Héroes de Malvinas"</t>
  </si>
  <si>
    <t>061794200</t>
  </si>
  <si>
    <t>11. Rurales de todas las orientaciones</t>
  </si>
  <si>
    <t>Karina Ovejero</t>
  </si>
  <si>
    <t xml:space="preserve">Yamila Jaimez </t>
  </si>
  <si>
    <t>Jacqueline Lecoque</t>
  </si>
  <si>
    <t xml:space="preserve">Curita, José León Suárez </t>
  </si>
  <si>
    <t>Vivimos en una zona vulnerable y el tiempo de viaje sería alrededor de 2 hs por eso elegí esos horarios, ojalá el clima nos acompañe.</t>
  </si>
  <si>
    <t xml:space="preserve">Administración y Economía </t>
  </si>
  <si>
    <t>Julieta.sciarra@bue.edu.ar</t>
  </si>
  <si>
    <t>ET N° 30 DE 2 Norberto Piñero</t>
  </si>
  <si>
    <t>julieta.sciarra@bue.edu.ar</t>
  </si>
  <si>
    <t>..</t>
  </si>
  <si>
    <t>pmeugeniamantovani@gmail.com</t>
  </si>
  <si>
    <t>INSTITUTO CLUB ATLÉTICO LANUS. Nivel secundario</t>
  </si>
  <si>
    <t>062277700</t>
  </si>
  <si>
    <t xml:space="preserve">MARÍA EUGENIA MANTOVANI </t>
  </si>
  <si>
    <t>JAVIER DE MAIO</t>
  </si>
  <si>
    <t xml:space="preserve">LANÚS </t>
  </si>
  <si>
    <t xml:space="preserve">Educación Física </t>
  </si>
  <si>
    <t>LANUS</t>
  </si>
  <si>
    <t>gebs2323@gmail.com</t>
  </si>
  <si>
    <t xml:space="preserve">EES 108 "Héroes de Malvinas" </t>
  </si>
  <si>
    <t>061856700</t>
  </si>
  <si>
    <t>Orientación en comunicación y arte</t>
  </si>
  <si>
    <t xml:space="preserve">Gloria Benitez </t>
  </si>
  <si>
    <t>Noelia Lezica</t>
  </si>
  <si>
    <t>Mariela Soto</t>
  </si>
  <si>
    <t xml:space="preserve">Gregorio de Laferrere </t>
  </si>
  <si>
    <t>Son alumnos de bajos recursos pero con mucho interés por adquirir conocimientos. Tienen curiosidad y ellos mismos plantean la posibilidad de conocer y poder visitar, siempre que esté a su alcance, universidades y ofertas académicas como también otros lugares(museos, etc)</t>
  </si>
  <si>
    <t>Debido a que  tenemos 1 hs 30 minutos de viaje por la distancia y a la hora pico por Gral Paz,necesitamos tengan a bien considerar nuestra participación a talleres y estaciones a partir de las 10:30 hs. Gracias</t>
  </si>
  <si>
    <t>Orientación en Arte y comunicación</t>
  </si>
  <si>
    <t>Marilina Ledesma</t>
  </si>
  <si>
    <t>Graciela Velazquez</t>
  </si>
  <si>
    <t xml:space="preserve">Gabriela Manso </t>
  </si>
  <si>
    <t xml:space="preserve">Son alumnos de bajos recursos pero que siempre demuestran linterés por descubrir, por conocer y descubrir. Ellos plantean la posibilidad de visitar y conocer universidades y ofertas académicas. </t>
  </si>
  <si>
    <t xml:space="preserve">Debido a que tenemos aprox 1 hs 30 minutos de viaje por la distancia y la hora pico por Gral Paz, necesitamos tengan a bien considerar nuestra participación a talleres y estaciones a partir de las 10:30 HD. Gracias </t>
  </si>
  <si>
    <t>solegeo09@gmail.com</t>
  </si>
  <si>
    <t>Escuela normal superior almafuerte n°49</t>
  </si>
  <si>
    <t>061238000</t>
  </si>
  <si>
    <t>Exactas y Naturales</t>
  </si>
  <si>
    <t>Andres Constantino</t>
  </si>
  <si>
    <t>Elisa Ramirez</t>
  </si>
  <si>
    <t>Sandra Alderete</t>
  </si>
  <si>
    <t>san justo</t>
  </si>
  <si>
    <t>La posibilidad de conseguir la vacante para poder introducir a los alumnos en el análisis científico y tecnológico de los datos.</t>
  </si>
  <si>
    <t>Código Único de Escuela (CUE)</t>
  </si>
  <si>
    <t xml:space="preserve">Tipo de escuela y orientación </t>
  </si>
  <si>
    <t>Ubicación general de la escuela</t>
  </si>
  <si>
    <t>Cantidad de alumnos que asistirán</t>
  </si>
  <si>
    <t>Curso que asistirá</t>
  </si>
  <si>
    <t xml:space="preserve">Porcentaje aproximado de estudiantes de familias de bajos recursos  </t>
  </si>
  <si>
    <t>Fecha solicitada</t>
  </si>
  <si>
    <t>CHARLAS  [9:30 ]</t>
  </si>
  <si>
    <t>CHARLAS  [10:30]</t>
  </si>
  <si>
    <t>CHARLAS  [11:30 ]</t>
  </si>
  <si>
    <t>CHARLAS  [14:00 ]</t>
  </si>
  <si>
    <t>Cursos que asistirán</t>
  </si>
  <si>
    <t>Rango horario</t>
  </si>
  <si>
    <t>9 a 11:30hs.</t>
  </si>
  <si>
    <t>11 a 16hs.</t>
  </si>
  <si>
    <t>9 a 16hs.</t>
  </si>
  <si>
    <t>13:30 a 16hs.</t>
  </si>
  <si>
    <t>12:30 a 16hs.</t>
  </si>
  <si>
    <t>9 a 14hs.</t>
  </si>
  <si>
    <t>9 a 15hs.</t>
  </si>
  <si>
    <t>12:30 a 15hs.</t>
  </si>
  <si>
    <t xml:space="preserve"> </t>
  </si>
  <si>
    <t>10 a 12:30hs.</t>
  </si>
  <si>
    <t>10 a 15hs.</t>
  </si>
  <si>
    <t>NO TIENE ESTACIONES, SOLO 1 CHARLA</t>
  </si>
  <si>
    <t>10 a 12.30hs</t>
  </si>
  <si>
    <t>CHARLAS  [15:00 ]</t>
  </si>
  <si>
    <t>TIENE BACHE</t>
  </si>
  <si>
    <t>vacantes</t>
  </si>
  <si>
    <t>Cambiar en confirmaciones Piaget a charla 14 porque a las 15 ya se fue</t>
  </si>
  <si>
    <t>Instituto secundario el tallerx</t>
  </si>
  <si>
    <t>Instituto San Marónx</t>
  </si>
  <si>
    <t>Escuela del Mirador x</t>
  </si>
  <si>
    <t>Escuela del Miradorx</t>
  </si>
  <si>
    <t>VACANTE</t>
  </si>
  <si>
    <t>Instituto Santa María de los Ángeles (A-455)x</t>
  </si>
  <si>
    <t>Colegio Norbridge x</t>
  </si>
  <si>
    <t>INSTITUTO COMPAÑIA DE MARIAx</t>
  </si>
  <si>
    <t>j.ferrero.1964@gmail.com</t>
  </si>
  <si>
    <t>ENS N° 9 Sarmiento x</t>
  </si>
  <si>
    <t>020117700</t>
  </si>
  <si>
    <t>Javier Ferrero</t>
  </si>
  <si>
    <t>Sabrina Bobinac</t>
  </si>
  <si>
    <t>INST. COLEGIO DEL LIBERTADORx</t>
  </si>
  <si>
    <t>Instituto Saenzx</t>
  </si>
  <si>
    <t>instituto educativo Eduardo L. Holmbergx</t>
  </si>
  <si>
    <t>Colegio Irlandes x</t>
  </si>
  <si>
    <t>El Bosque x</t>
  </si>
  <si>
    <t>paulaperez2505@gmail.com</t>
  </si>
  <si>
    <t>EEST 3 Japón</t>
  </si>
  <si>
    <t>Construcciones</t>
  </si>
  <si>
    <t xml:space="preserve">Pérez Paula Beatriz </t>
  </si>
  <si>
    <t xml:space="preserve">Gigante Andrea </t>
  </si>
  <si>
    <t>matjaponmartinez@gmail.com</t>
  </si>
  <si>
    <t>Escuela educacion superior tecnica N° 3</t>
  </si>
  <si>
    <t>automotor</t>
  </si>
  <si>
    <t>Olga Martinez</t>
  </si>
  <si>
    <t>Silvia Maria del Rosario Villalba</t>
  </si>
  <si>
    <t>Laura Retamar</t>
  </si>
  <si>
    <t>ESCUELA TÉCNICA N°20 DE 20 - CAROLINA MUZILLI</t>
  </si>
  <si>
    <t xml:space="preserve">HITA MARISOL DESPOSORIO CABRERA </t>
  </si>
  <si>
    <t>MATADEROS. CABA</t>
  </si>
  <si>
    <t>VACANTE 2 VISITAS</t>
  </si>
  <si>
    <t>Magna 10.30hs</t>
  </si>
  <si>
    <t>Magna 15hs</t>
  </si>
  <si>
    <t>Se suman talleres del martes para despejar un poco patio</t>
  </si>
  <si>
    <t>Otra opción es Magna del 2 en los mismos horarios</t>
  </si>
  <si>
    <t>ENS N° 9 Sarmiento</t>
  </si>
  <si>
    <t>GIGANTE ANDREA</t>
  </si>
  <si>
    <t xml:space="preserve">Angela Ludueña </t>
  </si>
  <si>
    <t>Descripción</t>
  </si>
  <si>
    <t>Cupos DM</t>
  </si>
  <si>
    <t>Visitas guiadas</t>
  </si>
  <si>
    <t>Total</t>
  </si>
  <si>
    <t>9:30: 1 charla Aula Magna + 1 charla aula de seminario + juegos (= en</t>
  </si>
  <si>
    <t>pasillo exterior, interior de 0+infinito, juegos gigantes en pasillo hacia</t>
  </si>
  <si>
    <t>comedor).</t>
  </si>
  <si>
    <t>10:30: 1 charla aula de seminario + 1 taller en labo de compu + 1 taller</t>
  </si>
  <si>
    <t>Cargué un poco más el patio porque agregan los pósters...</t>
  </si>
  <si>
    <t>en aula común + búsqueda del tesoro + charla de carrera + patio completo</t>
  </si>
  <si>
    <t>(=los juegos de antes + 2 artes matemáticos y 2 stands de Datos frente a</t>
  </si>
  <si>
    <t>"Plasma" + posters matemáticos + posters de género)</t>
  </si>
  <si>
    <t>11:30: 1 charla en Aula Magna + 1 taller en labo de compu + 1 taller en</t>
  </si>
  <si>
    <t>aula común + patio completo</t>
  </si>
  <si>
    <t>14:00: 1 charla en Aula Magna + 1 taller en labo de compu + patio completo</t>
  </si>
  <si>
    <t>15:00 NADA ESPECIAL INFORMADO POR AHORA</t>
  </si>
  <si>
    <t>Donde el "taller de labo de compu" tal vez sea Arte Matemático. En cuanto</t>
  </si>
  <si>
    <t>a reservas, quizás convenga tener 2 aulas y 2 labos a las 10:30 y las</t>
  </si>
  <si>
    <t>11:30 porque quizás consigamos más talleres. Y quizás alguno pueda ser a</t>
  </si>
  <si>
    <t>la tarde. Lo sabremos recién el 31/3.</t>
  </si>
  <si>
    <t>El "taller" de Arte Matemático en labos de compu lo tenemos como comodín.</t>
  </si>
  <si>
    <t>Podemos abrir dos en paralelo en algún momento si hace falta. También</t>
  </si>
  <si>
    <t>podríamos repetir las charlas de carrera. Y la búsqueda del tesoro todavía</t>
  </si>
  <si>
    <t>no sabemos cómo se va a concretar (por eso no prometo otros horarios) pero</t>
  </si>
  <si>
    <t>Nico Sirolli nos prometió pasarnos la data para que otros tomen la posta</t>
  </si>
  <si>
    <t>este año.</t>
  </si>
  <si>
    <t>CEREIJO</t>
  </si>
  <si>
    <t>tipo de gestion de la institucion educativa</t>
  </si>
  <si>
    <t>apellido y nombre del/la docente responsable de la visita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</si>
</sst>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8">
    <font>
      <sz val="10"/>
      <color rgb="FF000000"/>
      <name val="Arial"/>
      <scheme val="minor"/>
    </font>
    <font>
      <b/>
      <sz val="10"/>
      <color theme="1"/>
      <name val="Arial"/>
    </font>
    <font>
      <sz val="10"/>
      <color theme="1"/>
      <name val="Arial"/>
    </font>
    <font>
      <sz val="11"/>
      <color rgb="FFCE9178"/>
      <name val="Monospace"/>
    </font>
    <font>
      <sz val="10"/>
      <color theme="1"/>
      <name val="Arial"/>
      <scheme val="minor"/>
    </font>
    <font>
      <b/>
      <sz val="10"/>
      <color theme="1"/>
      <name val="Arial"/>
      <scheme val="minor"/>
    </font>
    <font>
      <sz val="9"/>
      <color rgb="FF333333"/>
      <name val="Arial"/>
    </font>
    <font>
      <sz val="9"/>
      <color rgb="FF333333"/>
      <name val="Monospace"/>
    </font>
  </fonts>
  <fills count="11">
    <fill>
      <patternFill patternType="none"/>
    </fill>
    <fill>
      <patternFill patternType="gray125"/>
    </fill>
    <fill>
      <patternFill patternType="solid">
        <fgColor rgb="FF282A2C"/>
        <bgColor rgb="FF282A2C"/>
      </patternFill>
    </fill>
    <fill>
      <patternFill patternType="solid">
        <fgColor rgb="FFB4A7D6"/>
        <bgColor rgb="FFB4A7D6"/>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B6D7A8"/>
        <bgColor rgb="FFB6D7A8"/>
      </patternFill>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2">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xf numFmtId="0" fontId="3" fillId="2" borderId="0" xfId="0" applyFont="1" applyFill="1" applyAlignment="1"/>
    <xf numFmtId="164" fontId="4" fillId="0" borderId="0" xfId="0" applyNumberFormat="1" applyFont="1" applyAlignment="1"/>
    <xf numFmtId="0" fontId="4" fillId="0" borderId="0" xfId="0" applyFont="1" applyAlignment="1"/>
    <xf numFmtId="0" fontId="4" fillId="0" borderId="0" xfId="0" quotePrefix="1" applyFont="1" applyAlignment="1"/>
    <xf numFmtId="164" fontId="5" fillId="0" borderId="0" xfId="0" applyNumberFormat="1" applyFont="1" applyAlignment="1"/>
    <xf numFmtId="0" fontId="5" fillId="0" borderId="0" xfId="0" applyFont="1" applyAlignment="1"/>
    <xf numFmtId="0" fontId="5" fillId="3" borderId="0" xfId="0" applyFont="1" applyFill="1" applyAlignment="1"/>
    <xf numFmtId="0" fontId="5" fillId="0" borderId="0" xfId="0" quotePrefix="1" applyFont="1" applyAlignment="1"/>
    <xf numFmtId="0" fontId="5" fillId="0" borderId="0" xfId="0" applyFont="1"/>
    <xf numFmtId="164" fontId="4" fillId="4" borderId="0" xfId="0" applyNumberFormat="1" applyFont="1" applyFill="1" applyAlignment="1"/>
    <xf numFmtId="0" fontId="4" fillId="4" borderId="0" xfId="0" applyFont="1" applyFill="1" applyAlignment="1"/>
    <xf numFmtId="0" fontId="4" fillId="4" borderId="0" xfId="0" quotePrefix="1" applyFont="1" applyFill="1" applyAlignment="1"/>
    <xf numFmtId="0" fontId="4" fillId="4" borderId="0" xfId="0" applyFont="1" applyFill="1"/>
    <xf numFmtId="0" fontId="4" fillId="0" borderId="0" xfId="0" applyFont="1"/>
    <xf numFmtId="0" fontId="5" fillId="0" borderId="0" xfId="0" applyFont="1"/>
    <xf numFmtId="0" fontId="5" fillId="0" borderId="0" xfId="0" applyFont="1" applyAlignment="1">
      <alignment wrapText="1"/>
    </xf>
    <xf numFmtId="0" fontId="5" fillId="0" borderId="0" xfId="0" applyFont="1" applyAlignment="1">
      <alignment wrapText="1"/>
    </xf>
    <xf numFmtId="164" fontId="4" fillId="5" borderId="0" xfId="0" applyNumberFormat="1" applyFont="1" applyFill="1" applyAlignment="1"/>
    <xf numFmtId="0" fontId="4" fillId="5" borderId="0" xfId="0" applyFont="1" applyFill="1" applyAlignment="1"/>
    <xf numFmtId="0" fontId="4" fillId="5" borderId="0" xfId="0" applyFont="1" applyFill="1" applyAlignment="1">
      <alignment wrapText="1"/>
    </xf>
    <xf numFmtId="0" fontId="4" fillId="5" borderId="0" xfId="0" quotePrefix="1" applyFont="1" applyFill="1" applyAlignment="1"/>
    <xf numFmtId="0" fontId="4" fillId="5" borderId="0" xfId="0" applyFont="1" applyFill="1"/>
    <xf numFmtId="0" fontId="2" fillId="5" borderId="0" xfId="0" applyFont="1" applyFill="1" applyAlignment="1"/>
    <xf numFmtId="0" fontId="2" fillId="5" borderId="0" xfId="0" applyFont="1" applyFill="1" applyAlignment="1"/>
    <xf numFmtId="0" fontId="4" fillId="4" borderId="0" xfId="0" applyFont="1" applyFill="1" applyAlignment="1">
      <alignment wrapText="1"/>
    </xf>
    <xf numFmtId="0" fontId="2" fillId="4" borderId="0" xfId="0" applyFont="1" applyFill="1" applyAlignment="1"/>
    <xf numFmtId="0" fontId="2" fillId="4" borderId="0" xfId="0" applyFont="1" applyFill="1" applyAlignment="1"/>
    <xf numFmtId="0" fontId="1" fillId="4" borderId="0" xfId="0" applyFont="1" applyFill="1" applyAlignment="1"/>
    <xf numFmtId="0" fontId="1" fillId="4" borderId="0" xfId="0" applyFont="1" applyFill="1" applyAlignment="1"/>
    <xf numFmtId="0" fontId="2" fillId="4" borderId="0" xfId="0" applyFont="1" applyFill="1" applyAlignment="1">
      <alignment horizontal="right"/>
    </xf>
    <xf numFmtId="0" fontId="2" fillId="4" borderId="0" xfId="0" applyFont="1" applyFill="1" applyAlignment="1">
      <alignment horizontal="right"/>
    </xf>
    <xf numFmtId="0" fontId="4" fillId="0" borderId="0" xfId="0" applyFont="1" applyAlignment="1">
      <alignment wrapText="1"/>
    </xf>
    <xf numFmtId="0" fontId="5" fillId="6" borderId="0" xfId="0" applyFont="1" applyFill="1" applyAlignment="1">
      <alignment wrapText="1"/>
    </xf>
    <xf numFmtId="0" fontId="5" fillId="6" borderId="0" xfId="0" applyFont="1" applyFill="1" applyAlignment="1">
      <alignment wrapText="1"/>
    </xf>
    <xf numFmtId="164" fontId="4" fillId="7" borderId="0" xfId="0" applyNumberFormat="1" applyFont="1" applyFill="1" applyAlignment="1"/>
    <xf numFmtId="0" fontId="4" fillId="7" borderId="0" xfId="0" applyFont="1" applyFill="1" applyAlignment="1"/>
    <xf numFmtId="0" fontId="4" fillId="7" borderId="0" xfId="0" applyFont="1" applyFill="1" applyAlignment="1">
      <alignment wrapText="1"/>
    </xf>
    <xf numFmtId="0" fontId="4" fillId="7" borderId="0" xfId="0" quotePrefix="1" applyFont="1" applyFill="1" applyAlignment="1"/>
    <xf numFmtId="0" fontId="4" fillId="7" borderId="0" xfId="0" applyFont="1" applyFill="1"/>
    <xf numFmtId="0" fontId="2" fillId="7" borderId="0" xfId="0" applyFont="1" applyFill="1" applyAlignment="1"/>
    <xf numFmtId="0" fontId="2" fillId="7" borderId="0" xfId="0" applyFont="1" applyFill="1" applyAlignment="1"/>
    <xf numFmtId="0" fontId="1" fillId="7" borderId="0" xfId="0" applyFont="1" applyFill="1" applyAlignment="1"/>
    <xf numFmtId="0" fontId="1" fillId="7" borderId="0" xfId="0" applyFont="1" applyFill="1" applyAlignment="1"/>
    <xf numFmtId="164" fontId="4" fillId="8" borderId="0" xfId="0" applyNumberFormat="1" applyFont="1" applyFill="1" applyAlignment="1"/>
    <xf numFmtId="0" fontId="4" fillId="8" borderId="0" xfId="0" applyFont="1" applyFill="1" applyAlignment="1"/>
    <xf numFmtId="0" fontId="4" fillId="8" borderId="0" xfId="0" applyFont="1" applyFill="1" applyAlignment="1">
      <alignment wrapText="1"/>
    </xf>
    <xf numFmtId="0" fontId="4" fillId="8" borderId="0" xfId="0" quotePrefix="1" applyFont="1" applyFill="1" applyAlignment="1"/>
    <xf numFmtId="0" fontId="4" fillId="8" borderId="0" xfId="0" applyFont="1" applyFill="1"/>
    <xf numFmtId="0" fontId="2" fillId="8" borderId="0" xfId="0" applyFont="1" applyFill="1" applyAlignment="1"/>
    <xf numFmtId="0" fontId="2" fillId="8" borderId="0" xfId="0" applyFont="1" applyFill="1" applyAlignment="1"/>
    <xf numFmtId="0" fontId="1" fillId="8" borderId="0" xfId="0" applyFont="1" applyFill="1" applyAlignment="1"/>
    <xf numFmtId="0" fontId="1" fillId="8" borderId="0" xfId="0" applyFont="1" applyFill="1" applyAlignment="1"/>
    <xf numFmtId="0" fontId="1" fillId="5" borderId="0" xfId="0" applyFont="1" applyFill="1" applyAlignment="1"/>
    <xf numFmtId="0" fontId="1" fillId="5" borderId="0" xfId="0" applyFont="1" applyFill="1" applyAlignment="1"/>
    <xf numFmtId="0" fontId="1" fillId="6" borderId="0" xfId="0" applyFont="1" applyFill="1" applyAlignment="1"/>
    <xf numFmtId="164" fontId="5" fillId="4" borderId="0" xfId="0" applyNumberFormat="1" applyFont="1" applyFill="1" applyAlignment="1"/>
    <xf numFmtId="0" fontId="5" fillId="4" borderId="0" xfId="0" applyFont="1" applyFill="1" applyAlignment="1"/>
    <xf numFmtId="0" fontId="5" fillId="4" borderId="0" xfId="0" quotePrefix="1" applyFont="1" applyFill="1" applyAlignment="1"/>
    <xf numFmtId="0" fontId="5" fillId="4" borderId="0" xfId="0" applyFont="1" applyFill="1"/>
    <xf numFmtId="0" fontId="6" fillId="9" borderId="0" xfId="0" applyFont="1" applyFill="1" applyAlignment="1"/>
    <xf numFmtId="0" fontId="7" fillId="9" borderId="0" xfId="0" applyFont="1" applyFill="1" applyAlignment="1"/>
    <xf numFmtId="0" fontId="7" fillId="9" borderId="0" xfId="0" applyFont="1" applyFill="1"/>
    <xf numFmtId="0" fontId="2" fillId="10" borderId="1" xfId="0" applyFont="1" applyFill="1" applyBorder="1" applyAlignment="1">
      <alignment wrapText="1"/>
    </xf>
    <xf numFmtId="0" fontId="2" fillId="10" borderId="2" xfId="0" applyFont="1" applyFill="1" applyBorder="1" applyAlignment="1">
      <alignment wrapText="1"/>
    </xf>
    <xf numFmtId="0" fontId="2" fillId="8" borderId="1" xfId="0" applyFont="1" applyFill="1" applyBorder="1" applyAlignment="1">
      <alignment wrapText="1"/>
    </xf>
    <xf numFmtId="0" fontId="2" fillId="8" borderId="2" xfId="0" applyFont="1" applyFill="1" applyBorder="1" applyAlignment="1">
      <alignment wrapText="1"/>
    </xf>
    <xf numFmtId="0" fontId="2" fillId="8" borderId="0" xfId="0" applyFont="1" applyFill="1" applyAlignment="1">
      <alignment wrapText="1"/>
    </xf>
    <xf numFmtId="0" fontId="5" fillId="0" borderId="0" xfId="0" applyFont="1" applyAlignment="1">
      <alignment wrapText="1"/>
    </xf>
  </cellXfs>
  <cellStyles count="1">
    <cellStyle name="Normal" xfId="0" builtinId="0"/>
  </cellStyles>
  <dxfs count="2">
    <dxf>
      <fill>
        <patternFill patternType="solid">
          <fgColor rgb="FFD9EAD3"/>
          <bgColor rgb="FFD9EAD3"/>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CW307"/>
  <sheetViews>
    <sheetView tabSelected="1" workbookViewId="0">
      <pane xSplit="3" ySplit="1" topLeftCell="D2" activePane="bottomRight" state="frozen"/>
      <selection pane="topRight" activeCell="D1" sqref="D1"/>
      <selection pane="bottomLeft" activeCell="A2" sqref="A2"/>
      <selection pane="bottomRight" activeCell="H1" sqref="H1"/>
    </sheetView>
  </sheetViews>
  <sheetFormatPr baseColWidth="10" defaultColWidth="12.6640625" defaultRowHeight="15.75" customHeight="1"/>
  <cols>
    <col min="1" max="19" width="18.88671875" customWidth="1"/>
    <col min="20" max="20" width="30.33203125" customWidth="1"/>
    <col min="21" max="22" width="34.33203125" customWidth="1"/>
    <col min="23" max="101" width="18.88671875" customWidth="1"/>
  </cols>
  <sheetData>
    <row r="1" spans="1:101" ht="13.8">
      <c r="A1" s="1" t="s">
        <v>0</v>
      </c>
      <c r="B1" s="1" t="s">
        <v>1</v>
      </c>
      <c r="C1" s="1" t="s">
        <v>2</v>
      </c>
      <c r="D1" s="1" t="s">
        <v>3</v>
      </c>
      <c r="E1" s="1" t="s">
        <v>4</v>
      </c>
      <c r="F1" s="1" t="s">
        <v>5</v>
      </c>
      <c r="G1" s="1" t="s">
        <v>1338</v>
      </c>
      <c r="H1" s="1" t="s">
        <v>1339</v>
      </c>
      <c r="I1" s="1" t="s">
        <v>8</v>
      </c>
      <c r="J1" s="1" t="s">
        <v>9</v>
      </c>
      <c r="K1" s="1" t="s">
        <v>10</v>
      </c>
      <c r="L1" s="1" t="s">
        <v>11</v>
      </c>
      <c r="M1" s="1" t="s">
        <v>12</v>
      </c>
      <c r="N1" s="1" t="s">
        <v>13</v>
      </c>
      <c r="O1" s="3" t="s">
        <v>14</v>
      </c>
      <c r="P1" s="1" t="s">
        <v>15</v>
      </c>
      <c r="Q1" s="1" t="s">
        <v>16</v>
      </c>
      <c r="R1" s="1" t="s">
        <v>17</v>
      </c>
      <c r="S1" s="1" t="s">
        <v>18</v>
      </c>
      <c r="T1" s="1" t="s">
        <v>19</v>
      </c>
      <c r="U1" s="1" t="s">
        <v>20</v>
      </c>
      <c r="V1" s="4"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26</v>
      </c>
      <c r="AZ1" s="1" t="s">
        <v>27</v>
      </c>
      <c r="BA1" s="1" t="s">
        <v>28</v>
      </c>
      <c r="BB1" s="1" t="s">
        <v>29</v>
      </c>
      <c r="BC1" s="1" t="s">
        <v>30</v>
      </c>
      <c r="BD1" s="1" t="s">
        <v>31</v>
      </c>
      <c r="BE1" s="1" t="s">
        <v>50</v>
      </c>
      <c r="BF1" s="1" t="s">
        <v>33</v>
      </c>
      <c r="BG1" s="1" t="s">
        <v>34</v>
      </c>
      <c r="BH1" s="1" t="s">
        <v>35</v>
      </c>
      <c r="BI1" s="1" t="s">
        <v>36</v>
      </c>
      <c r="BJ1" s="1" t="s">
        <v>37</v>
      </c>
      <c r="BK1" s="1" t="s">
        <v>38</v>
      </c>
      <c r="BL1" s="1" t="s">
        <v>39</v>
      </c>
      <c r="BM1" s="1" t="s">
        <v>40</v>
      </c>
      <c r="BN1" s="1" t="s">
        <v>41</v>
      </c>
      <c r="BO1" s="1" t="s">
        <v>51</v>
      </c>
      <c r="BP1" s="1" t="s">
        <v>52</v>
      </c>
      <c r="BQ1" s="1" t="s">
        <v>53</v>
      </c>
      <c r="BR1" s="1" t="s">
        <v>54</v>
      </c>
      <c r="BS1" s="1" t="s">
        <v>46</v>
      </c>
      <c r="BT1" s="1" t="s">
        <v>55</v>
      </c>
      <c r="BU1" s="1" t="s">
        <v>56</v>
      </c>
      <c r="BV1" s="1" t="s">
        <v>57</v>
      </c>
      <c r="BW1" s="1" t="s">
        <v>26</v>
      </c>
      <c r="BX1" s="1" t="s">
        <v>27</v>
      </c>
      <c r="BY1" s="1" t="s">
        <v>28</v>
      </c>
      <c r="BZ1" s="1" t="s">
        <v>29</v>
      </c>
      <c r="CA1" s="1" t="s">
        <v>30</v>
      </c>
      <c r="CB1" s="1" t="s">
        <v>31</v>
      </c>
      <c r="CC1" s="1" t="s">
        <v>32</v>
      </c>
      <c r="CD1" s="1" t="s">
        <v>58</v>
      </c>
      <c r="CE1" s="1" t="s">
        <v>34</v>
      </c>
      <c r="CF1" s="1" t="s">
        <v>35</v>
      </c>
      <c r="CG1" s="1" t="s">
        <v>36</v>
      </c>
      <c r="CH1" s="1" t="s">
        <v>37</v>
      </c>
      <c r="CI1" s="1" t="s">
        <v>38</v>
      </c>
      <c r="CJ1" s="1" t="s">
        <v>39</v>
      </c>
      <c r="CK1" s="1" t="s">
        <v>40</v>
      </c>
      <c r="CL1" s="1" t="s">
        <v>41</v>
      </c>
      <c r="CM1" s="1" t="s">
        <v>51</v>
      </c>
      <c r="CN1" s="1" t="s">
        <v>52</v>
      </c>
      <c r="CO1" s="1" t="s">
        <v>53</v>
      </c>
      <c r="CP1" s="1" t="s">
        <v>54</v>
      </c>
      <c r="CQ1" s="1" t="s">
        <v>46</v>
      </c>
      <c r="CR1" s="2"/>
      <c r="CS1" s="2"/>
      <c r="CT1" s="2"/>
      <c r="CU1" s="2"/>
      <c r="CV1" s="2"/>
      <c r="CW1" s="2"/>
    </row>
    <row r="2" spans="1:101" ht="13.2">
      <c r="A2" s="5">
        <v>45363.483787800928</v>
      </c>
      <c r="B2" s="6" t="s">
        <v>59</v>
      </c>
      <c r="C2" s="6" t="s">
        <v>60</v>
      </c>
      <c r="D2" s="7" t="s">
        <v>61</v>
      </c>
      <c r="E2" s="6" t="s">
        <v>62</v>
      </c>
      <c r="F2" s="6" t="s">
        <v>63</v>
      </c>
      <c r="G2" s="6" t="s">
        <v>64</v>
      </c>
      <c r="H2" s="6" t="s">
        <v>65</v>
      </c>
      <c r="I2" s="6" t="s">
        <v>66</v>
      </c>
      <c r="J2" s="6" t="s">
        <v>67</v>
      </c>
      <c r="K2" s="6" t="s">
        <v>59</v>
      </c>
      <c r="L2" s="6" t="s">
        <v>68</v>
      </c>
      <c r="M2" s="6" t="s">
        <v>69</v>
      </c>
      <c r="N2" s="6">
        <v>35</v>
      </c>
      <c r="O2" s="6" t="s">
        <v>70</v>
      </c>
      <c r="P2" s="6">
        <v>1</v>
      </c>
      <c r="Q2" s="6">
        <v>4</v>
      </c>
      <c r="R2" s="6">
        <v>50</v>
      </c>
      <c r="T2" s="6" t="s">
        <v>71</v>
      </c>
      <c r="U2" s="6" t="s">
        <v>72</v>
      </c>
      <c r="V2" s="6" t="s">
        <v>73</v>
      </c>
      <c r="W2" s="7" t="s">
        <v>74</v>
      </c>
      <c r="AR2" s="6" t="s">
        <v>71</v>
      </c>
      <c r="AS2" s="6" t="s">
        <v>71</v>
      </c>
      <c r="AT2" s="6" t="s">
        <v>71</v>
      </c>
      <c r="AU2" s="6" t="s">
        <v>72</v>
      </c>
      <c r="AV2" s="6" t="s">
        <v>71</v>
      </c>
      <c r="AW2" s="6" t="s">
        <v>71</v>
      </c>
      <c r="AX2" s="6" t="s">
        <v>71</v>
      </c>
      <c r="AY2" s="6" t="s">
        <v>72</v>
      </c>
      <c r="AZ2" s="6" t="s">
        <v>72</v>
      </c>
      <c r="BA2" s="6" t="s">
        <v>72</v>
      </c>
      <c r="BB2" s="6" t="s">
        <v>71</v>
      </c>
      <c r="BC2" s="6" t="s">
        <v>71</v>
      </c>
      <c r="BD2" s="6" t="s">
        <v>71</v>
      </c>
      <c r="BE2" s="6" t="s">
        <v>72</v>
      </c>
      <c r="BF2" s="6" t="s">
        <v>72</v>
      </c>
      <c r="BG2" s="6" t="s">
        <v>71</v>
      </c>
      <c r="BH2" s="6" t="s">
        <v>71</v>
      </c>
      <c r="BI2" s="6" t="s">
        <v>72</v>
      </c>
      <c r="BJ2" s="6" t="s">
        <v>72</v>
      </c>
    </row>
    <row r="3" spans="1:101" ht="13.2">
      <c r="A3" s="5">
        <v>45363.486660289353</v>
      </c>
      <c r="B3" s="6" t="s">
        <v>75</v>
      </c>
      <c r="C3" s="6" t="s">
        <v>76</v>
      </c>
      <c r="D3" s="7" t="s">
        <v>61</v>
      </c>
      <c r="E3" s="6" t="s">
        <v>62</v>
      </c>
      <c r="F3" s="6" t="s">
        <v>77</v>
      </c>
      <c r="G3" s="6" t="s">
        <v>64</v>
      </c>
      <c r="H3" s="6" t="s">
        <v>78</v>
      </c>
      <c r="I3" s="6" t="s">
        <v>65</v>
      </c>
      <c r="J3" s="6" t="s">
        <v>79</v>
      </c>
      <c r="K3" s="6" t="s">
        <v>75</v>
      </c>
      <c r="L3" s="6" t="s">
        <v>68</v>
      </c>
      <c r="M3" s="6" t="s">
        <v>80</v>
      </c>
      <c r="N3" s="6">
        <v>35</v>
      </c>
      <c r="O3" s="6" t="s">
        <v>70</v>
      </c>
      <c r="P3" s="6">
        <v>2</v>
      </c>
      <c r="Q3" s="6">
        <v>3</v>
      </c>
      <c r="R3" s="6">
        <v>50</v>
      </c>
      <c r="T3" s="6" t="s">
        <v>71</v>
      </c>
      <c r="U3" s="6" t="s">
        <v>72</v>
      </c>
      <c r="V3" s="6" t="s">
        <v>73</v>
      </c>
      <c r="W3" s="7" t="s">
        <v>74</v>
      </c>
      <c r="AR3" s="6" t="s">
        <v>71</v>
      </c>
      <c r="AS3" s="6" t="s">
        <v>71</v>
      </c>
      <c r="AT3" s="6" t="s">
        <v>71</v>
      </c>
      <c r="AU3" s="6" t="s">
        <v>72</v>
      </c>
      <c r="AV3" s="6" t="s">
        <v>71</v>
      </c>
      <c r="AW3" s="6" t="s">
        <v>71</v>
      </c>
      <c r="AX3" s="6" t="s">
        <v>71</v>
      </c>
      <c r="AY3" s="6" t="s">
        <v>72</v>
      </c>
      <c r="AZ3" s="6" t="s">
        <v>72</v>
      </c>
      <c r="BA3" s="6" t="s">
        <v>72</v>
      </c>
      <c r="BB3" s="6" t="s">
        <v>71</v>
      </c>
      <c r="BC3" s="6" t="s">
        <v>71</v>
      </c>
      <c r="BD3" s="6" t="s">
        <v>71</v>
      </c>
      <c r="BE3" s="6" t="s">
        <v>72</v>
      </c>
      <c r="BF3" s="6" t="s">
        <v>72</v>
      </c>
      <c r="BG3" s="6" t="s">
        <v>71</v>
      </c>
      <c r="BH3" s="6" t="s">
        <v>71</v>
      </c>
      <c r="BI3" s="6" t="s">
        <v>72</v>
      </c>
      <c r="BJ3" s="6" t="s">
        <v>72</v>
      </c>
    </row>
    <row r="4" spans="1:101" ht="13.2">
      <c r="A4" s="5">
        <v>45363.489966805559</v>
      </c>
      <c r="B4" s="6" t="s">
        <v>81</v>
      </c>
      <c r="C4" s="6" t="s">
        <v>82</v>
      </c>
      <c r="D4" s="7" t="s">
        <v>83</v>
      </c>
      <c r="E4" s="6" t="s">
        <v>84</v>
      </c>
      <c r="F4" s="6" t="s">
        <v>85</v>
      </c>
      <c r="G4" s="6" t="s">
        <v>64</v>
      </c>
      <c r="H4" s="6" t="s">
        <v>86</v>
      </c>
      <c r="I4" s="6" t="s">
        <v>87</v>
      </c>
      <c r="J4" s="6" t="s">
        <v>88</v>
      </c>
      <c r="K4" s="6" t="s">
        <v>81</v>
      </c>
      <c r="L4" s="6" t="s">
        <v>89</v>
      </c>
      <c r="M4" s="6" t="s">
        <v>90</v>
      </c>
      <c r="N4" s="6">
        <v>26</v>
      </c>
      <c r="O4" s="6" t="s">
        <v>70</v>
      </c>
      <c r="P4" s="6">
        <v>4</v>
      </c>
      <c r="Q4" s="6">
        <v>3</v>
      </c>
      <c r="R4" s="6">
        <v>0</v>
      </c>
      <c r="S4" s="6" t="s">
        <v>91</v>
      </c>
      <c r="T4" s="6" t="s">
        <v>71</v>
      </c>
      <c r="U4" s="6" t="s">
        <v>72</v>
      </c>
      <c r="V4" s="6" t="s">
        <v>73</v>
      </c>
      <c r="W4" s="7" t="s">
        <v>74</v>
      </c>
      <c r="AR4" s="6" t="s">
        <v>71</v>
      </c>
      <c r="AS4" s="6" t="s">
        <v>72</v>
      </c>
      <c r="AT4" s="6" t="s">
        <v>72</v>
      </c>
      <c r="AU4" s="6" t="s">
        <v>72</v>
      </c>
      <c r="AV4" s="6" t="s">
        <v>72</v>
      </c>
      <c r="AW4" s="6" t="s">
        <v>71</v>
      </c>
      <c r="AX4" s="6" t="s">
        <v>72</v>
      </c>
      <c r="AY4" s="6" t="s">
        <v>72</v>
      </c>
      <c r="AZ4" s="6" t="s">
        <v>72</v>
      </c>
      <c r="BA4" s="6" t="s">
        <v>72</v>
      </c>
      <c r="BB4" s="6" t="s">
        <v>72</v>
      </c>
      <c r="BC4" s="6" t="s">
        <v>72</v>
      </c>
      <c r="BD4" s="6" t="s">
        <v>71</v>
      </c>
      <c r="BE4" s="6" t="s">
        <v>72</v>
      </c>
      <c r="BF4" s="6" t="s">
        <v>72</v>
      </c>
      <c r="BG4" s="6" t="s">
        <v>72</v>
      </c>
      <c r="BH4" s="6" t="s">
        <v>72</v>
      </c>
      <c r="BI4" s="6" t="s">
        <v>72</v>
      </c>
      <c r="BJ4" s="6" t="s">
        <v>72</v>
      </c>
    </row>
    <row r="5" spans="1:101" ht="13.2">
      <c r="A5" s="5">
        <v>45363.492393344903</v>
      </c>
      <c r="B5" s="6" t="s">
        <v>81</v>
      </c>
      <c r="C5" s="6" t="s">
        <v>82</v>
      </c>
      <c r="D5" s="7" t="s">
        <v>83</v>
      </c>
      <c r="E5" s="6" t="s">
        <v>84</v>
      </c>
      <c r="F5" s="6" t="s">
        <v>92</v>
      </c>
      <c r="G5" s="6" t="s">
        <v>64</v>
      </c>
      <c r="H5" s="6" t="s">
        <v>86</v>
      </c>
      <c r="I5" s="6" t="s">
        <v>87</v>
      </c>
      <c r="J5" s="6" t="s">
        <v>88</v>
      </c>
      <c r="K5" s="6" t="s">
        <v>81</v>
      </c>
      <c r="L5" s="6" t="s">
        <v>89</v>
      </c>
      <c r="M5" s="6" t="s">
        <v>90</v>
      </c>
      <c r="N5" s="6">
        <v>19</v>
      </c>
      <c r="O5" s="6" t="s">
        <v>70</v>
      </c>
      <c r="P5" s="6">
        <v>4</v>
      </c>
      <c r="Q5" s="6">
        <v>3</v>
      </c>
      <c r="R5" s="6">
        <v>0</v>
      </c>
      <c r="S5" s="6" t="s">
        <v>93</v>
      </c>
      <c r="T5" s="6" t="s">
        <v>71</v>
      </c>
      <c r="U5" s="6" t="s">
        <v>72</v>
      </c>
      <c r="V5" s="6" t="s">
        <v>73</v>
      </c>
      <c r="W5" s="7" t="s">
        <v>74</v>
      </c>
      <c r="AR5" s="6" t="s">
        <v>71</v>
      </c>
      <c r="AS5" s="6" t="s">
        <v>72</v>
      </c>
      <c r="AT5" s="6" t="s">
        <v>72</v>
      </c>
      <c r="AU5" s="6" t="s">
        <v>72</v>
      </c>
      <c r="AV5" s="6" t="s">
        <v>72</v>
      </c>
      <c r="AW5" s="6" t="s">
        <v>71</v>
      </c>
      <c r="AX5" s="6" t="s">
        <v>72</v>
      </c>
      <c r="AY5" s="6" t="s">
        <v>72</v>
      </c>
      <c r="AZ5" s="6" t="s">
        <v>72</v>
      </c>
      <c r="BA5" s="6" t="s">
        <v>72</v>
      </c>
      <c r="BB5" s="6" t="s">
        <v>72</v>
      </c>
      <c r="BC5" s="6" t="s">
        <v>72</v>
      </c>
      <c r="BD5" s="6" t="s">
        <v>71</v>
      </c>
      <c r="BE5" s="6" t="s">
        <v>72</v>
      </c>
      <c r="BF5" s="6" t="s">
        <v>72</v>
      </c>
      <c r="BG5" s="6" t="s">
        <v>72</v>
      </c>
      <c r="BH5" s="6" t="s">
        <v>72</v>
      </c>
      <c r="BI5" s="6" t="s">
        <v>72</v>
      </c>
      <c r="BJ5" s="6" t="s">
        <v>72</v>
      </c>
    </row>
    <row r="6" spans="1:101" ht="13.2">
      <c r="A6" s="5">
        <v>45363.492571168987</v>
      </c>
      <c r="B6" s="6" t="s">
        <v>94</v>
      </c>
      <c r="C6" s="6" t="s">
        <v>95</v>
      </c>
      <c r="D6" s="7" t="s">
        <v>61</v>
      </c>
      <c r="E6" s="6" t="s">
        <v>62</v>
      </c>
      <c r="F6" s="6" t="s">
        <v>96</v>
      </c>
      <c r="G6" s="6" t="s">
        <v>64</v>
      </c>
      <c r="H6" s="6" t="s">
        <v>97</v>
      </c>
      <c r="I6" s="6" t="s">
        <v>98</v>
      </c>
      <c r="J6" s="6" t="s">
        <v>99</v>
      </c>
      <c r="K6" s="6" t="s">
        <v>94</v>
      </c>
      <c r="L6" s="6" t="s">
        <v>68</v>
      </c>
      <c r="M6" s="6" t="s">
        <v>100</v>
      </c>
      <c r="N6" s="6">
        <v>35</v>
      </c>
      <c r="O6" s="6" t="s">
        <v>70</v>
      </c>
      <c r="P6" s="6">
        <v>2</v>
      </c>
      <c r="Q6" s="6">
        <v>3</v>
      </c>
      <c r="R6" s="6">
        <v>50</v>
      </c>
      <c r="T6" s="6" t="s">
        <v>71</v>
      </c>
      <c r="U6" s="6" t="s">
        <v>72</v>
      </c>
      <c r="V6" s="6" t="s">
        <v>73</v>
      </c>
      <c r="W6" s="7" t="s">
        <v>74</v>
      </c>
      <c r="AR6" s="6" t="s">
        <v>71</v>
      </c>
      <c r="AS6" s="6" t="s">
        <v>71</v>
      </c>
      <c r="AT6" s="6" t="s">
        <v>71</v>
      </c>
      <c r="AU6" s="6" t="s">
        <v>72</v>
      </c>
      <c r="AV6" s="6" t="s">
        <v>71</v>
      </c>
      <c r="AW6" s="6" t="s">
        <v>71</v>
      </c>
      <c r="AX6" s="6" t="s">
        <v>71</v>
      </c>
      <c r="AY6" s="6" t="s">
        <v>72</v>
      </c>
      <c r="AZ6" s="6" t="s">
        <v>72</v>
      </c>
      <c r="BA6" s="6" t="s">
        <v>72</v>
      </c>
      <c r="BB6" s="6" t="s">
        <v>71</v>
      </c>
      <c r="BC6" s="6" t="s">
        <v>71</v>
      </c>
      <c r="BD6" s="6" t="s">
        <v>71</v>
      </c>
      <c r="BE6" s="6" t="s">
        <v>72</v>
      </c>
      <c r="BF6" s="6" t="s">
        <v>72</v>
      </c>
      <c r="BG6" s="6" t="s">
        <v>71</v>
      </c>
      <c r="BH6" s="6" t="s">
        <v>71</v>
      </c>
      <c r="BI6" s="6" t="s">
        <v>72</v>
      </c>
      <c r="BJ6" s="6" t="s">
        <v>72</v>
      </c>
    </row>
    <row r="7" spans="1:101" ht="13.2">
      <c r="A7" s="5">
        <v>45363.503203287037</v>
      </c>
      <c r="B7" s="6" t="s">
        <v>101</v>
      </c>
      <c r="C7" s="6" t="s">
        <v>102</v>
      </c>
      <c r="D7" s="7" t="s">
        <v>103</v>
      </c>
      <c r="E7" s="6" t="s">
        <v>62</v>
      </c>
      <c r="F7" s="6" t="s">
        <v>104</v>
      </c>
      <c r="G7" s="6" t="s">
        <v>105</v>
      </c>
      <c r="H7" s="6" t="s">
        <v>106</v>
      </c>
      <c r="I7" s="6" t="s">
        <v>107</v>
      </c>
      <c r="K7" s="6" t="s">
        <v>101</v>
      </c>
      <c r="L7" s="6" t="s">
        <v>68</v>
      </c>
      <c r="M7" s="6" t="s">
        <v>108</v>
      </c>
      <c r="N7" s="6">
        <v>25</v>
      </c>
      <c r="O7" s="6" t="s">
        <v>70</v>
      </c>
      <c r="P7" s="6">
        <v>5</v>
      </c>
      <c r="Q7" s="6">
        <v>5</v>
      </c>
      <c r="R7" s="6">
        <v>50</v>
      </c>
      <c r="T7" s="6" t="s">
        <v>71</v>
      </c>
      <c r="U7" s="6" t="s">
        <v>71</v>
      </c>
      <c r="V7" s="6" t="s">
        <v>109</v>
      </c>
      <c r="W7" s="7" t="s">
        <v>74</v>
      </c>
      <c r="AR7" s="6" t="s">
        <v>72</v>
      </c>
      <c r="AS7" s="6" t="s">
        <v>71</v>
      </c>
      <c r="AT7" s="6" t="s">
        <v>71</v>
      </c>
      <c r="AU7" s="6" t="s">
        <v>72</v>
      </c>
      <c r="AV7" s="6" t="s">
        <v>71</v>
      </c>
      <c r="AW7" s="6" t="s">
        <v>72</v>
      </c>
      <c r="AX7" s="6" t="s">
        <v>72</v>
      </c>
      <c r="AY7" s="6" t="s">
        <v>72</v>
      </c>
      <c r="AZ7" s="6" t="s">
        <v>71</v>
      </c>
      <c r="BA7" s="6" t="s">
        <v>71</v>
      </c>
      <c r="BB7" s="6" t="s">
        <v>72</v>
      </c>
      <c r="BC7" s="6" t="s">
        <v>71</v>
      </c>
      <c r="BD7" s="6" t="s">
        <v>71</v>
      </c>
      <c r="BE7" s="6" t="s">
        <v>71</v>
      </c>
      <c r="BF7" s="6" t="s">
        <v>72</v>
      </c>
      <c r="BG7" s="6" t="s">
        <v>72</v>
      </c>
      <c r="BH7" s="6" t="s">
        <v>72</v>
      </c>
      <c r="BI7" s="6" t="s">
        <v>71</v>
      </c>
      <c r="BJ7" s="6" t="s">
        <v>72</v>
      </c>
    </row>
    <row r="8" spans="1:101" ht="13.2">
      <c r="A8" s="5">
        <v>45363.506109606482</v>
      </c>
      <c r="B8" s="6" t="s">
        <v>101</v>
      </c>
      <c r="C8" s="6" t="s">
        <v>110</v>
      </c>
      <c r="D8" s="7" t="s">
        <v>103</v>
      </c>
      <c r="E8" s="6" t="s">
        <v>62</v>
      </c>
      <c r="F8" s="6" t="s">
        <v>111</v>
      </c>
      <c r="G8" s="6" t="s">
        <v>105</v>
      </c>
      <c r="H8" s="6" t="s">
        <v>106</v>
      </c>
      <c r="I8" s="6" t="s">
        <v>112</v>
      </c>
      <c r="K8" s="6" t="s">
        <v>101</v>
      </c>
      <c r="L8" s="6" t="s">
        <v>68</v>
      </c>
      <c r="M8" s="6" t="s">
        <v>108</v>
      </c>
      <c r="N8" s="6">
        <v>20</v>
      </c>
      <c r="O8" s="6" t="s">
        <v>70</v>
      </c>
      <c r="P8" s="6">
        <v>5</v>
      </c>
      <c r="Q8" s="6">
        <v>5</v>
      </c>
      <c r="R8" s="6">
        <v>50</v>
      </c>
      <c r="T8" s="6" t="s">
        <v>71</v>
      </c>
      <c r="U8" s="6" t="s">
        <v>71</v>
      </c>
      <c r="V8" s="6" t="s">
        <v>109</v>
      </c>
      <c r="W8" s="7" t="s">
        <v>74</v>
      </c>
      <c r="AR8" s="6" t="s">
        <v>72</v>
      </c>
      <c r="AS8" s="6" t="s">
        <v>71</v>
      </c>
      <c r="AT8" s="6" t="s">
        <v>71</v>
      </c>
      <c r="AU8" s="6" t="s">
        <v>72</v>
      </c>
      <c r="AV8" s="6" t="s">
        <v>71</v>
      </c>
      <c r="AW8" s="6" t="s">
        <v>72</v>
      </c>
      <c r="AX8" s="6" t="s">
        <v>72</v>
      </c>
      <c r="AY8" s="6" t="s">
        <v>72</v>
      </c>
      <c r="AZ8" s="6" t="s">
        <v>71</v>
      </c>
      <c r="BA8" s="6" t="s">
        <v>72</v>
      </c>
      <c r="BB8" s="6" t="s">
        <v>72</v>
      </c>
      <c r="BC8" s="6" t="s">
        <v>71</v>
      </c>
      <c r="BD8" s="6" t="s">
        <v>71</v>
      </c>
      <c r="BE8" s="6" t="s">
        <v>71</v>
      </c>
      <c r="BF8" s="6" t="s">
        <v>72</v>
      </c>
      <c r="BG8" s="6" t="s">
        <v>72</v>
      </c>
      <c r="BH8" s="6" t="s">
        <v>72</v>
      </c>
      <c r="BI8" s="6" t="s">
        <v>71</v>
      </c>
      <c r="BJ8" s="6" t="s">
        <v>72</v>
      </c>
    </row>
    <row r="9" spans="1:101" ht="13.2">
      <c r="A9" s="5">
        <v>45363.516926122684</v>
      </c>
      <c r="B9" s="6" t="s">
        <v>113</v>
      </c>
      <c r="C9" s="6" t="s">
        <v>114</v>
      </c>
      <c r="D9" s="7" t="s">
        <v>115</v>
      </c>
      <c r="E9" s="6" t="s">
        <v>62</v>
      </c>
      <c r="F9" s="6" t="s">
        <v>116</v>
      </c>
      <c r="G9" s="6" t="s">
        <v>64</v>
      </c>
      <c r="H9" s="6" t="s">
        <v>117</v>
      </c>
      <c r="I9" s="6" t="s">
        <v>118</v>
      </c>
      <c r="J9" s="6" t="s">
        <v>119</v>
      </c>
      <c r="K9" s="6" t="s">
        <v>113</v>
      </c>
      <c r="L9" s="6" t="s">
        <v>89</v>
      </c>
      <c r="M9" s="6" t="s">
        <v>120</v>
      </c>
      <c r="N9" s="6">
        <v>30</v>
      </c>
      <c r="O9" s="6" t="s">
        <v>70</v>
      </c>
      <c r="P9" s="6">
        <v>5</v>
      </c>
      <c r="Q9" s="6">
        <v>5</v>
      </c>
      <c r="R9" s="6">
        <v>5</v>
      </c>
      <c r="S9" s="6" t="s">
        <v>121</v>
      </c>
      <c r="T9" s="6" t="s">
        <v>71</v>
      </c>
      <c r="U9" s="6" t="s">
        <v>72</v>
      </c>
      <c r="V9" s="6" t="s">
        <v>73</v>
      </c>
      <c r="W9" s="7" t="s">
        <v>74</v>
      </c>
      <c r="AR9" s="6" t="s">
        <v>71</v>
      </c>
      <c r="AS9" s="6" t="s">
        <v>72</v>
      </c>
      <c r="AT9" s="6" t="s">
        <v>72</v>
      </c>
      <c r="AU9" s="6" t="s">
        <v>72</v>
      </c>
      <c r="AV9" s="6" t="s">
        <v>72</v>
      </c>
      <c r="AW9" s="6" t="s">
        <v>72</v>
      </c>
      <c r="AX9" s="6" t="s">
        <v>71</v>
      </c>
      <c r="AY9" s="6" t="s">
        <v>72</v>
      </c>
      <c r="AZ9" s="6" t="s">
        <v>72</v>
      </c>
      <c r="BA9" s="6" t="s">
        <v>72</v>
      </c>
      <c r="BB9" s="6" t="s">
        <v>72</v>
      </c>
      <c r="BC9" s="6" t="s">
        <v>72</v>
      </c>
      <c r="BD9" s="6" t="s">
        <v>71</v>
      </c>
      <c r="BE9" s="6" t="s">
        <v>72</v>
      </c>
      <c r="BF9" s="6" t="s">
        <v>72</v>
      </c>
      <c r="BG9" s="6" t="s">
        <v>71</v>
      </c>
      <c r="BH9" s="6" t="s">
        <v>72</v>
      </c>
      <c r="BI9" s="6" t="s">
        <v>72</v>
      </c>
      <c r="BJ9" s="6" t="s">
        <v>72</v>
      </c>
      <c r="BK9" s="6" t="s">
        <v>122</v>
      </c>
    </row>
    <row r="10" spans="1:101" ht="13.2">
      <c r="A10" s="5">
        <v>45363.525105173612</v>
      </c>
      <c r="B10" s="6" t="s">
        <v>123</v>
      </c>
      <c r="C10" s="6" t="s">
        <v>124</v>
      </c>
      <c r="D10" s="7" t="s">
        <v>125</v>
      </c>
      <c r="E10" s="6" t="s">
        <v>62</v>
      </c>
      <c r="F10" s="6" t="s">
        <v>126</v>
      </c>
      <c r="G10" s="6" t="s">
        <v>64</v>
      </c>
      <c r="H10" s="6" t="s">
        <v>127</v>
      </c>
      <c r="I10" s="6" t="s">
        <v>128</v>
      </c>
      <c r="K10" s="6" t="s">
        <v>123</v>
      </c>
      <c r="L10" s="6" t="s">
        <v>89</v>
      </c>
      <c r="M10" s="6" t="s">
        <v>129</v>
      </c>
      <c r="N10" s="6">
        <v>30</v>
      </c>
      <c r="O10" s="6" t="s">
        <v>70</v>
      </c>
      <c r="P10" s="6">
        <v>4</v>
      </c>
      <c r="Q10" s="6">
        <v>3</v>
      </c>
      <c r="R10" s="6">
        <v>5</v>
      </c>
      <c r="T10" s="6" t="s">
        <v>71</v>
      </c>
      <c r="U10" s="6" t="s">
        <v>72</v>
      </c>
      <c r="V10" s="6" t="s">
        <v>73</v>
      </c>
      <c r="W10" s="7" t="s">
        <v>74</v>
      </c>
      <c r="AR10" s="6" t="s">
        <v>71</v>
      </c>
      <c r="AS10" s="6" t="s">
        <v>72</v>
      </c>
      <c r="AT10" s="6" t="s">
        <v>72</v>
      </c>
      <c r="AU10" s="6" t="s">
        <v>72</v>
      </c>
      <c r="AV10" s="6" t="s">
        <v>72</v>
      </c>
      <c r="AW10" s="6" t="s">
        <v>72</v>
      </c>
      <c r="AX10" s="6" t="s">
        <v>71</v>
      </c>
      <c r="AY10" s="6" t="s">
        <v>72</v>
      </c>
      <c r="AZ10" s="6" t="s">
        <v>72</v>
      </c>
      <c r="BA10" s="6" t="s">
        <v>72</v>
      </c>
      <c r="BB10" s="6" t="s">
        <v>72</v>
      </c>
      <c r="BC10" s="6" t="s">
        <v>71</v>
      </c>
      <c r="BD10" s="6" t="s">
        <v>72</v>
      </c>
      <c r="BE10" s="6" t="s">
        <v>72</v>
      </c>
      <c r="BF10" s="6" t="s">
        <v>72</v>
      </c>
      <c r="BG10" s="6" t="s">
        <v>72</v>
      </c>
      <c r="BH10" s="6" t="s">
        <v>72</v>
      </c>
      <c r="BI10" s="6" t="s">
        <v>72</v>
      </c>
      <c r="BJ10" s="6" t="s">
        <v>72</v>
      </c>
    </row>
    <row r="11" spans="1:101" ht="13.2">
      <c r="A11" s="5">
        <v>45363.535620173614</v>
      </c>
      <c r="B11" s="6" t="s">
        <v>130</v>
      </c>
      <c r="C11" s="6" t="s">
        <v>131</v>
      </c>
      <c r="D11" s="7" t="s">
        <v>132</v>
      </c>
      <c r="E11" s="6" t="s">
        <v>133</v>
      </c>
      <c r="F11" s="6" t="s">
        <v>134</v>
      </c>
      <c r="G11" s="6" t="s">
        <v>64</v>
      </c>
      <c r="H11" s="6" t="s">
        <v>135</v>
      </c>
      <c r="I11" s="6" t="s">
        <v>136</v>
      </c>
      <c r="J11" s="6" t="s">
        <v>137</v>
      </c>
      <c r="K11" s="6" t="s">
        <v>130</v>
      </c>
      <c r="L11" s="6" t="s">
        <v>138</v>
      </c>
      <c r="M11" s="6" t="s">
        <v>139</v>
      </c>
      <c r="N11" s="6">
        <v>25</v>
      </c>
      <c r="O11" s="6" t="s">
        <v>70</v>
      </c>
      <c r="P11" s="6">
        <v>2</v>
      </c>
      <c r="Q11" s="6">
        <v>2</v>
      </c>
      <c r="R11" s="6">
        <v>80</v>
      </c>
      <c r="T11" s="6" t="s">
        <v>71</v>
      </c>
      <c r="U11" s="6" t="s">
        <v>71</v>
      </c>
      <c r="V11" s="6" t="s">
        <v>109</v>
      </c>
      <c r="W11" s="7" t="s">
        <v>74</v>
      </c>
      <c r="AR11" s="6" t="s">
        <v>71</v>
      </c>
      <c r="AS11" s="6" t="s">
        <v>72</v>
      </c>
      <c r="AT11" s="6" t="s">
        <v>72</v>
      </c>
      <c r="AU11" s="6" t="s">
        <v>72</v>
      </c>
      <c r="AV11" s="6" t="s">
        <v>72</v>
      </c>
      <c r="AW11" s="6" t="s">
        <v>71</v>
      </c>
      <c r="AX11" s="6" t="s">
        <v>72</v>
      </c>
      <c r="AY11" s="6" t="s">
        <v>72</v>
      </c>
      <c r="AZ11" s="6" t="s">
        <v>71</v>
      </c>
      <c r="BA11" s="6" t="s">
        <v>72</v>
      </c>
      <c r="BD11" s="6" t="s">
        <v>71</v>
      </c>
      <c r="BJ11" s="6" t="s">
        <v>71</v>
      </c>
    </row>
    <row r="12" spans="1:101" ht="13.2">
      <c r="A12" s="5">
        <v>45363.539553865739</v>
      </c>
      <c r="B12" s="6" t="s">
        <v>130</v>
      </c>
      <c r="C12" s="6" t="s">
        <v>131</v>
      </c>
      <c r="D12" s="7" t="s">
        <v>132</v>
      </c>
      <c r="E12" s="6" t="s">
        <v>133</v>
      </c>
      <c r="F12" s="6" t="s">
        <v>134</v>
      </c>
      <c r="G12" s="6" t="s">
        <v>64</v>
      </c>
      <c r="H12" s="6" t="s">
        <v>135</v>
      </c>
      <c r="I12" s="6" t="s">
        <v>136</v>
      </c>
      <c r="J12" s="6" t="s">
        <v>140</v>
      </c>
      <c r="K12" s="6" t="s">
        <v>130</v>
      </c>
      <c r="L12" s="6" t="s">
        <v>138</v>
      </c>
      <c r="M12" s="6" t="s">
        <v>139</v>
      </c>
      <c r="N12" s="6">
        <v>25</v>
      </c>
      <c r="O12" s="6" t="s">
        <v>70</v>
      </c>
      <c r="P12" s="6">
        <v>2</v>
      </c>
      <c r="Q12" s="6">
        <v>2</v>
      </c>
      <c r="R12" s="6">
        <v>80</v>
      </c>
      <c r="T12" s="6" t="s">
        <v>71</v>
      </c>
      <c r="U12" s="6" t="s">
        <v>71</v>
      </c>
      <c r="V12" s="6" t="s">
        <v>109</v>
      </c>
      <c r="W12" s="7" t="s">
        <v>74</v>
      </c>
      <c r="AR12" s="6" t="s">
        <v>71</v>
      </c>
      <c r="AS12" s="6" t="s">
        <v>72</v>
      </c>
      <c r="AT12" s="6" t="s">
        <v>72</v>
      </c>
      <c r="AU12" s="6" t="s">
        <v>72</v>
      </c>
      <c r="AV12" s="6" t="s">
        <v>72</v>
      </c>
      <c r="AW12" s="6" t="s">
        <v>71</v>
      </c>
      <c r="AX12" s="6" t="s">
        <v>72</v>
      </c>
      <c r="AY12" s="6" t="s">
        <v>72</v>
      </c>
      <c r="AZ12" s="6" t="s">
        <v>71</v>
      </c>
      <c r="BA12" s="6" t="s">
        <v>72</v>
      </c>
      <c r="BD12" s="6" t="s">
        <v>71</v>
      </c>
      <c r="BJ12" s="6" t="s">
        <v>71</v>
      </c>
    </row>
    <row r="13" spans="1:101" ht="13.2">
      <c r="A13" s="5">
        <v>45363.607774502314</v>
      </c>
      <c r="B13" s="6" t="s">
        <v>141</v>
      </c>
      <c r="C13" s="6" t="s">
        <v>142</v>
      </c>
      <c r="D13" s="6">
        <v>20135200</v>
      </c>
      <c r="E13" s="6" t="s">
        <v>84</v>
      </c>
      <c r="F13" s="6" t="s">
        <v>143</v>
      </c>
      <c r="G13" s="6" t="s">
        <v>105</v>
      </c>
      <c r="H13" s="6" t="s">
        <v>144</v>
      </c>
      <c r="I13" s="6" t="s">
        <v>145</v>
      </c>
      <c r="J13" s="6" t="s">
        <v>146</v>
      </c>
      <c r="K13" s="6" t="s">
        <v>141</v>
      </c>
      <c r="L13" s="6" t="s">
        <v>89</v>
      </c>
      <c r="M13" s="6" t="s">
        <v>147</v>
      </c>
      <c r="N13" s="6">
        <v>35</v>
      </c>
      <c r="O13" s="6" t="s">
        <v>148</v>
      </c>
      <c r="P13" s="6">
        <v>5</v>
      </c>
      <c r="Q13" s="6">
        <v>5</v>
      </c>
      <c r="R13" s="6">
        <v>60</v>
      </c>
      <c r="T13" s="6" t="s">
        <v>71</v>
      </c>
      <c r="U13" s="6" t="s">
        <v>72</v>
      </c>
      <c r="V13" s="6" t="s">
        <v>73</v>
      </c>
      <c r="W13" s="7" t="s">
        <v>74</v>
      </c>
      <c r="AR13" s="6" t="s">
        <v>71</v>
      </c>
      <c r="AS13" s="6" t="s">
        <v>71</v>
      </c>
      <c r="AT13" s="6" t="s">
        <v>71</v>
      </c>
      <c r="AU13" s="6" t="s">
        <v>71</v>
      </c>
      <c r="AV13" s="6" t="s">
        <v>71</v>
      </c>
      <c r="AW13" s="6" t="s">
        <v>71</v>
      </c>
      <c r="AX13" s="6" t="s">
        <v>71</v>
      </c>
      <c r="AY13" s="6" t="s">
        <v>71</v>
      </c>
      <c r="AZ13" s="6" t="s">
        <v>71</v>
      </c>
      <c r="BA13" s="6" t="s">
        <v>71</v>
      </c>
      <c r="BB13" s="6" t="s">
        <v>71</v>
      </c>
      <c r="BC13" s="6" t="s">
        <v>71</v>
      </c>
      <c r="BD13" s="6" t="s">
        <v>71</v>
      </c>
      <c r="BE13" s="6" t="s">
        <v>71</v>
      </c>
      <c r="BF13" s="6" t="s">
        <v>71</v>
      </c>
      <c r="BG13" s="6" t="s">
        <v>71</v>
      </c>
      <c r="BH13" s="6" t="s">
        <v>71</v>
      </c>
      <c r="BI13" s="6" t="s">
        <v>71</v>
      </c>
      <c r="BJ13" s="6" t="s">
        <v>71</v>
      </c>
    </row>
    <row r="14" spans="1:101" ht="19.5" customHeight="1">
      <c r="A14" s="5">
        <v>45363.627058645834</v>
      </c>
      <c r="B14" s="6" t="s">
        <v>149</v>
      </c>
      <c r="C14" s="6" t="s">
        <v>150</v>
      </c>
      <c r="D14" s="7" t="s">
        <v>151</v>
      </c>
      <c r="E14" s="6" t="s">
        <v>62</v>
      </c>
      <c r="F14" s="6" t="s">
        <v>152</v>
      </c>
      <c r="G14" s="6" t="s">
        <v>64</v>
      </c>
      <c r="H14" s="6" t="s">
        <v>153</v>
      </c>
      <c r="I14" s="6" t="s">
        <v>154</v>
      </c>
      <c r="J14" s="6" t="s">
        <v>155</v>
      </c>
      <c r="K14" s="6" t="s">
        <v>149</v>
      </c>
      <c r="L14" s="6" t="s">
        <v>138</v>
      </c>
      <c r="M14" s="6" t="s">
        <v>156</v>
      </c>
      <c r="N14" s="6">
        <v>35</v>
      </c>
      <c r="O14" s="6" t="s">
        <v>70</v>
      </c>
      <c r="P14" s="6">
        <v>4</v>
      </c>
      <c r="Q14" s="6">
        <v>4</v>
      </c>
      <c r="R14" s="6">
        <v>20</v>
      </c>
      <c r="S14" s="6" t="s">
        <v>157</v>
      </c>
      <c r="T14" s="6" t="s">
        <v>71</v>
      </c>
      <c r="U14" s="6" t="s">
        <v>72</v>
      </c>
      <c r="V14" s="6" t="s">
        <v>73</v>
      </c>
      <c r="W14" s="7" t="s">
        <v>74</v>
      </c>
      <c r="AR14" s="6" t="s">
        <v>71</v>
      </c>
      <c r="AS14" s="6" t="s">
        <v>72</v>
      </c>
      <c r="AT14" s="6" t="s">
        <v>72</v>
      </c>
      <c r="AU14" s="6" t="s">
        <v>71</v>
      </c>
      <c r="AV14" s="6" t="s">
        <v>72</v>
      </c>
      <c r="AW14" s="6" t="s">
        <v>71</v>
      </c>
      <c r="AX14" s="6" t="s">
        <v>71</v>
      </c>
      <c r="AY14" s="6" t="s">
        <v>71</v>
      </c>
      <c r="AZ14" s="6" t="s">
        <v>72</v>
      </c>
      <c r="BA14" s="6" t="s">
        <v>72</v>
      </c>
      <c r="BB14" s="6" t="s">
        <v>71</v>
      </c>
      <c r="BC14" s="6" t="s">
        <v>71</v>
      </c>
      <c r="BD14" s="6" t="s">
        <v>71</v>
      </c>
      <c r="BE14" s="6" t="s">
        <v>72</v>
      </c>
      <c r="BF14" s="6" t="s">
        <v>72</v>
      </c>
      <c r="BG14" s="6" t="s">
        <v>72</v>
      </c>
      <c r="BH14" s="6" t="s">
        <v>72</v>
      </c>
      <c r="BI14" s="6" t="s">
        <v>72</v>
      </c>
      <c r="BJ14" s="6" t="s">
        <v>72</v>
      </c>
      <c r="BK14" s="6" t="s">
        <v>158</v>
      </c>
    </row>
    <row r="15" spans="1:101" ht="14.25" customHeight="1">
      <c r="A15" s="5">
        <v>45363.631155625</v>
      </c>
      <c r="B15" s="6" t="s">
        <v>149</v>
      </c>
      <c r="C15" s="6" t="s">
        <v>150</v>
      </c>
      <c r="D15" s="7" t="s">
        <v>151</v>
      </c>
      <c r="E15" s="6" t="s">
        <v>62</v>
      </c>
      <c r="F15" s="6" t="s">
        <v>159</v>
      </c>
      <c r="G15" s="6" t="s">
        <v>64</v>
      </c>
      <c r="H15" s="6" t="s">
        <v>154</v>
      </c>
      <c r="I15" s="6" t="s">
        <v>160</v>
      </c>
      <c r="J15" s="6" t="s">
        <v>161</v>
      </c>
      <c r="K15" s="6" t="s">
        <v>149</v>
      </c>
      <c r="L15" s="6" t="s">
        <v>138</v>
      </c>
      <c r="M15" s="6" t="s">
        <v>162</v>
      </c>
      <c r="N15" s="6">
        <v>35</v>
      </c>
      <c r="O15" s="6" t="s">
        <v>70</v>
      </c>
      <c r="P15" s="6">
        <v>4</v>
      </c>
      <c r="Q15" s="6">
        <v>4</v>
      </c>
      <c r="R15" s="6">
        <v>20</v>
      </c>
      <c r="S15" s="6" t="s">
        <v>163</v>
      </c>
      <c r="T15" s="6" t="s">
        <v>71</v>
      </c>
      <c r="U15" s="6" t="s">
        <v>72</v>
      </c>
      <c r="V15" s="6" t="s">
        <v>73</v>
      </c>
      <c r="W15" s="7" t="s">
        <v>74</v>
      </c>
      <c r="AR15" s="6" t="s">
        <v>71</v>
      </c>
      <c r="AS15" s="6" t="s">
        <v>72</v>
      </c>
      <c r="AT15" s="6" t="s">
        <v>72</v>
      </c>
      <c r="AU15" s="6" t="s">
        <v>71</v>
      </c>
      <c r="AV15" s="6" t="s">
        <v>72</v>
      </c>
      <c r="AW15" s="6" t="s">
        <v>71</v>
      </c>
      <c r="AX15" s="6" t="s">
        <v>71</v>
      </c>
      <c r="AY15" s="6" t="s">
        <v>71</v>
      </c>
      <c r="AZ15" s="6" t="s">
        <v>72</v>
      </c>
      <c r="BA15" s="6" t="s">
        <v>72</v>
      </c>
      <c r="BB15" s="6" t="s">
        <v>71</v>
      </c>
      <c r="BC15" s="6" t="s">
        <v>71</v>
      </c>
      <c r="BD15" s="6" t="s">
        <v>71</v>
      </c>
      <c r="BE15" s="6" t="s">
        <v>72</v>
      </c>
      <c r="BF15" s="6" t="s">
        <v>72</v>
      </c>
      <c r="BG15" s="6" t="s">
        <v>72</v>
      </c>
      <c r="BH15" s="6" t="s">
        <v>72</v>
      </c>
      <c r="BI15" s="6" t="s">
        <v>72</v>
      </c>
      <c r="BJ15" s="6" t="s">
        <v>72</v>
      </c>
      <c r="BK15" s="6" t="s">
        <v>164</v>
      </c>
    </row>
    <row r="16" spans="1:101" ht="13.2">
      <c r="A16" s="5">
        <v>45363.661298252315</v>
      </c>
      <c r="B16" s="6" t="s">
        <v>165</v>
      </c>
      <c r="C16" s="6" t="s">
        <v>166</v>
      </c>
      <c r="D16" s="7" t="s">
        <v>167</v>
      </c>
      <c r="E16" s="6" t="s">
        <v>168</v>
      </c>
      <c r="F16" s="6" t="s">
        <v>169</v>
      </c>
      <c r="G16" s="6" t="s">
        <v>64</v>
      </c>
      <c r="H16" s="6" t="s">
        <v>170</v>
      </c>
      <c r="I16" s="6" t="s">
        <v>171</v>
      </c>
      <c r="J16" s="6" t="s">
        <v>172</v>
      </c>
      <c r="K16" s="6" t="s">
        <v>165</v>
      </c>
      <c r="L16" s="6" t="s">
        <v>89</v>
      </c>
      <c r="M16" s="6" t="s">
        <v>173</v>
      </c>
      <c r="N16" s="6">
        <v>35</v>
      </c>
      <c r="O16" s="6" t="s">
        <v>70</v>
      </c>
      <c r="P16" s="6">
        <v>4</v>
      </c>
      <c r="Q16" s="6">
        <v>4</v>
      </c>
      <c r="R16" s="6">
        <v>30</v>
      </c>
      <c r="T16" s="6" t="s">
        <v>71</v>
      </c>
      <c r="U16" s="6" t="s">
        <v>72</v>
      </c>
      <c r="V16" s="6" t="s">
        <v>73</v>
      </c>
      <c r="W16" s="7" t="s">
        <v>74</v>
      </c>
      <c r="AR16" s="6" t="s">
        <v>71</v>
      </c>
      <c r="AS16" s="6" t="s">
        <v>71</v>
      </c>
      <c r="AT16" s="6" t="s">
        <v>71</v>
      </c>
      <c r="AU16" s="6" t="s">
        <v>71</v>
      </c>
      <c r="AV16" s="6" t="s">
        <v>71</v>
      </c>
      <c r="AW16" s="6" t="s">
        <v>71</v>
      </c>
      <c r="AX16" s="6" t="s">
        <v>71</v>
      </c>
      <c r="AY16" s="6" t="s">
        <v>71</v>
      </c>
      <c r="AZ16" s="6" t="s">
        <v>71</v>
      </c>
      <c r="BA16" s="6" t="s">
        <v>71</v>
      </c>
      <c r="BB16" s="6" t="s">
        <v>71</v>
      </c>
      <c r="BC16" s="6" t="s">
        <v>71</v>
      </c>
      <c r="BD16" s="6" t="s">
        <v>71</v>
      </c>
      <c r="BE16" s="6" t="s">
        <v>71</v>
      </c>
      <c r="BF16" s="6" t="s">
        <v>71</v>
      </c>
      <c r="BG16" s="6" t="s">
        <v>71</v>
      </c>
      <c r="BH16" s="6" t="s">
        <v>71</v>
      </c>
      <c r="BI16" s="6" t="s">
        <v>71</v>
      </c>
      <c r="BJ16" s="6" t="s">
        <v>71</v>
      </c>
    </row>
    <row r="17" spans="1:63" ht="13.2">
      <c r="A17" s="5">
        <v>45363.691134629626</v>
      </c>
      <c r="B17" s="6" t="s">
        <v>174</v>
      </c>
      <c r="C17" s="6" t="s">
        <v>175</v>
      </c>
      <c r="D17" s="7" t="s">
        <v>176</v>
      </c>
      <c r="E17" s="6" t="s">
        <v>84</v>
      </c>
      <c r="F17" s="6" t="s">
        <v>177</v>
      </c>
      <c r="G17" s="6" t="s">
        <v>64</v>
      </c>
      <c r="H17" s="6" t="s">
        <v>178</v>
      </c>
      <c r="I17" s="6" t="s">
        <v>179</v>
      </c>
      <c r="J17" s="6" t="s">
        <v>180</v>
      </c>
      <c r="K17" s="6" t="s">
        <v>174</v>
      </c>
      <c r="L17" s="6" t="s">
        <v>68</v>
      </c>
      <c r="M17" s="6" t="s">
        <v>181</v>
      </c>
      <c r="N17" s="6">
        <v>23</v>
      </c>
      <c r="O17" s="6" t="s">
        <v>70</v>
      </c>
      <c r="P17" s="6">
        <v>4</v>
      </c>
      <c r="Q17" s="6">
        <v>3</v>
      </c>
      <c r="R17" s="6">
        <v>0</v>
      </c>
      <c r="T17" s="6" t="s">
        <v>71</v>
      </c>
      <c r="U17" s="6" t="s">
        <v>72</v>
      </c>
      <c r="V17" s="6" t="s">
        <v>73</v>
      </c>
      <c r="W17" s="7" t="s">
        <v>74</v>
      </c>
      <c r="AR17" s="6" t="s">
        <v>71</v>
      </c>
      <c r="AS17" s="6" t="s">
        <v>71</v>
      </c>
      <c r="AT17" s="6" t="s">
        <v>71</v>
      </c>
      <c r="AU17" s="6" t="s">
        <v>72</v>
      </c>
      <c r="AV17" s="6" t="s">
        <v>71</v>
      </c>
      <c r="AW17" s="6" t="s">
        <v>71</v>
      </c>
      <c r="AX17" s="6" t="s">
        <v>71</v>
      </c>
      <c r="AY17" s="6" t="s">
        <v>72</v>
      </c>
      <c r="AZ17" s="6" t="s">
        <v>72</v>
      </c>
      <c r="BA17" s="6" t="s">
        <v>72</v>
      </c>
      <c r="BB17" s="6" t="s">
        <v>71</v>
      </c>
      <c r="BC17" s="6" t="s">
        <v>71</v>
      </c>
      <c r="BD17" s="6" t="s">
        <v>71</v>
      </c>
      <c r="BE17" s="6" t="s">
        <v>72</v>
      </c>
      <c r="BF17" s="6" t="s">
        <v>72</v>
      </c>
      <c r="BG17" s="6" t="s">
        <v>71</v>
      </c>
      <c r="BH17" s="6" t="s">
        <v>71</v>
      </c>
      <c r="BI17" s="6" t="s">
        <v>72</v>
      </c>
      <c r="BJ17" s="6" t="s">
        <v>72</v>
      </c>
      <c r="BK17" s="6" t="s">
        <v>182</v>
      </c>
    </row>
    <row r="18" spans="1:63" ht="13.2">
      <c r="A18" s="5">
        <v>45363.718439537042</v>
      </c>
      <c r="B18" s="6" t="s">
        <v>183</v>
      </c>
      <c r="C18" s="6" t="s">
        <v>184</v>
      </c>
      <c r="D18" s="7" t="s">
        <v>185</v>
      </c>
      <c r="E18" s="6" t="s">
        <v>84</v>
      </c>
      <c r="F18" s="6" t="s">
        <v>186</v>
      </c>
      <c r="G18" s="6" t="s">
        <v>64</v>
      </c>
      <c r="H18" s="6" t="s">
        <v>187</v>
      </c>
      <c r="I18" s="6" t="s">
        <v>188</v>
      </c>
      <c r="J18" s="6" t="s">
        <v>189</v>
      </c>
      <c r="K18" s="6" t="s">
        <v>183</v>
      </c>
      <c r="L18" s="6" t="s">
        <v>89</v>
      </c>
      <c r="M18" s="6" t="s">
        <v>190</v>
      </c>
      <c r="N18" s="6">
        <v>30</v>
      </c>
      <c r="O18" s="6" t="s">
        <v>70</v>
      </c>
      <c r="P18" s="6">
        <v>3</v>
      </c>
      <c r="Q18" s="6">
        <v>3</v>
      </c>
      <c r="R18" s="6">
        <v>50</v>
      </c>
      <c r="T18" s="6" t="s">
        <v>71</v>
      </c>
      <c r="U18" s="6" t="s">
        <v>72</v>
      </c>
      <c r="V18" s="6" t="s">
        <v>73</v>
      </c>
      <c r="W18" s="7" t="s">
        <v>74</v>
      </c>
      <c r="AR18" s="6" t="s">
        <v>71</v>
      </c>
      <c r="AS18" s="6" t="s">
        <v>71</v>
      </c>
      <c r="AT18" s="6" t="s">
        <v>71</v>
      </c>
      <c r="AU18" s="6" t="s">
        <v>72</v>
      </c>
      <c r="AV18" s="6" t="s">
        <v>71</v>
      </c>
      <c r="AW18" s="6" t="s">
        <v>71</v>
      </c>
      <c r="AX18" s="6" t="s">
        <v>71</v>
      </c>
      <c r="AY18" s="6" t="s">
        <v>72</v>
      </c>
      <c r="AZ18" s="6" t="s">
        <v>72</v>
      </c>
      <c r="BA18" s="6" t="s">
        <v>72</v>
      </c>
      <c r="BB18" s="6" t="s">
        <v>71</v>
      </c>
      <c r="BC18" s="6" t="s">
        <v>71</v>
      </c>
      <c r="BD18" s="6" t="s">
        <v>71</v>
      </c>
      <c r="BE18" s="6" t="s">
        <v>72</v>
      </c>
      <c r="BF18" s="6" t="s">
        <v>72</v>
      </c>
      <c r="BG18" s="6" t="s">
        <v>71</v>
      </c>
      <c r="BH18" s="6" t="s">
        <v>71</v>
      </c>
      <c r="BI18" s="6" t="s">
        <v>72</v>
      </c>
      <c r="BJ18" s="6" t="s">
        <v>72</v>
      </c>
      <c r="BK18" s="6" t="s">
        <v>191</v>
      </c>
    </row>
    <row r="19" spans="1:63" ht="13.2">
      <c r="A19" s="5">
        <v>45363.720605590279</v>
      </c>
      <c r="B19" s="6" t="s">
        <v>183</v>
      </c>
      <c r="C19" s="6" t="s">
        <v>184</v>
      </c>
      <c r="D19" s="7" t="s">
        <v>185</v>
      </c>
      <c r="E19" s="6" t="s">
        <v>133</v>
      </c>
      <c r="F19" s="6" t="s">
        <v>192</v>
      </c>
      <c r="G19" s="6" t="s">
        <v>64</v>
      </c>
      <c r="H19" s="6" t="s">
        <v>187</v>
      </c>
      <c r="I19" s="6" t="s">
        <v>193</v>
      </c>
      <c r="J19" s="6" t="s">
        <v>194</v>
      </c>
      <c r="K19" s="6" t="s">
        <v>183</v>
      </c>
      <c r="L19" s="6" t="s">
        <v>89</v>
      </c>
      <c r="M19" s="6" t="s">
        <v>190</v>
      </c>
      <c r="N19" s="6">
        <v>34</v>
      </c>
      <c r="O19" s="6" t="s">
        <v>70</v>
      </c>
      <c r="P19" s="6">
        <v>3</v>
      </c>
      <c r="Q19" s="6">
        <v>3</v>
      </c>
      <c r="R19" s="6">
        <v>50</v>
      </c>
      <c r="S19" s="6" t="s">
        <v>191</v>
      </c>
      <c r="T19" s="6" t="s">
        <v>71</v>
      </c>
      <c r="U19" s="6" t="s">
        <v>72</v>
      </c>
      <c r="V19" s="6" t="s">
        <v>73</v>
      </c>
      <c r="W19" s="7" t="s">
        <v>74</v>
      </c>
      <c r="AR19" s="6" t="s">
        <v>71</v>
      </c>
      <c r="AS19" s="6" t="s">
        <v>71</v>
      </c>
      <c r="AT19" s="6" t="s">
        <v>71</v>
      </c>
      <c r="AU19" s="6" t="s">
        <v>72</v>
      </c>
      <c r="AV19" s="6" t="s">
        <v>71</v>
      </c>
      <c r="AW19" s="6" t="s">
        <v>71</v>
      </c>
      <c r="AX19" s="6" t="s">
        <v>71</v>
      </c>
      <c r="AY19" s="6" t="s">
        <v>72</v>
      </c>
      <c r="AZ19" s="6" t="s">
        <v>72</v>
      </c>
      <c r="BA19" s="6" t="s">
        <v>72</v>
      </c>
      <c r="BB19" s="6" t="s">
        <v>71</v>
      </c>
      <c r="BC19" s="6" t="s">
        <v>71</v>
      </c>
      <c r="BD19" s="6" t="s">
        <v>71</v>
      </c>
      <c r="BE19" s="6" t="s">
        <v>72</v>
      </c>
      <c r="BF19" s="6" t="s">
        <v>72</v>
      </c>
      <c r="BG19" s="6" t="s">
        <v>71</v>
      </c>
      <c r="BH19" s="6" t="s">
        <v>71</v>
      </c>
      <c r="BI19" s="6" t="s">
        <v>72</v>
      </c>
      <c r="BJ19" s="6" t="s">
        <v>72</v>
      </c>
      <c r="BK19" s="6" t="s">
        <v>191</v>
      </c>
    </row>
    <row r="20" spans="1:63" ht="13.2">
      <c r="A20" s="5">
        <v>45363.732282152778</v>
      </c>
      <c r="B20" s="6" t="s">
        <v>195</v>
      </c>
      <c r="C20" s="6" t="s">
        <v>196</v>
      </c>
      <c r="D20" s="6" t="s">
        <v>197</v>
      </c>
      <c r="E20" s="6" t="s">
        <v>62</v>
      </c>
      <c r="F20" s="6" t="s">
        <v>198</v>
      </c>
      <c r="G20" s="6" t="s">
        <v>64</v>
      </c>
      <c r="H20" s="6" t="s">
        <v>199</v>
      </c>
      <c r="I20" s="6" t="s">
        <v>200</v>
      </c>
      <c r="J20" s="6" t="s">
        <v>200</v>
      </c>
      <c r="K20" s="6" t="s">
        <v>195</v>
      </c>
      <c r="L20" s="6" t="s">
        <v>68</v>
      </c>
      <c r="M20" s="6" t="s">
        <v>201</v>
      </c>
      <c r="N20" s="6">
        <v>30</v>
      </c>
      <c r="O20" s="6" t="s">
        <v>70</v>
      </c>
      <c r="P20" s="6">
        <v>5</v>
      </c>
      <c r="Q20" s="6">
        <v>5</v>
      </c>
      <c r="R20" s="6">
        <v>0</v>
      </c>
      <c r="S20" s="6" t="s">
        <v>200</v>
      </c>
      <c r="T20" s="6" t="s">
        <v>71</v>
      </c>
      <c r="U20" s="6" t="s">
        <v>71</v>
      </c>
      <c r="V20" s="6" t="s">
        <v>109</v>
      </c>
      <c r="W20" s="7" t="s">
        <v>74</v>
      </c>
      <c r="AR20" s="6" t="s">
        <v>71</v>
      </c>
      <c r="AS20" s="6" t="s">
        <v>72</v>
      </c>
      <c r="AT20" s="6" t="s">
        <v>72</v>
      </c>
      <c r="AU20" s="6" t="s">
        <v>72</v>
      </c>
      <c r="AV20" s="6" t="s">
        <v>72</v>
      </c>
      <c r="AW20" s="6" t="s">
        <v>71</v>
      </c>
      <c r="AX20" s="6" t="s">
        <v>72</v>
      </c>
      <c r="AY20" s="6" t="s">
        <v>72</v>
      </c>
      <c r="AZ20" s="6" t="s">
        <v>72</v>
      </c>
      <c r="BA20" s="6" t="s">
        <v>72</v>
      </c>
      <c r="BB20" s="6" t="s">
        <v>72</v>
      </c>
      <c r="BC20" s="6" t="s">
        <v>71</v>
      </c>
      <c r="BD20" s="6" t="s">
        <v>72</v>
      </c>
      <c r="BE20" s="6" t="s">
        <v>72</v>
      </c>
      <c r="BF20" s="6" t="s">
        <v>72</v>
      </c>
      <c r="BG20" s="6" t="s">
        <v>72</v>
      </c>
      <c r="BH20" s="6" t="s">
        <v>71</v>
      </c>
      <c r="BI20" s="6" t="s">
        <v>72</v>
      </c>
      <c r="BJ20" s="6" t="s">
        <v>72</v>
      </c>
    </row>
    <row r="21" spans="1:63" ht="13.2">
      <c r="A21" s="5">
        <v>45363.765476817134</v>
      </c>
      <c r="B21" s="6" t="s">
        <v>202</v>
      </c>
      <c r="C21" s="6" t="s">
        <v>203</v>
      </c>
      <c r="D21" s="6">
        <v>29003000</v>
      </c>
      <c r="E21" s="6" t="s">
        <v>62</v>
      </c>
      <c r="F21" s="6" t="s">
        <v>204</v>
      </c>
      <c r="G21" s="6" t="s">
        <v>64</v>
      </c>
      <c r="H21" s="6" t="s">
        <v>205</v>
      </c>
      <c r="I21" s="6" t="s">
        <v>206</v>
      </c>
      <c r="J21" s="6" t="s">
        <v>207</v>
      </c>
      <c r="K21" s="6" t="s">
        <v>202</v>
      </c>
      <c r="L21" s="6" t="s">
        <v>89</v>
      </c>
      <c r="M21" s="6" t="s">
        <v>208</v>
      </c>
      <c r="N21" s="6">
        <v>32</v>
      </c>
      <c r="O21" s="6" t="s">
        <v>70</v>
      </c>
      <c r="P21" s="6">
        <v>5</v>
      </c>
      <c r="Q21" s="6">
        <v>5</v>
      </c>
      <c r="R21" s="6">
        <v>10</v>
      </c>
      <c r="T21" s="6" t="s">
        <v>71</v>
      </c>
      <c r="U21" s="6" t="s">
        <v>72</v>
      </c>
      <c r="V21" s="6" t="s">
        <v>73</v>
      </c>
      <c r="W21" s="7" t="s">
        <v>74</v>
      </c>
      <c r="AR21" s="6" t="s">
        <v>71</v>
      </c>
      <c r="AS21" s="6" t="s">
        <v>71</v>
      </c>
      <c r="AT21" s="6" t="s">
        <v>71</v>
      </c>
      <c r="AU21" s="6" t="s">
        <v>72</v>
      </c>
      <c r="AV21" s="6" t="s">
        <v>71</v>
      </c>
      <c r="AW21" s="6" t="s">
        <v>71</v>
      </c>
      <c r="AX21" s="6" t="s">
        <v>71</v>
      </c>
      <c r="AY21" s="6" t="s">
        <v>72</v>
      </c>
      <c r="AZ21" s="6" t="s">
        <v>72</v>
      </c>
      <c r="BA21" s="6" t="s">
        <v>72</v>
      </c>
      <c r="BB21" s="6" t="s">
        <v>71</v>
      </c>
      <c r="BC21" s="6" t="s">
        <v>71</v>
      </c>
      <c r="BD21" s="6" t="s">
        <v>71</v>
      </c>
      <c r="BE21" s="6" t="s">
        <v>72</v>
      </c>
      <c r="BF21" s="6" t="s">
        <v>72</v>
      </c>
      <c r="BG21" s="6" t="s">
        <v>71</v>
      </c>
      <c r="BH21" s="6" t="s">
        <v>71</v>
      </c>
      <c r="BI21" s="6" t="s">
        <v>72</v>
      </c>
      <c r="BJ21" s="6" t="s">
        <v>72</v>
      </c>
    </row>
    <row r="22" spans="1:63" ht="13.2">
      <c r="A22" s="5">
        <v>45363.789353472224</v>
      </c>
      <c r="B22" s="6" t="s">
        <v>209</v>
      </c>
      <c r="C22" s="6" t="s">
        <v>210</v>
      </c>
      <c r="D22" s="7" t="s">
        <v>211</v>
      </c>
      <c r="E22" s="6" t="s">
        <v>212</v>
      </c>
      <c r="F22" s="6" t="s">
        <v>213</v>
      </c>
      <c r="G22" s="6" t="s">
        <v>105</v>
      </c>
      <c r="H22" s="6" t="s">
        <v>214</v>
      </c>
      <c r="I22" s="6" t="s">
        <v>215</v>
      </c>
      <c r="J22" s="6" t="s">
        <v>216</v>
      </c>
      <c r="K22" s="6" t="s">
        <v>209</v>
      </c>
      <c r="L22" s="6" t="s">
        <v>89</v>
      </c>
      <c r="M22" s="6" t="s">
        <v>217</v>
      </c>
      <c r="N22" s="6">
        <v>25</v>
      </c>
      <c r="O22" s="6" t="s">
        <v>148</v>
      </c>
      <c r="P22" s="6">
        <v>5</v>
      </c>
      <c r="Q22" s="6">
        <v>5</v>
      </c>
      <c r="R22" s="6">
        <v>80</v>
      </c>
      <c r="T22" s="6" t="s">
        <v>71</v>
      </c>
      <c r="U22" s="6" t="s">
        <v>72</v>
      </c>
      <c r="V22" s="6" t="s">
        <v>73</v>
      </c>
      <c r="W22" s="7" t="s">
        <v>74</v>
      </c>
      <c r="AR22" s="6" t="s">
        <v>72</v>
      </c>
      <c r="AS22" s="6" t="s">
        <v>72</v>
      </c>
      <c r="AT22" s="6" t="s">
        <v>72</v>
      </c>
      <c r="AU22" s="6" t="s">
        <v>72</v>
      </c>
      <c r="AV22" s="6" t="s">
        <v>71</v>
      </c>
      <c r="AW22" s="6" t="s">
        <v>72</v>
      </c>
      <c r="AX22" s="6" t="s">
        <v>72</v>
      </c>
      <c r="AY22" s="6" t="s">
        <v>72</v>
      </c>
      <c r="AZ22" s="6" t="s">
        <v>72</v>
      </c>
      <c r="BA22" s="6" t="s">
        <v>72</v>
      </c>
      <c r="BB22" s="6" t="s">
        <v>72</v>
      </c>
      <c r="BC22" s="6" t="s">
        <v>71</v>
      </c>
      <c r="BD22" s="6" t="s">
        <v>72</v>
      </c>
      <c r="BE22" s="6" t="s">
        <v>72</v>
      </c>
      <c r="BF22" s="6" t="s">
        <v>72</v>
      </c>
      <c r="BG22" s="6" t="s">
        <v>72</v>
      </c>
      <c r="BH22" s="6" t="s">
        <v>71</v>
      </c>
      <c r="BI22" s="6" t="s">
        <v>72</v>
      </c>
      <c r="BJ22" s="6" t="s">
        <v>72</v>
      </c>
    </row>
    <row r="23" spans="1:63" ht="13.2">
      <c r="A23" s="5">
        <v>45364.032977152776</v>
      </c>
      <c r="B23" s="6" t="s">
        <v>218</v>
      </c>
      <c r="C23" s="6" t="s">
        <v>219</v>
      </c>
      <c r="D23" s="6">
        <v>200958</v>
      </c>
      <c r="E23" s="6" t="s">
        <v>133</v>
      </c>
      <c r="F23" s="6" t="s">
        <v>220</v>
      </c>
      <c r="G23" s="6" t="s">
        <v>64</v>
      </c>
      <c r="H23" s="6" t="s">
        <v>221</v>
      </c>
      <c r="I23" s="6" t="s">
        <v>222</v>
      </c>
      <c r="J23" s="6" t="s">
        <v>223</v>
      </c>
      <c r="K23" s="6" t="s">
        <v>218</v>
      </c>
      <c r="L23" s="6" t="s">
        <v>89</v>
      </c>
      <c r="M23" s="6" t="s">
        <v>224</v>
      </c>
      <c r="N23" s="6">
        <v>35</v>
      </c>
      <c r="O23" s="6" t="s">
        <v>70</v>
      </c>
      <c r="P23" s="6">
        <v>4</v>
      </c>
      <c r="Q23" s="6">
        <v>4</v>
      </c>
      <c r="R23" s="6">
        <v>5</v>
      </c>
      <c r="T23" s="6" t="s">
        <v>71</v>
      </c>
      <c r="U23" s="6" t="s">
        <v>72</v>
      </c>
      <c r="V23" s="6" t="s">
        <v>73</v>
      </c>
      <c r="W23" s="7" t="s">
        <v>74</v>
      </c>
      <c r="AR23" s="6" t="s">
        <v>71</v>
      </c>
      <c r="AS23" s="6" t="s">
        <v>71</v>
      </c>
      <c r="AT23" s="6" t="s">
        <v>72</v>
      </c>
      <c r="AU23" s="6" t="s">
        <v>71</v>
      </c>
      <c r="AV23" s="6" t="s">
        <v>72</v>
      </c>
      <c r="AW23" s="6" t="s">
        <v>72</v>
      </c>
      <c r="AX23" s="6" t="s">
        <v>72</v>
      </c>
      <c r="AY23" s="6" t="s">
        <v>72</v>
      </c>
      <c r="AZ23" s="6" t="s">
        <v>72</v>
      </c>
      <c r="BA23" s="6" t="s">
        <v>72</v>
      </c>
      <c r="BB23" s="6" t="s">
        <v>71</v>
      </c>
      <c r="BC23" s="6" t="s">
        <v>72</v>
      </c>
      <c r="BD23" s="6" t="s">
        <v>72</v>
      </c>
      <c r="BE23" s="6" t="s">
        <v>72</v>
      </c>
      <c r="BF23" s="6" t="s">
        <v>72</v>
      </c>
      <c r="BG23" s="6" t="s">
        <v>71</v>
      </c>
      <c r="BH23" s="6" t="s">
        <v>72</v>
      </c>
      <c r="BI23" s="6" t="s">
        <v>71</v>
      </c>
      <c r="BJ23" s="6" t="s">
        <v>71</v>
      </c>
    </row>
    <row r="24" spans="1:63" ht="13.2">
      <c r="A24" s="5">
        <v>45364.351516631941</v>
      </c>
      <c r="B24" s="6" t="s">
        <v>225</v>
      </c>
      <c r="C24" s="6" t="s">
        <v>226</v>
      </c>
      <c r="D24" s="7" t="s">
        <v>227</v>
      </c>
      <c r="E24" s="6" t="s">
        <v>62</v>
      </c>
      <c r="F24" s="6" t="s">
        <v>228</v>
      </c>
      <c r="G24" s="6" t="s">
        <v>64</v>
      </c>
      <c r="H24" s="6" t="s">
        <v>229</v>
      </c>
      <c r="I24" s="6" t="s">
        <v>230</v>
      </c>
      <c r="K24" s="6" t="s">
        <v>225</v>
      </c>
      <c r="L24" s="6" t="s">
        <v>138</v>
      </c>
      <c r="M24" s="6" t="s">
        <v>231</v>
      </c>
      <c r="N24" s="6">
        <v>25</v>
      </c>
      <c r="O24" s="6" t="s">
        <v>70</v>
      </c>
      <c r="P24" s="6">
        <v>3</v>
      </c>
      <c r="Q24" s="6">
        <v>3</v>
      </c>
      <c r="R24" s="6">
        <v>60</v>
      </c>
      <c r="T24" s="6" t="s">
        <v>71</v>
      </c>
      <c r="U24" s="6" t="s">
        <v>72</v>
      </c>
      <c r="V24" s="6" t="s">
        <v>73</v>
      </c>
      <c r="W24" s="7" t="s">
        <v>74</v>
      </c>
      <c r="AR24" s="6" t="s">
        <v>71</v>
      </c>
      <c r="AS24" s="6" t="s">
        <v>71</v>
      </c>
      <c r="AT24" s="6" t="s">
        <v>72</v>
      </c>
      <c r="AU24" s="6" t="s">
        <v>72</v>
      </c>
      <c r="AV24" s="6" t="s">
        <v>71</v>
      </c>
      <c r="AW24" s="6" t="s">
        <v>71</v>
      </c>
      <c r="AX24" s="6" t="s">
        <v>72</v>
      </c>
      <c r="AY24" s="6" t="s">
        <v>72</v>
      </c>
      <c r="AZ24" s="6" t="s">
        <v>72</v>
      </c>
      <c r="BA24" s="6" t="s">
        <v>72</v>
      </c>
      <c r="BB24" s="6" t="s">
        <v>71</v>
      </c>
      <c r="BC24" s="6" t="s">
        <v>71</v>
      </c>
      <c r="BD24" s="6" t="s">
        <v>72</v>
      </c>
      <c r="BE24" s="6" t="s">
        <v>72</v>
      </c>
      <c r="BF24" s="6" t="s">
        <v>72</v>
      </c>
      <c r="BG24" s="6" t="s">
        <v>71</v>
      </c>
      <c r="BH24" s="6" t="s">
        <v>72</v>
      </c>
      <c r="BI24" s="6" t="s">
        <v>72</v>
      </c>
      <c r="BJ24" s="6" t="s">
        <v>72</v>
      </c>
    </row>
    <row r="25" spans="1:63" ht="13.2">
      <c r="A25" s="5">
        <v>45364.355333622691</v>
      </c>
      <c r="B25" s="6" t="s">
        <v>232</v>
      </c>
      <c r="C25" s="6" t="s">
        <v>233</v>
      </c>
      <c r="D25" s="7" t="s">
        <v>234</v>
      </c>
      <c r="E25" s="6" t="s">
        <v>62</v>
      </c>
      <c r="F25" s="6" t="s">
        <v>235</v>
      </c>
      <c r="G25" s="6" t="s">
        <v>64</v>
      </c>
      <c r="H25" s="6" t="s">
        <v>236</v>
      </c>
      <c r="I25" s="6" t="s">
        <v>237</v>
      </c>
      <c r="K25" s="6" t="s">
        <v>232</v>
      </c>
      <c r="L25" s="6" t="s">
        <v>68</v>
      </c>
      <c r="M25" s="6" t="s">
        <v>238</v>
      </c>
      <c r="N25" s="6">
        <v>35</v>
      </c>
      <c r="O25" s="6" t="s">
        <v>70</v>
      </c>
      <c r="P25" s="6">
        <v>5</v>
      </c>
      <c r="Q25" s="6">
        <v>5</v>
      </c>
      <c r="R25" s="6">
        <v>0</v>
      </c>
      <c r="T25" s="6" t="s">
        <v>71</v>
      </c>
      <c r="U25" s="6" t="s">
        <v>72</v>
      </c>
      <c r="V25" s="6" t="s">
        <v>73</v>
      </c>
      <c r="W25" s="7" t="s">
        <v>74</v>
      </c>
      <c r="AR25" s="6" t="s">
        <v>71</v>
      </c>
      <c r="AS25" s="6" t="s">
        <v>71</v>
      </c>
      <c r="AT25" s="6" t="s">
        <v>71</v>
      </c>
      <c r="AU25" s="6" t="s">
        <v>72</v>
      </c>
      <c r="AV25" s="6" t="s">
        <v>71</v>
      </c>
      <c r="AW25" s="6" t="s">
        <v>71</v>
      </c>
      <c r="AX25" s="6" t="s">
        <v>71</v>
      </c>
      <c r="AY25" s="6" t="s">
        <v>72</v>
      </c>
      <c r="AZ25" s="6" t="s">
        <v>72</v>
      </c>
      <c r="BA25" s="6" t="s">
        <v>72</v>
      </c>
      <c r="BB25" s="6" t="s">
        <v>71</v>
      </c>
      <c r="BC25" s="6" t="s">
        <v>71</v>
      </c>
      <c r="BD25" s="6" t="s">
        <v>71</v>
      </c>
      <c r="BE25" s="6" t="s">
        <v>72</v>
      </c>
      <c r="BF25" s="6" t="s">
        <v>72</v>
      </c>
      <c r="BG25" s="6" t="s">
        <v>71</v>
      </c>
      <c r="BH25" s="6" t="s">
        <v>71</v>
      </c>
      <c r="BI25" s="6" t="s">
        <v>72</v>
      </c>
      <c r="BJ25" s="6" t="s">
        <v>72</v>
      </c>
    </row>
    <row r="26" spans="1:63" ht="13.2">
      <c r="A26" s="5">
        <v>45364.425264988429</v>
      </c>
      <c r="B26" s="6" t="s">
        <v>239</v>
      </c>
      <c r="C26" s="6" t="s">
        <v>240</v>
      </c>
      <c r="D26" s="7" t="s">
        <v>241</v>
      </c>
      <c r="E26" s="6" t="s">
        <v>62</v>
      </c>
      <c r="F26" s="6" t="s">
        <v>104</v>
      </c>
      <c r="G26" s="6" t="s">
        <v>105</v>
      </c>
      <c r="H26" s="6" t="s">
        <v>242</v>
      </c>
      <c r="I26" s="6" t="s">
        <v>243</v>
      </c>
      <c r="J26" s="6" t="s">
        <v>244</v>
      </c>
      <c r="K26" s="6" t="s">
        <v>239</v>
      </c>
      <c r="L26" s="6" t="s">
        <v>245</v>
      </c>
      <c r="M26" s="6" t="s">
        <v>246</v>
      </c>
      <c r="N26" s="6">
        <v>35</v>
      </c>
      <c r="O26" s="6" t="s">
        <v>70</v>
      </c>
      <c r="P26" s="6">
        <v>3</v>
      </c>
      <c r="Q26" s="6">
        <v>3</v>
      </c>
      <c r="R26" s="6">
        <v>85</v>
      </c>
      <c r="S26" s="6" t="s">
        <v>247</v>
      </c>
      <c r="T26" s="6" t="s">
        <v>71</v>
      </c>
      <c r="U26" s="6" t="s">
        <v>72</v>
      </c>
      <c r="V26" s="6" t="s">
        <v>73</v>
      </c>
      <c r="W26" s="7" t="s">
        <v>74</v>
      </c>
      <c r="AR26" s="6" t="s">
        <v>72</v>
      </c>
      <c r="AS26" s="6" t="s">
        <v>72</v>
      </c>
      <c r="AT26" s="6" t="s">
        <v>72</v>
      </c>
      <c r="AU26" s="6" t="s">
        <v>72</v>
      </c>
      <c r="AV26" s="6" t="s">
        <v>71</v>
      </c>
      <c r="AW26" s="6" t="s">
        <v>72</v>
      </c>
      <c r="AX26" s="6" t="s">
        <v>72</v>
      </c>
      <c r="AY26" s="6" t="s">
        <v>72</v>
      </c>
      <c r="AZ26" s="6" t="s">
        <v>72</v>
      </c>
      <c r="BA26" s="6" t="s">
        <v>72</v>
      </c>
      <c r="BB26" s="6" t="s">
        <v>72</v>
      </c>
      <c r="BC26" s="6" t="s">
        <v>71</v>
      </c>
      <c r="BD26" s="6" t="s">
        <v>72</v>
      </c>
      <c r="BE26" s="6" t="s">
        <v>72</v>
      </c>
      <c r="BF26" s="6" t="s">
        <v>72</v>
      </c>
      <c r="BG26" s="6" t="s">
        <v>72</v>
      </c>
      <c r="BH26" s="6" t="s">
        <v>71</v>
      </c>
      <c r="BI26" s="6" t="s">
        <v>72</v>
      </c>
      <c r="BJ26" s="6" t="s">
        <v>72</v>
      </c>
      <c r="BK26" s="6" t="s">
        <v>248</v>
      </c>
    </row>
    <row r="27" spans="1:63" ht="13.2">
      <c r="A27" s="5">
        <v>45364.428618182872</v>
      </c>
      <c r="B27" s="6" t="s">
        <v>225</v>
      </c>
      <c r="C27" s="6" t="s">
        <v>226</v>
      </c>
      <c r="D27" s="7" t="s">
        <v>227</v>
      </c>
      <c r="E27" s="6" t="s">
        <v>62</v>
      </c>
      <c r="F27" s="6" t="s">
        <v>249</v>
      </c>
      <c r="G27" s="6" t="s">
        <v>64</v>
      </c>
      <c r="H27" s="6" t="s">
        <v>250</v>
      </c>
      <c r="I27" s="6" t="s">
        <v>251</v>
      </c>
      <c r="K27" s="6" t="s">
        <v>225</v>
      </c>
      <c r="L27" s="6" t="s">
        <v>138</v>
      </c>
      <c r="M27" s="6" t="s">
        <v>231</v>
      </c>
      <c r="N27" s="6">
        <v>30</v>
      </c>
      <c r="O27" s="6" t="s">
        <v>70</v>
      </c>
      <c r="P27" s="6">
        <v>3</v>
      </c>
      <c r="Q27" s="6">
        <v>3</v>
      </c>
      <c r="R27" s="6">
        <v>60</v>
      </c>
      <c r="T27" s="6" t="s">
        <v>71</v>
      </c>
      <c r="U27" s="6" t="s">
        <v>72</v>
      </c>
      <c r="V27" s="6" t="s">
        <v>73</v>
      </c>
      <c r="W27" s="7" t="s">
        <v>74</v>
      </c>
      <c r="AR27" s="6" t="s">
        <v>71</v>
      </c>
      <c r="AS27" s="6" t="s">
        <v>71</v>
      </c>
      <c r="AT27" s="6" t="s">
        <v>72</v>
      </c>
      <c r="AU27" s="6" t="s">
        <v>72</v>
      </c>
      <c r="AV27" s="6" t="s">
        <v>71</v>
      </c>
      <c r="AW27" s="6" t="s">
        <v>71</v>
      </c>
      <c r="AX27" s="6" t="s">
        <v>72</v>
      </c>
      <c r="AY27" s="6" t="s">
        <v>72</v>
      </c>
      <c r="AZ27" s="6" t="s">
        <v>72</v>
      </c>
      <c r="BA27" s="6" t="s">
        <v>72</v>
      </c>
      <c r="BB27" s="6" t="s">
        <v>71</v>
      </c>
      <c r="BC27" s="6" t="s">
        <v>71</v>
      </c>
      <c r="BD27" s="6" t="s">
        <v>72</v>
      </c>
      <c r="BE27" s="6" t="s">
        <v>72</v>
      </c>
      <c r="BF27" s="6" t="s">
        <v>72</v>
      </c>
      <c r="BG27" s="6" t="s">
        <v>71</v>
      </c>
      <c r="BH27" s="6" t="s">
        <v>72</v>
      </c>
      <c r="BI27" s="6" t="s">
        <v>72</v>
      </c>
      <c r="BJ27" s="6" t="s">
        <v>72</v>
      </c>
    </row>
    <row r="28" spans="1:63" ht="17.25" customHeight="1">
      <c r="A28" s="5">
        <v>45364.441343668979</v>
      </c>
      <c r="B28" s="6" t="s">
        <v>252</v>
      </c>
      <c r="C28" s="6" t="s">
        <v>253</v>
      </c>
      <c r="D28" s="6">
        <v>20015900</v>
      </c>
      <c r="E28" s="6" t="s">
        <v>133</v>
      </c>
      <c r="F28" s="6" t="s">
        <v>254</v>
      </c>
      <c r="G28" s="6" t="s">
        <v>105</v>
      </c>
      <c r="H28" s="6" t="s">
        <v>255</v>
      </c>
      <c r="I28" s="6" t="s">
        <v>256</v>
      </c>
      <c r="K28" s="6" t="s">
        <v>252</v>
      </c>
      <c r="L28" s="6" t="s">
        <v>89</v>
      </c>
      <c r="M28" s="6" t="s">
        <v>257</v>
      </c>
      <c r="N28" s="6">
        <v>35</v>
      </c>
      <c r="O28" s="6" t="s">
        <v>70</v>
      </c>
      <c r="P28" s="6">
        <v>4</v>
      </c>
      <c r="Q28" s="6">
        <v>3</v>
      </c>
      <c r="R28" s="6">
        <v>50</v>
      </c>
      <c r="T28" s="6" t="s">
        <v>71</v>
      </c>
      <c r="U28" s="6" t="s">
        <v>72</v>
      </c>
      <c r="V28" s="6" t="s">
        <v>73</v>
      </c>
      <c r="W28" s="7" t="s">
        <v>74</v>
      </c>
      <c r="AR28" s="6" t="s">
        <v>71</v>
      </c>
      <c r="AS28" s="6" t="s">
        <v>71</v>
      </c>
      <c r="AT28" s="6" t="s">
        <v>72</v>
      </c>
      <c r="AU28" s="6" t="s">
        <v>72</v>
      </c>
      <c r="AV28" s="6" t="s">
        <v>72</v>
      </c>
      <c r="AW28" s="6" t="s">
        <v>71</v>
      </c>
      <c r="AX28" s="6" t="s">
        <v>71</v>
      </c>
      <c r="AY28" s="6" t="s">
        <v>72</v>
      </c>
      <c r="AZ28" s="6" t="s">
        <v>72</v>
      </c>
      <c r="BA28" s="6" t="s">
        <v>72</v>
      </c>
      <c r="BB28" s="6" t="s">
        <v>72</v>
      </c>
      <c r="BC28" s="6" t="s">
        <v>71</v>
      </c>
      <c r="BD28" s="6" t="s">
        <v>71</v>
      </c>
      <c r="BE28" s="6" t="s">
        <v>72</v>
      </c>
      <c r="BF28" s="6" t="s">
        <v>72</v>
      </c>
      <c r="BG28" s="6" t="s">
        <v>72</v>
      </c>
      <c r="BH28" s="6" t="s">
        <v>72</v>
      </c>
      <c r="BI28" s="6" t="s">
        <v>72</v>
      </c>
      <c r="BJ28" s="6" t="s">
        <v>72</v>
      </c>
      <c r="BK28" s="6" t="s">
        <v>258</v>
      </c>
    </row>
    <row r="29" spans="1:63" ht="13.2">
      <c r="A29" s="5">
        <v>45364.443936990741</v>
      </c>
      <c r="B29" s="6" t="s">
        <v>259</v>
      </c>
      <c r="C29" s="6" t="s">
        <v>260</v>
      </c>
      <c r="D29" s="7" t="s">
        <v>241</v>
      </c>
      <c r="E29" s="6" t="s">
        <v>62</v>
      </c>
      <c r="F29" s="6" t="s">
        <v>261</v>
      </c>
      <c r="G29" s="6" t="s">
        <v>105</v>
      </c>
      <c r="H29" s="6" t="s">
        <v>262</v>
      </c>
      <c r="I29" s="6" t="s">
        <v>263</v>
      </c>
      <c r="J29" s="6" t="s">
        <v>264</v>
      </c>
      <c r="K29" s="6" t="s">
        <v>259</v>
      </c>
      <c r="L29" s="6" t="s">
        <v>245</v>
      </c>
      <c r="M29" s="6" t="s">
        <v>265</v>
      </c>
      <c r="N29" s="6">
        <v>25</v>
      </c>
      <c r="O29" s="6" t="s">
        <v>70</v>
      </c>
      <c r="P29" s="6">
        <v>3</v>
      </c>
      <c r="Q29" s="6">
        <v>3</v>
      </c>
      <c r="R29" s="6">
        <v>85</v>
      </c>
      <c r="T29" s="6" t="s">
        <v>71</v>
      </c>
      <c r="U29" s="6" t="s">
        <v>72</v>
      </c>
      <c r="V29" s="6" t="s">
        <v>73</v>
      </c>
      <c r="W29" s="7" t="s">
        <v>74</v>
      </c>
      <c r="AR29" s="6" t="s">
        <v>72</v>
      </c>
      <c r="AS29" s="6" t="s">
        <v>72</v>
      </c>
      <c r="AT29" s="6" t="s">
        <v>72</v>
      </c>
      <c r="AU29" s="6" t="s">
        <v>72</v>
      </c>
      <c r="AV29" s="6" t="s">
        <v>71</v>
      </c>
      <c r="AW29" s="6" t="s">
        <v>72</v>
      </c>
      <c r="AX29" s="6" t="s">
        <v>72</v>
      </c>
      <c r="AY29" s="6" t="s">
        <v>72</v>
      </c>
      <c r="AZ29" s="6" t="s">
        <v>72</v>
      </c>
      <c r="BA29" s="6" t="s">
        <v>72</v>
      </c>
      <c r="BB29" s="6" t="s">
        <v>72</v>
      </c>
      <c r="BC29" s="6" t="s">
        <v>71</v>
      </c>
      <c r="BD29" s="6" t="s">
        <v>72</v>
      </c>
      <c r="BE29" s="6" t="s">
        <v>72</v>
      </c>
      <c r="BF29" s="6" t="s">
        <v>72</v>
      </c>
      <c r="BG29" s="6" t="s">
        <v>72</v>
      </c>
      <c r="BH29" s="6" t="s">
        <v>71</v>
      </c>
      <c r="BI29" s="6" t="s">
        <v>72</v>
      </c>
      <c r="BJ29" s="6" t="s">
        <v>72</v>
      </c>
    </row>
    <row r="30" spans="1:63" ht="13.2">
      <c r="A30" s="5">
        <v>45364.807283981485</v>
      </c>
      <c r="B30" s="6" t="s">
        <v>266</v>
      </c>
      <c r="C30" s="6" t="s">
        <v>267</v>
      </c>
      <c r="D30" s="7" t="s">
        <v>268</v>
      </c>
      <c r="E30" s="6" t="s">
        <v>84</v>
      </c>
      <c r="F30" s="6" t="s">
        <v>269</v>
      </c>
      <c r="G30" s="6" t="s">
        <v>64</v>
      </c>
      <c r="H30" s="6" t="s">
        <v>270</v>
      </c>
      <c r="I30" s="6" t="s">
        <v>270</v>
      </c>
      <c r="J30" s="6" t="s">
        <v>271</v>
      </c>
      <c r="K30" s="6" t="s">
        <v>266</v>
      </c>
      <c r="L30" s="6" t="s">
        <v>89</v>
      </c>
      <c r="M30" s="6" t="s">
        <v>272</v>
      </c>
      <c r="N30" s="6">
        <v>24</v>
      </c>
      <c r="O30" s="6" t="s">
        <v>148</v>
      </c>
      <c r="P30" s="6">
        <v>4</v>
      </c>
      <c r="Q30" s="6">
        <v>5</v>
      </c>
      <c r="R30" s="6">
        <v>0</v>
      </c>
      <c r="T30" s="6" t="s">
        <v>71</v>
      </c>
      <c r="U30" s="6" t="s">
        <v>72</v>
      </c>
      <c r="V30" s="6" t="s">
        <v>73</v>
      </c>
      <c r="W30" s="7" t="s">
        <v>74</v>
      </c>
      <c r="AR30" s="6" t="s">
        <v>71</v>
      </c>
      <c r="AS30" s="6" t="s">
        <v>72</v>
      </c>
      <c r="AT30" s="6" t="s">
        <v>72</v>
      </c>
      <c r="AU30" s="6" t="s">
        <v>72</v>
      </c>
      <c r="AV30" s="6" t="s">
        <v>72</v>
      </c>
      <c r="AW30" s="6" t="s">
        <v>71</v>
      </c>
      <c r="AX30" s="6" t="s">
        <v>72</v>
      </c>
      <c r="AY30" s="6" t="s">
        <v>72</v>
      </c>
      <c r="AZ30" s="6" t="s">
        <v>72</v>
      </c>
      <c r="BA30" s="6" t="s">
        <v>72</v>
      </c>
      <c r="BB30" s="6" t="s">
        <v>72</v>
      </c>
      <c r="BC30" s="6" t="s">
        <v>72</v>
      </c>
      <c r="BD30" s="6" t="s">
        <v>71</v>
      </c>
      <c r="BE30" s="6" t="s">
        <v>72</v>
      </c>
      <c r="BF30" s="6" t="s">
        <v>72</v>
      </c>
      <c r="BG30" s="6" t="s">
        <v>72</v>
      </c>
      <c r="BH30" s="6" t="s">
        <v>71</v>
      </c>
      <c r="BI30" s="6" t="s">
        <v>72</v>
      </c>
      <c r="BJ30" s="6" t="s">
        <v>72</v>
      </c>
    </row>
    <row r="31" spans="1:63" ht="13.2">
      <c r="A31" s="5">
        <v>45364.951388090281</v>
      </c>
      <c r="B31" s="6" t="s">
        <v>273</v>
      </c>
      <c r="C31" s="6" t="s">
        <v>274</v>
      </c>
      <c r="D31" s="7" t="s">
        <v>275</v>
      </c>
      <c r="E31" s="6" t="s">
        <v>276</v>
      </c>
      <c r="F31" s="6" t="s">
        <v>277</v>
      </c>
      <c r="G31" s="6" t="s">
        <v>105</v>
      </c>
      <c r="H31" s="6" t="s">
        <v>278</v>
      </c>
      <c r="I31" s="6" t="s">
        <v>279</v>
      </c>
      <c r="J31" s="6" t="s">
        <v>280</v>
      </c>
      <c r="K31" s="6" t="s">
        <v>273</v>
      </c>
      <c r="L31" s="6" t="s">
        <v>245</v>
      </c>
      <c r="M31" s="6" t="s">
        <v>281</v>
      </c>
      <c r="N31" s="6">
        <v>32</v>
      </c>
      <c r="O31" s="6" t="s">
        <v>282</v>
      </c>
      <c r="P31" s="6">
        <v>2</v>
      </c>
      <c r="Q31" s="6">
        <v>2</v>
      </c>
      <c r="R31" s="6">
        <v>15</v>
      </c>
      <c r="S31" s="6" t="s">
        <v>283</v>
      </c>
      <c r="T31" s="6" t="s">
        <v>71</v>
      </c>
      <c r="U31" s="6" t="s">
        <v>71</v>
      </c>
      <c r="V31" s="6" t="s">
        <v>109</v>
      </c>
      <c r="W31" s="7" t="s">
        <v>74</v>
      </c>
      <c r="AR31" s="6" t="s">
        <v>71</v>
      </c>
      <c r="AS31" s="6" t="s">
        <v>72</v>
      </c>
      <c r="AT31" s="6" t="s">
        <v>71</v>
      </c>
      <c r="AU31" s="6" t="s">
        <v>72</v>
      </c>
      <c r="AV31" s="6" t="s">
        <v>72</v>
      </c>
      <c r="AW31" s="6" t="s">
        <v>71</v>
      </c>
      <c r="AX31" s="6" t="s">
        <v>72</v>
      </c>
      <c r="AY31" s="6" t="s">
        <v>71</v>
      </c>
      <c r="AZ31" s="6" t="s">
        <v>72</v>
      </c>
      <c r="BA31" s="6" t="s">
        <v>71</v>
      </c>
      <c r="BB31" s="6" t="s">
        <v>71</v>
      </c>
      <c r="BC31" s="6" t="s">
        <v>72</v>
      </c>
      <c r="BD31" s="6" t="s">
        <v>72</v>
      </c>
      <c r="BE31" s="6" t="s">
        <v>71</v>
      </c>
      <c r="BF31" s="6" t="s">
        <v>71</v>
      </c>
      <c r="BG31" s="6" t="s">
        <v>71</v>
      </c>
      <c r="BH31" s="6" t="s">
        <v>72</v>
      </c>
      <c r="BI31" s="6" t="s">
        <v>72</v>
      </c>
      <c r="BJ31" s="6" t="s">
        <v>71</v>
      </c>
    </row>
    <row r="32" spans="1:63" ht="13.2">
      <c r="A32" s="5">
        <v>45365.338970289347</v>
      </c>
      <c r="B32" s="6" t="s">
        <v>284</v>
      </c>
      <c r="C32" s="6" t="s">
        <v>285</v>
      </c>
      <c r="D32" s="6">
        <v>60929900</v>
      </c>
      <c r="E32" s="6" t="s">
        <v>286</v>
      </c>
      <c r="F32" s="6" t="s">
        <v>277</v>
      </c>
      <c r="G32" s="6" t="s">
        <v>105</v>
      </c>
      <c r="H32" s="6" t="s">
        <v>287</v>
      </c>
      <c r="I32" s="6" t="s">
        <v>288</v>
      </c>
      <c r="J32" s="6" t="s">
        <v>289</v>
      </c>
      <c r="K32" s="6" t="s">
        <v>284</v>
      </c>
      <c r="L32" s="6" t="s">
        <v>245</v>
      </c>
      <c r="M32" s="6" t="s">
        <v>290</v>
      </c>
      <c r="N32" s="6">
        <v>35</v>
      </c>
      <c r="O32" s="6" t="s">
        <v>70</v>
      </c>
      <c r="P32" s="6">
        <v>5</v>
      </c>
      <c r="Q32" s="6">
        <v>3</v>
      </c>
      <c r="R32" s="6">
        <v>50</v>
      </c>
      <c r="T32" s="6" t="s">
        <v>71</v>
      </c>
      <c r="U32" s="6" t="s">
        <v>71</v>
      </c>
      <c r="V32" s="6" t="s">
        <v>109</v>
      </c>
      <c r="W32" s="7" t="s">
        <v>74</v>
      </c>
      <c r="AR32" s="6" t="s">
        <v>72</v>
      </c>
      <c r="AS32" s="6" t="s">
        <v>72</v>
      </c>
      <c r="AT32" s="6" t="s">
        <v>71</v>
      </c>
      <c r="AU32" s="6" t="s">
        <v>71</v>
      </c>
      <c r="AV32" s="6" t="s">
        <v>72</v>
      </c>
      <c r="AW32" s="6" t="s">
        <v>72</v>
      </c>
      <c r="AX32" s="6" t="s">
        <v>71</v>
      </c>
      <c r="AY32" s="6" t="s">
        <v>71</v>
      </c>
      <c r="AZ32" s="6" t="s">
        <v>71</v>
      </c>
      <c r="BA32" s="6" t="s">
        <v>71</v>
      </c>
      <c r="BB32" s="6" t="s">
        <v>72</v>
      </c>
      <c r="BC32" s="6" t="s">
        <v>72</v>
      </c>
      <c r="BD32" s="6" t="s">
        <v>71</v>
      </c>
      <c r="BE32" s="6" t="s">
        <v>71</v>
      </c>
      <c r="BF32" s="6" t="s">
        <v>71</v>
      </c>
      <c r="BG32" s="6" t="s">
        <v>72</v>
      </c>
      <c r="BH32" s="6" t="s">
        <v>71</v>
      </c>
      <c r="BI32" s="6" t="s">
        <v>71</v>
      </c>
      <c r="BJ32" s="6" t="s">
        <v>71</v>
      </c>
    </row>
    <row r="33" spans="1:101" ht="13.2">
      <c r="A33" s="5">
        <v>45365.363552546296</v>
      </c>
      <c r="B33" s="6" t="s">
        <v>291</v>
      </c>
      <c r="C33" s="6" t="s">
        <v>292</v>
      </c>
      <c r="D33" s="7" t="s">
        <v>293</v>
      </c>
      <c r="E33" s="6" t="s">
        <v>84</v>
      </c>
      <c r="F33" s="6" t="s">
        <v>294</v>
      </c>
      <c r="G33" s="6" t="s">
        <v>64</v>
      </c>
      <c r="H33" s="6" t="s">
        <v>295</v>
      </c>
      <c r="I33" s="6" t="s">
        <v>296</v>
      </c>
      <c r="J33" s="6" t="s">
        <v>297</v>
      </c>
      <c r="K33" s="6" t="s">
        <v>298</v>
      </c>
      <c r="L33" s="6" t="s">
        <v>89</v>
      </c>
      <c r="M33" s="6" t="s">
        <v>299</v>
      </c>
      <c r="N33" s="6">
        <v>35</v>
      </c>
      <c r="O33" s="6" t="s">
        <v>70</v>
      </c>
      <c r="P33" s="6">
        <v>5</v>
      </c>
      <c r="Q33" s="6">
        <v>4</v>
      </c>
      <c r="R33" s="6">
        <v>20</v>
      </c>
      <c r="T33" s="6" t="s">
        <v>71</v>
      </c>
      <c r="U33" s="6" t="s">
        <v>72</v>
      </c>
      <c r="V33" s="6" t="s">
        <v>73</v>
      </c>
      <c r="W33" s="7" t="s">
        <v>74</v>
      </c>
      <c r="AR33" s="6" t="s">
        <v>71</v>
      </c>
      <c r="AS33" s="6" t="s">
        <v>71</v>
      </c>
      <c r="AT33" s="6" t="s">
        <v>71</v>
      </c>
      <c r="AU33" s="6" t="s">
        <v>72</v>
      </c>
      <c r="AV33" s="6" t="s">
        <v>71</v>
      </c>
      <c r="AW33" s="6" t="s">
        <v>71</v>
      </c>
      <c r="AX33" s="6" t="s">
        <v>71</v>
      </c>
      <c r="AY33" s="6" t="s">
        <v>72</v>
      </c>
      <c r="AZ33" s="6" t="s">
        <v>72</v>
      </c>
      <c r="BA33" s="6" t="s">
        <v>72</v>
      </c>
      <c r="BB33" s="6" t="s">
        <v>71</v>
      </c>
      <c r="BC33" s="6" t="s">
        <v>71</v>
      </c>
      <c r="BD33" s="6" t="s">
        <v>71</v>
      </c>
      <c r="BE33" s="6" t="s">
        <v>72</v>
      </c>
      <c r="BF33" s="6" t="s">
        <v>72</v>
      </c>
      <c r="BG33" s="6" t="s">
        <v>71</v>
      </c>
      <c r="BH33" s="6" t="s">
        <v>71</v>
      </c>
      <c r="BI33" s="6" t="s">
        <v>72</v>
      </c>
      <c r="BJ33" s="6" t="s">
        <v>72</v>
      </c>
    </row>
    <row r="34" spans="1:101" ht="13.2">
      <c r="A34" s="5">
        <v>45365.365149120371</v>
      </c>
      <c r="B34" s="6" t="s">
        <v>291</v>
      </c>
      <c r="C34" s="6" t="s">
        <v>292</v>
      </c>
      <c r="D34" s="7" t="s">
        <v>293</v>
      </c>
      <c r="E34" s="6" t="s">
        <v>133</v>
      </c>
      <c r="F34" s="6" t="s">
        <v>300</v>
      </c>
      <c r="G34" s="6" t="s">
        <v>64</v>
      </c>
      <c r="H34" s="6" t="s">
        <v>295</v>
      </c>
      <c r="I34" s="6" t="s">
        <v>301</v>
      </c>
      <c r="J34" s="6" t="s">
        <v>297</v>
      </c>
      <c r="K34" s="6" t="s">
        <v>298</v>
      </c>
      <c r="L34" s="6" t="s">
        <v>89</v>
      </c>
      <c r="M34" s="6" t="s">
        <v>299</v>
      </c>
      <c r="N34" s="6">
        <v>35</v>
      </c>
      <c r="O34" s="6" t="s">
        <v>70</v>
      </c>
      <c r="P34" s="6">
        <v>5</v>
      </c>
      <c r="Q34" s="6">
        <v>4</v>
      </c>
      <c r="R34" s="6">
        <v>20</v>
      </c>
      <c r="T34" s="6" t="s">
        <v>71</v>
      </c>
      <c r="U34" s="6" t="s">
        <v>72</v>
      </c>
      <c r="V34" s="6" t="s">
        <v>73</v>
      </c>
      <c r="W34" s="7" t="s">
        <v>74</v>
      </c>
      <c r="AR34" s="6" t="s">
        <v>71</v>
      </c>
      <c r="AS34" s="6" t="s">
        <v>71</v>
      </c>
      <c r="AT34" s="6" t="s">
        <v>71</v>
      </c>
      <c r="AU34" s="6" t="s">
        <v>72</v>
      </c>
      <c r="AV34" s="6" t="s">
        <v>71</v>
      </c>
      <c r="AW34" s="6" t="s">
        <v>71</v>
      </c>
      <c r="AX34" s="6" t="s">
        <v>71</v>
      </c>
      <c r="AY34" s="6" t="s">
        <v>72</v>
      </c>
      <c r="AZ34" s="6" t="s">
        <v>72</v>
      </c>
      <c r="BA34" s="6" t="s">
        <v>72</v>
      </c>
      <c r="BB34" s="6" t="s">
        <v>71</v>
      </c>
      <c r="BC34" s="6" t="s">
        <v>71</v>
      </c>
      <c r="BD34" s="6" t="s">
        <v>71</v>
      </c>
      <c r="BE34" s="6" t="s">
        <v>72</v>
      </c>
      <c r="BF34" s="6" t="s">
        <v>72</v>
      </c>
      <c r="BG34" s="6" t="s">
        <v>71</v>
      </c>
      <c r="BH34" s="6" t="s">
        <v>71</v>
      </c>
      <c r="BI34" s="6" t="s">
        <v>72</v>
      </c>
      <c r="BJ34" s="6" t="s">
        <v>72</v>
      </c>
    </row>
    <row r="35" spans="1:101" ht="13.2">
      <c r="A35" s="5">
        <v>45365.417539652779</v>
      </c>
      <c r="B35" s="6" t="s">
        <v>302</v>
      </c>
      <c r="C35" s="6" t="s">
        <v>303</v>
      </c>
      <c r="D35" s="6">
        <v>20056200</v>
      </c>
      <c r="E35" s="6" t="s">
        <v>84</v>
      </c>
      <c r="F35" s="6" t="s">
        <v>304</v>
      </c>
      <c r="G35" s="6" t="s">
        <v>64</v>
      </c>
      <c r="H35" s="6" t="s">
        <v>305</v>
      </c>
      <c r="I35" s="6" t="s">
        <v>306</v>
      </c>
      <c r="K35" s="6" t="s">
        <v>302</v>
      </c>
      <c r="L35" s="6" t="s">
        <v>89</v>
      </c>
      <c r="M35" s="6" t="s">
        <v>307</v>
      </c>
      <c r="N35" s="6">
        <v>11</v>
      </c>
      <c r="O35" s="6" t="s">
        <v>70</v>
      </c>
      <c r="P35" s="6">
        <v>3</v>
      </c>
      <c r="Q35" s="6">
        <v>4</v>
      </c>
      <c r="R35" s="6">
        <v>10</v>
      </c>
      <c r="T35" s="6" t="s">
        <v>71</v>
      </c>
      <c r="U35" s="6" t="s">
        <v>72</v>
      </c>
      <c r="V35" s="6" t="s">
        <v>73</v>
      </c>
      <c r="W35" s="7" t="s">
        <v>74</v>
      </c>
      <c r="AR35" s="6" t="s">
        <v>71</v>
      </c>
      <c r="AS35" s="6" t="s">
        <v>71</v>
      </c>
      <c r="AT35" s="6" t="s">
        <v>71</v>
      </c>
      <c r="AU35" s="6" t="s">
        <v>72</v>
      </c>
      <c r="AV35" s="6" t="s">
        <v>71</v>
      </c>
      <c r="AW35" s="6" t="s">
        <v>71</v>
      </c>
      <c r="AX35" s="6" t="s">
        <v>71</v>
      </c>
      <c r="AY35" s="6" t="s">
        <v>71</v>
      </c>
      <c r="AZ35" s="6" t="s">
        <v>72</v>
      </c>
      <c r="BA35" s="6" t="s">
        <v>72</v>
      </c>
      <c r="BB35" s="6" t="s">
        <v>71</v>
      </c>
      <c r="BC35" s="6" t="s">
        <v>71</v>
      </c>
      <c r="BD35" s="6" t="s">
        <v>71</v>
      </c>
      <c r="BE35" s="6" t="s">
        <v>72</v>
      </c>
      <c r="BF35" s="6" t="s">
        <v>72</v>
      </c>
      <c r="BG35" s="6" t="s">
        <v>72</v>
      </c>
      <c r="BH35" s="6" t="s">
        <v>72</v>
      </c>
      <c r="BI35" s="6" t="s">
        <v>72</v>
      </c>
      <c r="BJ35" s="6" t="s">
        <v>72</v>
      </c>
    </row>
    <row r="36" spans="1:101" ht="13.2">
      <c r="A36" s="5">
        <v>45365.487903437504</v>
      </c>
      <c r="B36" s="6" t="s">
        <v>308</v>
      </c>
      <c r="C36" s="6" t="s">
        <v>309</v>
      </c>
      <c r="D36" s="6">
        <v>20086200</v>
      </c>
      <c r="E36" s="6" t="s">
        <v>84</v>
      </c>
      <c r="F36" s="6" t="s">
        <v>310</v>
      </c>
      <c r="G36" s="6" t="s">
        <v>64</v>
      </c>
      <c r="H36" s="6" t="s">
        <v>311</v>
      </c>
      <c r="I36" s="6" t="s">
        <v>312</v>
      </c>
      <c r="K36" s="6" t="s">
        <v>308</v>
      </c>
      <c r="L36" s="6" t="s">
        <v>89</v>
      </c>
      <c r="M36" s="6" t="s">
        <v>313</v>
      </c>
      <c r="N36" s="6">
        <v>25</v>
      </c>
      <c r="O36" s="6" t="s">
        <v>148</v>
      </c>
      <c r="P36" s="6">
        <v>5</v>
      </c>
      <c r="Q36" s="6">
        <v>3</v>
      </c>
      <c r="R36" s="6">
        <v>5</v>
      </c>
      <c r="T36" s="6" t="s">
        <v>71</v>
      </c>
      <c r="U36" s="6" t="s">
        <v>72</v>
      </c>
      <c r="V36" s="6" t="s">
        <v>73</v>
      </c>
      <c r="W36" s="7" t="s">
        <v>74</v>
      </c>
      <c r="AR36" s="6" t="s">
        <v>71</v>
      </c>
      <c r="AS36" s="6" t="s">
        <v>72</v>
      </c>
      <c r="AT36" s="6" t="s">
        <v>72</v>
      </c>
      <c r="AU36" s="6" t="s">
        <v>72</v>
      </c>
      <c r="AV36" s="6" t="s">
        <v>72</v>
      </c>
      <c r="AW36" s="6" t="s">
        <v>71</v>
      </c>
      <c r="AX36" s="6" t="s">
        <v>72</v>
      </c>
      <c r="AY36" s="6" t="s">
        <v>72</v>
      </c>
      <c r="AZ36" s="6" t="s">
        <v>72</v>
      </c>
      <c r="BA36" s="6" t="s">
        <v>72</v>
      </c>
    </row>
    <row r="37" spans="1:101" ht="13.2">
      <c r="A37" s="5">
        <v>45365.49015813657</v>
      </c>
      <c r="B37" s="6" t="s">
        <v>308</v>
      </c>
      <c r="C37" s="6" t="s">
        <v>309</v>
      </c>
      <c r="D37" s="6">
        <v>20086200</v>
      </c>
      <c r="E37" s="6" t="s">
        <v>84</v>
      </c>
      <c r="F37" s="6" t="s">
        <v>310</v>
      </c>
      <c r="G37" s="6" t="s">
        <v>64</v>
      </c>
      <c r="H37" s="6" t="s">
        <v>311</v>
      </c>
      <c r="I37" s="6" t="s">
        <v>314</v>
      </c>
      <c r="K37" s="6" t="s">
        <v>308</v>
      </c>
      <c r="L37" s="6" t="s">
        <v>89</v>
      </c>
      <c r="M37" s="6" t="s">
        <v>313</v>
      </c>
      <c r="N37" s="6">
        <v>24</v>
      </c>
      <c r="O37" s="6" t="s">
        <v>70</v>
      </c>
      <c r="P37" s="6">
        <v>5</v>
      </c>
      <c r="Q37" s="6">
        <v>3</v>
      </c>
      <c r="R37" s="6">
        <v>5</v>
      </c>
      <c r="T37" s="6" t="s">
        <v>71</v>
      </c>
      <c r="U37" s="6" t="s">
        <v>72</v>
      </c>
      <c r="V37" s="6" t="s">
        <v>73</v>
      </c>
      <c r="W37" s="7" t="s">
        <v>74</v>
      </c>
      <c r="AR37" s="6" t="s">
        <v>71</v>
      </c>
      <c r="AS37" s="6" t="s">
        <v>72</v>
      </c>
      <c r="AT37" s="6" t="s">
        <v>72</v>
      </c>
      <c r="AU37" s="6" t="s">
        <v>72</v>
      </c>
      <c r="AV37" s="6" t="s">
        <v>72</v>
      </c>
      <c r="AW37" s="6" t="s">
        <v>71</v>
      </c>
      <c r="AX37" s="6" t="s">
        <v>72</v>
      </c>
      <c r="AY37" s="6" t="s">
        <v>72</v>
      </c>
      <c r="AZ37" s="6" t="s">
        <v>72</v>
      </c>
      <c r="BA37" s="6" t="s">
        <v>72</v>
      </c>
    </row>
    <row r="38" spans="1:101" ht="13.2">
      <c r="A38" s="5">
        <v>45365.492675844907</v>
      </c>
      <c r="B38" s="6" t="s">
        <v>308</v>
      </c>
      <c r="C38" s="6" t="s">
        <v>309</v>
      </c>
      <c r="D38" s="6">
        <v>20086200</v>
      </c>
      <c r="E38" s="6" t="s">
        <v>84</v>
      </c>
      <c r="F38" s="6" t="s">
        <v>310</v>
      </c>
      <c r="G38" s="6" t="s">
        <v>64</v>
      </c>
      <c r="H38" s="6" t="s">
        <v>311</v>
      </c>
      <c r="I38" s="6" t="s">
        <v>312</v>
      </c>
      <c r="K38" s="6" t="s">
        <v>308</v>
      </c>
      <c r="L38" s="6" t="s">
        <v>89</v>
      </c>
      <c r="M38" s="6" t="s">
        <v>313</v>
      </c>
      <c r="N38" s="6">
        <v>25</v>
      </c>
      <c r="O38" s="6" t="s">
        <v>70</v>
      </c>
      <c r="P38" s="6">
        <v>5</v>
      </c>
      <c r="Q38" s="6">
        <v>3</v>
      </c>
      <c r="R38" s="6">
        <v>5</v>
      </c>
      <c r="T38" s="6" t="s">
        <v>71</v>
      </c>
      <c r="U38" s="6" t="s">
        <v>72</v>
      </c>
      <c r="V38" s="6" t="s">
        <v>73</v>
      </c>
      <c r="W38" s="7" t="s">
        <v>74</v>
      </c>
      <c r="AR38" s="6" t="s">
        <v>71</v>
      </c>
      <c r="AS38" s="6" t="s">
        <v>72</v>
      </c>
      <c r="AT38" s="6" t="s">
        <v>72</v>
      </c>
      <c r="AU38" s="6" t="s">
        <v>72</v>
      </c>
      <c r="AV38" s="6" t="s">
        <v>72</v>
      </c>
      <c r="AW38" s="6" t="s">
        <v>71</v>
      </c>
      <c r="AX38" s="6" t="s">
        <v>72</v>
      </c>
      <c r="AY38" s="6" t="s">
        <v>72</v>
      </c>
      <c r="AZ38" s="6" t="s">
        <v>72</v>
      </c>
      <c r="BA38" s="6" t="s">
        <v>72</v>
      </c>
    </row>
    <row r="39" spans="1:101" ht="13.2">
      <c r="A39" s="5">
        <v>45365.581499050924</v>
      </c>
      <c r="B39" s="6" t="s">
        <v>315</v>
      </c>
      <c r="C39" s="6" t="s">
        <v>316</v>
      </c>
      <c r="D39" s="7" t="s">
        <v>317</v>
      </c>
      <c r="E39" s="6" t="s">
        <v>84</v>
      </c>
      <c r="F39" s="6" t="s">
        <v>318</v>
      </c>
      <c r="G39" s="6" t="s">
        <v>64</v>
      </c>
      <c r="H39" s="6" t="s">
        <v>319</v>
      </c>
      <c r="I39" s="6" t="s">
        <v>320</v>
      </c>
      <c r="K39" s="6" t="s">
        <v>315</v>
      </c>
      <c r="L39" s="6" t="s">
        <v>245</v>
      </c>
      <c r="M39" s="6" t="s">
        <v>321</v>
      </c>
      <c r="N39" s="6">
        <v>35</v>
      </c>
      <c r="O39" s="6" t="s">
        <v>70</v>
      </c>
      <c r="P39" s="6">
        <v>3</v>
      </c>
      <c r="Q39" s="6">
        <v>2</v>
      </c>
      <c r="R39" s="6">
        <v>75</v>
      </c>
      <c r="T39" s="6" t="s">
        <v>71</v>
      </c>
      <c r="U39" s="6" t="s">
        <v>72</v>
      </c>
      <c r="V39" s="6" t="s">
        <v>73</v>
      </c>
      <c r="W39" s="7" t="s">
        <v>74</v>
      </c>
      <c r="AR39" s="6" t="s">
        <v>71</v>
      </c>
      <c r="AS39" s="6" t="s">
        <v>72</v>
      </c>
      <c r="AT39" s="6" t="s">
        <v>72</v>
      </c>
      <c r="AU39" s="6" t="s">
        <v>72</v>
      </c>
      <c r="AV39" s="6" t="s">
        <v>72</v>
      </c>
      <c r="AW39" s="6" t="s">
        <v>71</v>
      </c>
      <c r="AX39" s="6" t="s">
        <v>72</v>
      </c>
      <c r="AY39" s="6" t="s">
        <v>72</v>
      </c>
      <c r="AZ39" s="6" t="s">
        <v>72</v>
      </c>
      <c r="BA39" s="6" t="s">
        <v>72</v>
      </c>
      <c r="BB39" s="6" t="s">
        <v>72</v>
      </c>
      <c r="BC39" s="6" t="s">
        <v>72</v>
      </c>
      <c r="BD39" s="6" t="s">
        <v>72</v>
      </c>
      <c r="BE39" s="6" t="s">
        <v>71</v>
      </c>
      <c r="BF39" s="6" t="s">
        <v>72</v>
      </c>
      <c r="BG39" s="6" t="s">
        <v>72</v>
      </c>
      <c r="BH39" s="6" t="s">
        <v>71</v>
      </c>
      <c r="BI39" s="6" t="s">
        <v>72</v>
      </c>
      <c r="BJ39" s="6" t="s">
        <v>72</v>
      </c>
    </row>
    <row r="40" spans="1:101" ht="13.2">
      <c r="A40" s="5">
        <v>45365.595046574075</v>
      </c>
      <c r="B40" s="6" t="s">
        <v>322</v>
      </c>
      <c r="C40" s="6" t="s">
        <v>323</v>
      </c>
      <c r="D40" s="7" t="s">
        <v>324</v>
      </c>
      <c r="E40" s="6" t="s">
        <v>62</v>
      </c>
      <c r="F40" s="6" t="s">
        <v>152</v>
      </c>
      <c r="G40" s="6" t="s">
        <v>105</v>
      </c>
      <c r="H40" s="6" t="s">
        <v>325</v>
      </c>
      <c r="I40" s="6" t="s">
        <v>326</v>
      </c>
      <c r="J40" s="6" t="s">
        <v>327</v>
      </c>
      <c r="K40" s="6" t="s">
        <v>322</v>
      </c>
      <c r="L40" s="6" t="s">
        <v>138</v>
      </c>
      <c r="M40" s="6" t="s">
        <v>328</v>
      </c>
      <c r="N40" s="6">
        <v>35</v>
      </c>
      <c r="O40" s="6" t="s">
        <v>70</v>
      </c>
      <c r="P40" s="6">
        <v>1</v>
      </c>
      <c r="Q40" s="6">
        <v>1</v>
      </c>
      <c r="R40" s="6">
        <v>90</v>
      </c>
      <c r="T40" s="6" t="s">
        <v>71</v>
      </c>
      <c r="U40" s="6" t="s">
        <v>72</v>
      </c>
      <c r="V40" s="6" t="s">
        <v>73</v>
      </c>
      <c r="W40" s="7" t="s">
        <v>74</v>
      </c>
      <c r="AR40" s="6" t="s">
        <v>71</v>
      </c>
      <c r="AS40" s="6" t="s">
        <v>71</v>
      </c>
      <c r="AT40" s="6" t="s">
        <v>71</v>
      </c>
      <c r="AU40" s="6" t="s">
        <v>71</v>
      </c>
      <c r="AV40" s="6" t="s">
        <v>71</v>
      </c>
      <c r="AW40" s="6" t="s">
        <v>71</v>
      </c>
      <c r="AX40" s="6" t="s">
        <v>71</v>
      </c>
      <c r="AY40" s="6" t="s">
        <v>71</v>
      </c>
      <c r="AZ40" s="6" t="s">
        <v>71</v>
      </c>
      <c r="BA40" s="6" t="s">
        <v>71</v>
      </c>
      <c r="BB40" s="6" t="s">
        <v>71</v>
      </c>
      <c r="BC40" s="6" t="s">
        <v>71</v>
      </c>
      <c r="BD40" s="6" t="s">
        <v>71</v>
      </c>
      <c r="BG40" s="6" t="s">
        <v>71</v>
      </c>
      <c r="BH40" s="6" t="s">
        <v>71</v>
      </c>
      <c r="BI40" s="6" t="s">
        <v>71</v>
      </c>
    </row>
    <row r="41" spans="1:101" ht="13.2">
      <c r="A41" s="5">
        <v>45365.802258553245</v>
      </c>
      <c r="B41" s="6" t="s">
        <v>329</v>
      </c>
      <c r="C41" s="6" t="s">
        <v>330</v>
      </c>
      <c r="D41" s="7" t="s">
        <v>317</v>
      </c>
      <c r="E41" s="6" t="s">
        <v>84</v>
      </c>
      <c r="F41" s="6" t="s">
        <v>331</v>
      </c>
      <c r="G41" s="6" t="s">
        <v>64</v>
      </c>
      <c r="H41" s="6" t="s">
        <v>332</v>
      </c>
      <c r="I41" s="6" t="s">
        <v>333</v>
      </c>
      <c r="J41" s="6" t="s">
        <v>334</v>
      </c>
      <c r="K41" s="6" t="s">
        <v>329</v>
      </c>
      <c r="L41" s="6" t="s">
        <v>245</v>
      </c>
      <c r="M41" s="6" t="s">
        <v>335</v>
      </c>
      <c r="N41" s="6">
        <v>35</v>
      </c>
      <c r="O41" s="6" t="s">
        <v>70</v>
      </c>
      <c r="P41" s="6">
        <v>4</v>
      </c>
      <c r="Q41" s="6">
        <v>3</v>
      </c>
      <c r="R41" s="6">
        <v>10</v>
      </c>
      <c r="T41" s="6" t="s">
        <v>71</v>
      </c>
      <c r="U41" s="6" t="s">
        <v>72</v>
      </c>
      <c r="V41" s="6" t="s">
        <v>73</v>
      </c>
      <c r="W41" s="7" t="s">
        <v>74</v>
      </c>
      <c r="AR41" s="6" t="s">
        <v>71</v>
      </c>
      <c r="AS41" s="6" t="s">
        <v>72</v>
      </c>
      <c r="AT41" s="6" t="s">
        <v>72</v>
      </c>
      <c r="AU41" s="6" t="s">
        <v>72</v>
      </c>
      <c r="AV41" s="6" t="s">
        <v>72</v>
      </c>
      <c r="AW41" s="6" t="s">
        <v>71</v>
      </c>
      <c r="AX41" s="6" t="s">
        <v>72</v>
      </c>
      <c r="AY41" s="6" t="s">
        <v>72</v>
      </c>
      <c r="AZ41" s="6" t="s">
        <v>72</v>
      </c>
      <c r="BA41" s="6" t="s">
        <v>72</v>
      </c>
      <c r="BB41" s="6" t="s">
        <v>72</v>
      </c>
      <c r="BC41" s="6" t="s">
        <v>72</v>
      </c>
      <c r="BD41" s="6" t="s">
        <v>71</v>
      </c>
      <c r="BE41" s="6" t="s">
        <v>72</v>
      </c>
      <c r="BF41" s="6" t="s">
        <v>72</v>
      </c>
      <c r="BG41" s="6" t="s">
        <v>72</v>
      </c>
      <c r="BH41" s="6" t="s">
        <v>72</v>
      </c>
      <c r="BI41" s="6" t="s">
        <v>71</v>
      </c>
      <c r="BJ41" s="6" t="s">
        <v>72</v>
      </c>
    </row>
    <row r="42" spans="1:101" ht="13.2">
      <c r="A42" s="5">
        <v>45365.80892487269</v>
      </c>
      <c r="B42" s="6" t="s">
        <v>336</v>
      </c>
      <c r="C42" s="6" t="s">
        <v>316</v>
      </c>
      <c r="D42" s="7" t="s">
        <v>317</v>
      </c>
      <c r="E42" s="6" t="s">
        <v>62</v>
      </c>
      <c r="F42" s="6" t="s">
        <v>337</v>
      </c>
      <c r="G42" s="6" t="s">
        <v>64</v>
      </c>
      <c r="H42" s="6" t="s">
        <v>338</v>
      </c>
      <c r="I42" s="6" t="s">
        <v>339</v>
      </c>
      <c r="J42" s="6" t="s">
        <v>340</v>
      </c>
      <c r="K42" s="6" t="s">
        <v>341</v>
      </c>
      <c r="L42" s="6" t="s">
        <v>245</v>
      </c>
      <c r="M42" s="6" t="s">
        <v>342</v>
      </c>
      <c r="N42" s="6">
        <v>35</v>
      </c>
      <c r="O42" s="6" t="s">
        <v>70</v>
      </c>
      <c r="P42" s="6">
        <v>3</v>
      </c>
      <c r="Q42" s="6">
        <v>1</v>
      </c>
      <c r="R42" s="6">
        <v>10</v>
      </c>
      <c r="T42" s="6" t="s">
        <v>71</v>
      </c>
      <c r="U42" s="6" t="s">
        <v>72</v>
      </c>
      <c r="V42" s="6" t="s">
        <v>73</v>
      </c>
      <c r="W42" s="7" t="s">
        <v>74</v>
      </c>
      <c r="AR42" s="6" t="s">
        <v>71</v>
      </c>
      <c r="AS42" s="6" t="s">
        <v>71</v>
      </c>
      <c r="AT42" s="6" t="s">
        <v>72</v>
      </c>
      <c r="AU42" s="6" t="s">
        <v>71</v>
      </c>
      <c r="AV42" s="6" t="s">
        <v>71</v>
      </c>
      <c r="AW42" s="6" t="s">
        <v>71</v>
      </c>
      <c r="AX42" s="6" t="s">
        <v>72</v>
      </c>
      <c r="AY42" s="6" t="s">
        <v>72</v>
      </c>
      <c r="AZ42" s="6" t="s">
        <v>71</v>
      </c>
      <c r="BA42" s="6" t="s">
        <v>71</v>
      </c>
      <c r="BB42" s="6" t="s">
        <v>71</v>
      </c>
      <c r="BC42" s="6" t="s">
        <v>71</v>
      </c>
      <c r="BD42" s="6" t="s">
        <v>72</v>
      </c>
      <c r="BE42" s="6" t="s">
        <v>71</v>
      </c>
      <c r="BF42" s="6" t="s">
        <v>71</v>
      </c>
      <c r="BG42" s="6" t="s">
        <v>71</v>
      </c>
      <c r="BH42" s="6" t="s">
        <v>72</v>
      </c>
      <c r="BI42" s="6" t="s">
        <v>71</v>
      </c>
      <c r="BJ42" s="6" t="s">
        <v>71</v>
      </c>
    </row>
    <row r="43" spans="1:101" ht="13.2">
      <c r="A43" s="5">
        <v>45365.997577337963</v>
      </c>
      <c r="B43" s="6" t="s">
        <v>343</v>
      </c>
      <c r="C43" s="6" t="s">
        <v>344</v>
      </c>
      <c r="D43" s="6">
        <v>60551700</v>
      </c>
      <c r="E43" s="6" t="s">
        <v>276</v>
      </c>
      <c r="F43" s="6" t="s">
        <v>345</v>
      </c>
      <c r="G43" s="6" t="s">
        <v>105</v>
      </c>
      <c r="H43" s="6" t="s">
        <v>346</v>
      </c>
      <c r="I43" s="6" t="s">
        <v>347</v>
      </c>
      <c r="J43" s="6" t="s">
        <v>348</v>
      </c>
      <c r="K43" s="6" t="s">
        <v>343</v>
      </c>
      <c r="L43" s="6" t="s">
        <v>245</v>
      </c>
      <c r="M43" s="6" t="s">
        <v>349</v>
      </c>
      <c r="N43" s="6">
        <v>35</v>
      </c>
      <c r="O43" s="6" t="s">
        <v>350</v>
      </c>
      <c r="P43" s="6">
        <v>3</v>
      </c>
      <c r="Q43" s="6">
        <v>4</v>
      </c>
      <c r="R43" s="6">
        <v>75</v>
      </c>
      <c r="T43" s="6" t="s">
        <v>72</v>
      </c>
      <c r="U43" s="6" t="s">
        <v>71</v>
      </c>
      <c r="V43" s="6" t="s">
        <v>351</v>
      </c>
      <c r="W43" s="7" t="s">
        <v>74</v>
      </c>
      <c r="AR43" s="6" t="s">
        <v>72</v>
      </c>
      <c r="AS43" s="6" t="s">
        <v>72</v>
      </c>
      <c r="AT43" s="6" t="s">
        <v>71</v>
      </c>
      <c r="AU43" s="6" t="s">
        <v>71</v>
      </c>
      <c r="AV43" s="6" t="s">
        <v>72</v>
      </c>
      <c r="AW43" s="6" t="s">
        <v>72</v>
      </c>
      <c r="AX43" s="6" t="s">
        <v>72</v>
      </c>
      <c r="AY43" s="6" t="s">
        <v>71</v>
      </c>
      <c r="AZ43" s="6" t="s">
        <v>71</v>
      </c>
      <c r="BA43" s="6" t="s">
        <v>71</v>
      </c>
      <c r="BB43" s="6" t="s">
        <v>72</v>
      </c>
      <c r="BC43" s="6" t="s">
        <v>72</v>
      </c>
      <c r="BD43" s="6" t="s">
        <v>71</v>
      </c>
      <c r="BE43" s="6" t="s">
        <v>71</v>
      </c>
      <c r="BF43" s="6" t="s">
        <v>71</v>
      </c>
      <c r="BG43" s="6" t="s">
        <v>72</v>
      </c>
      <c r="BH43" s="6" t="s">
        <v>71</v>
      </c>
      <c r="BI43" s="6" t="s">
        <v>71</v>
      </c>
      <c r="BJ43" s="6" t="s">
        <v>71</v>
      </c>
    </row>
    <row r="44" spans="1:101" ht="13.2">
      <c r="A44" s="5">
        <v>45366.049777430555</v>
      </c>
      <c r="B44" s="6" t="s">
        <v>352</v>
      </c>
      <c r="C44" s="6" t="s">
        <v>353</v>
      </c>
      <c r="D44" s="7" t="s">
        <v>354</v>
      </c>
      <c r="E44" s="6" t="s">
        <v>84</v>
      </c>
      <c r="F44" s="6" t="s">
        <v>355</v>
      </c>
      <c r="G44" s="6" t="s">
        <v>105</v>
      </c>
      <c r="H44" s="6" t="s">
        <v>356</v>
      </c>
      <c r="I44" s="6" t="s">
        <v>357</v>
      </c>
      <c r="J44" s="6" t="s">
        <v>358</v>
      </c>
      <c r="K44" s="6" t="s">
        <v>352</v>
      </c>
      <c r="L44" s="6" t="s">
        <v>68</v>
      </c>
      <c r="M44" s="6" t="s">
        <v>359</v>
      </c>
      <c r="N44" s="6">
        <v>35</v>
      </c>
      <c r="O44" s="6" t="s">
        <v>70</v>
      </c>
      <c r="P44" s="6">
        <v>5</v>
      </c>
      <c r="Q44" s="6">
        <v>3</v>
      </c>
      <c r="R44" s="6">
        <v>60</v>
      </c>
      <c r="T44" s="6" t="s">
        <v>71</v>
      </c>
      <c r="U44" s="6" t="s">
        <v>72</v>
      </c>
      <c r="V44" s="6" t="s">
        <v>73</v>
      </c>
      <c r="W44" s="7" t="s">
        <v>74</v>
      </c>
      <c r="AR44" s="6" t="s">
        <v>72</v>
      </c>
      <c r="AS44" s="6" t="s">
        <v>72</v>
      </c>
      <c r="AT44" s="6" t="s">
        <v>71</v>
      </c>
      <c r="AU44" s="6" t="s">
        <v>72</v>
      </c>
      <c r="AV44" s="6" t="s">
        <v>71</v>
      </c>
      <c r="AW44" s="6" t="s">
        <v>71</v>
      </c>
      <c r="AX44" s="6" t="s">
        <v>72</v>
      </c>
      <c r="AY44" s="6" t="s">
        <v>72</v>
      </c>
      <c r="AZ44" s="6" t="s">
        <v>72</v>
      </c>
      <c r="BA44" s="6" t="s">
        <v>72</v>
      </c>
      <c r="BB44" s="6" t="s">
        <v>71</v>
      </c>
      <c r="BC44" s="6" t="s">
        <v>71</v>
      </c>
      <c r="BD44" s="6" t="s">
        <v>72</v>
      </c>
      <c r="BE44" s="6" t="s">
        <v>72</v>
      </c>
      <c r="BF44" s="6" t="s">
        <v>72</v>
      </c>
      <c r="BG44" s="6" t="s">
        <v>72</v>
      </c>
      <c r="BH44" s="6" t="s">
        <v>72</v>
      </c>
      <c r="BI44" s="6" t="s">
        <v>71</v>
      </c>
      <c r="BJ44" s="6" t="s">
        <v>72</v>
      </c>
    </row>
    <row r="45" spans="1:101" ht="13.2">
      <c r="A45" s="5">
        <v>45366.393009548614</v>
      </c>
      <c r="B45" s="6" t="s">
        <v>360</v>
      </c>
      <c r="C45" s="6" t="s">
        <v>361</v>
      </c>
      <c r="D45" s="7" t="s">
        <v>362</v>
      </c>
      <c r="E45" s="6" t="s">
        <v>133</v>
      </c>
      <c r="F45" s="6" t="s">
        <v>249</v>
      </c>
      <c r="G45" s="6" t="s">
        <v>105</v>
      </c>
      <c r="H45" s="6" t="s">
        <v>363</v>
      </c>
      <c r="I45" s="6" t="s">
        <v>364</v>
      </c>
      <c r="K45" s="6" t="s">
        <v>360</v>
      </c>
      <c r="L45" s="6" t="s">
        <v>245</v>
      </c>
      <c r="M45" s="6" t="s">
        <v>365</v>
      </c>
      <c r="N45" s="6">
        <v>35</v>
      </c>
      <c r="O45" s="6" t="s">
        <v>70</v>
      </c>
      <c r="P45" s="6">
        <v>2</v>
      </c>
      <c r="Q45" s="6">
        <v>2</v>
      </c>
      <c r="R45" s="6">
        <v>80</v>
      </c>
      <c r="T45" s="6" t="s">
        <v>71</v>
      </c>
      <c r="U45" s="6" t="s">
        <v>71</v>
      </c>
      <c r="V45" s="6" t="s">
        <v>109</v>
      </c>
      <c r="W45" s="7" t="s">
        <v>74</v>
      </c>
      <c r="AR45" s="6" t="s">
        <v>72</v>
      </c>
      <c r="AS45" s="6" t="s">
        <v>71</v>
      </c>
      <c r="AT45" s="6" t="s">
        <v>72</v>
      </c>
      <c r="AU45" s="6" t="s">
        <v>72</v>
      </c>
      <c r="AV45" s="6" t="s">
        <v>72</v>
      </c>
      <c r="AW45" s="6" t="s">
        <v>72</v>
      </c>
      <c r="AX45" s="6" t="s">
        <v>71</v>
      </c>
      <c r="AY45" s="6" t="s">
        <v>72</v>
      </c>
      <c r="AZ45" s="6" t="s">
        <v>72</v>
      </c>
      <c r="BA45" s="6" t="s">
        <v>72</v>
      </c>
      <c r="BE45" s="6" t="s">
        <v>71</v>
      </c>
      <c r="BG45" s="6" t="s">
        <v>72</v>
      </c>
      <c r="BH45" s="6" t="s">
        <v>72</v>
      </c>
      <c r="BI45" s="6" t="s">
        <v>72</v>
      </c>
      <c r="BJ45" s="6" t="s">
        <v>72</v>
      </c>
    </row>
    <row r="46" spans="1:101" ht="13.2">
      <c r="A46" s="5">
        <v>45366.422287337962</v>
      </c>
      <c r="B46" s="6" t="s">
        <v>366</v>
      </c>
      <c r="C46" s="6" t="s">
        <v>367</v>
      </c>
      <c r="D46" s="7" t="s">
        <v>368</v>
      </c>
      <c r="E46" s="6" t="s">
        <v>276</v>
      </c>
      <c r="F46" s="6" t="s">
        <v>369</v>
      </c>
      <c r="G46" s="6" t="s">
        <v>105</v>
      </c>
      <c r="H46" s="6" t="s">
        <v>370</v>
      </c>
      <c r="I46" s="6" t="s">
        <v>371</v>
      </c>
      <c r="J46" s="6" t="s">
        <v>372</v>
      </c>
      <c r="K46" s="6" t="s">
        <v>373</v>
      </c>
      <c r="L46" s="6" t="s">
        <v>89</v>
      </c>
      <c r="M46" s="6" t="s">
        <v>374</v>
      </c>
      <c r="N46" s="6">
        <v>30</v>
      </c>
      <c r="O46" s="6" t="s">
        <v>148</v>
      </c>
      <c r="P46" s="6">
        <v>4</v>
      </c>
      <c r="Q46" s="6">
        <v>1</v>
      </c>
      <c r="R46" s="6">
        <v>84</v>
      </c>
      <c r="S46" s="6" t="s">
        <v>375</v>
      </c>
      <c r="T46" s="6" t="s">
        <v>71</v>
      </c>
      <c r="U46" s="6" t="s">
        <v>72</v>
      </c>
      <c r="V46" s="6" t="s">
        <v>73</v>
      </c>
      <c r="W46" s="7" t="s">
        <v>74</v>
      </c>
      <c r="AR46" s="6" t="s">
        <v>71</v>
      </c>
      <c r="AS46" s="6" t="s">
        <v>72</v>
      </c>
      <c r="AT46" s="6" t="s">
        <v>72</v>
      </c>
      <c r="AU46" s="6" t="s">
        <v>72</v>
      </c>
      <c r="AV46" s="6" t="s">
        <v>72</v>
      </c>
      <c r="AW46" s="6" t="s">
        <v>71</v>
      </c>
      <c r="AX46" s="6" t="s">
        <v>71</v>
      </c>
      <c r="AY46" s="6" t="s">
        <v>72</v>
      </c>
      <c r="AZ46" s="6" t="s">
        <v>72</v>
      </c>
      <c r="BA46" s="6" t="s">
        <v>72</v>
      </c>
      <c r="BB46" s="6" t="s">
        <v>72</v>
      </c>
      <c r="BC46" s="6" t="s">
        <v>71</v>
      </c>
      <c r="BD46" s="6" t="s">
        <v>72</v>
      </c>
      <c r="BE46" s="6" t="s">
        <v>72</v>
      </c>
      <c r="BF46" s="6" t="s">
        <v>72</v>
      </c>
      <c r="BG46" s="6" t="s">
        <v>72</v>
      </c>
      <c r="BH46" s="6" t="s">
        <v>71</v>
      </c>
      <c r="BI46" s="6" t="s">
        <v>72</v>
      </c>
      <c r="BJ46" s="6" t="s">
        <v>72</v>
      </c>
      <c r="BK46" s="6" t="s">
        <v>376</v>
      </c>
    </row>
    <row r="47" spans="1:101" ht="13.2">
      <c r="A47" s="8">
        <v>45366.605559571763</v>
      </c>
      <c r="B47" s="9" t="s">
        <v>377</v>
      </c>
      <c r="C47" s="10" t="s">
        <v>378</v>
      </c>
      <c r="D47" s="11" t="s">
        <v>379</v>
      </c>
      <c r="E47" s="9" t="s">
        <v>133</v>
      </c>
      <c r="F47" s="9" t="s">
        <v>380</v>
      </c>
      <c r="G47" s="9" t="s">
        <v>105</v>
      </c>
      <c r="H47" s="9" t="s">
        <v>381</v>
      </c>
      <c r="I47" s="9" t="s">
        <v>382</v>
      </c>
      <c r="J47" s="9" t="s">
        <v>383</v>
      </c>
      <c r="K47" s="9" t="s">
        <v>377</v>
      </c>
      <c r="L47" s="9" t="s">
        <v>245</v>
      </c>
      <c r="M47" s="9" t="s">
        <v>384</v>
      </c>
      <c r="N47" s="9">
        <v>35</v>
      </c>
      <c r="O47" s="9" t="s">
        <v>70</v>
      </c>
      <c r="P47" s="9">
        <v>4</v>
      </c>
      <c r="Q47" s="9">
        <v>2</v>
      </c>
      <c r="R47" s="9">
        <v>90</v>
      </c>
      <c r="S47" s="12"/>
      <c r="T47" s="9" t="s">
        <v>71</v>
      </c>
      <c r="U47" s="9" t="s">
        <v>71</v>
      </c>
      <c r="V47" s="6" t="s">
        <v>109</v>
      </c>
      <c r="W47" s="11" t="s">
        <v>74</v>
      </c>
      <c r="X47" s="12"/>
      <c r="Y47" s="12"/>
      <c r="Z47" s="12"/>
      <c r="AA47" s="12"/>
      <c r="AB47" s="12"/>
      <c r="AC47" s="12"/>
      <c r="AD47" s="12"/>
      <c r="AE47" s="12"/>
      <c r="AF47" s="12"/>
      <c r="AG47" s="12"/>
      <c r="AH47" s="12"/>
      <c r="AI47" s="12"/>
      <c r="AJ47" s="12"/>
      <c r="AK47" s="12"/>
      <c r="AL47" s="12"/>
      <c r="AM47" s="12"/>
      <c r="AN47" s="12"/>
      <c r="AO47" s="12"/>
      <c r="AP47" s="12"/>
      <c r="AQ47" s="12"/>
      <c r="AR47" s="9" t="s">
        <v>72</v>
      </c>
      <c r="AS47" s="9" t="s">
        <v>71</v>
      </c>
      <c r="AT47" s="9" t="s">
        <v>72</v>
      </c>
      <c r="AU47" s="9" t="s">
        <v>72</v>
      </c>
      <c r="AV47" s="9" t="s">
        <v>72</v>
      </c>
      <c r="AW47" s="9" t="s">
        <v>72</v>
      </c>
      <c r="AX47" s="9" t="s">
        <v>72</v>
      </c>
      <c r="AY47" s="9" t="s">
        <v>71</v>
      </c>
      <c r="AZ47" s="9" t="s">
        <v>72</v>
      </c>
      <c r="BA47" s="9" t="s">
        <v>72</v>
      </c>
      <c r="BB47" s="9" t="s">
        <v>72</v>
      </c>
      <c r="BC47" s="9" t="s">
        <v>72</v>
      </c>
      <c r="BD47" s="9" t="s">
        <v>72</v>
      </c>
      <c r="BE47" s="9" t="s">
        <v>71</v>
      </c>
      <c r="BF47" s="9" t="s">
        <v>72</v>
      </c>
      <c r="BG47" s="9" t="s">
        <v>72</v>
      </c>
      <c r="BH47" s="9" t="s">
        <v>71</v>
      </c>
      <c r="BI47" s="9" t="s">
        <v>72</v>
      </c>
      <c r="BJ47" s="9" t="s">
        <v>72</v>
      </c>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row>
    <row r="48" spans="1:101" ht="13.2">
      <c r="A48" s="5">
        <v>45366.67817741898</v>
      </c>
      <c r="B48" s="6" t="s">
        <v>385</v>
      </c>
      <c r="C48" s="6" t="s">
        <v>386</v>
      </c>
      <c r="D48" s="6">
        <v>20063700</v>
      </c>
      <c r="E48" s="6" t="s">
        <v>387</v>
      </c>
      <c r="F48" s="6" t="s">
        <v>388</v>
      </c>
      <c r="G48" s="6" t="s">
        <v>105</v>
      </c>
      <c r="H48" s="6" t="s">
        <v>389</v>
      </c>
      <c r="I48" s="6" t="s">
        <v>390</v>
      </c>
      <c r="J48" s="6" t="s">
        <v>391</v>
      </c>
      <c r="K48" s="6" t="s">
        <v>385</v>
      </c>
      <c r="L48" s="6" t="s">
        <v>89</v>
      </c>
      <c r="M48" s="6" t="s">
        <v>392</v>
      </c>
      <c r="N48" s="6">
        <v>35</v>
      </c>
      <c r="O48" s="6" t="s">
        <v>148</v>
      </c>
      <c r="P48" s="6">
        <v>4</v>
      </c>
      <c r="Q48" s="6">
        <v>4</v>
      </c>
      <c r="R48" s="6">
        <v>80</v>
      </c>
      <c r="S48" s="6" t="s">
        <v>393</v>
      </c>
      <c r="T48" s="6" t="s">
        <v>72</v>
      </c>
      <c r="U48" s="6" t="s">
        <v>71</v>
      </c>
      <c r="V48" s="6" t="s">
        <v>351</v>
      </c>
      <c r="W48" s="7" t="s">
        <v>74</v>
      </c>
      <c r="AR48" s="6" t="s">
        <v>72</v>
      </c>
      <c r="AS48" s="6" t="s">
        <v>72</v>
      </c>
      <c r="AT48" s="6" t="s">
        <v>72</v>
      </c>
      <c r="AU48" s="6" t="s">
        <v>71</v>
      </c>
      <c r="AV48" s="6" t="s">
        <v>72</v>
      </c>
      <c r="AW48" s="6" t="s">
        <v>72</v>
      </c>
      <c r="AX48" s="6" t="s">
        <v>72</v>
      </c>
      <c r="AY48" s="6" t="s">
        <v>72</v>
      </c>
      <c r="AZ48" s="6" t="s">
        <v>72</v>
      </c>
      <c r="BA48" s="6" t="s">
        <v>71</v>
      </c>
      <c r="BB48" s="6" t="s">
        <v>72</v>
      </c>
      <c r="BC48" s="6" t="s">
        <v>72</v>
      </c>
      <c r="BD48" s="6" t="s">
        <v>72</v>
      </c>
      <c r="BE48" s="6" t="s">
        <v>72</v>
      </c>
      <c r="BF48" s="6" t="s">
        <v>72</v>
      </c>
      <c r="BG48" s="6" t="s">
        <v>72</v>
      </c>
      <c r="BH48" s="6" t="s">
        <v>72</v>
      </c>
      <c r="BI48" s="6" t="s">
        <v>72</v>
      </c>
      <c r="BJ48" s="6" t="s">
        <v>71</v>
      </c>
      <c r="BK48" s="6" t="s">
        <v>394</v>
      </c>
    </row>
    <row r="49" spans="1:63" ht="13.2">
      <c r="A49" s="5">
        <v>45366.704091215273</v>
      </c>
      <c r="B49" s="6" t="s">
        <v>395</v>
      </c>
      <c r="C49" s="6" t="s">
        <v>396</v>
      </c>
      <c r="D49" s="7" t="s">
        <v>397</v>
      </c>
      <c r="E49" s="6" t="s">
        <v>62</v>
      </c>
      <c r="F49" s="6" t="s">
        <v>398</v>
      </c>
      <c r="G49" s="6" t="s">
        <v>105</v>
      </c>
      <c r="H49" s="6" t="s">
        <v>399</v>
      </c>
      <c r="I49" s="6" t="s">
        <v>400</v>
      </c>
      <c r="J49" s="6" t="s">
        <v>401</v>
      </c>
      <c r="K49" s="6" t="s">
        <v>402</v>
      </c>
      <c r="L49" s="6" t="s">
        <v>138</v>
      </c>
      <c r="M49" s="6" t="s">
        <v>403</v>
      </c>
      <c r="N49" s="6">
        <v>35</v>
      </c>
      <c r="O49" s="6" t="s">
        <v>148</v>
      </c>
      <c r="P49" s="6">
        <v>3</v>
      </c>
      <c r="Q49" s="6">
        <v>3</v>
      </c>
      <c r="R49" s="6">
        <v>50</v>
      </c>
      <c r="S49" s="6" t="s">
        <v>404</v>
      </c>
      <c r="T49" s="6" t="s">
        <v>71</v>
      </c>
      <c r="U49" s="6" t="s">
        <v>72</v>
      </c>
      <c r="V49" s="6" t="s">
        <v>73</v>
      </c>
      <c r="W49" s="7" t="s">
        <v>74</v>
      </c>
      <c r="AR49" s="6" t="s">
        <v>71</v>
      </c>
      <c r="AS49" s="6" t="s">
        <v>71</v>
      </c>
      <c r="AT49" s="6" t="s">
        <v>71</v>
      </c>
      <c r="AU49" s="6" t="s">
        <v>72</v>
      </c>
      <c r="AV49" s="6" t="s">
        <v>71</v>
      </c>
      <c r="AW49" s="6" t="s">
        <v>71</v>
      </c>
      <c r="AX49" s="6" t="s">
        <v>71</v>
      </c>
      <c r="AY49" s="6" t="s">
        <v>71</v>
      </c>
      <c r="AZ49" s="6" t="s">
        <v>72</v>
      </c>
      <c r="BA49" s="6" t="s">
        <v>72</v>
      </c>
      <c r="BB49" s="6" t="s">
        <v>71</v>
      </c>
      <c r="BC49" s="6" t="s">
        <v>71</v>
      </c>
      <c r="BD49" s="6" t="s">
        <v>71</v>
      </c>
      <c r="BE49" s="6" t="s">
        <v>72</v>
      </c>
      <c r="BF49" s="6" t="s">
        <v>72</v>
      </c>
      <c r="BG49" s="6" t="s">
        <v>71</v>
      </c>
      <c r="BH49" s="6" t="s">
        <v>71</v>
      </c>
      <c r="BI49" s="6" t="s">
        <v>72</v>
      </c>
      <c r="BJ49" s="6" t="s">
        <v>72</v>
      </c>
    </row>
    <row r="50" spans="1:63" ht="13.2">
      <c r="A50" s="5">
        <v>45366.773719837962</v>
      </c>
      <c r="B50" s="6" t="s">
        <v>405</v>
      </c>
      <c r="C50" s="6" t="s">
        <v>406</v>
      </c>
      <c r="D50" s="7" t="s">
        <v>407</v>
      </c>
      <c r="E50" s="6" t="s">
        <v>133</v>
      </c>
      <c r="F50" s="6" t="s">
        <v>408</v>
      </c>
      <c r="G50" s="6" t="s">
        <v>64</v>
      </c>
      <c r="H50" s="6" t="s">
        <v>409</v>
      </c>
      <c r="I50" s="6" t="s">
        <v>410</v>
      </c>
      <c r="K50" s="6" t="s">
        <v>405</v>
      </c>
      <c r="L50" s="6" t="s">
        <v>89</v>
      </c>
      <c r="M50" s="6" t="s">
        <v>217</v>
      </c>
      <c r="N50" s="6">
        <v>28</v>
      </c>
      <c r="O50" s="6" t="s">
        <v>70</v>
      </c>
      <c r="P50" s="6">
        <v>5</v>
      </c>
      <c r="Q50" s="6">
        <v>4</v>
      </c>
      <c r="R50" s="6">
        <v>20</v>
      </c>
      <c r="T50" s="6" t="s">
        <v>71</v>
      </c>
      <c r="U50" s="6" t="s">
        <v>72</v>
      </c>
      <c r="V50" s="6" t="s">
        <v>73</v>
      </c>
      <c r="W50" s="7" t="s">
        <v>74</v>
      </c>
      <c r="AR50" s="6" t="s">
        <v>72</v>
      </c>
      <c r="AS50" s="6" t="s">
        <v>72</v>
      </c>
      <c r="AT50" s="6" t="s">
        <v>72</v>
      </c>
      <c r="AU50" s="6" t="s">
        <v>72</v>
      </c>
      <c r="AV50" s="6" t="s">
        <v>72</v>
      </c>
      <c r="AW50" s="6" t="s">
        <v>71</v>
      </c>
      <c r="AX50" s="6" t="s">
        <v>72</v>
      </c>
      <c r="AY50" s="6" t="s">
        <v>72</v>
      </c>
      <c r="AZ50" s="6" t="s">
        <v>72</v>
      </c>
      <c r="BA50" s="6" t="s">
        <v>72</v>
      </c>
      <c r="BB50" s="6" t="s">
        <v>72</v>
      </c>
      <c r="BC50" s="6" t="s">
        <v>72</v>
      </c>
      <c r="BD50" s="6" t="s">
        <v>71</v>
      </c>
      <c r="BE50" s="6" t="s">
        <v>72</v>
      </c>
      <c r="BF50" s="6" t="s">
        <v>72</v>
      </c>
    </row>
    <row r="51" spans="1:63" ht="13.2">
      <c r="A51" s="5">
        <v>45367.486158252315</v>
      </c>
      <c r="B51" s="6" t="s">
        <v>411</v>
      </c>
      <c r="C51" s="6" t="s">
        <v>412</v>
      </c>
      <c r="D51" s="6">
        <v>201041</v>
      </c>
      <c r="E51" s="6" t="s">
        <v>62</v>
      </c>
      <c r="F51" s="6" t="s">
        <v>413</v>
      </c>
      <c r="G51" s="6" t="s">
        <v>105</v>
      </c>
      <c r="H51" s="6" t="s">
        <v>414</v>
      </c>
      <c r="I51" s="6" t="s">
        <v>415</v>
      </c>
      <c r="J51" s="6" t="s">
        <v>416</v>
      </c>
      <c r="K51" s="6" t="s">
        <v>411</v>
      </c>
      <c r="L51" s="6" t="s">
        <v>89</v>
      </c>
      <c r="M51" s="6" t="s">
        <v>417</v>
      </c>
      <c r="N51" s="6">
        <v>25</v>
      </c>
      <c r="O51" s="6" t="s">
        <v>70</v>
      </c>
      <c r="P51" s="6">
        <v>3</v>
      </c>
      <c r="Q51" s="6">
        <v>3</v>
      </c>
      <c r="R51" s="6">
        <v>60</v>
      </c>
      <c r="T51" s="6" t="s">
        <v>71</v>
      </c>
      <c r="U51" s="6" t="s">
        <v>72</v>
      </c>
      <c r="V51" s="6" t="s">
        <v>73</v>
      </c>
      <c r="W51" s="7" t="s">
        <v>74</v>
      </c>
      <c r="AR51" s="6" t="s">
        <v>71</v>
      </c>
      <c r="AS51" s="6" t="s">
        <v>71</v>
      </c>
      <c r="AT51" s="6" t="s">
        <v>72</v>
      </c>
      <c r="AU51" s="6" t="s">
        <v>72</v>
      </c>
      <c r="AV51" s="6" t="s">
        <v>71</v>
      </c>
      <c r="AW51" s="6" t="s">
        <v>71</v>
      </c>
      <c r="AX51" s="6" t="s">
        <v>71</v>
      </c>
      <c r="AY51" s="6" t="s">
        <v>72</v>
      </c>
      <c r="AZ51" s="6" t="s">
        <v>72</v>
      </c>
      <c r="BA51" s="6" t="s">
        <v>72</v>
      </c>
      <c r="BB51" s="6" t="s">
        <v>71</v>
      </c>
      <c r="BC51" s="6" t="s">
        <v>71</v>
      </c>
      <c r="BD51" s="6" t="s">
        <v>72</v>
      </c>
      <c r="BE51" s="6" t="s">
        <v>72</v>
      </c>
      <c r="BF51" s="6" t="s">
        <v>72</v>
      </c>
      <c r="BG51" s="6" t="s">
        <v>71</v>
      </c>
      <c r="BH51" s="6" t="s">
        <v>71</v>
      </c>
      <c r="BI51" s="6" t="s">
        <v>72</v>
      </c>
      <c r="BJ51" s="6" t="s">
        <v>72</v>
      </c>
    </row>
    <row r="52" spans="1:63" ht="13.2">
      <c r="A52" s="5">
        <v>45367.489362268519</v>
      </c>
      <c r="B52" s="6" t="s">
        <v>411</v>
      </c>
      <c r="C52" s="6" t="s">
        <v>418</v>
      </c>
      <c r="D52" s="6">
        <v>201041</v>
      </c>
      <c r="E52" s="6" t="s">
        <v>62</v>
      </c>
      <c r="F52" s="6" t="s">
        <v>413</v>
      </c>
      <c r="G52" s="6" t="s">
        <v>105</v>
      </c>
      <c r="H52" s="6" t="s">
        <v>414</v>
      </c>
      <c r="I52" s="6" t="s">
        <v>415</v>
      </c>
      <c r="J52" s="6" t="s">
        <v>416</v>
      </c>
      <c r="K52" s="6" t="s">
        <v>411</v>
      </c>
      <c r="L52" s="6" t="s">
        <v>89</v>
      </c>
      <c r="M52" s="6" t="s">
        <v>417</v>
      </c>
      <c r="N52" s="6" t="s">
        <v>419</v>
      </c>
      <c r="O52" s="6" t="s">
        <v>148</v>
      </c>
      <c r="P52" s="6">
        <v>3</v>
      </c>
      <c r="Q52" s="6">
        <v>3</v>
      </c>
      <c r="R52" s="6">
        <v>60</v>
      </c>
      <c r="T52" s="6" t="s">
        <v>71</v>
      </c>
      <c r="U52" s="6" t="s">
        <v>72</v>
      </c>
      <c r="V52" s="6" t="s">
        <v>73</v>
      </c>
      <c r="W52" s="7" t="s">
        <v>74</v>
      </c>
      <c r="AR52" s="6" t="s">
        <v>71</v>
      </c>
      <c r="AS52" s="6" t="s">
        <v>71</v>
      </c>
      <c r="AT52" s="6" t="s">
        <v>72</v>
      </c>
      <c r="AU52" s="6" t="s">
        <v>72</v>
      </c>
      <c r="AV52" s="6" t="s">
        <v>71</v>
      </c>
      <c r="AW52" s="6" t="s">
        <v>71</v>
      </c>
      <c r="AX52" s="6" t="s">
        <v>71</v>
      </c>
      <c r="AY52" s="6" t="s">
        <v>72</v>
      </c>
      <c r="AZ52" s="6" t="s">
        <v>72</v>
      </c>
      <c r="BA52" s="6" t="s">
        <v>72</v>
      </c>
      <c r="BB52" s="6" t="s">
        <v>71</v>
      </c>
      <c r="BC52" s="6" t="s">
        <v>71</v>
      </c>
      <c r="BD52" s="6" t="s">
        <v>72</v>
      </c>
      <c r="BE52" s="6" t="s">
        <v>72</v>
      </c>
      <c r="BF52" s="6" t="s">
        <v>72</v>
      </c>
      <c r="BG52" s="6" t="s">
        <v>71</v>
      </c>
      <c r="BH52" s="6" t="s">
        <v>71</v>
      </c>
      <c r="BI52" s="6" t="s">
        <v>72</v>
      </c>
      <c r="BJ52" s="6" t="s">
        <v>72</v>
      </c>
    </row>
    <row r="53" spans="1:63" ht="13.2">
      <c r="A53" s="5">
        <v>45367.492237175931</v>
      </c>
      <c r="B53" s="6" t="s">
        <v>420</v>
      </c>
      <c r="C53" s="6" t="s">
        <v>421</v>
      </c>
      <c r="D53" s="6">
        <v>20116900</v>
      </c>
      <c r="E53" s="6" t="s">
        <v>286</v>
      </c>
      <c r="F53" s="6" t="s">
        <v>422</v>
      </c>
      <c r="G53" s="6" t="s">
        <v>105</v>
      </c>
      <c r="H53" s="6" t="s">
        <v>423</v>
      </c>
      <c r="I53" s="6" t="s">
        <v>424</v>
      </c>
      <c r="K53" s="6" t="s">
        <v>420</v>
      </c>
      <c r="L53" s="6" t="s">
        <v>89</v>
      </c>
      <c r="M53" s="6" t="s">
        <v>425</v>
      </c>
      <c r="N53" s="6">
        <v>35</v>
      </c>
      <c r="O53" s="6" t="s">
        <v>148</v>
      </c>
      <c r="P53" s="6">
        <v>5</v>
      </c>
      <c r="Q53" s="6">
        <v>4</v>
      </c>
      <c r="R53" s="6">
        <v>50</v>
      </c>
      <c r="T53" s="6" t="s">
        <v>71</v>
      </c>
      <c r="U53" s="6" t="s">
        <v>71</v>
      </c>
      <c r="V53" s="6" t="s">
        <v>109</v>
      </c>
      <c r="W53" s="7" t="s">
        <v>74</v>
      </c>
      <c r="AR53" s="6" t="s">
        <v>71</v>
      </c>
      <c r="AS53" s="6" t="s">
        <v>71</v>
      </c>
      <c r="AT53" s="6" t="s">
        <v>71</v>
      </c>
      <c r="AU53" s="6" t="s">
        <v>71</v>
      </c>
      <c r="AV53" s="6" t="s">
        <v>71</v>
      </c>
      <c r="AW53" s="6" t="s">
        <v>71</v>
      </c>
      <c r="AX53" s="6" t="s">
        <v>71</v>
      </c>
      <c r="AY53" s="6" t="s">
        <v>71</v>
      </c>
      <c r="AZ53" s="6" t="s">
        <v>71</v>
      </c>
      <c r="BA53" s="6" t="s">
        <v>71</v>
      </c>
      <c r="BB53" s="6" t="s">
        <v>71</v>
      </c>
      <c r="BC53" s="6" t="s">
        <v>71</v>
      </c>
      <c r="BD53" s="6" t="s">
        <v>71</v>
      </c>
      <c r="BE53" s="6" t="s">
        <v>71</v>
      </c>
      <c r="BF53" s="6" t="s">
        <v>71</v>
      </c>
      <c r="BG53" s="6" t="s">
        <v>71</v>
      </c>
      <c r="BH53" s="6" t="s">
        <v>71</v>
      </c>
      <c r="BI53" s="6" t="s">
        <v>71</v>
      </c>
      <c r="BJ53" s="6" t="s">
        <v>71</v>
      </c>
    </row>
    <row r="54" spans="1:63" ht="13.2">
      <c r="A54" s="5">
        <v>45368.381214745372</v>
      </c>
      <c r="B54" s="6" t="s">
        <v>426</v>
      </c>
      <c r="C54" s="6" t="s">
        <v>427</v>
      </c>
      <c r="D54" s="7" t="s">
        <v>428</v>
      </c>
      <c r="E54" s="6" t="s">
        <v>133</v>
      </c>
      <c r="F54" s="6" t="s">
        <v>134</v>
      </c>
      <c r="G54" s="6" t="s">
        <v>64</v>
      </c>
      <c r="H54" s="6" t="s">
        <v>429</v>
      </c>
      <c r="I54" s="6" t="s">
        <v>430</v>
      </c>
      <c r="J54" s="6" t="s">
        <v>431</v>
      </c>
      <c r="K54" s="6" t="s">
        <v>426</v>
      </c>
      <c r="L54" s="6" t="s">
        <v>89</v>
      </c>
      <c r="M54" s="6" t="s">
        <v>432</v>
      </c>
      <c r="N54" s="6">
        <v>25</v>
      </c>
      <c r="O54" s="6" t="s">
        <v>148</v>
      </c>
      <c r="P54" s="6">
        <v>3</v>
      </c>
      <c r="Q54" s="6">
        <v>2</v>
      </c>
      <c r="R54" s="6">
        <v>10</v>
      </c>
      <c r="T54" s="6" t="s">
        <v>71</v>
      </c>
      <c r="U54" s="6" t="s">
        <v>72</v>
      </c>
      <c r="V54" s="6" t="s">
        <v>73</v>
      </c>
      <c r="W54" s="7" t="s">
        <v>74</v>
      </c>
      <c r="AR54" s="6" t="s">
        <v>71</v>
      </c>
      <c r="AS54" s="6" t="s">
        <v>71</v>
      </c>
      <c r="AT54" s="6" t="s">
        <v>71</v>
      </c>
      <c r="AU54" s="6" t="s">
        <v>72</v>
      </c>
      <c r="AV54" s="6" t="s">
        <v>71</v>
      </c>
      <c r="AW54" s="6" t="s">
        <v>71</v>
      </c>
      <c r="AX54" s="6" t="s">
        <v>71</v>
      </c>
      <c r="AY54" s="6" t="s">
        <v>71</v>
      </c>
      <c r="AZ54" s="6" t="s">
        <v>72</v>
      </c>
      <c r="BA54" s="6" t="s">
        <v>72</v>
      </c>
      <c r="BB54" s="6" t="s">
        <v>71</v>
      </c>
      <c r="BC54" s="6" t="s">
        <v>71</v>
      </c>
      <c r="BD54" s="6" t="s">
        <v>71</v>
      </c>
      <c r="BE54" s="6" t="s">
        <v>72</v>
      </c>
      <c r="BF54" s="6" t="s">
        <v>72</v>
      </c>
      <c r="BG54" s="6" t="s">
        <v>72</v>
      </c>
      <c r="BH54" s="6" t="s">
        <v>72</v>
      </c>
      <c r="BI54" s="6" t="s">
        <v>72</v>
      </c>
      <c r="BJ54" s="6" t="s">
        <v>72</v>
      </c>
    </row>
    <row r="55" spans="1:63" ht="13.2">
      <c r="A55" s="5">
        <v>45368.40771777778</v>
      </c>
      <c r="B55" s="6" t="s">
        <v>433</v>
      </c>
      <c r="C55" s="6" t="s">
        <v>434</v>
      </c>
      <c r="D55" s="7" t="s">
        <v>428</v>
      </c>
      <c r="E55" s="6" t="s">
        <v>62</v>
      </c>
      <c r="F55" s="6" t="s">
        <v>435</v>
      </c>
      <c r="G55" s="6" t="s">
        <v>64</v>
      </c>
      <c r="H55" s="6" t="s">
        <v>436</v>
      </c>
      <c r="I55" s="6" t="s">
        <v>429</v>
      </c>
      <c r="J55" s="6" t="s">
        <v>431</v>
      </c>
      <c r="K55" s="6" t="s">
        <v>437</v>
      </c>
      <c r="L55" s="6" t="s">
        <v>89</v>
      </c>
      <c r="M55" s="6" t="s">
        <v>432</v>
      </c>
      <c r="N55" s="6">
        <v>24</v>
      </c>
      <c r="O55" s="6" t="s">
        <v>70</v>
      </c>
      <c r="P55" s="6">
        <v>3</v>
      </c>
      <c r="Q55" s="6">
        <v>2</v>
      </c>
      <c r="R55" s="6">
        <v>30</v>
      </c>
      <c r="T55" s="6" t="s">
        <v>71</v>
      </c>
      <c r="U55" s="6" t="s">
        <v>72</v>
      </c>
      <c r="V55" s="6" t="s">
        <v>73</v>
      </c>
      <c r="W55" s="7" t="s">
        <v>74</v>
      </c>
      <c r="AR55" s="6" t="s">
        <v>71</v>
      </c>
      <c r="AS55" s="6" t="s">
        <v>71</v>
      </c>
      <c r="AT55" s="6" t="s">
        <v>71</v>
      </c>
      <c r="AU55" s="6" t="s">
        <v>72</v>
      </c>
      <c r="AV55" s="6" t="s">
        <v>71</v>
      </c>
      <c r="AW55" s="6" t="s">
        <v>71</v>
      </c>
      <c r="AX55" s="6" t="s">
        <v>71</v>
      </c>
      <c r="AY55" s="6" t="s">
        <v>71</v>
      </c>
      <c r="AZ55" s="6" t="s">
        <v>72</v>
      </c>
      <c r="BA55" s="6" t="s">
        <v>72</v>
      </c>
      <c r="BB55" s="6" t="s">
        <v>71</v>
      </c>
      <c r="BC55" s="6" t="s">
        <v>71</v>
      </c>
      <c r="BD55" s="6" t="s">
        <v>71</v>
      </c>
      <c r="BE55" s="6" t="s">
        <v>72</v>
      </c>
      <c r="BF55" s="6" t="s">
        <v>72</v>
      </c>
      <c r="BG55" s="6" t="s">
        <v>72</v>
      </c>
      <c r="BH55" s="6" t="s">
        <v>72</v>
      </c>
      <c r="BI55" s="6" t="s">
        <v>72</v>
      </c>
      <c r="BJ55" s="6" t="s">
        <v>72</v>
      </c>
    </row>
    <row r="56" spans="1:63" ht="13.2">
      <c r="A56" s="5">
        <v>45368.409880960651</v>
      </c>
      <c r="B56" s="6" t="s">
        <v>433</v>
      </c>
      <c r="C56" s="6" t="s">
        <v>434</v>
      </c>
      <c r="D56" s="7" t="s">
        <v>428</v>
      </c>
      <c r="E56" s="6" t="s">
        <v>84</v>
      </c>
      <c r="F56" s="6" t="s">
        <v>438</v>
      </c>
      <c r="G56" s="6" t="s">
        <v>64</v>
      </c>
      <c r="H56" s="6" t="s">
        <v>436</v>
      </c>
      <c r="I56" s="6" t="s">
        <v>431</v>
      </c>
      <c r="J56" s="6" t="s">
        <v>429</v>
      </c>
      <c r="K56" s="6" t="s">
        <v>433</v>
      </c>
      <c r="L56" s="6" t="s">
        <v>89</v>
      </c>
      <c r="M56" s="6" t="s">
        <v>432</v>
      </c>
      <c r="N56" s="6">
        <v>30</v>
      </c>
      <c r="O56" s="6" t="s">
        <v>70</v>
      </c>
      <c r="P56" s="6">
        <v>3</v>
      </c>
      <c r="Q56" s="6">
        <v>2</v>
      </c>
      <c r="R56" s="6">
        <v>30</v>
      </c>
      <c r="T56" s="6" t="s">
        <v>71</v>
      </c>
      <c r="U56" s="6" t="s">
        <v>72</v>
      </c>
      <c r="V56" s="6" t="s">
        <v>73</v>
      </c>
      <c r="W56" s="7" t="s">
        <v>74</v>
      </c>
      <c r="AR56" s="6" t="s">
        <v>71</v>
      </c>
      <c r="AS56" s="6" t="s">
        <v>71</v>
      </c>
      <c r="AT56" s="6" t="s">
        <v>71</v>
      </c>
      <c r="AU56" s="6" t="s">
        <v>72</v>
      </c>
      <c r="AV56" s="6" t="s">
        <v>71</v>
      </c>
      <c r="AW56" s="6" t="s">
        <v>71</v>
      </c>
      <c r="AX56" s="6" t="s">
        <v>71</v>
      </c>
      <c r="AY56" s="6" t="s">
        <v>71</v>
      </c>
      <c r="AZ56" s="6" t="s">
        <v>72</v>
      </c>
      <c r="BA56" s="6" t="s">
        <v>72</v>
      </c>
      <c r="BB56" s="6" t="s">
        <v>71</v>
      </c>
      <c r="BC56" s="6" t="s">
        <v>71</v>
      </c>
      <c r="BD56" s="6" t="s">
        <v>71</v>
      </c>
      <c r="BE56" s="6" t="s">
        <v>72</v>
      </c>
      <c r="BF56" s="6" t="s">
        <v>72</v>
      </c>
      <c r="BG56" s="6" t="s">
        <v>72</v>
      </c>
      <c r="BH56" s="6" t="s">
        <v>72</v>
      </c>
      <c r="BI56" s="6" t="s">
        <v>72</v>
      </c>
      <c r="BJ56" s="6" t="s">
        <v>72</v>
      </c>
    </row>
    <row r="57" spans="1:63" ht="13.2">
      <c r="A57" s="5">
        <v>45368.411909189817</v>
      </c>
      <c r="B57" s="6" t="s">
        <v>433</v>
      </c>
      <c r="C57" s="6" t="s">
        <v>434</v>
      </c>
      <c r="D57" s="7" t="s">
        <v>428</v>
      </c>
      <c r="E57" s="6" t="s">
        <v>133</v>
      </c>
      <c r="F57" s="6" t="s">
        <v>439</v>
      </c>
      <c r="G57" s="6" t="s">
        <v>64</v>
      </c>
      <c r="H57" s="6" t="s">
        <v>436</v>
      </c>
      <c r="I57" s="6" t="s">
        <v>431</v>
      </c>
      <c r="J57" s="6" t="s">
        <v>429</v>
      </c>
      <c r="K57" s="6" t="s">
        <v>433</v>
      </c>
      <c r="L57" s="6" t="s">
        <v>89</v>
      </c>
      <c r="M57" s="6" t="s">
        <v>432</v>
      </c>
      <c r="N57" s="6">
        <v>21</v>
      </c>
      <c r="O57" s="6" t="s">
        <v>70</v>
      </c>
      <c r="P57" s="6">
        <v>3</v>
      </c>
      <c r="Q57" s="6">
        <v>2</v>
      </c>
      <c r="R57" s="6">
        <v>30</v>
      </c>
      <c r="T57" s="6" t="s">
        <v>71</v>
      </c>
      <c r="U57" s="6" t="s">
        <v>72</v>
      </c>
      <c r="V57" s="6" t="s">
        <v>73</v>
      </c>
      <c r="W57" s="7" t="s">
        <v>74</v>
      </c>
      <c r="AR57" s="6" t="s">
        <v>71</v>
      </c>
      <c r="AS57" s="6" t="s">
        <v>71</v>
      </c>
      <c r="AT57" s="6" t="s">
        <v>71</v>
      </c>
      <c r="AU57" s="6" t="s">
        <v>72</v>
      </c>
      <c r="AV57" s="6" t="s">
        <v>71</v>
      </c>
      <c r="AW57" s="6" t="s">
        <v>71</v>
      </c>
      <c r="AX57" s="6" t="s">
        <v>71</v>
      </c>
      <c r="AY57" s="6" t="s">
        <v>71</v>
      </c>
      <c r="AZ57" s="6" t="s">
        <v>72</v>
      </c>
      <c r="BA57" s="6" t="s">
        <v>72</v>
      </c>
      <c r="BB57" s="6" t="s">
        <v>71</v>
      </c>
      <c r="BC57" s="6" t="s">
        <v>71</v>
      </c>
      <c r="BD57" s="6" t="s">
        <v>71</v>
      </c>
      <c r="BE57" s="6" t="s">
        <v>72</v>
      </c>
      <c r="BF57" s="6" t="s">
        <v>72</v>
      </c>
      <c r="BG57" s="6" t="s">
        <v>72</v>
      </c>
      <c r="BH57" s="6" t="s">
        <v>72</v>
      </c>
      <c r="BI57" s="6" t="s">
        <v>72</v>
      </c>
      <c r="BJ57" s="6" t="s">
        <v>72</v>
      </c>
    </row>
    <row r="58" spans="1:63" ht="13.2">
      <c r="A58" s="5">
        <v>45368.663241516202</v>
      </c>
      <c r="B58" s="6" t="s">
        <v>440</v>
      </c>
      <c r="C58" s="6" t="s">
        <v>441</v>
      </c>
      <c r="D58" s="7" t="s">
        <v>442</v>
      </c>
      <c r="E58" s="6" t="s">
        <v>387</v>
      </c>
      <c r="F58" s="6" t="s">
        <v>443</v>
      </c>
      <c r="G58" s="6" t="s">
        <v>64</v>
      </c>
      <c r="H58" s="6" t="s">
        <v>444</v>
      </c>
      <c r="I58" s="6" t="s">
        <v>445</v>
      </c>
      <c r="K58" s="6" t="s">
        <v>440</v>
      </c>
      <c r="L58" s="6" t="s">
        <v>89</v>
      </c>
      <c r="M58" s="6" t="s">
        <v>446</v>
      </c>
      <c r="N58" s="6">
        <v>20</v>
      </c>
      <c r="O58" s="6" t="s">
        <v>70</v>
      </c>
      <c r="P58" s="6">
        <v>5</v>
      </c>
      <c r="Q58" s="6">
        <v>5</v>
      </c>
      <c r="R58" s="6">
        <v>0</v>
      </c>
      <c r="T58" s="6" t="s">
        <v>71</v>
      </c>
      <c r="U58" s="6" t="s">
        <v>72</v>
      </c>
      <c r="V58" s="6" t="s">
        <v>73</v>
      </c>
      <c r="W58" s="7" t="s">
        <v>74</v>
      </c>
      <c r="AR58" s="6" t="s">
        <v>71</v>
      </c>
      <c r="AS58" s="6" t="s">
        <v>72</v>
      </c>
      <c r="AT58" s="6" t="s">
        <v>72</v>
      </c>
      <c r="AU58" s="6" t="s">
        <v>72</v>
      </c>
      <c r="AV58" s="6" t="s">
        <v>72</v>
      </c>
      <c r="AW58" s="6" t="s">
        <v>71</v>
      </c>
      <c r="AX58" s="6" t="s">
        <v>72</v>
      </c>
      <c r="AY58" s="6" t="s">
        <v>72</v>
      </c>
      <c r="AZ58" s="6" t="s">
        <v>72</v>
      </c>
      <c r="BA58" s="6" t="s">
        <v>72</v>
      </c>
      <c r="BB58" s="6" t="s">
        <v>72</v>
      </c>
      <c r="BC58" s="6" t="s">
        <v>71</v>
      </c>
      <c r="BD58" s="6" t="s">
        <v>72</v>
      </c>
      <c r="BE58" s="6" t="s">
        <v>72</v>
      </c>
      <c r="BF58" s="6" t="s">
        <v>72</v>
      </c>
      <c r="BG58" s="6" t="s">
        <v>72</v>
      </c>
      <c r="BH58" s="6" t="s">
        <v>72</v>
      </c>
      <c r="BI58" s="6" t="s">
        <v>72</v>
      </c>
      <c r="BJ58" s="6" t="s">
        <v>72</v>
      </c>
    </row>
    <row r="59" spans="1:63" ht="13.2">
      <c r="A59" s="5">
        <v>45368.666432337966</v>
      </c>
      <c r="B59" s="6" t="s">
        <v>440</v>
      </c>
      <c r="C59" s="6" t="s">
        <v>441</v>
      </c>
      <c r="D59" s="7" t="s">
        <v>442</v>
      </c>
      <c r="E59" s="6" t="s">
        <v>84</v>
      </c>
      <c r="F59" s="6" t="s">
        <v>249</v>
      </c>
      <c r="G59" s="6" t="s">
        <v>64</v>
      </c>
      <c r="H59" s="6" t="s">
        <v>444</v>
      </c>
      <c r="I59" s="6" t="s">
        <v>445</v>
      </c>
      <c r="K59" s="6" t="s">
        <v>440</v>
      </c>
      <c r="L59" s="6" t="s">
        <v>89</v>
      </c>
      <c r="M59" s="6" t="s">
        <v>446</v>
      </c>
      <c r="N59" s="6">
        <v>17</v>
      </c>
      <c r="O59" s="6" t="s">
        <v>70</v>
      </c>
      <c r="P59" s="6">
        <v>5</v>
      </c>
      <c r="Q59" s="6">
        <v>5</v>
      </c>
      <c r="R59" s="6">
        <v>0</v>
      </c>
      <c r="T59" s="6" t="s">
        <v>71</v>
      </c>
      <c r="U59" s="6" t="s">
        <v>72</v>
      </c>
      <c r="V59" s="6" t="s">
        <v>73</v>
      </c>
      <c r="W59" s="7" t="s">
        <v>74</v>
      </c>
      <c r="AR59" s="6" t="s">
        <v>72</v>
      </c>
      <c r="AS59" s="6" t="s">
        <v>71</v>
      </c>
      <c r="AT59" s="6" t="s">
        <v>72</v>
      </c>
      <c r="AU59" s="6" t="s">
        <v>72</v>
      </c>
      <c r="AV59" s="6" t="s">
        <v>71</v>
      </c>
      <c r="AW59" s="6" t="s">
        <v>72</v>
      </c>
      <c r="AX59" s="6" t="s">
        <v>72</v>
      </c>
      <c r="AY59" s="6" t="s">
        <v>72</v>
      </c>
      <c r="AZ59" s="6" t="s">
        <v>72</v>
      </c>
      <c r="BA59" s="6" t="s">
        <v>72</v>
      </c>
      <c r="BB59" s="6" t="s">
        <v>72</v>
      </c>
      <c r="BC59" s="6" t="s">
        <v>71</v>
      </c>
      <c r="BD59" s="6" t="s">
        <v>72</v>
      </c>
      <c r="BE59" s="6" t="s">
        <v>72</v>
      </c>
      <c r="BF59" s="6" t="s">
        <v>72</v>
      </c>
      <c r="BG59" s="6" t="s">
        <v>72</v>
      </c>
      <c r="BH59" s="6" t="s">
        <v>72</v>
      </c>
      <c r="BI59" s="6" t="s">
        <v>72</v>
      </c>
      <c r="BJ59" s="6" t="s">
        <v>72</v>
      </c>
    </row>
    <row r="60" spans="1:63" ht="13.2">
      <c r="A60" s="5">
        <v>45368.812671458334</v>
      </c>
      <c r="B60" s="6" t="s">
        <v>447</v>
      </c>
      <c r="C60" s="6" t="s">
        <v>448</v>
      </c>
      <c r="D60" s="7" t="s">
        <v>449</v>
      </c>
      <c r="E60" s="6" t="s">
        <v>133</v>
      </c>
      <c r="F60" s="6" t="s">
        <v>450</v>
      </c>
      <c r="G60" s="6" t="s">
        <v>105</v>
      </c>
      <c r="H60" s="6" t="s">
        <v>451</v>
      </c>
      <c r="I60" s="6" t="s">
        <v>452</v>
      </c>
      <c r="J60" s="6" t="s">
        <v>453</v>
      </c>
      <c r="K60" s="6" t="s">
        <v>447</v>
      </c>
      <c r="L60" s="6" t="s">
        <v>138</v>
      </c>
      <c r="M60" s="6" t="s">
        <v>454</v>
      </c>
      <c r="N60" s="6">
        <v>35</v>
      </c>
      <c r="O60" s="6" t="s">
        <v>70</v>
      </c>
      <c r="P60" s="6">
        <v>3</v>
      </c>
      <c r="Q60" s="6">
        <v>1</v>
      </c>
      <c r="R60" s="6">
        <v>70</v>
      </c>
      <c r="S60" s="6" t="s">
        <v>455</v>
      </c>
      <c r="T60" s="6" t="s">
        <v>71</v>
      </c>
      <c r="U60" s="6" t="s">
        <v>71</v>
      </c>
      <c r="V60" s="6" t="s">
        <v>109</v>
      </c>
      <c r="W60" s="7" t="s">
        <v>74</v>
      </c>
      <c r="AR60" s="6" t="s">
        <v>71</v>
      </c>
      <c r="AS60" s="6" t="s">
        <v>72</v>
      </c>
      <c r="AT60" s="6" t="s">
        <v>72</v>
      </c>
      <c r="AU60" s="6" t="s">
        <v>72</v>
      </c>
      <c r="AV60" s="6" t="s">
        <v>72</v>
      </c>
      <c r="AW60" s="6" t="s">
        <v>71</v>
      </c>
      <c r="AX60" s="6" t="s">
        <v>72</v>
      </c>
      <c r="AY60" s="6" t="s">
        <v>72</v>
      </c>
      <c r="AZ60" s="6" t="s">
        <v>72</v>
      </c>
      <c r="BA60" s="6" t="s">
        <v>72</v>
      </c>
      <c r="BB60" s="6" t="s">
        <v>72</v>
      </c>
      <c r="BC60" s="6" t="s">
        <v>72</v>
      </c>
      <c r="BD60" s="6" t="s">
        <v>71</v>
      </c>
      <c r="BE60" s="6" t="s">
        <v>72</v>
      </c>
      <c r="BF60" s="6" t="s">
        <v>72</v>
      </c>
      <c r="BG60" s="6" t="s">
        <v>72</v>
      </c>
      <c r="BH60" s="6" t="s">
        <v>72</v>
      </c>
      <c r="BI60" s="6" t="s">
        <v>71</v>
      </c>
      <c r="BJ60" s="6" t="s">
        <v>72</v>
      </c>
      <c r="BK60" s="6" t="s">
        <v>456</v>
      </c>
    </row>
    <row r="61" spans="1:63" ht="13.2">
      <c r="A61" s="5">
        <v>45368.822797256944</v>
      </c>
      <c r="B61" s="6" t="s">
        <v>457</v>
      </c>
      <c r="C61" s="6" t="s">
        <v>458</v>
      </c>
      <c r="D61" s="7" t="s">
        <v>459</v>
      </c>
      <c r="E61" s="6" t="s">
        <v>84</v>
      </c>
      <c r="F61" s="6" t="s">
        <v>177</v>
      </c>
      <c r="G61" s="6" t="s">
        <v>64</v>
      </c>
      <c r="H61" s="6" t="s">
        <v>460</v>
      </c>
      <c r="I61" s="6" t="s">
        <v>461</v>
      </c>
      <c r="J61" s="6" t="s">
        <v>462</v>
      </c>
      <c r="K61" s="6" t="s">
        <v>457</v>
      </c>
      <c r="L61" s="6" t="s">
        <v>68</v>
      </c>
      <c r="M61" s="6" t="s">
        <v>463</v>
      </c>
      <c r="N61" s="6">
        <v>28</v>
      </c>
      <c r="O61" s="6" t="s">
        <v>148</v>
      </c>
      <c r="P61" s="6">
        <v>5</v>
      </c>
      <c r="Q61" s="6">
        <v>3</v>
      </c>
      <c r="R61" s="6">
        <v>30</v>
      </c>
      <c r="T61" s="6" t="s">
        <v>71</v>
      </c>
      <c r="U61" s="6" t="s">
        <v>72</v>
      </c>
      <c r="V61" s="6" t="s">
        <v>73</v>
      </c>
      <c r="W61" s="7" t="s">
        <v>74</v>
      </c>
      <c r="AR61" s="6" t="s">
        <v>71</v>
      </c>
      <c r="AS61" s="6" t="s">
        <v>72</v>
      </c>
      <c r="AT61" s="6" t="s">
        <v>72</v>
      </c>
      <c r="AU61" s="6" t="s">
        <v>72</v>
      </c>
      <c r="AV61" s="6" t="s">
        <v>72</v>
      </c>
      <c r="AW61" s="6" t="s">
        <v>72</v>
      </c>
      <c r="AX61" s="6" t="s">
        <v>71</v>
      </c>
      <c r="AY61" s="6" t="s">
        <v>71</v>
      </c>
      <c r="AZ61" s="6" t="s">
        <v>72</v>
      </c>
      <c r="BA61" s="6" t="s">
        <v>72</v>
      </c>
      <c r="BB61" s="6" t="s">
        <v>72</v>
      </c>
      <c r="BC61" s="6" t="s">
        <v>72</v>
      </c>
      <c r="BD61" s="6" t="s">
        <v>71</v>
      </c>
      <c r="BE61" s="6" t="s">
        <v>71</v>
      </c>
      <c r="BF61" s="6" t="s">
        <v>72</v>
      </c>
      <c r="BG61" s="6" t="s">
        <v>71</v>
      </c>
      <c r="BH61" s="6" t="s">
        <v>71</v>
      </c>
      <c r="BI61" s="6" t="s">
        <v>72</v>
      </c>
      <c r="BJ61" s="6" t="s">
        <v>72</v>
      </c>
    </row>
    <row r="62" spans="1:63" ht="13.2">
      <c r="A62" s="5">
        <v>45369.356535173611</v>
      </c>
      <c r="B62" s="6" t="s">
        <v>464</v>
      </c>
      <c r="C62" s="6" t="s">
        <v>76</v>
      </c>
      <c r="D62" s="7" t="s">
        <v>61</v>
      </c>
      <c r="E62" s="6" t="s">
        <v>62</v>
      </c>
      <c r="F62" s="6" t="s">
        <v>63</v>
      </c>
      <c r="G62" s="6" t="s">
        <v>64</v>
      </c>
      <c r="H62" s="6" t="s">
        <v>465</v>
      </c>
      <c r="I62" s="6" t="s">
        <v>65</v>
      </c>
      <c r="J62" s="6" t="s">
        <v>78</v>
      </c>
      <c r="K62" s="6" t="s">
        <v>464</v>
      </c>
      <c r="L62" s="6" t="s">
        <v>138</v>
      </c>
      <c r="M62" s="6" t="s">
        <v>100</v>
      </c>
      <c r="N62" s="6">
        <v>34</v>
      </c>
      <c r="O62" s="6" t="s">
        <v>148</v>
      </c>
      <c r="P62" s="6">
        <v>2</v>
      </c>
      <c r="Q62" s="6">
        <v>3</v>
      </c>
      <c r="R62" s="6">
        <v>50</v>
      </c>
      <c r="T62" s="6" t="s">
        <v>71</v>
      </c>
      <c r="U62" s="6" t="s">
        <v>72</v>
      </c>
      <c r="V62" s="6" t="s">
        <v>73</v>
      </c>
      <c r="W62" s="7" t="s">
        <v>74</v>
      </c>
      <c r="AR62" s="6" t="s">
        <v>71</v>
      </c>
      <c r="AS62" s="6" t="s">
        <v>71</v>
      </c>
      <c r="AT62" s="6" t="s">
        <v>71</v>
      </c>
      <c r="AU62" s="6" t="s">
        <v>72</v>
      </c>
      <c r="AV62" s="6" t="s">
        <v>71</v>
      </c>
      <c r="AW62" s="6" t="s">
        <v>71</v>
      </c>
      <c r="AX62" s="6" t="s">
        <v>71</v>
      </c>
      <c r="AY62" s="6" t="s">
        <v>72</v>
      </c>
      <c r="AZ62" s="6" t="s">
        <v>72</v>
      </c>
      <c r="BA62" s="6" t="s">
        <v>72</v>
      </c>
      <c r="BB62" s="6" t="s">
        <v>71</v>
      </c>
      <c r="BC62" s="6" t="s">
        <v>71</v>
      </c>
      <c r="BD62" s="6" t="s">
        <v>71</v>
      </c>
      <c r="BE62" s="6" t="s">
        <v>72</v>
      </c>
      <c r="BF62" s="6" t="s">
        <v>72</v>
      </c>
      <c r="BG62" s="6" t="s">
        <v>71</v>
      </c>
      <c r="BH62" s="6" t="s">
        <v>71</v>
      </c>
      <c r="BI62" s="6" t="s">
        <v>72</v>
      </c>
      <c r="BJ62" s="6" t="s">
        <v>72</v>
      </c>
    </row>
    <row r="63" spans="1:63" ht="13.2">
      <c r="A63" s="5">
        <v>45369.441806215276</v>
      </c>
      <c r="B63" s="6" t="s">
        <v>466</v>
      </c>
      <c r="C63" s="6" t="s">
        <v>467</v>
      </c>
      <c r="D63" s="7" t="s">
        <v>468</v>
      </c>
      <c r="E63" s="6" t="s">
        <v>133</v>
      </c>
      <c r="F63" s="6" t="s">
        <v>469</v>
      </c>
      <c r="G63" s="6" t="s">
        <v>64</v>
      </c>
      <c r="H63" s="6" t="s">
        <v>470</v>
      </c>
      <c r="I63" s="6" t="s">
        <v>471</v>
      </c>
      <c r="J63" s="6" t="s">
        <v>472</v>
      </c>
      <c r="K63" s="6" t="s">
        <v>466</v>
      </c>
      <c r="L63" s="6" t="s">
        <v>89</v>
      </c>
      <c r="M63" s="6" t="s">
        <v>473</v>
      </c>
      <c r="N63" s="6">
        <v>28</v>
      </c>
      <c r="O63" s="6" t="s">
        <v>148</v>
      </c>
      <c r="P63" s="6">
        <v>5</v>
      </c>
      <c r="Q63" s="6">
        <v>3</v>
      </c>
      <c r="R63" s="6">
        <v>2</v>
      </c>
      <c r="T63" s="6" t="s">
        <v>71</v>
      </c>
      <c r="U63" s="6" t="s">
        <v>71</v>
      </c>
      <c r="V63" s="6" t="s">
        <v>109</v>
      </c>
      <c r="W63" s="7" t="s">
        <v>74</v>
      </c>
      <c r="AR63" s="6" t="s">
        <v>72</v>
      </c>
      <c r="AS63" s="6" t="s">
        <v>72</v>
      </c>
      <c r="AT63" s="6" t="s">
        <v>71</v>
      </c>
      <c r="AU63" s="6" t="s">
        <v>71</v>
      </c>
      <c r="AV63" s="6" t="s">
        <v>72</v>
      </c>
      <c r="AW63" s="6" t="s">
        <v>72</v>
      </c>
      <c r="AX63" s="6" t="s">
        <v>71</v>
      </c>
      <c r="AY63" s="6" t="s">
        <v>71</v>
      </c>
      <c r="AZ63" s="6" t="s">
        <v>71</v>
      </c>
      <c r="BA63" s="6" t="s">
        <v>71</v>
      </c>
      <c r="BB63" s="6" t="s">
        <v>72</v>
      </c>
      <c r="BC63" s="6" t="s">
        <v>72</v>
      </c>
      <c r="BD63" s="6" t="s">
        <v>71</v>
      </c>
      <c r="BE63" s="6" t="s">
        <v>71</v>
      </c>
      <c r="BF63" s="6" t="s">
        <v>71</v>
      </c>
      <c r="BG63" s="6" t="s">
        <v>72</v>
      </c>
      <c r="BH63" s="6" t="s">
        <v>71</v>
      </c>
      <c r="BI63" s="6" t="s">
        <v>71</v>
      </c>
      <c r="BJ63" s="6" t="s">
        <v>71</v>
      </c>
    </row>
    <row r="64" spans="1:63" ht="13.2">
      <c r="A64" s="5">
        <v>45369.443823530091</v>
      </c>
      <c r="B64" s="6" t="s">
        <v>466</v>
      </c>
      <c r="C64" s="6" t="s">
        <v>474</v>
      </c>
      <c r="D64" s="7" t="s">
        <v>468</v>
      </c>
      <c r="E64" s="6" t="s">
        <v>133</v>
      </c>
      <c r="F64" s="6" t="s">
        <v>475</v>
      </c>
      <c r="G64" s="6" t="s">
        <v>64</v>
      </c>
      <c r="H64" s="6" t="s">
        <v>471</v>
      </c>
      <c r="I64" s="6" t="s">
        <v>476</v>
      </c>
      <c r="J64" s="6" t="s">
        <v>472</v>
      </c>
      <c r="K64" s="6" t="s">
        <v>466</v>
      </c>
      <c r="L64" s="6" t="s">
        <v>89</v>
      </c>
      <c r="M64" s="6" t="s">
        <v>477</v>
      </c>
      <c r="N64" s="6">
        <v>23</v>
      </c>
      <c r="O64" s="6" t="s">
        <v>70</v>
      </c>
      <c r="P64" s="6">
        <v>5</v>
      </c>
      <c r="Q64" s="6">
        <v>3</v>
      </c>
      <c r="R64" s="6">
        <v>2</v>
      </c>
      <c r="T64" s="6" t="s">
        <v>71</v>
      </c>
      <c r="U64" s="6" t="s">
        <v>71</v>
      </c>
      <c r="V64" s="6" t="s">
        <v>109</v>
      </c>
      <c r="W64" s="7" t="s">
        <v>74</v>
      </c>
      <c r="AR64" s="6" t="s">
        <v>72</v>
      </c>
      <c r="AS64" s="6" t="s">
        <v>72</v>
      </c>
      <c r="AT64" s="6" t="s">
        <v>71</v>
      </c>
      <c r="AU64" s="6" t="s">
        <v>71</v>
      </c>
      <c r="AV64" s="6" t="s">
        <v>72</v>
      </c>
      <c r="AW64" s="6" t="s">
        <v>72</v>
      </c>
      <c r="AX64" s="6" t="s">
        <v>71</v>
      </c>
      <c r="AY64" s="6" t="s">
        <v>71</v>
      </c>
      <c r="AZ64" s="6" t="s">
        <v>71</v>
      </c>
      <c r="BA64" s="6" t="s">
        <v>71</v>
      </c>
      <c r="BB64" s="6" t="s">
        <v>72</v>
      </c>
      <c r="BC64" s="6" t="s">
        <v>72</v>
      </c>
      <c r="BD64" s="6" t="s">
        <v>71</v>
      </c>
      <c r="BE64" s="6" t="s">
        <v>71</v>
      </c>
      <c r="BF64" s="6" t="s">
        <v>71</v>
      </c>
      <c r="BG64" s="6" t="s">
        <v>72</v>
      </c>
      <c r="BH64" s="6" t="s">
        <v>71</v>
      </c>
      <c r="BI64" s="6" t="s">
        <v>71</v>
      </c>
      <c r="BJ64" s="6" t="s">
        <v>71</v>
      </c>
    </row>
    <row r="65" spans="1:63" ht="13.2">
      <c r="A65" s="5">
        <v>45369.545665833335</v>
      </c>
      <c r="B65" s="6" t="s">
        <v>478</v>
      </c>
      <c r="C65" s="6" t="s">
        <v>479</v>
      </c>
      <c r="D65" s="7" t="s">
        <v>480</v>
      </c>
      <c r="E65" s="6" t="s">
        <v>62</v>
      </c>
      <c r="F65" s="6" t="s">
        <v>481</v>
      </c>
      <c r="G65" s="6" t="s">
        <v>64</v>
      </c>
      <c r="H65" s="6" t="s">
        <v>482</v>
      </c>
      <c r="I65" s="6" t="s">
        <v>483</v>
      </c>
      <c r="K65" s="6" t="s">
        <v>478</v>
      </c>
      <c r="L65" s="6" t="s">
        <v>89</v>
      </c>
      <c r="M65" s="6" t="s">
        <v>473</v>
      </c>
      <c r="N65" s="6">
        <v>17</v>
      </c>
      <c r="O65" s="6" t="s">
        <v>70</v>
      </c>
      <c r="P65" s="6">
        <v>5</v>
      </c>
      <c r="Q65" s="6">
        <v>5</v>
      </c>
      <c r="R65" s="6">
        <v>0</v>
      </c>
      <c r="T65" s="6" t="s">
        <v>71</v>
      </c>
      <c r="U65" s="6" t="s">
        <v>72</v>
      </c>
      <c r="V65" s="6" t="s">
        <v>73</v>
      </c>
      <c r="W65" s="7" t="s">
        <v>74</v>
      </c>
      <c r="AR65" s="6" t="s">
        <v>72</v>
      </c>
      <c r="AS65" s="6" t="s">
        <v>71</v>
      </c>
      <c r="AT65" s="6" t="s">
        <v>71</v>
      </c>
      <c r="AU65" s="6" t="s">
        <v>72</v>
      </c>
      <c r="AV65" s="6" t="s">
        <v>72</v>
      </c>
      <c r="AW65" s="6" t="s">
        <v>72</v>
      </c>
      <c r="AX65" s="6" t="s">
        <v>72</v>
      </c>
      <c r="AY65" s="6" t="s">
        <v>71</v>
      </c>
      <c r="AZ65" s="6" t="s">
        <v>72</v>
      </c>
      <c r="BA65" s="6" t="s">
        <v>72</v>
      </c>
      <c r="BB65" s="6" t="s">
        <v>72</v>
      </c>
      <c r="BC65" s="6" t="s">
        <v>71</v>
      </c>
      <c r="BD65" s="6" t="s">
        <v>71</v>
      </c>
      <c r="BE65" s="6" t="s">
        <v>72</v>
      </c>
      <c r="BF65" s="6" t="s">
        <v>72</v>
      </c>
      <c r="BG65" s="6" t="s">
        <v>72</v>
      </c>
      <c r="BH65" s="6" t="s">
        <v>72</v>
      </c>
      <c r="BI65" s="6" t="s">
        <v>72</v>
      </c>
      <c r="BJ65" s="6" t="s">
        <v>72</v>
      </c>
    </row>
    <row r="66" spans="1:63" ht="13.2">
      <c r="A66" s="5">
        <v>45369.658399386579</v>
      </c>
      <c r="B66" s="6" t="s">
        <v>484</v>
      </c>
      <c r="C66" s="6" t="s">
        <v>485</v>
      </c>
      <c r="D66" s="7" t="s">
        <v>486</v>
      </c>
      <c r="E66" s="6" t="s">
        <v>286</v>
      </c>
      <c r="F66" s="6" t="s">
        <v>487</v>
      </c>
      <c r="G66" s="6" t="s">
        <v>105</v>
      </c>
      <c r="H66" s="6" t="s">
        <v>488</v>
      </c>
      <c r="I66" s="6" t="s">
        <v>489</v>
      </c>
      <c r="K66" s="6" t="s">
        <v>484</v>
      </c>
      <c r="L66" s="6" t="s">
        <v>245</v>
      </c>
      <c r="M66" s="6" t="s">
        <v>490</v>
      </c>
      <c r="N66" s="6">
        <v>25</v>
      </c>
      <c r="O66" s="6" t="s">
        <v>148</v>
      </c>
      <c r="P66" s="6">
        <v>4</v>
      </c>
      <c r="Q66" s="6">
        <v>4</v>
      </c>
      <c r="R66" s="6">
        <v>15</v>
      </c>
      <c r="S66" s="6" t="s">
        <v>491</v>
      </c>
      <c r="T66" s="6" t="s">
        <v>71</v>
      </c>
      <c r="U66" s="6" t="s">
        <v>72</v>
      </c>
      <c r="V66" s="6" t="s">
        <v>73</v>
      </c>
      <c r="W66" s="7" t="s">
        <v>74</v>
      </c>
      <c r="AR66" s="6" t="s">
        <v>71</v>
      </c>
      <c r="AS66" s="6" t="s">
        <v>71</v>
      </c>
      <c r="AT66" s="6" t="s">
        <v>71</v>
      </c>
      <c r="AU66" s="6" t="s">
        <v>72</v>
      </c>
      <c r="AV66" s="6" t="s">
        <v>71</v>
      </c>
      <c r="AW66" s="6" t="s">
        <v>71</v>
      </c>
      <c r="AX66" s="6" t="s">
        <v>71</v>
      </c>
      <c r="AY66" s="6" t="s">
        <v>72</v>
      </c>
      <c r="AZ66" s="6" t="s">
        <v>72</v>
      </c>
      <c r="BA66" s="6" t="s">
        <v>72</v>
      </c>
      <c r="BB66" s="6" t="s">
        <v>71</v>
      </c>
      <c r="BC66" s="6" t="s">
        <v>71</v>
      </c>
      <c r="BD66" s="6" t="s">
        <v>71</v>
      </c>
      <c r="BE66" s="6" t="s">
        <v>72</v>
      </c>
      <c r="BF66" s="6" t="s">
        <v>72</v>
      </c>
      <c r="BG66" s="6" t="s">
        <v>71</v>
      </c>
      <c r="BH66" s="6" t="s">
        <v>71</v>
      </c>
      <c r="BI66" s="6" t="s">
        <v>72</v>
      </c>
      <c r="BJ66" s="6" t="s">
        <v>72</v>
      </c>
    </row>
    <row r="67" spans="1:63" ht="13.2">
      <c r="A67" s="5">
        <v>45369.662996574072</v>
      </c>
      <c r="B67" s="6" t="s">
        <v>484</v>
      </c>
      <c r="C67" s="6" t="s">
        <v>485</v>
      </c>
      <c r="D67" s="7" t="s">
        <v>486</v>
      </c>
      <c r="E67" s="6" t="s">
        <v>286</v>
      </c>
      <c r="F67" s="6" t="s">
        <v>487</v>
      </c>
      <c r="G67" s="6" t="s">
        <v>105</v>
      </c>
      <c r="H67" s="6" t="s">
        <v>488</v>
      </c>
      <c r="I67" s="6" t="s">
        <v>492</v>
      </c>
      <c r="K67" s="6" t="s">
        <v>484</v>
      </c>
      <c r="L67" s="6" t="s">
        <v>245</v>
      </c>
      <c r="M67" s="6" t="s">
        <v>490</v>
      </c>
      <c r="N67" s="6">
        <v>35</v>
      </c>
      <c r="O67" s="6" t="s">
        <v>148</v>
      </c>
      <c r="P67" s="6">
        <v>4</v>
      </c>
      <c r="Q67" s="6">
        <v>4</v>
      </c>
      <c r="R67" s="6">
        <v>25</v>
      </c>
      <c r="S67" s="6" t="s">
        <v>493</v>
      </c>
      <c r="T67" s="6" t="s">
        <v>71</v>
      </c>
      <c r="U67" s="6" t="s">
        <v>72</v>
      </c>
      <c r="V67" s="6" t="s">
        <v>73</v>
      </c>
      <c r="W67" s="7" t="s">
        <v>74</v>
      </c>
      <c r="AR67" s="6" t="s">
        <v>71</v>
      </c>
      <c r="AS67" s="6" t="s">
        <v>71</v>
      </c>
      <c r="AT67" s="6" t="s">
        <v>71</v>
      </c>
      <c r="AU67" s="6" t="s">
        <v>72</v>
      </c>
      <c r="AV67" s="6" t="s">
        <v>71</v>
      </c>
      <c r="AW67" s="6" t="s">
        <v>71</v>
      </c>
      <c r="AX67" s="6" t="s">
        <v>71</v>
      </c>
      <c r="AY67" s="6" t="s">
        <v>72</v>
      </c>
      <c r="AZ67" s="6" t="s">
        <v>72</v>
      </c>
      <c r="BA67" s="6" t="s">
        <v>72</v>
      </c>
      <c r="BB67" s="6" t="s">
        <v>71</v>
      </c>
      <c r="BC67" s="6" t="s">
        <v>71</v>
      </c>
      <c r="BD67" s="6" t="s">
        <v>71</v>
      </c>
      <c r="BE67" s="6" t="s">
        <v>72</v>
      </c>
      <c r="BF67" s="6" t="s">
        <v>72</v>
      </c>
      <c r="BG67" s="6" t="s">
        <v>71</v>
      </c>
      <c r="BH67" s="6" t="s">
        <v>71</v>
      </c>
      <c r="BI67" s="6" t="s">
        <v>72</v>
      </c>
      <c r="BJ67" s="6" t="s">
        <v>72</v>
      </c>
      <c r="BK67" s="6" t="s">
        <v>494</v>
      </c>
    </row>
    <row r="68" spans="1:63" ht="13.2">
      <c r="A68" s="5">
        <v>45369.788724664351</v>
      </c>
      <c r="B68" s="6" t="s">
        <v>495</v>
      </c>
      <c r="C68" s="6" t="s">
        <v>496</v>
      </c>
      <c r="D68" s="7" t="s">
        <v>497</v>
      </c>
      <c r="E68" s="6" t="s">
        <v>133</v>
      </c>
      <c r="F68" s="6" t="s">
        <v>498</v>
      </c>
      <c r="G68" s="6" t="s">
        <v>64</v>
      </c>
      <c r="H68" s="6" t="s">
        <v>499</v>
      </c>
      <c r="I68" s="6" t="s">
        <v>500</v>
      </c>
      <c r="J68" s="6" t="s">
        <v>501</v>
      </c>
      <c r="K68" s="6" t="s">
        <v>495</v>
      </c>
      <c r="L68" s="6" t="s">
        <v>89</v>
      </c>
      <c r="M68" s="6" t="s">
        <v>502</v>
      </c>
      <c r="N68" s="6">
        <v>32</v>
      </c>
      <c r="O68" s="6" t="s">
        <v>70</v>
      </c>
      <c r="P68" s="6">
        <v>5</v>
      </c>
      <c r="Q68" s="6">
        <v>3</v>
      </c>
      <c r="R68" s="6">
        <v>30</v>
      </c>
      <c r="T68" s="6" t="s">
        <v>71</v>
      </c>
      <c r="U68" s="6" t="s">
        <v>72</v>
      </c>
      <c r="V68" s="6" t="s">
        <v>73</v>
      </c>
      <c r="W68" s="7" t="s">
        <v>74</v>
      </c>
      <c r="AR68" s="6" t="s">
        <v>72</v>
      </c>
      <c r="AS68" s="6" t="s">
        <v>72</v>
      </c>
      <c r="AT68" s="6" t="s">
        <v>71</v>
      </c>
      <c r="AU68" s="6" t="s">
        <v>72</v>
      </c>
      <c r="AV68" s="6" t="s">
        <v>71</v>
      </c>
      <c r="AW68" s="6" t="s">
        <v>71</v>
      </c>
      <c r="AX68" s="6" t="s">
        <v>72</v>
      </c>
      <c r="AY68" s="6" t="s">
        <v>72</v>
      </c>
      <c r="AZ68" s="6" t="s">
        <v>72</v>
      </c>
      <c r="BA68" s="6" t="s">
        <v>72</v>
      </c>
      <c r="BB68" s="6" t="s">
        <v>71</v>
      </c>
      <c r="BC68" s="6" t="s">
        <v>71</v>
      </c>
      <c r="BD68" s="6" t="s">
        <v>71</v>
      </c>
      <c r="BE68" s="6" t="s">
        <v>72</v>
      </c>
      <c r="BF68" s="6" t="s">
        <v>72</v>
      </c>
      <c r="BG68" s="6" t="s">
        <v>72</v>
      </c>
      <c r="BH68" s="6" t="s">
        <v>71</v>
      </c>
      <c r="BI68" s="6" t="s">
        <v>72</v>
      </c>
      <c r="BJ68" s="6" t="s">
        <v>72</v>
      </c>
    </row>
    <row r="69" spans="1:63" ht="13.2">
      <c r="A69" s="5">
        <v>45369.816999803239</v>
      </c>
      <c r="B69" s="6" t="s">
        <v>503</v>
      </c>
      <c r="C69" s="6" t="s">
        <v>504</v>
      </c>
      <c r="D69" s="7" t="s">
        <v>505</v>
      </c>
      <c r="E69" s="6" t="s">
        <v>506</v>
      </c>
      <c r="F69" s="6" t="s">
        <v>507</v>
      </c>
      <c r="G69" s="6" t="s">
        <v>105</v>
      </c>
      <c r="H69" s="6" t="s">
        <v>508</v>
      </c>
      <c r="I69" s="6" t="s">
        <v>509</v>
      </c>
      <c r="J69" s="6" t="s">
        <v>510</v>
      </c>
      <c r="K69" s="6" t="s">
        <v>503</v>
      </c>
      <c r="L69" s="6" t="s">
        <v>138</v>
      </c>
      <c r="M69" s="6" t="s">
        <v>511</v>
      </c>
      <c r="N69" s="6">
        <v>30</v>
      </c>
      <c r="O69" s="6" t="s">
        <v>148</v>
      </c>
      <c r="P69" s="6">
        <v>2</v>
      </c>
      <c r="Q69" s="6">
        <v>1</v>
      </c>
      <c r="R69" s="6">
        <v>90</v>
      </c>
      <c r="T69" s="6" t="s">
        <v>71</v>
      </c>
      <c r="U69" s="6" t="s">
        <v>71</v>
      </c>
      <c r="V69" s="6" t="s">
        <v>109</v>
      </c>
      <c r="W69" s="7" t="s">
        <v>74</v>
      </c>
      <c r="AR69" s="6" t="s">
        <v>72</v>
      </c>
      <c r="AS69" s="6" t="s">
        <v>72</v>
      </c>
      <c r="AT69" s="6" t="s">
        <v>72</v>
      </c>
      <c r="AU69" s="6" t="s">
        <v>72</v>
      </c>
      <c r="AV69" s="6" t="s">
        <v>72</v>
      </c>
      <c r="AW69" s="6" t="s">
        <v>72</v>
      </c>
      <c r="AX69" s="6" t="s">
        <v>72</v>
      </c>
      <c r="AY69" s="6" t="s">
        <v>71</v>
      </c>
      <c r="AZ69" s="6" t="s">
        <v>72</v>
      </c>
      <c r="BA69" s="6" t="s">
        <v>72</v>
      </c>
      <c r="BB69" s="6" t="s">
        <v>72</v>
      </c>
      <c r="BC69" s="6" t="s">
        <v>71</v>
      </c>
      <c r="BD69" s="6" t="s">
        <v>72</v>
      </c>
      <c r="BE69" s="6" t="s">
        <v>72</v>
      </c>
      <c r="BF69" s="6" t="s">
        <v>72</v>
      </c>
      <c r="BG69" s="6" t="s">
        <v>72</v>
      </c>
      <c r="BH69" s="6" t="s">
        <v>71</v>
      </c>
      <c r="BI69" s="6" t="s">
        <v>72</v>
      </c>
      <c r="BJ69" s="6" t="s">
        <v>72</v>
      </c>
      <c r="BK69" s="6" t="s">
        <v>512</v>
      </c>
    </row>
    <row r="70" spans="1:63" ht="13.2">
      <c r="A70" s="5">
        <v>45363.438363159723</v>
      </c>
      <c r="B70" s="6" t="s">
        <v>513</v>
      </c>
      <c r="C70" s="6" t="s">
        <v>514</v>
      </c>
      <c r="D70" s="7" t="s">
        <v>515</v>
      </c>
      <c r="E70" s="6" t="s">
        <v>133</v>
      </c>
      <c r="F70" s="6" t="s">
        <v>516</v>
      </c>
      <c r="G70" s="6" t="s">
        <v>64</v>
      </c>
      <c r="H70" s="6" t="s">
        <v>517</v>
      </c>
      <c r="I70" s="6" t="s">
        <v>518</v>
      </c>
      <c r="J70" s="6" t="s">
        <v>518</v>
      </c>
      <c r="K70" s="6" t="s">
        <v>513</v>
      </c>
      <c r="L70" s="6" t="s">
        <v>245</v>
      </c>
      <c r="M70" s="6" t="s">
        <v>519</v>
      </c>
      <c r="N70" s="6">
        <v>33</v>
      </c>
      <c r="O70" s="6" t="s">
        <v>70</v>
      </c>
      <c r="P70" s="6">
        <v>2</v>
      </c>
      <c r="Q70" s="6">
        <v>4</v>
      </c>
      <c r="R70" s="6">
        <v>50</v>
      </c>
      <c r="T70" s="6" t="s">
        <v>71</v>
      </c>
      <c r="U70" s="6" t="s">
        <v>72</v>
      </c>
      <c r="V70" s="6" t="s">
        <v>73</v>
      </c>
      <c r="W70" s="7" t="s">
        <v>520</v>
      </c>
      <c r="X70" s="6" t="s">
        <v>71</v>
      </c>
      <c r="Y70" s="6" t="s">
        <v>72</v>
      </c>
      <c r="Z70" s="6" t="s">
        <v>72</v>
      </c>
      <c r="AA70" s="6" t="s">
        <v>72</v>
      </c>
      <c r="AB70" s="6" t="s">
        <v>72</v>
      </c>
      <c r="AC70" s="6" t="s">
        <v>71</v>
      </c>
      <c r="AD70" s="6" t="s">
        <v>72</v>
      </c>
      <c r="AE70" s="6" t="s">
        <v>72</v>
      </c>
      <c r="AF70" s="6" t="s">
        <v>72</v>
      </c>
      <c r="AG70" s="6" t="s">
        <v>72</v>
      </c>
      <c r="AH70" s="6" t="s">
        <v>72</v>
      </c>
      <c r="AI70" s="6" t="s">
        <v>72</v>
      </c>
      <c r="AJ70" s="6" t="s">
        <v>71</v>
      </c>
      <c r="AK70" s="6" t="s">
        <v>72</v>
      </c>
      <c r="AL70" s="6" t="s">
        <v>72</v>
      </c>
      <c r="AM70" s="6" t="s">
        <v>72</v>
      </c>
      <c r="AN70" s="6" t="s">
        <v>72</v>
      </c>
      <c r="AO70" s="6" t="s">
        <v>72</v>
      </c>
      <c r="AP70" s="6" t="s">
        <v>72</v>
      </c>
    </row>
    <row r="71" spans="1:63" ht="13.2">
      <c r="A71" s="5">
        <v>45363.440609155092</v>
      </c>
      <c r="B71" s="6" t="s">
        <v>513</v>
      </c>
      <c r="C71" s="6" t="s">
        <v>514</v>
      </c>
      <c r="D71" s="7" t="s">
        <v>515</v>
      </c>
      <c r="E71" s="6" t="s">
        <v>133</v>
      </c>
      <c r="F71" s="6" t="s">
        <v>521</v>
      </c>
      <c r="G71" s="6" t="s">
        <v>64</v>
      </c>
      <c r="H71" s="6" t="s">
        <v>517</v>
      </c>
      <c r="I71" s="6" t="s">
        <v>522</v>
      </c>
      <c r="J71" s="6" t="s">
        <v>522</v>
      </c>
      <c r="K71" s="6" t="s">
        <v>513</v>
      </c>
      <c r="L71" s="6" t="s">
        <v>245</v>
      </c>
      <c r="M71" s="6" t="s">
        <v>519</v>
      </c>
      <c r="N71" s="6">
        <v>32</v>
      </c>
      <c r="O71" s="6" t="s">
        <v>70</v>
      </c>
      <c r="P71" s="6">
        <v>2</v>
      </c>
      <c r="Q71" s="6">
        <v>4</v>
      </c>
      <c r="R71" s="6">
        <v>50</v>
      </c>
      <c r="T71" s="6" t="s">
        <v>71</v>
      </c>
      <c r="U71" s="6" t="s">
        <v>72</v>
      </c>
      <c r="V71" s="6" t="s">
        <v>73</v>
      </c>
      <c r="W71" s="7" t="s">
        <v>520</v>
      </c>
      <c r="X71" s="6" t="s">
        <v>71</v>
      </c>
      <c r="Y71" s="6" t="s">
        <v>72</v>
      </c>
      <c r="Z71" s="6" t="s">
        <v>72</v>
      </c>
      <c r="AA71" s="6" t="s">
        <v>72</v>
      </c>
      <c r="AB71" s="6" t="s">
        <v>72</v>
      </c>
      <c r="AC71" s="6" t="s">
        <v>71</v>
      </c>
      <c r="AD71" s="6" t="s">
        <v>72</v>
      </c>
      <c r="AE71" s="6" t="s">
        <v>72</v>
      </c>
      <c r="AF71" s="6" t="s">
        <v>72</v>
      </c>
      <c r="AG71" s="6" t="s">
        <v>72</v>
      </c>
      <c r="AH71" s="6" t="s">
        <v>72</v>
      </c>
      <c r="AI71" s="6" t="s">
        <v>72</v>
      </c>
      <c r="AJ71" s="6" t="s">
        <v>71</v>
      </c>
      <c r="AK71" s="6" t="s">
        <v>72</v>
      </c>
      <c r="AL71" s="6" t="s">
        <v>72</v>
      </c>
      <c r="AM71" s="6" t="s">
        <v>72</v>
      </c>
      <c r="AN71" s="6" t="s">
        <v>72</v>
      </c>
      <c r="AO71" s="6" t="s">
        <v>72</v>
      </c>
      <c r="AP71" s="6" t="s">
        <v>72</v>
      </c>
    </row>
    <row r="72" spans="1:63" ht="13.2">
      <c r="A72" s="5">
        <v>45363.442617592591</v>
      </c>
      <c r="B72" s="6" t="s">
        <v>513</v>
      </c>
      <c r="C72" s="6" t="s">
        <v>514</v>
      </c>
      <c r="D72" s="7" t="s">
        <v>515</v>
      </c>
      <c r="E72" s="6" t="s">
        <v>133</v>
      </c>
      <c r="F72" s="6" t="s">
        <v>523</v>
      </c>
      <c r="G72" s="6" t="s">
        <v>64</v>
      </c>
      <c r="H72" s="6" t="s">
        <v>517</v>
      </c>
      <c r="I72" s="6" t="s">
        <v>522</v>
      </c>
      <c r="J72" s="6" t="s">
        <v>522</v>
      </c>
      <c r="K72" s="6" t="s">
        <v>513</v>
      </c>
      <c r="L72" s="6" t="s">
        <v>245</v>
      </c>
      <c r="M72" s="6" t="s">
        <v>519</v>
      </c>
      <c r="N72" s="6">
        <v>31</v>
      </c>
      <c r="O72" s="6" t="s">
        <v>70</v>
      </c>
      <c r="P72" s="6">
        <v>2</v>
      </c>
      <c r="Q72" s="6">
        <v>4</v>
      </c>
      <c r="R72" s="6">
        <v>50</v>
      </c>
      <c r="T72" s="6" t="s">
        <v>71</v>
      </c>
      <c r="U72" s="6" t="s">
        <v>72</v>
      </c>
      <c r="V72" s="6" t="s">
        <v>73</v>
      </c>
      <c r="W72" s="7" t="s">
        <v>520</v>
      </c>
      <c r="X72" s="6" t="s">
        <v>71</v>
      </c>
      <c r="Y72" s="6" t="s">
        <v>72</v>
      </c>
      <c r="Z72" s="6" t="s">
        <v>72</v>
      </c>
      <c r="AA72" s="6" t="s">
        <v>72</v>
      </c>
      <c r="AB72" s="6" t="s">
        <v>72</v>
      </c>
      <c r="AC72" s="6" t="s">
        <v>71</v>
      </c>
      <c r="AD72" s="6" t="s">
        <v>72</v>
      </c>
      <c r="AE72" s="6" t="s">
        <v>72</v>
      </c>
      <c r="AF72" s="6" t="s">
        <v>72</v>
      </c>
      <c r="AG72" s="6" t="s">
        <v>72</v>
      </c>
      <c r="AH72" s="6" t="s">
        <v>72</v>
      </c>
      <c r="AI72" s="6" t="s">
        <v>72</v>
      </c>
      <c r="AJ72" s="6" t="s">
        <v>71</v>
      </c>
      <c r="AK72" s="6" t="s">
        <v>72</v>
      </c>
      <c r="AL72" s="6" t="s">
        <v>72</v>
      </c>
      <c r="AM72" s="6" t="s">
        <v>72</v>
      </c>
      <c r="AN72" s="6" t="s">
        <v>72</v>
      </c>
      <c r="AO72" s="6" t="s">
        <v>72</v>
      </c>
      <c r="AP72" s="6" t="s">
        <v>72</v>
      </c>
    </row>
    <row r="73" spans="1:63" ht="13.2">
      <c r="A73" s="5">
        <v>45363.474652395831</v>
      </c>
      <c r="B73" s="6" t="s">
        <v>524</v>
      </c>
      <c r="C73" s="6" t="s">
        <v>525</v>
      </c>
      <c r="D73" s="7" t="s">
        <v>526</v>
      </c>
      <c r="E73" s="6" t="s">
        <v>62</v>
      </c>
      <c r="F73" s="6" t="s">
        <v>235</v>
      </c>
      <c r="G73" s="6" t="s">
        <v>105</v>
      </c>
      <c r="H73" s="6" t="s">
        <v>527</v>
      </c>
      <c r="I73" s="6" t="s">
        <v>528</v>
      </c>
      <c r="J73" s="6" t="s">
        <v>529</v>
      </c>
      <c r="K73" s="6" t="s">
        <v>524</v>
      </c>
      <c r="L73" s="6" t="s">
        <v>68</v>
      </c>
      <c r="M73" s="6" t="s">
        <v>530</v>
      </c>
      <c r="N73" s="6">
        <v>35</v>
      </c>
      <c r="O73" s="6" t="s">
        <v>70</v>
      </c>
      <c r="P73" s="6">
        <v>2</v>
      </c>
      <c r="Q73" s="6">
        <v>2</v>
      </c>
      <c r="R73" s="6">
        <v>90</v>
      </c>
      <c r="T73" s="6" t="s">
        <v>71</v>
      </c>
      <c r="U73" s="6" t="s">
        <v>71</v>
      </c>
      <c r="V73" s="6" t="s">
        <v>109</v>
      </c>
      <c r="W73" s="7" t="s">
        <v>520</v>
      </c>
      <c r="X73" s="6" t="s">
        <v>71</v>
      </c>
      <c r="Y73" s="6" t="s">
        <v>71</v>
      </c>
      <c r="Z73" s="6" t="s">
        <v>71</v>
      </c>
      <c r="AA73" s="6" t="s">
        <v>71</v>
      </c>
      <c r="AB73" s="6" t="s">
        <v>72</v>
      </c>
      <c r="AC73" s="6" t="s">
        <v>72</v>
      </c>
      <c r="AD73" s="6" t="s">
        <v>72</v>
      </c>
      <c r="AE73" s="6" t="s">
        <v>72</v>
      </c>
      <c r="AF73" s="6" t="s">
        <v>72</v>
      </c>
      <c r="AG73" s="6" t="s">
        <v>72</v>
      </c>
      <c r="AI73" s="6" t="s">
        <v>71</v>
      </c>
      <c r="AP73" s="6" t="s">
        <v>71</v>
      </c>
    </row>
    <row r="74" spans="1:63" ht="13.2">
      <c r="A74" s="5">
        <v>45363.491433344912</v>
      </c>
      <c r="B74" s="6" t="s">
        <v>531</v>
      </c>
      <c r="C74" s="6" t="s">
        <v>532</v>
      </c>
      <c r="D74" s="7" t="s">
        <v>533</v>
      </c>
      <c r="E74" s="6" t="s">
        <v>62</v>
      </c>
      <c r="F74" s="6" t="s">
        <v>104</v>
      </c>
      <c r="G74" s="6" t="s">
        <v>64</v>
      </c>
      <c r="H74" s="6" t="s">
        <v>534</v>
      </c>
      <c r="I74" s="6" t="s">
        <v>535</v>
      </c>
      <c r="K74" s="6" t="s">
        <v>531</v>
      </c>
      <c r="L74" s="6" t="s">
        <v>89</v>
      </c>
      <c r="M74" s="6" t="s">
        <v>536</v>
      </c>
      <c r="N74" s="6">
        <v>21</v>
      </c>
      <c r="O74" s="6" t="s">
        <v>148</v>
      </c>
      <c r="P74" s="6">
        <v>5</v>
      </c>
      <c r="Q74" s="6">
        <v>4</v>
      </c>
      <c r="R74" s="6">
        <v>0</v>
      </c>
      <c r="T74" s="6" t="s">
        <v>71</v>
      </c>
      <c r="U74" s="6" t="s">
        <v>72</v>
      </c>
      <c r="V74" s="6" t="s">
        <v>73</v>
      </c>
      <c r="W74" s="7" t="s">
        <v>520</v>
      </c>
      <c r="X74" s="6" t="s">
        <v>71</v>
      </c>
      <c r="Y74" s="6" t="s">
        <v>71</v>
      </c>
      <c r="Z74" s="6" t="s">
        <v>71</v>
      </c>
      <c r="AA74" s="6" t="s">
        <v>72</v>
      </c>
      <c r="AB74" s="6" t="s">
        <v>71</v>
      </c>
      <c r="AC74" s="6" t="s">
        <v>71</v>
      </c>
      <c r="AD74" s="6" t="s">
        <v>71</v>
      </c>
      <c r="AE74" s="6" t="s">
        <v>72</v>
      </c>
      <c r="AF74" s="6" t="s">
        <v>72</v>
      </c>
      <c r="AG74" s="6" t="s">
        <v>72</v>
      </c>
      <c r="AH74" s="6" t="s">
        <v>71</v>
      </c>
      <c r="AI74" s="6" t="s">
        <v>71</v>
      </c>
      <c r="AJ74" s="6" t="s">
        <v>71</v>
      </c>
      <c r="AK74" s="6" t="s">
        <v>72</v>
      </c>
      <c r="AL74" s="6" t="s">
        <v>72</v>
      </c>
      <c r="AM74" s="6" t="s">
        <v>71</v>
      </c>
      <c r="AN74" s="6" t="s">
        <v>71</v>
      </c>
      <c r="AO74" s="6" t="s">
        <v>72</v>
      </c>
      <c r="AP74" s="6" t="s">
        <v>72</v>
      </c>
    </row>
    <row r="75" spans="1:63" ht="13.2">
      <c r="A75" s="5">
        <v>45363.518486504632</v>
      </c>
      <c r="B75" s="6" t="s">
        <v>537</v>
      </c>
      <c r="C75" s="6" t="s">
        <v>538</v>
      </c>
      <c r="D75" s="7" t="s">
        <v>539</v>
      </c>
      <c r="E75" s="6" t="s">
        <v>62</v>
      </c>
      <c r="F75" s="6" t="s">
        <v>540</v>
      </c>
      <c r="G75" s="6" t="s">
        <v>64</v>
      </c>
      <c r="H75" s="6" t="s">
        <v>541</v>
      </c>
      <c r="I75" s="6" t="s">
        <v>542</v>
      </c>
      <c r="J75" s="6" t="s">
        <v>543</v>
      </c>
      <c r="K75" s="6" t="s">
        <v>537</v>
      </c>
      <c r="L75" s="6" t="s">
        <v>68</v>
      </c>
      <c r="M75" s="6" t="s">
        <v>544</v>
      </c>
      <c r="N75" s="6">
        <v>20</v>
      </c>
      <c r="O75" s="6" t="s">
        <v>148</v>
      </c>
      <c r="P75" s="6">
        <v>4</v>
      </c>
      <c r="Q75" s="6">
        <v>2</v>
      </c>
      <c r="R75" s="6">
        <v>20</v>
      </c>
      <c r="T75" s="6" t="s">
        <v>71</v>
      </c>
      <c r="U75" s="6" t="s">
        <v>72</v>
      </c>
      <c r="V75" s="6" t="s">
        <v>73</v>
      </c>
      <c r="W75" s="7" t="s">
        <v>520</v>
      </c>
      <c r="X75" s="6" t="s">
        <v>72</v>
      </c>
      <c r="Y75" s="6" t="s">
        <v>72</v>
      </c>
      <c r="Z75" s="6" t="s">
        <v>71</v>
      </c>
      <c r="AA75" s="6" t="s">
        <v>72</v>
      </c>
      <c r="AB75" s="6" t="s">
        <v>71</v>
      </c>
      <c r="AC75" s="6" t="s">
        <v>71</v>
      </c>
      <c r="AD75" s="6" t="s">
        <v>71</v>
      </c>
      <c r="AE75" s="6" t="s">
        <v>71</v>
      </c>
      <c r="AF75" s="6" t="s">
        <v>72</v>
      </c>
      <c r="AG75" s="6" t="s">
        <v>72</v>
      </c>
      <c r="AH75" s="6" t="s">
        <v>72</v>
      </c>
      <c r="AI75" s="6" t="s">
        <v>71</v>
      </c>
      <c r="AJ75" s="6" t="s">
        <v>72</v>
      </c>
      <c r="AK75" s="6" t="s">
        <v>72</v>
      </c>
      <c r="AL75" s="6" t="s">
        <v>72</v>
      </c>
      <c r="AM75" s="6" t="s">
        <v>72</v>
      </c>
      <c r="AN75" s="6" t="s">
        <v>71</v>
      </c>
      <c r="AO75" s="6" t="s">
        <v>72</v>
      </c>
      <c r="AP75" s="6" t="s">
        <v>72</v>
      </c>
      <c r="AQ75" s="6" t="s">
        <v>545</v>
      </c>
    </row>
    <row r="76" spans="1:63" ht="13.2">
      <c r="A76" s="5">
        <v>45363.520946273144</v>
      </c>
      <c r="B76" s="6" t="s">
        <v>546</v>
      </c>
      <c r="C76" s="6" t="s">
        <v>547</v>
      </c>
      <c r="D76" s="7" t="s">
        <v>548</v>
      </c>
      <c r="E76" s="6" t="s">
        <v>133</v>
      </c>
      <c r="F76" s="6" t="s">
        <v>549</v>
      </c>
      <c r="G76" s="6" t="s">
        <v>64</v>
      </c>
      <c r="H76" s="6" t="s">
        <v>550</v>
      </c>
      <c r="I76" s="6" t="s">
        <v>551</v>
      </c>
      <c r="K76" s="6" t="s">
        <v>546</v>
      </c>
      <c r="L76" s="6" t="s">
        <v>89</v>
      </c>
      <c r="M76" s="6" t="s">
        <v>552</v>
      </c>
      <c r="N76" s="6">
        <v>23</v>
      </c>
      <c r="O76" s="6" t="s">
        <v>70</v>
      </c>
      <c r="P76" s="6">
        <v>4</v>
      </c>
      <c r="Q76" s="6">
        <v>3</v>
      </c>
      <c r="R76" s="6">
        <v>0</v>
      </c>
      <c r="T76" s="6" t="s">
        <v>71</v>
      </c>
      <c r="U76" s="6" t="s">
        <v>72</v>
      </c>
      <c r="V76" s="6" t="s">
        <v>73</v>
      </c>
      <c r="W76" s="7" t="s">
        <v>520</v>
      </c>
      <c r="X76" s="6" t="s">
        <v>72</v>
      </c>
      <c r="Y76" s="6" t="s">
        <v>71</v>
      </c>
      <c r="Z76" s="6" t="s">
        <v>72</v>
      </c>
      <c r="AA76" s="6" t="s">
        <v>72</v>
      </c>
      <c r="AB76" s="6" t="s">
        <v>71</v>
      </c>
      <c r="AC76" s="6" t="s">
        <v>72</v>
      </c>
      <c r="AD76" s="6" t="s">
        <v>72</v>
      </c>
      <c r="AE76" s="6" t="s">
        <v>72</v>
      </c>
      <c r="AF76" s="6" t="s">
        <v>72</v>
      </c>
      <c r="AG76" s="6" t="s">
        <v>71</v>
      </c>
      <c r="AH76" s="6" t="s">
        <v>72</v>
      </c>
      <c r="AI76" s="6" t="s">
        <v>72</v>
      </c>
      <c r="AJ76" s="6" t="s">
        <v>71</v>
      </c>
      <c r="AK76" s="6" t="s">
        <v>72</v>
      </c>
      <c r="AL76" s="6" t="s">
        <v>72</v>
      </c>
      <c r="AM76" s="6" t="s">
        <v>72</v>
      </c>
      <c r="AN76" s="6" t="s">
        <v>72</v>
      </c>
      <c r="AO76" s="6" t="s">
        <v>71</v>
      </c>
      <c r="AP76" s="6" t="s">
        <v>72</v>
      </c>
    </row>
    <row r="77" spans="1:63" ht="13.2">
      <c r="A77" s="5">
        <v>45363.523194444446</v>
      </c>
      <c r="B77" s="6" t="s">
        <v>553</v>
      </c>
      <c r="C77" s="6" t="s">
        <v>547</v>
      </c>
      <c r="D77" s="7" t="s">
        <v>548</v>
      </c>
      <c r="E77" s="6" t="s">
        <v>84</v>
      </c>
      <c r="F77" s="6" t="s">
        <v>554</v>
      </c>
      <c r="G77" s="6" t="s">
        <v>64</v>
      </c>
      <c r="H77" s="6" t="s">
        <v>550</v>
      </c>
      <c r="I77" s="6" t="s">
        <v>555</v>
      </c>
      <c r="J77" s="6" t="s">
        <v>556</v>
      </c>
      <c r="K77" s="6" t="s">
        <v>546</v>
      </c>
      <c r="L77" s="6" t="s">
        <v>89</v>
      </c>
      <c r="M77" s="6" t="s">
        <v>557</v>
      </c>
      <c r="N77" s="6">
        <v>20</v>
      </c>
      <c r="O77" s="6" t="s">
        <v>148</v>
      </c>
      <c r="P77" s="6">
        <v>4</v>
      </c>
      <c r="Q77" s="6">
        <v>2</v>
      </c>
      <c r="R77" s="6">
        <v>0</v>
      </c>
      <c r="S77" s="6" t="s">
        <v>558</v>
      </c>
      <c r="T77" s="6" t="s">
        <v>71</v>
      </c>
      <c r="U77" s="6" t="s">
        <v>72</v>
      </c>
      <c r="V77" s="6" t="s">
        <v>73</v>
      </c>
      <c r="W77" s="7" t="s">
        <v>520</v>
      </c>
      <c r="X77" s="6" t="s">
        <v>72</v>
      </c>
      <c r="Y77" s="6" t="s">
        <v>71</v>
      </c>
      <c r="Z77" s="6" t="s">
        <v>72</v>
      </c>
      <c r="AA77" s="6" t="s">
        <v>72</v>
      </c>
      <c r="AB77" s="6" t="s">
        <v>71</v>
      </c>
      <c r="AC77" s="6" t="s">
        <v>72</v>
      </c>
      <c r="AD77" s="6" t="s">
        <v>72</v>
      </c>
      <c r="AE77" s="6" t="s">
        <v>72</v>
      </c>
      <c r="AF77" s="6" t="s">
        <v>72</v>
      </c>
      <c r="AG77" s="6" t="s">
        <v>71</v>
      </c>
      <c r="AH77" s="6" t="s">
        <v>72</v>
      </c>
      <c r="AI77" s="6" t="s">
        <v>72</v>
      </c>
      <c r="AJ77" s="6" t="s">
        <v>71</v>
      </c>
      <c r="AK77" s="6" t="s">
        <v>72</v>
      </c>
      <c r="AL77" s="6" t="s">
        <v>72</v>
      </c>
      <c r="AM77" s="6" t="s">
        <v>72</v>
      </c>
      <c r="AN77" s="6" t="s">
        <v>72</v>
      </c>
      <c r="AO77" s="6" t="s">
        <v>71</v>
      </c>
      <c r="AP77" s="6" t="s">
        <v>72</v>
      </c>
      <c r="AQ77" s="6" t="s">
        <v>559</v>
      </c>
    </row>
    <row r="78" spans="1:63" ht="13.2">
      <c r="A78" s="5">
        <v>45363.52479033565</v>
      </c>
      <c r="B78" s="6" t="s">
        <v>537</v>
      </c>
      <c r="C78" s="6" t="s">
        <v>538</v>
      </c>
      <c r="D78" s="7" t="s">
        <v>539</v>
      </c>
      <c r="E78" s="6" t="s">
        <v>62</v>
      </c>
      <c r="F78" s="6" t="s">
        <v>560</v>
      </c>
      <c r="G78" s="6" t="s">
        <v>64</v>
      </c>
      <c r="H78" s="6" t="s">
        <v>542</v>
      </c>
      <c r="I78" s="6" t="s">
        <v>541</v>
      </c>
      <c r="J78" s="6" t="s">
        <v>543</v>
      </c>
      <c r="K78" s="6" t="s">
        <v>537</v>
      </c>
      <c r="L78" s="6" t="s">
        <v>68</v>
      </c>
      <c r="M78" s="6" t="s">
        <v>544</v>
      </c>
      <c r="N78" s="6">
        <v>35</v>
      </c>
      <c r="O78" s="6" t="s">
        <v>148</v>
      </c>
      <c r="P78" s="6">
        <v>4</v>
      </c>
      <c r="Q78" s="6">
        <v>2</v>
      </c>
      <c r="R78" s="6">
        <v>20</v>
      </c>
      <c r="T78" s="6" t="s">
        <v>71</v>
      </c>
      <c r="U78" s="6" t="s">
        <v>72</v>
      </c>
      <c r="V78" s="6" t="s">
        <v>73</v>
      </c>
      <c r="W78" s="7" t="s">
        <v>520</v>
      </c>
      <c r="X78" s="6" t="s">
        <v>72</v>
      </c>
      <c r="Y78" s="6" t="s">
        <v>71</v>
      </c>
      <c r="Z78" s="6" t="s">
        <v>72</v>
      </c>
      <c r="AA78" s="6" t="s">
        <v>72</v>
      </c>
      <c r="AB78" s="6" t="s">
        <v>71</v>
      </c>
      <c r="AC78" s="6" t="s">
        <v>71</v>
      </c>
      <c r="AD78" s="6" t="s">
        <v>71</v>
      </c>
      <c r="AE78" s="6" t="s">
        <v>71</v>
      </c>
      <c r="AF78" s="6" t="s">
        <v>72</v>
      </c>
      <c r="AG78" s="6" t="s">
        <v>72</v>
      </c>
      <c r="AH78" s="6" t="s">
        <v>72</v>
      </c>
      <c r="AI78" s="6" t="s">
        <v>71</v>
      </c>
      <c r="AJ78" s="6" t="s">
        <v>71</v>
      </c>
      <c r="AK78" s="6" t="s">
        <v>72</v>
      </c>
      <c r="AL78" s="6" t="s">
        <v>72</v>
      </c>
      <c r="AM78" s="6" t="s">
        <v>71</v>
      </c>
      <c r="AN78" s="6" t="s">
        <v>72</v>
      </c>
      <c r="AO78" s="6" t="s">
        <v>72</v>
      </c>
      <c r="AP78" s="6" t="s">
        <v>72</v>
      </c>
      <c r="AQ78" s="6" t="s">
        <v>561</v>
      </c>
    </row>
    <row r="79" spans="1:63" ht="13.2">
      <c r="A79" s="5">
        <v>45363.543467384261</v>
      </c>
      <c r="B79" s="6" t="s">
        <v>562</v>
      </c>
      <c r="C79" s="6" t="s">
        <v>563</v>
      </c>
      <c r="D79" s="7" t="s">
        <v>564</v>
      </c>
      <c r="E79" s="6" t="s">
        <v>84</v>
      </c>
      <c r="F79" s="6" t="s">
        <v>269</v>
      </c>
      <c r="G79" s="6" t="s">
        <v>64</v>
      </c>
      <c r="H79" s="6" t="s">
        <v>565</v>
      </c>
      <c r="I79" s="6" t="s">
        <v>566</v>
      </c>
      <c r="K79" s="6" t="s">
        <v>562</v>
      </c>
      <c r="L79" s="6" t="s">
        <v>89</v>
      </c>
      <c r="M79" s="6" t="s">
        <v>473</v>
      </c>
      <c r="N79" s="6">
        <v>35</v>
      </c>
      <c r="O79" s="6" t="s">
        <v>70</v>
      </c>
      <c r="P79" s="6">
        <v>2</v>
      </c>
      <c r="Q79" s="6">
        <v>2</v>
      </c>
      <c r="R79" s="6">
        <v>5</v>
      </c>
      <c r="T79" s="6" t="s">
        <v>72</v>
      </c>
      <c r="U79" s="6" t="s">
        <v>71</v>
      </c>
      <c r="V79" s="6" t="s">
        <v>351</v>
      </c>
      <c r="W79" s="7" t="s">
        <v>520</v>
      </c>
      <c r="X79" s="6" t="s">
        <v>72</v>
      </c>
      <c r="Y79" s="6" t="s">
        <v>72</v>
      </c>
      <c r="Z79" s="6" t="s">
        <v>72</v>
      </c>
      <c r="AA79" s="6" t="s">
        <v>71</v>
      </c>
      <c r="AB79" s="6" t="s">
        <v>72</v>
      </c>
      <c r="AC79" s="6" t="s">
        <v>72</v>
      </c>
      <c r="AD79" s="6" t="s">
        <v>72</v>
      </c>
      <c r="AE79" s="6" t="s">
        <v>72</v>
      </c>
      <c r="AF79" s="6" t="s">
        <v>72</v>
      </c>
      <c r="AG79" s="6" t="s">
        <v>71</v>
      </c>
      <c r="AH79" s="6" t="s">
        <v>72</v>
      </c>
      <c r="AI79" s="6" t="s">
        <v>72</v>
      </c>
      <c r="AJ79" s="6" t="s">
        <v>72</v>
      </c>
      <c r="AK79" s="6" t="s">
        <v>71</v>
      </c>
      <c r="AL79" s="6" t="s">
        <v>71</v>
      </c>
      <c r="AM79" s="6" t="s">
        <v>72</v>
      </c>
      <c r="AN79" s="6" t="s">
        <v>72</v>
      </c>
      <c r="AO79" s="6" t="s">
        <v>71</v>
      </c>
      <c r="AP79" s="6" t="s">
        <v>71</v>
      </c>
      <c r="AQ79" s="6" t="s">
        <v>567</v>
      </c>
    </row>
    <row r="80" spans="1:63" ht="13.2">
      <c r="A80" s="5">
        <v>45363.554758252314</v>
      </c>
      <c r="B80" s="6" t="s">
        <v>568</v>
      </c>
      <c r="C80" s="6" t="s">
        <v>569</v>
      </c>
      <c r="D80" s="7" t="s">
        <v>570</v>
      </c>
      <c r="E80" s="6" t="s">
        <v>62</v>
      </c>
      <c r="F80" s="6" t="s">
        <v>235</v>
      </c>
      <c r="G80" s="6" t="s">
        <v>64</v>
      </c>
      <c r="H80" s="6" t="s">
        <v>571</v>
      </c>
      <c r="I80" s="6" t="s">
        <v>572</v>
      </c>
      <c r="K80" s="6" t="s">
        <v>568</v>
      </c>
      <c r="L80" s="6" t="s">
        <v>138</v>
      </c>
      <c r="M80" s="6" t="s">
        <v>573</v>
      </c>
      <c r="N80" s="6">
        <v>25</v>
      </c>
      <c r="O80" s="6" t="s">
        <v>70</v>
      </c>
      <c r="P80" s="6">
        <v>5</v>
      </c>
      <c r="Q80" s="6">
        <v>5</v>
      </c>
      <c r="R80" s="6">
        <v>0</v>
      </c>
      <c r="T80" s="6" t="s">
        <v>71</v>
      </c>
      <c r="U80" s="6" t="s">
        <v>71</v>
      </c>
      <c r="V80" s="6" t="s">
        <v>109</v>
      </c>
      <c r="W80" s="7" t="s">
        <v>520</v>
      </c>
      <c r="X80" s="6" t="s">
        <v>72</v>
      </c>
      <c r="Y80" s="6" t="s">
        <v>71</v>
      </c>
      <c r="Z80" s="6" t="s">
        <v>71</v>
      </c>
      <c r="AA80" s="6" t="s">
        <v>72</v>
      </c>
      <c r="AB80" s="6" t="s">
        <v>71</v>
      </c>
      <c r="AC80" s="6" t="s">
        <v>72</v>
      </c>
      <c r="AD80" s="6" t="s">
        <v>72</v>
      </c>
      <c r="AE80" s="6" t="s">
        <v>72</v>
      </c>
      <c r="AF80" s="6" t="s">
        <v>72</v>
      </c>
      <c r="AG80" s="6" t="s">
        <v>71</v>
      </c>
      <c r="AH80" s="6" t="s">
        <v>72</v>
      </c>
      <c r="AI80" s="6" t="s">
        <v>72</v>
      </c>
      <c r="AJ80" s="6" t="s">
        <v>71</v>
      </c>
      <c r="AK80" s="6" t="s">
        <v>71</v>
      </c>
      <c r="AL80" s="6" t="s">
        <v>71</v>
      </c>
      <c r="AM80" s="6" t="s">
        <v>72</v>
      </c>
      <c r="AN80" s="6" t="s">
        <v>72</v>
      </c>
      <c r="AO80" s="6" t="s">
        <v>72</v>
      </c>
      <c r="AP80" s="6" t="s">
        <v>72</v>
      </c>
    </row>
    <row r="81" spans="1:43" ht="13.2">
      <c r="A81" s="5">
        <v>45363.631157094904</v>
      </c>
      <c r="B81" s="6" t="s">
        <v>574</v>
      </c>
      <c r="C81" s="6" t="s">
        <v>575</v>
      </c>
      <c r="D81" s="6">
        <v>20059400</v>
      </c>
      <c r="E81" s="6" t="s">
        <v>387</v>
      </c>
      <c r="F81" s="6" t="s">
        <v>111</v>
      </c>
      <c r="G81" s="6" t="s">
        <v>64</v>
      </c>
      <c r="H81" s="6" t="s">
        <v>576</v>
      </c>
      <c r="I81" s="6" t="s">
        <v>577</v>
      </c>
      <c r="J81" s="6" t="s">
        <v>578</v>
      </c>
      <c r="K81" s="6" t="s">
        <v>574</v>
      </c>
      <c r="L81" s="6" t="s">
        <v>89</v>
      </c>
      <c r="M81" s="6" t="s">
        <v>579</v>
      </c>
      <c r="N81" s="6">
        <v>31</v>
      </c>
      <c r="O81" s="6" t="s">
        <v>70</v>
      </c>
      <c r="P81" s="6">
        <v>4</v>
      </c>
      <c r="Q81" s="6">
        <v>5</v>
      </c>
      <c r="R81" s="6">
        <v>30</v>
      </c>
      <c r="T81" s="6" t="s">
        <v>71</v>
      </c>
      <c r="U81" s="6" t="s">
        <v>72</v>
      </c>
      <c r="V81" s="6" t="s">
        <v>73</v>
      </c>
      <c r="W81" s="7" t="s">
        <v>520</v>
      </c>
      <c r="X81" s="6" t="s">
        <v>71</v>
      </c>
      <c r="Y81" s="6" t="s">
        <v>71</v>
      </c>
      <c r="Z81" s="6" t="s">
        <v>71</v>
      </c>
      <c r="AA81" s="6" t="s">
        <v>72</v>
      </c>
      <c r="AB81" s="6" t="s">
        <v>71</v>
      </c>
      <c r="AC81" s="6" t="s">
        <v>71</v>
      </c>
      <c r="AD81" s="6" t="s">
        <v>71</v>
      </c>
      <c r="AE81" s="6" t="s">
        <v>72</v>
      </c>
      <c r="AF81" s="6" t="s">
        <v>72</v>
      </c>
      <c r="AG81" s="6" t="s">
        <v>72</v>
      </c>
      <c r="AH81" s="6" t="s">
        <v>71</v>
      </c>
      <c r="AI81" s="6" t="s">
        <v>71</v>
      </c>
      <c r="AJ81" s="6" t="s">
        <v>71</v>
      </c>
      <c r="AK81" s="6" t="s">
        <v>72</v>
      </c>
      <c r="AL81" s="6" t="s">
        <v>72</v>
      </c>
      <c r="AM81" s="6" t="s">
        <v>71</v>
      </c>
      <c r="AN81" s="6" t="s">
        <v>71</v>
      </c>
      <c r="AO81" s="6" t="s">
        <v>72</v>
      </c>
      <c r="AP81" s="6" t="s">
        <v>72</v>
      </c>
    </row>
    <row r="82" spans="1:43" ht="13.2">
      <c r="A82" s="5">
        <v>45363.647077858797</v>
      </c>
      <c r="B82" s="6" t="s">
        <v>580</v>
      </c>
      <c r="C82" s="6" t="s">
        <v>581</v>
      </c>
      <c r="D82" s="6">
        <v>201342</v>
      </c>
      <c r="E82" s="6" t="s">
        <v>84</v>
      </c>
      <c r="F82" s="6" t="s">
        <v>582</v>
      </c>
      <c r="G82" s="6" t="s">
        <v>64</v>
      </c>
      <c r="H82" s="6" t="s">
        <v>583</v>
      </c>
      <c r="I82" s="6" t="s">
        <v>584</v>
      </c>
      <c r="J82" s="6" t="s">
        <v>585</v>
      </c>
      <c r="K82" s="6" t="s">
        <v>580</v>
      </c>
      <c r="L82" s="6" t="s">
        <v>89</v>
      </c>
      <c r="M82" s="6" t="s">
        <v>208</v>
      </c>
      <c r="N82" s="6">
        <v>20</v>
      </c>
      <c r="O82" s="6" t="s">
        <v>148</v>
      </c>
      <c r="P82" s="6">
        <v>4</v>
      </c>
      <c r="Q82" s="6">
        <v>1</v>
      </c>
      <c r="R82" s="6">
        <v>10</v>
      </c>
      <c r="T82" s="6" t="s">
        <v>71</v>
      </c>
      <c r="U82" s="6" t="s">
        <v>72</v>
      </c>
      <c r="V82" s="6" t="s">
        <v>73</v>
      </c>
      <c r="W82" s="7" t="s">
        <v>520</v>
      </c>
      <c r="X82" s="6" t="s">
        <v>71</v>
      </c>
      <c r="Y82" s="6" t="s">
        <v>71</v>
      </c>
      <c r="Z82" s="6" t="s">
        <v>72</v>
      </c>
      <c r="AA82" s="6" t="s">
        <v>72</v>
      </c>
      <c r="AB82" s="6" t="s">
        <v>71</v>
      </c>
      <c r="AC82" s="6" t="s">
        <v>71</v>
      </c>
      <c r="AD82" s="6" t="s">
        <v>71</v>
      </c>
      <c r="AE82" s="6" t="s">
        <v>72</v>
      </c>
      <c r="AF82" s="6" t="s">
        <v>72</v>
      </c>
      <c r="AG82" s="6" t="s">
        <v>72</v>
      </c>
      <c r="AH82" s="6" t="s">
        <v>71</v>
      </c>
      <c r="AI82" s="6" t="s">
        <v>71</v>
      </c>
      <c r="AJ82" s="6" t="s">
        <v>71</v>
      </c>
      <c r="AK82" s="6" t="s">
        <v>72</v>
      </c>
      <c r="AL82" s="6" t="s">
        <v>72</v>
      </c>
      <c r="AM82" s="6" t="s">
        <v>71</v>
      </c>
      <c r="AN82" s="6" t="s">
        <v>71</v>
      </c>
      <c r="AO82" s="6" t="s">
        <v>72</v>
      </c>
      <c r="AP82" s="6" t="s">
        <v>72</v>
      </c>
    </row>
    <row r="83" spans="1:43" ht="13.2">
      <c r="A83" s="5">
        <v>45363.647391956023</v>
      </c>
      <c r="B83" s="6" t="s">
        <v>586</v>
      </c>
      <c r="C83" s="6" t="s">
        <v>587</v>
      </c>
      <c r="D83" s="7" t="s">
        <v>588</v>
      </c>
      <c r="E83" s="6" t="s">
        <v>84</v>
      </c>
      <c r="F83" s="6" t="s">
        <v>589</v>
      </c>
      <c r="G83" s="6" t="s">
        <v>64</v>
      </c>
      <c r="H83" s="6" t="s">
        <v>590</v>
      </c>
      <c r="I83" s="6" t="s">
        <v>591</v>
      </c>
      <c r="J83" s="6" t="s">
        <v>592</v>
      </c>
      <c r="K83" s="6" t="s">
        <v>586</v>
      </c>
      <c r="L83" s="6" t="s">
        <v>245</v>
      </c>
      <c r="M83" s="6" t="s">
        <v>593</v>
      </c>
      <c r="N83" s="6">
        <v>25</v>
      </c>
      <c r="O83" s="6" t="s">
        <v>70</v>
      </c>
      <c r="P83" s="6">
        <v>3</v>
      </c>
      <c r="Q83" s="6">
        <v>3</v>
      </c>
      <c r="R83" s="6">
        <v>10</v>
      </c>
      <c r="T83" s="6" t="s">
        <v>72</v>
      </c>
      <c r="U83" s="6" t="s">
        <v>71</v>
      </c>
      <c r="V83" s="6" t="s">
        <v>351</v>
      </c>
      <c r="W83" s="7" t="s">
        <v>520</v>
      </c>
      <c r="X83" s="6" t="s">
        <v>72</v>
      </c>
      <c r="Y83" s="6" t="s">
        <v>72</v>
      </c>
      <c r="Z83" s="6" t="s">
        <v>72</v>
      </c>
      <c r="AA83" s="6" t="s">
        <v>71</v>
      </c>
      <c r="AB83" s="6" t="s">
        <v>72</v>
      </c>
      <c r="AC83" s="6" t="s">
        <v>72</v>
      </c>
      <c r="AD83" s="6" t="s">
        <v>72</v>
      </c>
      <c r="AE83" s="6" t="s">
        <v>71</v>
      </c>
      <c r="AF83" s="6" t="s">
        <v>71</v>
      </c>
      <c r="AG83" s="6" t="s">
        <v>71</v>
      </c>
      <c r="AH83" s="6" t="s">
        <v>72</v>
      </c>
      <c r="AI83" s="6" t="s">
        <v>72</v>
      </c>
      <c r="AJ83" s="6" t="s">
        <v>72</v>
      </c>
      <c r="AK83" s="6" t="s">
        <v>71</v>
      </c>
      <c r="AL83" s="6" t="s">
        <v>71</v>
      </c>
      <c r="AM83" s="6" t="s">
        <v>72</v>
      </c>
      <c r="AN83" s="6" t="s">
        <v>72</v>
      </c>
      <c r="AO83" s="6" t="s">
        <v>71</v>
      </c>
      <c r="AP83" s="6" t="s">
        <v>71</v>
      </c>
    </row>
    <row r="84" spans="1:43" ht="13.2">
      <c r="A84" s="5">
        <v>45363.650400023151</v>
      </c>
      <c r="B84" s="6" t="s">
        <v>586</v>
      </c>
      <c r="C84" s="6" t="s">
        <v>587</v>
      </c>
      <c r="D84" s="7" t="s">
        <v>588</v>
      </c>
      <c r="E84" s="6" t="s">
        <v>133</v>
      </c>
      <c r="F84" s="6" t="s">
        <v>594</v>
      </c>
      <c r="G84" s="6" t="s">
        <v>64</v>
      </c>
      <c r="H84" s="6" t="s">
        <v>595</v>
      </c>
      <c r="I84" s="6" t="s">
        <v>596</v>
      </c>
      <c r="J84" s="6" t="s">
        <v>597</v>
      </c>
      <c r="K84" s="6" t="s">
        <v>586</v>
      </c>
      <c r="L84" s="6" t="s">
        <v>245</v>
      </c>
      <c r="M84" s="6" t="s">
        <v>598</v>
      </c>
      <c r="N84" s="6">
        <v>20</v>
      </c>
      <c r="O84" s="6" t="s">
        <v>70</v>
      </c>
      <c r="P84" s="6">
        <v>3</v>
      </c>
      <c r="Q84" s="6">
        <v>3</v>
      </c>
      <c r="R84" s="6">
        <v>10</v>
      </c>
      <c r="T84" s="6" t="s">
        <v>72</v>
      </c>
      <c r="U84" s="6" t="s">
        <v>71</v>
      </c>
      <c r="V84" s="6" t="s">
        <v>351</v>
      </c>
      <c r="W84" s="7" t="s">
        <v>520</v>
      </c>
      <c r="X84" s="6" t="s">
        <v>72</v>
      </c>
      <c r="Y84" s="6" t="s">
        <v>72</v>
      </c>
      <c r="Z84" s="6" t="s">
        <v>72</v>
      </c>
      <c r="AA84" s="6" t="s">
        <v>71</v>
      </c>
      <c r="AB84" s="6" t="s">
        <v>72</v>
      </c>
      <c r="AC84" s="6" t="s">
        <v>72</v>
      </c>
      <c r="AD84" s="6" t="s">
        <v>72</v>
      </c>
      <c r="AE84" s="6" t="s">
        <v>71</v>
      </c>
      <c r="AF84" s="6" t="s">
        <v>71</v>
      </c>
      <c r="AG84" s="6" t="s">
        <v>71</v>
      </c>
      <c r="AH84" s="6" t="s">
        <v>72</v>
      </c>
      <c r="AI84" s="6" t="s">
        <v>72</v>
      </c>
      <c r="AJ84" s="6" t="s">
        <v>72</v>
      </c>
      <c r="AK84" s="6" t="s">
        <v>71</v>
      </c>
      <c r="AL84" s="6" t="s">
        <v>71</v>
      </c>
      <c r="AM84" s="6" t="s">
        <v>72</v>
      </c>
      <c r="AN84" s="6" t="s">
        <v>72</v>
      </c>
      <c r="AO84" s="6" t="s">
        <v>71</v>
      </c>
      <c r="AP84" s="6" t="s">
        <v>71</v>
      </c>
    </row>
    <row r="85" spans="1:43" ht="13.2">
      <c r="A85" s="5">
        <v>45363.683418576387</v>
      </c>
      <c r="B85" s="6" t="s">
        <v>209</v>
      </c>
      <c r="C85" s="6" t="s">
        <v>210</v>
      </c>
      <c r="D85" s="7" t="s">
        <v>211</v>
      </c>
      <c r="E85" s="6" t="s">
        <v>286</v>
      </c>
      <c r="F85" s="6" t="s">
        <v>599</v>
      </c>
      <c r="G85" s="6" t="s">
        <v>105</v>
      </c>
      <c r="H85" s="6" t="s">
        <v>600</v>
      </c>
      <c r="I85" s="6" t="s">
        <v>601</v>
      </c>
      <c r="J85" s="6" t="s">
        <v>602</v>
      </c>
      <c r="K85" s="6" t="s">
        <v>209</v>
      </c>
      <c r="L85" s="6" t="s">
        <v>89</v>
      </c>
      <c r="M85" s="6" t="s">
        <v>217</v>
      </c>
      <c r="N85" s="6">
        <v>22</v>
      </c>
      <c r="O85" s="6" t="s">
        <v>148</v>
      </c>
      <c r="P85" s="6">
        <v>5</v>
      </c>
      <c r="Q85" s="6">
        <v>5</v>
      </c>
      <c r="R85" s="6">
        <v>90</v>
      </c>
      <c r="T85" s="6" t="s">
        <v>71</v>
      </c>
      <c r="U85" s="6" t="s">
        <v>72</v>
      </c>
      <c r="V85" s="6" t="s">
        <v>73</v>
      </c>
      <c r="W85" s="7" t="s">
        <v>520</v>
      </c>
      <c r="X85" s="6" t="s">
        <v>72</v>
      </c>
      <c r="Y85" s="6" t="s">
        <v>72</v>
      </c>
      <c r="Z85" s="6" t="s">
        <v>72</v>
      </c>
      <c r="AA85" s="6" t="s">
        <v>72</v>
      </c>
      <c r="AB85" s="6" t="s">
        <v>71</v>
      </c>
      <c r="AC85" s="6" t="s">
        <v>72</v>
      </c>
      <c r="AD85" s="6" t="s">
        <v>72</v>
      </c>
      <c r="AE85" s="6" t="s">
        <v>72</v>
      </c>
      <c r="AF85" s="6" t="s">
        <v>72</v>
      </c>
      <c r="AG85" s="6" t="s">
        <v>72</v>
      </c>
      <c r="AH85" s="6" t="s">
        <v>72</v>
      </c>
      <c r="AI85" s="6" t="s">
        <v>71</v>
      </c>
      <c r="AJ85" s="6" t="s">
        <v>72</v>
      </c>
      <c r="AK85" s="6" t="s">
        <v>72</v>
      </c>
      <c r="AL85" s="6" t="s">
        <v>72</v>
      </c>
      <c r="AM85" s="6" t="s">
        <v>72</v>
      </c>
      <c r="AN85" s="6" t="s">
        <v>71</v>
      </c>
      <c r="AO85" s="6" t="s">
        <v>72</v>
      </c>
      <c r="AP85" s="6" t="s">
        <v>72</v>
      </c>
    </row>
    <row r="86" spans="1:43" ht="13.2">
      <c r="A86" s="5">
        <v>45363.707946979164</v>
      </c>
      <c r="B86" s="6" t="s">
        <v>603</v>
      </c>
      <c r="C86" s="6" t="s">
        <v>604</v>
      </c>
      <c r="D86" s="7" t="s">
        <v>605</v>
      </c>
      <c r="E86" s="6" t="s">
        <v>133</v>
      </c>
      <c r="F86" s="6" t="s">
        <v>192</v>
      </c>
      <c r="G86" s="6" t="s">
        <v>64</v>
      </c>
      <c r="H86" s="6" t="s">
        <v>606</v>
      </c>
      <c r="I86" s="6" t="s">
        <v>607</v>
      </c>
      <c r="J86" s="6" t="s">
        <v>608</v>
      </c>
      <c r="K86" s="6" t="s">
        <v>603</v>
      </c>
      <c r="L86" s="6" t="s">
        <v>89</v>
      </c>
      <c r="M86" s="6" t="s">
        <v>190</v>
      </c>
      <c r="N86" s="6">
        <v>35</v>
      </c>
      <c r="O86" s="6" t="s">
        <v>70</v>
      </c>
      <c r="P86" s="6">
        <v>2</v>
      </c>
      <c r="Q86" s="6">
        <v>3</v>
      </c>
      <c r="R86" s="6">
        <v>75</v>
      </c>
      <c r="T86" s="6" t="s">
        <v>71</v>
      </c>
      <c r="U86" s="6" t="s">
        <v>72</v>
      </c>
      <c r="V86" s="6" t="s">
        <v>73</v>
      </c>
      <c r="W86" s="7" t="s">
        <v>520</v>
      </c>
      <c r="X86" s="6" t="s">
        <v>71</v>
      </c>
      <c r="Y86" s="6" t="s">
        <v>72</v>
      </c>
      <c r="Z86" s="6" t="s">
        <v>72</v>
      </c>
      <c r="AA86" s="6" t="s">
        <v>72</v>
      </c>
      <c r="AB86" s="6" t="s">
        <v>72</v>
      </c>
      <c r="AC86" s="6" t="s">
        <v>71</v>
      </c>
      <c r="AD86" s="6" t="s">
        <v>72</v>
      </c>
      <c r="AE86" s="6" t="s">
        <v>72</v>
      </c>
      <c r="AF86" s="6" t="s">
        <v>72</v>
      </c>
      <c r="AG86" s="6" t="s">
        <v>72</v>
      </c>
      <c r="AH86" s="6" t="s">
        <v>72</v>
      </c>
      <c r="AI86" s="6" t="s">
        <v>72</v>
      </c>
      <c r="AJ86" s="6" t="s">
        <v>71</v>
      </c>
      <c r="AK86" s="6" t="s">
        <v>72</v>
      </c>
      <c r="AL86" s="6" t="s">
        <v>72</v>
      </c>
      <c r="AM86" s="6" t="s">
        <v>71</v>
      </c>
      <c r="AN86" s="6" t="s">
        <v>72</v>
      </c>
      <c r="AO86" s="6" t="s">
        <v>72</v>
      </c>
      <c r="AP86" s="6" t="s">
        <v>72</v>
      </c>
      <c r="AQ86" s="6" t="s">
        <v>609</v>
      </c>
    </row>
    <row r="87" spans="1:43" ht="13.2">
      <c r="A87" s="5">
        <v>45363.710773865736</v>
      </c>
      <c r="B87" s="6" t="s">
        <v>603</v>
      </c>
      <c r="C87" s="6" t="s">
        <v>610</v>
      </c>
      <c r="D87" s="7" t="s">
        <v>605</v>
      </c>
      <c r="E87" s="6" t="s">
        <v>133</v>
      </c>
      <c r="F87" s="6" t="s">
        <v>192</v>
      </c>
      <c r="G87" s="6" t="s">
        <v>64</v>
      </c>
      <c r="H87" s="6" t="s">
        <v>187</v>
      </c>
      <c r="I87" s="6" t="s">
        <v>611</v>
      </c>
      <c r="J87" s="6" t="s">
        <v>612</v>
      </c>
      <c r="K87" s="6" t="s">
        <v>603</v>
      </c>
      <c r="L87" s="6" t="s">
        <v>89</v>
      </c>
      <c r="M87" s="6" t="s">
        <v>190</v>
      </c>
      <c r="N87" s="6">
        <v>35</v>
      </c>
      <c r="O87" s="6" t="s">
        <v>70</v>
      </c>
      <c r="P87" s="6">
        <v>2</v>
      </c>
      <c r="Q87" s="6">
        <v>3</v>
      </c>
      <c r="R87" s="6">
        <v>75</v>
      </c>
      <c r="T87" s="6" t="s">
        <v>71</v>
      </c>
      <c r="U87" s="6" t="s">
        <v>72</v>
      </c>
      <c r="V87" s="6" t="s">
        <v>73</v>
      </c>
      <c r="W87" s="7" t="s">
        <v>520</v>
      </c>
      <c r="X87" s="6" t="s">
        <v>71</v>
      </c>
      <c r="Y87" s="6" t="s">
        <v>72</v>
      </c>
      <c r="Z87" s="6" t="s">
        <v>72</v>
      </c>
      <c r="AA87" s="6" t="s">
        <v>72</v>
      </c>
      <c r="AB87" s="6" t="s">
        <v>72</v>
      </c>
      <c r="AC87" s="6" t="s">
        <v>71</v>
      </c>
      <c r="AD87" s="6" t="s">
        <v>72</v>
      </c>
      <c r="AE87" s="6" t="s">
        <v>72</v>
      </c>
      <c r="AF87" s="6" t="s">
        <v>72</v>
      </c>
      <c r="AG87" s="6" t="s">
        <v>72</v>
      </c>
      <c r="AH87" s="6" t="s">
        <v>72</v>
      </c>
      <c r="AI87" s="6" t="s">
        <v>72</v>
      </c>
      <c r="AJ87" s="6" t="s">
        <v>71</v>
      </c>
      <c r="AK87" s="6" t="s">
        <v>72</v>
      </c>
      <c r="AL87" s="6" t="s">
        <v>72</v>
      </c>
      <c r="AM87" s="6" t="s">
        <v>71</v>
      </c>
      <c r="AN87" s="6" t="s">
        <v>72</v>
      </c>
      <c r="AO87" s="6" t="s">
        <v>72</v>
      </c>
      <c r="AP87" s="6" t="s">
        <v>72</v>
      </c>
      <c r="AQ87" s="6" t="s">
        <v>609</v>
      </c>
    </row>
    <row r="88" spans="1:43" ht="13.2">
      <c r="A88" s="5">
        <v>45363.723644571757</v>
      </c>
      <c r="B88" s="6" t="s">
        <v>195</v>
      </c>
      <c r="C88" s="6" t="s">
        <v>613</v>
      </c>
      <c r="D88" s="6">
        <v>61338200</v>
      </c>
      <c r="E88" s="6" t="s">
        <v>62</v>
      </c>
      <c r="F88" s="6" t="s">
        <v>104</v>
      </c>
      <c r="G88" s="6" t="s">
        <v>64</v>
      </c>
      <c r="H88" s="6" t="s">
        <v>614</v>
      </c>
      <c r="I88" s="6" t="s">
        <v>615</v>
      </c>
      <c r="J88" s="6" t="s">
        <v>616</v>
      </c>
      <c r="K88" s="6" t="s">
        <v>195</v>
      </c>
      <c r="L88" s="6" t="s">
        <v>68</v>
      </c>
      <c r="M88" s="6" t="s">
        <v>617</v>
      </c>
      <c r="N88" s="6">
        <v>30</v>
      </c>
      <c r="O88" s="6" t="s">
        <v>70</v>
      </c>
      <c r="P88" s="6">
        <v>5</v>
      </c>
      <c r="Q88" s="6">
        <v>5</v>
      </c>
      <c r="R88" s="6">
        <v>40</v>
      </c>
      <c r="S88" s="6" t="s">
        <v>200</v>
      </c>
      <c r="T88" s="6" t="s">
        <v>71</v>
      </c>
      <c r="U88" s="6" t="s">
        <v>72</v>
      </c>
      <c r="V88" s="6" t="s">
        <v>73</v>
      </c>
      <c r="W88" s="7" t="s">
        <v>520</v>
      </c>
      <c r="X88" s="6" t="s">
        <v>71</v>
      </c>
      <c r="Y88" s="6" t="s">
        <v>72</v>
      </c>
      <c r="Z88" s="6" t="s">
        <v>72</v>
      </c>
      <c r="AA88" s="6" t="s">
        <v>72</v>
      </c>
      <c r="AB88" s="6" t="s">
        <v>72</v>
      </c>
      <c r="AC88" s="6" t="s">
        <v>72</v>
      </c>
      <c r="AD88" s="6" t="s">
        <v>72</v>
      </c>
      <c r="AE88" s="6" t="s">
        <v>71</v>
      </c>
      <c r="AF88" s="6" t="s">
        <v>72</v>
      </c>
      <c r="AG88" s="6" t="s">
        <v>72</v>
      </c>
      <c r="AH88" s="6" t="s">
        <v>72</v>
      </c>
      <c r="AI88" s="6" t="s">
        <v>71</v>
      </c>
      <c r="AK88" s="6" t="s">
        <v>72</v>
      </c>
      <c r="AL88" s="6" t="s">
        <v>72</v>
      </c>
      <c r="AM88" s="6" t="s">
        <v>72</v>
      </c>
      <c r="AN88" s="6" t="s">
        <v>71</v>
      </c>
      <c r="AO88" s="6" t="s">
        <v>72</v>
      </c>
      <c r="AP88" s="6" t="s">
        <v>72</v>
      </c>
    </row>
    <row r="89" spans="1:43" ht="13.2">
      <c r="A89" s="5">
        <v>45363.726919548615</v>
      </c>
      <c r="B89" s="6" t="s">
        <v>195</v>
      </c>
      <c r="C89" s="6" t="s">
        <v>618</v>
      </c>
      <c r="D89" s="6">
        <v>61338200</v>
      </c>
      <c r="E89" s="6" t="s">
        <v>62</v>
      </c>
      <c r="F89" s="6" t="s">
        <v>619</v>
      </c>
      <c r="G89" s="6" t="s">
        <v>64</v>
      </c>
      <c r="H89" s="6" t="s">
        <v>620</v>
      </c>
      <c r="I89" s="6" t="s">
        <v>621</v>
      </c>
      <c r="J89" s="6" t="s">
        <v>622</v>
      </c>
      <c r="K89" s="6" t="s">
        <v>195</v>
      </c>
      <c r="L89" s="6" t="s">
        <v>68</v>
      </c>
      <c r="M89" s="6" t="s">
        <v>623</v>
      </c>
      <c r="N89" s="6">
        <v>30</v>
      </c>
      <c r="O89" s="6" t="s">
        <v>70</v>
      </c>
      <c r="P89" s="6">
        <v>5</v>
      </c>
      <c r="Q89" s="6">
        <v>5</v>
      </c>
      <c r="R89" s="6">
        <v>40</v>
      </c>
      <c r="S89" s="6" t="s">
        <v>200</v>
      </c>
      <c r="T89" s="6" t="s">
        <v>71</v>
      </c>
      <c r="U89" s="6" t="s">
        <v>71</v>
      </c>
      <c r="V89" s="6" t="s">
        <v>109</v>
      </c>
      <c r="W89" s="7" t="s">
        <v>520</v>
      </c>
      <c r="X89" s="6" t="s">
        <v>71</v>
      </c>
      <c r="Y89" s="6" t="s">
        <v>72</v>
      </c>
      <c r="Z89" s="6" t="s">
        <v>72</v>
      </c>
      <c r="AA89" s="6" t="s">
        <v>72</v>
      </c>
      <c r="AB89" s="6" t="s">
        <v>72</v>
      </c>
      <c r="AC89" s="6" t="s">
        <v>72</v>
      </c>
      <c r="AD89" s="6" t="s">
        <v>72</v>
      </c>
      <c r="AE89" s="6" t="s">
        <v>71</v>
      </c>
      <c r="AF89" s="6" t="s">
        <v>72</v>
      </c>
      <c r="AG89" s="6" t="s">
        <v>72</v>
      </c>
      <c r="AH89" s="6" t="s">
        <v>72</v>
      </c>
      <c r="AI89" s="6" t="s">
        <v>71</v>
      </c>
      <c r="AJ89" s="6" t="s">
        <v>72</v>
      </c>
      <c r="AK89" s="6" t="s">
        <v>72</v>
      </c>
      <c r="AL89" s="6" t="s">
        <v>72</v>
      </c>
      <c r="AM89" s="6" t="s">
        <v>72</v>
      </c>
      <c r="AN89" s="6" t="s">
        <v>71</v>
      </c>
      <c r="AO89" s="6" t="s">
        <v>72</v>
      </c>
      <c r="AP89" s="6" t="s">
        <v>72</v>
      </c>
    </row>
    <row r="90" spans="1:43" ht="13.2">
      <c r="A90" s="5">
        <v>45363.726925532406</v>
      </c>
      <c r="B90" s="6" t="s">
        <v>624</v>
      </c>
      <c r="C90" s="6" t="s">
        <v>625</v>
      </c>
      <c r="D90" s="6">
        <v>1111111</v>
      </c>
      <c r="E90" s="6" t="s">
        <v>62</v>
      </c>
      <c r="F90" s="6" t="s">
        <v>198</v>
      </c>
      <c r="G90" s="6" t="s">
        <v>105</v>
      </c>
      <c r="H90" s="6" t="s">
        <v>626</v>
      </c>
      <c r="I90" s="6" t="s">
        <v>627</v>
      </c>
      <c r="K90" s="6" t="s">
        <v>624</v>
      </c>
      <c r="L90" s="6" t="s">
        <v>138</v>
      </c>
      <c r="M90" s="6" t="s">
        <v>628</v>
      </c>
      <c r="N90" s="6">
        <v>35</v>
      </c>
      <c r="O90" s="6" t="s">
        <v>282</v>
      </c>
      <c r="P90" s="6">
        <v>5</v>
      </c>
      <c r="Q90" s="6">
        <v>5</v>
      </c>
      <c r="R90" s="6">
        <v>0</v>
      </c>
      <c r="T90" s="6" t="s">
        <v>71</v>
      </c>
      <c r="U90" s="6" t="s">
        <v>71</v>
      </c>
      <c r="V90" s="6" t="s">
        <v>109</v>
      </c>
      <c r="W90" s="7" t="s">
        <v>520</v>
      </c>
      <c r="X90" s="6" t="s">
        <v>71</v>
      </c>
      <c r="Y90" s="6" t="s">
        <v>71</v>
      </c>
      <c r="Z90" s="6" t="s">
        <v>71</v>
      </c>
      <c r="AA90" s="6" t="s">
        <v>71</v>
      </c>
      <c r="AB90" s="6" t="s">
        <v>71</v>
      </c>
      <c r="AC90" s="6" t="s">
        <v>71</v>
      </c>
      <c r="AD90" s="6" t="s">
        <v>71</v>
      </c>
      <c r="AE90" s="6" t="s">
        <v>71</v>
      </c>
      <c r="AF90" s="6" t="s">
        <v>72</v>
      </c>
      <c r="AG90" s="6" t="s">
        <v>72</v>
      </c>
      <c r="AH90" s="6" t="s">
        <v>71</v>
      </c>
      <c r="AM90" s="6" t="s">
        <v>71</v>
      </c>
      <c r="AN90" s="6" t="s">
        <v>71</v>
      </c>
    </row>
    <row r="91" spans="1:43" ht="13.2">
      <c r="A91" s="5">
        <v>45363.729623333333</v>
      </c>
      <c r="B91" s="6" t="s">
        <v>624</v>
      </c>
      <c r="C91" s="6" t="s">
        <v>629</v>
      </c>
      <c r="D91" s="6">
        <v>1111111</v>
      </c>
      <c r="E91" s="6" t="s">
        <v>62</v>
      </c>
      <c r="F91" s="6" t="s">
        <v>630</v>
      </c>
      <c r="G91" s="6" t="s">
        <v>105</v>
      </c>
      <c r="H91" s="6" t="s">
        <v>626</v>
      </c>
      <c r="I91" s="6" t="s">
        <v>631</v>
      </c>
      <c r="K91" s="6" t="s">
        <v>624</v>
      </c>
      <c r="L91" s="6" t="s">
        <v>138</v>
      </c>
      <c r="M91" s="6" t="s">
        <v>628</v>
      </c>
      <c r="N91" s="6">
        <v>35</v>
      </c>
      <c r="O91" s="6" t="s">
        <v>282</v>
      </c>
      <c r="P91" s="6">
        <v>5</v>
      </c>
      <c r="Q91" s="6">
        <v>5</v>
      </c>
      <c r="R91" s="6">
        <v>0</v>
      </c>
      <c r="T91" s="6" t="s">
        <v>71</v>
      </c>
      <c r="U91" s="6" t="s">
        <v>71</v>
      </c>
      <c r="V91" s="6" t="s">
        <v>109</v>
      </c>
      <c r="W91" s="7" t="s">
        <v>520</v>
      </c>
      <c r="X91" s="6" t="s">
        <v>71</v>
      </c>
      <c r="Y91" s="6" t="s">
        <v>71</v>
      </c>
      <c r="Z91" s="6" t="s">
        <v>71</v>
      </c>
      <c r="AA91" s="6" t="s">
        <v>71</v>
      </c>
      <c r="AB91" s="6" t="s">
        <v>71</v>
      </c>
      <c r="AC91" s="6" t="s">
        <v>71</v>
      </c>
      <c r="AD91" s="6" t="s">
        <v>71</v>
      </c>
      <c r="AE91" s="6" t="s">
        <v>71</v>
      </c>
      <c r="AF91" s="6" t="s">
        <v>71</v>
      </c>
      <c r="AG91" s="6" t="s">
        <v>71</v>
      </c>
      <c r="AH91" s="6" t="s">
        <v>71</v>
      </c>
      <c r="AI91" s="6" t="s">
        <v>71</v>
      </c>
      <c r="AJ91" s="6" t="s">
        <v>71</v>
      </c>
      <c r="AK91" s="6" t="s">
        <v>71</v>
      </c>
      <c r="AL91" s="6" t="s">
        <v>71</v>
      </c>
      <c r="AM91" s="6" t="s">
        <v>71</v>
      </c>
      <c r="AN91" s="6" t="s">
        <v>71</v>
      </c>
      <c r="AO91" s="6" t="s">
        <v>71</v>
      </c>
      <c r="AP91" s="6" t="s">
        <v>71</v>
      </c>
    </row>
    <row r="92" spans="1:43" ht="13.2">
      <c r="A92" s="5">
        <v>45363.865755532403</v>
      </c>
      <c r="B92" s="6" t="s">
        <v>632</v>
      </c>
      <c r="C92" s="6" t="s">
        <v>633</v>
      </c>
      <c r="D92" s="7" t="s">
        <v>634</v>
      </c>
      <c r="E92" s="6" t="s">
        <v>62</v>
      </c>
      <c r="F92" s="6" t="s">
        <v>635</v>
      </c>
      <c r="G92" s="6" t="s">
        <v>105</v>
      </c>
      <c r="H92" s="6" t="s">
        <v>636</v>
      </c>
      <c r="I92" s="6" t="s">
        <v>637</v>
      </c>
      <c r="J92" s="6" t="s">
        <v>638</v>
      </c>
      <c r="K92" s="6" t="s">
        <v>632</v>
      </c>
      <c r="L92" s="6" t="s">
        <v>245</v>
      </c>
      <c r="M92" s="6" t="s">
        <v>639</v>
      </c>
      <c r="N92" s="6">
        <v>35</v>
      </c>
      <c r="O92" s="6" t="s">
        <v>70</v>
      </c>
      <c r="P92" s="6">
        <v>3</v>
      </c>
      <c r="Q92" s="6">
        <v>5</v>
      </c>
      <c r="R92" s="6">
        <v>40</v>
      </c>
      <c r="T92" s="6" t="s">
        <v>72</v>
      </c>
      <c r="U92" s="6" t="s">
        <v>71</v>
      </c>
      <c r="V92" s="6" t="s">
        <v>351</v>
      </c>
      <c r="W92" s="7" t="s">
        <v>520</v>
      </c>
      <c r="X92" s="6" t="s">
        <v>72</v>
      </c>
      <c r="Y92" s="6" t="s">
        <v>72</v>
      </c>
      <c r="Z92" s="6" t="s">
        <v>72</v>
      </c>
      <c r="AA92" s="6" t="s">
        <v>72</v>
      </c>
      <c r="AB92" s="6" t="s">
        <v>72</v>
      </c>
      <c r="AC92" s="6" t="s">
        <v>72</v>
      </c>
      <c r="AD92" s="6" t="s">
        <v>72</v>
      </c>
      <c r="AE92" s="6" t="s">
        <v>71</v>
      </c>
      <c r="AF92" s="6" t="s">
        <v>72</v>
      </c>
      <c r="AG92" s="6" t="s">
        <v>72</v>
      </c>
      <c r="AK92" s="6" t="s">
        <v>71</v>
      </c>
      <c r="AP92" s="6" t="s">
        <v>71</v>
      </c>
      <c r="AQ92" s="6" t="s">
        <v>640</v>
      </c>
    </row>
    <row r="93" spans="1:43" ht="13.2">
      <c r="A93" s="5">
        <v>45363.86855363426</v>
      </c>
      <c r="B93" s="6" t="s">
        <v>641</v>
      </c>
      <c r="C93" s="6" t="s">
        <v>642</v>
      </c>
      <c r="D93" s="6">
        <v>20129700</v>
      </c>
      <c r="E93" s="6" t="s">
        <v>62</v>
      </c>
      <c r="F93" s="6" t="s">
        <v>643</v>
      </c>
      <c r="G93" s="6" t="s">
        <v>105</v>
      </c>
      <c r="H93" s="6" t="s">
        <v>644</v>
      </c>
      <c r="I93" s="6" t="s">
        <v>645</v>
      </c>
      <c r="J93" s="6" t="s">
        <v>646</v>
      </c>
      <c r="K93" s="6" t="s">
        <v>641</v>
      </c>
      <c r="L93" s="6" t="s">
        <v>89</v>
      </c>
      <c r="M93" s="6" t="s">
        <v>208</v>
      </c>
      <c r="N93" s="6">
        <v>26</v>
      </c>
      <c r="O93" s="6" t="s">
        <v>70</v>
      </c>
      <c r="P93" s="6">
        <v>5</v>
      </c>
      <c r="Q93" s="6">
        <v>4</v>
      </c>
      <c r="R93" s="6">
        <v>10</v>
      </c>
      <c r="T93" s="6" t="s">
        <v>71</v>
      </c>
      <c r="U93" s="6" t="s">
        <v>72</v>
      </c>
      <c r="V93" s="6" t="s">
        <v>73</v>
      </c>
      <c r="W93" s="7" t="s">
        <v>520</v>
      </c>
      <c r="X93" s="6" t="s">
        <v>71</v>
      </c>
      <c r="Y93" s="6" t="s">
        <v>72</v>
      </c>
      <c r="Z93" s="6" t="s">
        <v>72</v>
      </c>
      <c r="AA93" s="6" t="s">
        <v>72</v>
      </c>
      <c r="AB93" s="6" t="s">
        <v>72</v>
      </c>
      <c r="AC93" s="6" t="s">
        <v>71</v>
      </c>
      <c r="AD93" s="6" t="s">
        <v>72</v>
      </c>
      <c r="AE93" s="6" t="s">
        <v>72</v>
      </c>
      <c r="AF93" s="6" t="s">
        <v>72</v>
      </c>
      <c r="AG93" s="6" t="s">
        <v>72</v>
      </c>
      <c r="AH93" s="6" t="s">
        <v>72</v>
      </c>
      <c r="AI93" s="6" t="s">
        <v>72</v>
      </c>
      <c r="AJ93" s="6" t="s">
        <v>71</v>
      </c>
      <c r="AK93" s="6" t="s">
        <v>72</v>
      </c>
      <c r="AL93" s="6" t="s">
        <v>72</v>
      </c>
      <c r="AM93" s="6" t="s">
        <v>72</v>
      </c>
      <c r="AN93" s="6" t="s">
        <v>72</v>
      </c>
      <c r="AO93" s="6" t="s">
        <v>72</v>
      </c>
      <c r="AP93" s="6" t="s">
        <v>72</v>
      </c>
    </row>
    <row r="94" spans="1:43" ht="13.2">
      <c r="A94" s="5">
        <v>45363.972373113429</v>
      </c>
      <c r="B94" s="6" t="s">
        <v>647</v>
      </c>
      <c r="C94" s="6" t="s">
        <v>648</v>
      </c>
      <c r="D94" s="7" t="s">
        <v>649</v>
      </c>
      <c r="E94" s="6" t="s">
        <v>506</v>
      </c>
      <c r="F94" s="6" t="s">
        <v>650</v>
      </c>
      <c r="G94" s="6" t="s">
        <v>64</v>
      </c>
      <c r="H94" s="6" t="s">
        <v>651</v>
      </c>
      <c r="I94" s="6" t="s">
        <v>652</v>
      </c>
      <c r="J94" s="6" t="s">
        <v>653</v>
      </c>
      <c r="K94" s="6" t="s">
        <v>654</v>
      </c>
      <c r="L94" s="6" t="s">
        <v>138</v>
      </c>
      <c r="M94" s="6" t="s">
        <v>655</v>
      </c>
      <c r="N94" s="6">
        <v>22</v>
      </c>
      <c r="O94" s="6" t="s">
        <v>148</v>
      </c>
      <c r="P94" s="6">
        <v>5</v>
      </c>
      <c r="Q94" s="6">
        <v>3</v>
      </c>
      <c r="R94" s="6">
        <v>0</v>
      </c>
      <c r="S94" s="6" t="s">
        <v>656</v>
      </c>
      <c r="T94" s="6" t="s">
        <v>71</v>
      </c>
      <c r="U94" s="6" t="s">
        <v>71</v>
      </c>
      <c r="V94" s="6" t="s">
        <v>109</v>
      </c>
      <c r="W94" s="7" t="s">
        <v>520</v>
      </c>
      <c r="X94" s="6" t="s">
        <v>71</v>
      </c>
      <c r="Y94" s="6" t="s">
        <v>71</v>
      </c>
      <c r="Z94" s="6" t="s">
        <v>71</v>
      </c>
      <c r="AA94" s="6" t="s">
        <v>72</v>
      </c>
      <c r="AB94" s="6" t="s">
        <v>71</v>
      </c>
      <c r="AC94" s="6" t="s">
        <v>71</v>
      </c>
      <c r="AD94" s="6" t="s">
        <v>71</v>
      </c>
      <c r="AE94" s="6" t="s">
        <v>71</v>
      </c>
      <c r="AF94" s="6" t="s">
        <v>71</v>
      </c>
      <c r="AG94" s="6" t="s">
        <v>72</v>
      </c>
      <c r="AH94" s="6" t="s">
        <v>71</v>
      </c>
      <c r="AI94" s="6" t="s">
        <v>71</v>
      </c>
      <c r="AJ94" s="6" t="s">
        <v>71</v>
      </c>
      <c r="AK94" s="6" t="s">
        <v>71</v>
      </c>
      <c r="AL94" s="6" t="s">
        <v>72</v>
      </c>
      <c r="AM94" s="6" t="s">
        <v>71</v>
      </c>
      <c r="AN94" s="6" t="s">
        <v>71</v>
      </c>
      <c r="AO94" s="6" t="s">
        <v>72</v>
      </c>
      <c r="AP94" s="6" t="s">
        <v>72</v>
      </c>
    </row>
    <row r="95" spans="1:43" ht="13.2">
      <c r="A95" s="5">
        <v>45364.024851504626</v>
      </c>
      <c r="B95" s="6" t="s">
        <v>657</v>
      </c>
      <c r="C95" s="6" t="s">
        <v>658</v>
      </c>
      <c r="D95" s="7" t="s">
        <v>659</v>
      </c>
      <c r="E95" s="6" t="s">
        <v>62</v>
      </c>
      <c r="F95" s="6" t="s">
        <v>660</v>
      </c>
      <c r="G95" s="6" t="s">
        <v>105</v>
      </c>
      <c r="H95" s="6" t="s">
        <v>221</v>
      </c>
      <c r="I95" s="6" t="s">
        <v>661</v>
      </c>
      <c r="J95" s="6" t="s">
        <v>662</v>
      </c>
      <c r="K95" s="6" t="s">
        <v>663</v>
      </c>
      <c r="L95" s="6" t="s">
        <v>89</v>
      </c>
      <c r="M95" s="6" t="s">
        <v>664</v>
      </c>
      <c r="N95" s="6">
        <v>35</v>
      </c>
      <c r="O95" s="6" t="s">
        <v>70</v>
      </c>
      <c r="P95" s="6">
        <v>3</v>
      </c>
      <c r="Q95" s="6">
        <v>3</v>
      </c>
      <c r="R95" s="6">
        <v>80</v>
      </c>
      <c r="S95" s="6" t="s">
        <v>665</v>
      </c>
      <c r="T95" s="6" t="s">
        <v>71</v>
      </c>
      <c r="U95" s="6" t="s">
        <v>72</v>
      </c>
      <c r="V95" s="6" t="s">
        <v>73</v>
      </c>
      <c r="W95" s="7" t="s">
        <v>520</v>
      </c>
      <c r="X95" s="6" t="s">
        <v>72</v>
      </c>
      <c r="Y95" s="6" t="s">
        <v>72</v>
      </c>
      <c r="Z95" s="6" t="s">
        <v>71</v>
      </c>
      <c r="AA95" s="6" t="s">
        <v>72</v>
      </c>
      <c r="AB95" s="6" t="s">
        <v>72</v>
      </c>
      <c r="AC95" s="6" t="s">
        <v>72</v>
      </c>
      <c r="AD95" s="6" t="s">
        <v>72</v>
      </c>
      <c r="AE95" s="6" t="s">
        <v>72</v>
      </c>
      <c r="AF95" s="6" t="s">
        <v>72</v>
      </c>
      <c r="AG95" s="6" t="s">
        <v>72</v>
      </c>
      <c r="AH95" s="6" t="s">
        <v>71</v>
      </c>
      <c r="AI95" s="6" t="s">
        <v>72</v>
      </c>
      <c r="AJ95" s="6" t="s">
        <v>72</v>
      </c>
      <c r="AK95" s="6" t="s">
        <v>72</v>
      </c>
      <c r="AL95" s="6" t="s">
        <v>72</v>
      </c>
      <c r="AM95" s="6" t="s">
        <v>71</v>
      </c>
      <c r="AN95" s="6" t="s">
        <v>72</v>
      </c>
      <c r="AO95" s="6" t="s">
        <v>72</v>
      </c>
      <c r="AP95" s="6" t="s">
        <v>72</v>
      </c>
    </row>
    <row r="96" spans="1:43" ht="13.2">
      <c r="A96" s="5">
        <v>45364.025561747687</v>
      </c>
      <c r="B96" s="6" t="s">
        <v>666</v>
      </c>
      <c r="C96" s="6" t="s">
        <v>667</v>
      </c>
      <c r="D96" s="7" t="s">
        <v>634</v>
      </c>
      <c r="E96" s="6" t="s">
        <v>62</v>
      </c>
      <c r="F96" s="6" t="s">
        <v>198</v>
      </c>
      <c r="G96" s="6" t="s">
        <v>105</v>
      </c>
      <c r="H96" s="6" t="s">
        <v>637</v>
      </c>
      <c r="I96" s="6" t="s">
        <v>668</v>
      </c>
      <c r="J96" s="6" t="s">
        <v>669</v>
      </c>
      <c r="K96" s="6" t="s">
        <v>666</v>
      </c>
      <c r="L96" s="6" t="s">
        <v>245</v>
      </c>
      <c r="M96" s="6" t="s">
        <v>670</v>
      </c>
      <c r="N96" s="6">
        <v>35</v>
      </c>
      <c r="O96" s="6" t="s">
        <v>70</v>
      </c>
      <c r="P96" s="6">
        <v>3</v>
      </c>
      <c r="Q96" s="6">
        <v>4</v>
      </c>
      <c r="R96" s="6">
        <v>40</v>
      </c>
      <c r="T96" s="6" t="s">
        <v>71</v>
      </c>
      <c r="U96" s="6" t="s">
        <v>71</v>
      </c>
      <c r="V96" s="6" t="s">
        <v>109</v>
      </c>
      <c r="W96" s="7" t="s">
        <v>520</v>
      </c>
      <c r="X96" s="6" t="s">
        <v>72</v>
      </c>
      <c r="Y96" s="6" t="s">
        <v>71</v>
      </c>
      <c r="Z96" s="6" t="s">
        <v>71</v>
      </c>
      <c r="AA96" s="6" t="s">
        <v>71</v>
      </c>
      <c r="AB96" s="6" t="s">
        <v>72</v>
      </c>
      <c r="AC96" s="6" t="s">
        <v>71</v>
      </c>
      <c r="AD96" s="6" t="s">
        <v>71</v>
      </c>
      <c r="AE96" s="6" t="s">
        <v>71</v>
      </c>
      <c r="AF96" s="6" t="s">
        <v>71</v>
      </c>
      <c r="AG96" s="6" t="s">
        <v>71</v>
      </c>
      <c r="AH96" s="6" t="s">
        <v>72</v>
      </c>
      <c r="AI96" s="6" t="s">
        <v>71</v>
      </c>
      <c r="AJ96" s="6" t="s">
        <v>71</v>
      </c>
      <c r="AK96" s="6" t="s">
        <v>71</v>
      </c>
      <c r="AL96" s="6" t="s">
        <v>71</v>
      </c>
      <c r="AM96" s="6" t="s">
        <v>71</v>
      </c>
      <c r="AN96" s="6" t="s">
        <v>71</v>
      </c>
      <c r="AO96" s="6" t="s">
        <v>71</v>
      </c>
      <c r="AP96" s="6" t="s">
        <v>71</v>
      </c>
    </row>
    <row r="97" spans="1:101" ht="13.2">
      <c r="A97" s="5">
        <v>45364.037362789357</v>
      </c>
      <c r="B97" s="6" t="s">
        <v>657</v>
      </c>
      <c r="C97" s="6" t="s">
        <v>671</v>
      </c>
      <c r="D97" s="6">
        <v>201177</v>
      </c>
      <c r="E97" s="6" t="s">
        <v>62</v>
      </c>
      <c r="F97" s="6" t="s">
        <v>672</v>
      </c>
      <c r="G97" s="6" t="s">
        <v>105</v>
      </c>
      <c r="H97" s="6" t="s">
        <v>221</v>
      </c>
      <c r="I97" s="6" t="s">
        <v>673</v>
      </c>
      <c r="J97" s="6" t="s">
        <v>662</v>
      </c>
      <c r="K97" s="6" t="s">
        <v>657</v>
      </c>
      <c r="L97" s="6" t="s">
        <v>89</v>
      </c>
      <c r="M97" s="6" t="s">
        <v>664</v>
      </c>
      <c r="N97" s="6">
        <v>35</v>
      </c>
      <c r="O97" s="6" t="s">
        <v>70</v>
      </c>
      <c r="P97" s="6">
        <v>3</v>
      </c>
      <c r="Q97" s="6">
        <v>3</v>
      </c>
      <c r="R97" s="6">
        <v>85</v>
      </c>
      <c r="T97" s="6" t="s">
        <v>71</v>
      </c>
      <c r="U97" s="6" t="s">
        <v>72</v>
      </c>
      <c r="V97" s="6" t="s">
        <v>73</v>
      </c>
      <c r="W97" s="7" t="s">
        <v>520</v>
      </c>
      <c r="X97" s="6" t="s">
        <v>72</v>
      </c>
      <c r="Y97" s="6" t="s">
        <v>72</v>
      </c>
      <c r="Z97" s="6" t="s">
        <v>71</v>
      </c>
      <c r="AA97" s="6" t="s">
        <v>72</v>
      </c>
      <c r="AB97" s="6" t="s">
        <v>72</v>
      </c>
      <c r="AC97" s="6" t="s">
        <v>72</v>
      </c>
      <c r="AD97" s="6" t="s">
        <v>72</v>
      </c>
      <c r="AE97" s="6" t="s">
        <v>72</v>
      </c>
      <c r="AF97" s="6" t="s">
        <v>72</v>
      </c>
      <c r="AG97" s="6" t="s">
        <v>72</v>
      </c>
      <c r="AH97" s="6" t="s">
        <v>71</v>
      </c>
      <c r="AI97" s="6" t="s">
        <v>72</v>
      </c>
      <c r="AJ97" s="6" t="s">
        <v>72</v>
      </c>
      <c r="AK97" s="6" t="s">
        <v>72</v>
      </c>
      <c r="AL97" s="6" t="s">
        <v>72</v>
      </c>
      <c r="AM97" s="6" t="s">
        <v>72</v>
      </c>
      <c r="AN97" s="6" t="s">
        <v>71</v>
      </c>
      <c r="AO97" s="6" t="s">
        <v>72</v>
      </c>
      <c r="AP97" s="6" t="s">
        <v>72</v>
      </c>
    </row>
    <row r="98" spans="1:101" ht="13.2">
      <c r="A98" s="5">
        <v>45364.391120439817</v>
      </c>
      <c r="B98" s="6" t="s">
        <v>674</v>
      </c>
      <c r="C98" s="6" t="s">
        <v>675</v>
      </c>
      <c r="D98" s="6">
        <v>61</v>
      </c>
      <c r="E98" s="6" t="s">
        <v>133</v>
      </c>
      <c r="F98" s="6" t="s">
        <v>676</v>
      </c>
      <c r="G98" s="6" t="s">
        <v>64</v>
      </c>
      <c r="H98" s="6" t="s">
        <v>677</v>
      </c>
      <c r="I98" s="6" t="s">
        <v>678</v>
      </c>
      <c r="J98" s="6" t="s">
        <v>679</v>
      </c>
      <c r="K98" s="6" t="s">
        <v>680</v>
      </c>
      <c r="L98" s="6" t="s">
        <v>89</v>
      </c>
      <c r="M98" s="6" t="s">
        <v>681</v>
      </c>
      <c r="N98" s="6">
        <v>35</v>
      </c>
      <c r="O98" s="6" t="s">
        <v>70</v>
      </c>
      <c r="P98" s="6">
        <v>4</v>
      </c>
      <c r="Q98" s="6">
        <v>4</v>
      </c>
      <c r="R98" s="6">
        <v>10</v>
      </c>
      <c r="T98" s="6" t="s">
        <v>71</v>
      </c>
      <c r="U98" s="6" t="s">
        <v>72</v>
      </c>
      <c r="V98" s="6" t="s">
        <v>73</v>
      </c>
      <c r="W98" s="7" t="s">
        <v>520</v>
      </c>
      <c r="X98" s="6" t="s">
        <v>71</v>
      </c>
      <c r="Y98" s="6" t="s">
        <v>71</v>
      </c>
      <c r="Z98" s="6" t="s">
        <v>72</v>
      </c>
      <c r="AA98" s="6" t="s">
        <v>72</v>
      </c>
      <c r="AB98" s="6" t="s">
        <v>71</v>
      </c>
      <c r="AC98" s="6" t="s">
        <v>71</v>
      </c>
      <c r="AD98" s="6" t="s">
        <v>71</v>
      </c>
      <c r="AE98" s="6" t="s">
        <v>71</v>
      </c>
      <c r="AF98" s="6" t="s">
        <v>72</v>
      </c>
      <c r="AG98" s="6" t="s">
        <v>72</v>
      </c>
      <c r="AH98" s="6" t="s">
        <v>71</v>
      </c>
      <c r="AI98" s="6" t="s">
        <v>71</v>
      </c>
      <c r="AJ98" s="6" t="s">
        <v>71</v>
      </c>
      <c r="AK98" s="6" t="s">
        <v>72</v>
      </c>
      <c r="AL98" s="6" t="s">
        <v>72</v>
      </c>
      <c r="AM98" s="6" t="s">
        <v>71</v>
      </c>
      <c r="AN98" s="6" t="s">
        <v>71</v>
      </c>
      <c r="AO98" s="6" t="s">
        <v>72</v>
      </c>
      <c r="AP98" s="6" t="s">
        <v>72</v>
      </c>
    </row>
    <row r="99" spans="1:101" ht="13.2">
      <c r="A99" s="5">
        <v>45364.40170357639</v>
      </c>
      <c r="B99" s="6" t="s">
        <v>680</v>
      </c>
      <c r="C99" s="6" t="s">
        <v>682</v>
      </c>
      <c r="D99" s="6">
        <v>61</v>
      </c>
      <c r="E99" s="6" t="s">
        <v>133</v>
      </c>
      <c r="F99" s="6" t="s">
        <v>345</v>
      </c>
      <c r="G99" s="6" t="s">
        <v>64</v>
      </c>
      <c r="H99" s="6" t="s">
        <v>683</v>
      </c>
      <c r="I99" s="6" t="s">
        <v>684</v>
      </c>
      <c r="J99" s="6" t="s">
        <v>685</v>
      </c>
      <c r="K99" s="6" t="s">
        <v>680</v>
      </c>
      <c r="L99" s="6" t="s">
        <v>89</v>
      </c>
      <c r="M99" s="6" t="s">
        <v>686</v>
      </c>
      <c r="N99" s="6">
        <v>35</v>
      </c>
      <c r="O99" s="6" t="s">
        <v>70</v>
      </c>
      <c r="P99" s="6">
        <v>4</v>
      </c>
      <c r="Q99" s="6">
        <v>4</v>
      </c>
      <c r="R99" s="6">
        <v>10</v>
      </c>
      <c r="T99" s="6" t="s">
        <v>71</v>
      </c>
      <c r="U99" s="6" t="s">
        <v>72</v>
      </c>
      <c r="V99" s="6" t="s">
        <v>73</v>
      </c>
      <c r="W99" s="7" t="s">
        <v>520</v>
      </c>
      <c r="X99" s="6" t="s">
        <v>71</v>
      </c>
      <c r="Y99" s="6" t="s">
        <v>71</v>
      </c>
      <c r="Z99" s="6" t="s">
        <v>71</v>
      </c>
      <c r="AA99" s="6" t="s">
        <v>72</v>
      </c>
      <c r="AB99" s="6" t="s">
        <v>71</v>
      </c>
      <c r="AC99" s="6" t="s">
        <v>71</v>
      </c>
      <c r="AD99" s="6" t="s">
        <v>71</v>
      </c>
      <c r="AE99" s="6" t="s">
        <v>72</v>
      </c>
      <c r="AF99" s="6" t="s">
        <v>72</v>
      </c>
      <c r="AG99" s="6" t="s">
        <v>72</v>
      </c>
      <c r="AH99" s="6" t="s">
        <v>71</v>
      </c>
      <c r="AI99" s="6" t="s">
        <v>71</v>
      </c>
      <c r="AJ99" s="6" t="s">
        <v>71</v>
      </c>
      <c r="AK99" s="6" t="s">
        <v>72</v>
      </c>
      <c r="AL99" s="6" t="s">
        <v>72</v>
      </c>
      <c r="AM99" s="6" t="s">
        <v>71</v>
      </c>
      <c r="AN99" s="6" t="s">
        <v>71</v>
      </c>
      <c r="AO99" s="6" t="s">
        <v>72</v>
      </c>
      <c r="AP99" s="6" t="s">
        <v>72</v>
      </c>
      <c r="AQ99" s="6" t="s">
        <v>687</v>
      </c>
    </row>
    <row r="100" spans="1:101" ht="13.2">
      <c r="A100" s="5">
        <v>45364.428571932869</v>
      </c>
      <c r="B100" s="6" t="s">
        <v>688</v>
      </c>
      <c r="C100" s="6" t="s">
        <v>689</v>
      </c>
      <c r="D100" s="7" t="s">
        <v>690</v>
      </c>
      <c r="E100" s="6" t="s">
        <v>62</v>
      </c>
      <c r="F100" s="6" t="s">
        <v>691</v>
      </c>
      <c r="G100" s="6" t="s">
        <v>64</v>
      </c>
      <c r="H100" s="6" t="s">
        <v>692</v>
      </c>
      <c r="I100" s="6" t="s">
        <v>693</v>
      </c>
      <c r="J100" s="6" t="s">
        <v>694</v>
      </c>
      <c r="K100" s="6" t="s">
        <v>688</v>
      </c>
      <c r="L100" s="6" t="s">
        <v>138</v>
      </c>
      <c r="M100" s="6" t="s">
        <v>695</v>
      </c>
      <c r="N100" s="6">
        <v>32</v>
      </c>
      <c r="O100" s="6" t="s">
        <v>70</v>
      </c>
      <c r="P100" s="6">
        <v>5</v>
      </c>
      <c r="Q100" s="6">
        <v>3</v>
      </c>
      <c r="R100" s="6">
        <v>0</v>
      </c>
      <c r="T100" s="6" t="s">
        <v>71</v>
      </c>
      <c r="U100" s="6" t="s">
        <v>72</v>
      </c>
      <c r="V100" s="6" t="s">
        <v>73</v>
      </c>
      <c r="W100" s="7" t="s">
        <v>520</v>
      </c>
      <c r="X100" s="6" t="s">
        <v>71</v>
      </c>
      <c r="Y100" s="6" t="s">
        <v>71</v>
      </c>
      <c r="Z100" s="6" t="s">
        <v>71</v>
      </c>
      <c r="AA100" s="6" t="s">
        <v>72</v>
      </c>
      <c r="AB100" s="6" t="s">
        <v>71</v>
      </c>
      <c r="AC100" s="6" t="s">
        <v>71</v>
      </c>
      <c r="AD100" s="6" t="s">
        <v>71</v>
      </c>
      <c r="AE100" s="6" t="s">
        <v>72</v>
      </c>
      <c r="AF100" s="6" t="s">
        <v>72</v>
      </c>
      <c r="AG100" s="6" t="s">
        <v>72</v>
      </c>
      <c r="AH100" s="6" t="s">
        <v>71</v>
      </c>
      <c r="AI100" s="6" t="s">
        <v>71</v>
      </c>
      <c r="AJ100" s="6" t="s">
        <v>71</v>
      </c>
      <c r="AK100" s="6" t="s">
        <v>72</v>
      </c>
      <c r="AL100" s="6" t="s">
        <v>72</v>
      </c>
      <c r="AM100" s="6" t="s">
        <v>71</v>
      </c>
      <c r="AN100" s="6" t="s">
        <v>71</v>
      </c>
      <c r="AO100" s="6" t="s">
        <v>72</v>
      </c>
      <c r="AP100" s="6" t="s">
        <v>72</v>
      </c>
    </row>
    <row r="101" spans="1:101" ht="13.2">
      <c r="A101" s="5">
        <v>45364.428584062502</v>
      </c>
      <c r="B101" s="6" t="s">
        <v>696</v>
      </c>
      <c r="C101" s="6" t="s">
        <v>697</v>
      </c>
      <c r="D101" s="7" t="s">
        <v>690</v>
      </c>
      <c r="E101" s="6" t="s">
        <v>84</v>
      </c>
      <c r="F101" s="6" t="s">
        <v>698</v>
      </c>
      <c r="G101" s="6" t="s">
        <v>64</v>
      </c>
      <c r="H101" s="6" t="s">
        <v>699</v>
      </c>
      <c r="I101" s="6" t="s">
        <v>700</v>
      </c>
      <c r="J101" s="6" t="s">
        <v>701</v>
      </c>
      <c r="K101" s="6" t="s">
        <v>696</v>
      </c>
      <c r="L101" s="6" t="s">
        <v>138</v>
      </c>
      <c r="M101" s="6" t="s">
        <v>695</v>
      </c>
      <c r="N101" s="6">
        <v>35</v>
      </c>
      <c r="O101" s="6" t="s">
        <v>70</v>
      </c>
      <c r="P101" s="6">
        <v>5</v>
      </c>
      <c r="Q101" s="6">
        <v>3</v>
      </c>
      <c r="R101" s="6">
        <v>0</v>
      </c>
      <c r="T101" s="6" t="s">
        <v>71</v>
      </c>
      <c r="U101" s="6" t="s">
        <v>72</v>
      </c>
      <c r="V101" s="6" t="s">
        <v>73</v>
      </c>
      <c r="W101" s="7" t="s">
        <v>520</v>
      </c>
      <c r="X101" s="6" t="s">
        <v>71</v>
      </c>
      <c r="Y101" s="6" t="s">
        <v>71</v>
      </c>
      <c r="Z101" s="6" t="s">
        <v>71</v>
      </c>
      <c r="AA101" s="6" t="s">
        <v>72</v>
      </c>
      <c r="AB101" s="6" t="s">
        <v>71</v>
      </c>
      <c r="AC101" s="6" t="s">
        <v>71</v>
      </c>
      <c r="AD101" s="6" t="s">
        <v>71</v>
      </c>
      <c r="AE101" s="6" t="s">
        <v>72</v>
      </c>
      <c r="AF101" s="6" t="s">
        <v>72</v>
      </c>
      <c r="AG101" s="6" t="s">
        <v>72</v>
      </c>
      <c r="AH101" s="6" t="s">
        <v>71</v>
      </c>
      <c r="AI101" s="6" t="s">
        <v>71</v>
      </c>
      <c r="AJ101" s="6" t="s">
        <v>71</v>
      </c>
      <c r="AK101" s="6" t="s">
        <v>72</v>
      </c>
      <c r="AL101" s="6" t="s">
        <v>72</v>
      </c>
      <c r="AM101" s="6" t="s">
        <v>71</v>
      </c>
      <c r="AN101" s="6" t="s">
        <v>71</v>
      </c>
      <c r="AO101" s="6" t="s">
        <v>72</v>
      </c>
      <c r="AP101" s="6" t="s">
        <v>72</v>
      </c>
    </row>
    <row r="102" spans="1:101" ht="13.2">
      <c r="A102" s="5">
        <v>45364.760178344906</v>
      </c>
      <c r="B102" s="6" t="s">
        <v>702</v>
      </c>
      <c r="C102" s="6" t="s">
        <v>703</v>
      </c>
      <c r="D102" s="6">
        <v>641</v>
      </c>
      <c r="E102" s="6" t="s">
        <v>84</v>
      </c>
      <c r="F102" s="6" t="s">
        <v>249</v>
      </c>
      <c r="G102" s="6" t="s">
        <v>64</v>
      </c>
      <c r="H102" s="6" t="s">
        <v>704</v>
      </c>
      <c r="I102" s="6" t="s">
        <v>705</v>
      </c>
      <c r="J102" s="6" t="s">
        <v>706</v>
      </c>
      <c r="K102" s="6" t="s">
        <v>702</v>
      </c>
      <c r="L102" s="6" t="s">
        <v>89</v>
      </c>
      <c r="M102" s="6" t="s">
        <v>707</v>
      </c>
      <c r="N102" s="6">
        <v>31</v>
      </c>
      <c r="O102" s="6" t="s">
        <v>148</v>
      </c>
      <c r="P102" s="6">
        <v>5</v>
      </c>
      <c r="Q102" s="6">
        <v>4</v>
      </c>
      <c r="R102" s="6">
        <v>10</v>
      </c>
      <c r="T102" s="6" t="s">
        <v>71</v>
      </c>
      <c r="U102" s="6" t="s">
        <v>72</v>
      </c>
      <c r="V102" s="6" t="s">
        <v>73</v>
      </c>
      <c r="W102" s="7" t="s">
        <v>520</v>
      </c>
      <c r="X102" s="6" t="s">
        <v>71</v>
      </c>
      <c r="Y102" s="6" t="s">
        <v>71</v>
      </c>
      <c r="Z102" s="6" t="s">
        <v>71</v>
      </c>
      <c r="AA102" s="6" t="s">
        <v>72</v>
      </c>
      <c r="AB102" s="6" t="s">
        <v>71</v>
      </c>
      <c r="AC102" s="6" t="s">
        <v>71</v>
      </c>
      <c r="AD102" s="6" t="s">
        <v>71</v>
      </c>
      <c r="AE102" s="6" t="s">
        <v>72</v>
      </c>
      <c r="AF102" s="6" t="s">
        <v>72</v>
      </c>
      <c r="AG102" s="6" t="s">
        <v>72</v>
      </c>
      <c r="AH102" s="6" t="s">
        <v>71</v>
      </c>
      <c r="AI102" s="6" t="s">
        <v>71</v>
      </c>
      <c r="AJ102" s="6" t="s">
        <v>71</v>
      </c>
      <c r="AK102" s="6" t="s">
        <v>72</v>
      </c>
      <c r="AL102" s="6" t="s">
        <v>72</v>
      </c>
      <c r="AM102" s="6" t="s">
        <v>71</v>
      </c>
      <c r="AN102" s="6" t="s">
        <v>71</v>
      </c>
      <c r="AO102" s="6" t="s">
        <v>72</v>
      </c>
      <c r="AP102" s="6" t="s">
        <v>72</v>
      </c>
    </row>
    <row r="103" spans="1:101" ht="13.2">
      <c r="A103" s="5">
        <v>45364.763364618055</v>
      </c>
      <c r="B103" s="6" t="s">
        <v>702</v>
      </c>
      <c r="C103" s="6" t="s">
        <v>703</v>
      </c>
      <c r="D103" s="6">
        <v>641</v>
      </c>
      <c r="E103" s="6" t="s">
        <v>84</v>
      </c>
      <c r="F103" s="6" t="s">
        <v>249</v>
      </c>
      <c r="G103" s="6" t="s">
        <v>64</v>
      </c>
      <c r="H103" s="6" t="s">
        <v>704</v>
      </c>
      <c r="I103" s="6" t="s">
        <v>705</v>
      </c>
      <c r="J103" s="6" t="s">
        <v>706</v>
      </c>
      <c r="K103" s="6" t="s">
        <v>702</v>
      </c>
      <c r="L103" s="6" t="s">
        <v>89</v>
      </c>
      <c r="M103" s="6" t="s">
        <v>708</v>
      </c>
      <c r="N103" s="6">
        <v>30</v>
      </c>
      <c r="O103" s="6" t="s">
        <v>148</v>
      </c>
      <c r="P103" s="6">
        <v>5</v>
      </c>
      <c r="Q103" s="6">
        <v>4</v>
      </c>
      <c r="R103" s="6">
        <v>10</v>
      </c>
      <c r="T103" s="6" t="s">
        <v>71</v>
      </c>
      <c r="U103" s="6" t="s">
        <v>72</v>
      </c>
      <c r="V103" s="6" t="s">
        <v>73</v>
      </c>
      <c r="W103" s="7" t="s">
        <v>520</v>
      </c>
      <c r="X103" s="6" t="s">
        <v>71</v>
      </c>
      <c r="Y103" s="6" t="s">
        <v>71</v>
      </c>
      <c r="Z103" s="6" t="s">
        <v>71</v>
      </c>
      <c r="AA103" s="6" t="s">
        <v>72</v>
      </c>
      <c r="AB103" s="6" t="s">
        <v>71</v>
      </c>
      <c r="AC103" s="6" t="s">
        <v>71</v>
      </c>
      <c r="AD103" s="6" t="s">
        <v>71</v>
      </c>
      <c r="AE103" s="6" t="s">
        <v>72</v>
      </c>
      <c r="AF103" s="6" t="s">
        <v>72</v>
      </c>
      <c r="AG103" s="6" t="s">
        <v>72</v>
      </c>
      <c r="AH103" s="6" t="s">
        <v>71</v>
      </c>
      <c r="AI103" s="6" t="s">
        <v>71</v>
      </c>
      <c r="AJ103" s="6" t="s">
        <v>71</v>
      </c>
      <c r="AK103" s="6" t="s">
        <v>72</v>
      </c>
      <c r="AL103" s="6" t="s">
        <v>72</v>
      </c>
      <c r="AM103" s="6" t="s">
        <v>71</v>
      </c>
      <c r="AN103" s="6" t="s">
        <v>71</v>
      </c>
      <c r="AO103" s="6" t="s">
        <v>72</v>
      </c>
      <c r="AP103" s="6" t="s">
        <v>72</v>
      </c>
    </row>
    <row r="104" spans="1:101" ht="13.2">
      <c r="A104" s="5">
        <v>45364.795378831019</v>
      </c>
      <c r="B104" s="6" t="s">
        <v>709</v>
      </c>
      <c r="C104" s="6" t="s">
        <v>710</v>
      </c>
      <c r="D104" s="7" t="s">
        <v>711</v>
      </c>
      <c r="E104" s="6" t="s">
        <v>133</v>
      </c>
      <c r="F104" s="6" t="s">
        <v>220</v>
      </c>
      <c r="G104" s="6" t="s">
        <v>105</v>
      </c>
      <c r="H104" s="6" t="s">
        <v>712</v>
      </c>
      <c r="I104" s="6" t="s">
        <v>713</v>
      </c>
      <c r="J104" s="6" t="s">
        <v>714</v>
      </c>
      <c r="K104" s="6" t="s">
        <v>709</v>
      </c>
      <c r="L104" s="6" t="s">
        <v>68</v>
      </c>
      <c r="M104" s="6" t="s">
        <v>715</v>
      </c>
      <c r="N104" s="6">
        <v>30</v>
      </c>
      <c r="O104" s="6" t="s">
        <v>70</v>
      </c>
      <c r="P104" s="6">
        <v>3</v>
      </c>
      <c r="Q104" s="6">
        <v>2</v>
      </c>
      <c r="R104" s="6">
        <v>90</v>
      </c>
      <c r="S104" s="6" t="s">
        <v>716</v>
      </c>
      <c r="T104" s="6" t="s">
        <v>71</v>
      </c>
      <c r="U104" s="6" t="s">
        <v>71</v>
      </c>
      <c r="V104" s="6" t="s">
        <v>109</v>
      </c>
      <c r="W104" s="7" t="s">
        <v>520</v>
      </c>
      <c r="X104" s="6" t="s">
        <v>71</v>
      </c>
      <c r="Y104" s="6" t="s">
        <v>71</v>
      </c>
      <c r="Z104" s="6" t="s">
        <v>71</v>
      </c>
      <c r="AA104" s="6" t="s">
        <v>71</v>
      </c>
      <c r="AB104" s="6" t="s">
        <v>71</v>
      </c>
      <c r="AC104" s="6" t="s">
        <v>71</v>
      </c>
      <c r="AD104" s="6" t="s">
        <v>71</v>
      </c>
      <c r="AE104" s="6" t="s">
        <v>71</v>
      </c>
      <c r="AF104" s="6" t="s">
        <v>71</v>
      </c>
      <c r="AG104" s="6" t="s">
        <v>71</v>
      </c>
      <c r="AH104" s="6" t="s">
        <v>71</v>
      </c>
      <c r="AI104" s="6" t="s">
        <v>71</v>
      </c>
      <c r="AJ104" s="6" t="s">
        <v>71</v>
      </c>
      <c r="AK104" s="6" t="s">
        <v>71</v>
      </c>
      <c r="AL104" s="6" t="s">
        <v>71</v>
      </c>
      <c r="AM104" s="6" t="s">
        <v>71</v>
      </c>
      <c r="AN104" s="6" t="s">
        <v>71</v>
      </c>
      <c r="AO104" s="6" t="s">
        <v>71</v>
      </c>
      <c r="AP104" s="6" t="s">
        <v>71</v>
      </c>
      <c r="AQ104" s="6" t="s">
        <v>717</v>
      </c>
    </row>
    <row r="105" spans="1:101" ht="13.2">
      <c r="A105" s="13">
        <v>45365.419531574073</v>
      </c>
      <c r="B105" s="14" t="s">
        <v>718</v>
      </c>
      <c r="C105" s="14" t="s">
        <v>719</v>
      </c>
      <c r="D105" s="15" t="s">
        <v>720</v>
      </c>
      <c r="E105" s="14" t="s">
        <v>286</v>
      </c>
      <c r="F105" s="14" t="s">
        <v>721</v>
      </c>
      <c r="G105" s="14" t="s">
        <v>105</v>
      </c>
      <c r="H105" s="14" t="s">
        <v>722</v>
      </c>
      <c r="I105" s="14" t="s">
        <v>723</v>
      </c>
      <c r="J105" s="16"/>
      <c r="K105" s="14" t="s">
        <v>718</v>
      </c>
      <c r="L105" s="14" t="s">
        <v>138</v>
      </c>
      <c r="M105" s="14" t="s">
        <v>281</v>
      </c>
      <c r="N105" s="14">
        <v>35</v>
      </c>
      <c r="O105" s="14" t="s">
        <v>282</v>
      </c>
      <c r="P105" s="14">
        <v>5</v>
      </c>
      <c r="Q105" s="14">
        <v>5</v>
      </c>
      <c r="R105" s="14">
        <v>45</v>
      </c>
      <c r="S105" s="14" t="s">
        <v>200</v>
      </c>
      <c r="T105" s="14" t="s">
        <v>71</v>
      </c>
      <c r="U105" s="14" t="s">
        <v>72</v>
      </c>
      <c r="V105" s="6" t="s">
        <v>73</v>
      </c>
      <c r="W105" s="15" t="s">
        <v>520</v>
      </c>
      <c r="X105" s="14" t="s">
        <v>72</v>
      </c>
      <c r="Y105" s="14" t="s">
        <v>71</v>
      </c>
      <c r="Z105" s="14" t="s">
        <v>72</v>
      </c>
      <c r="AA105" s="14" t="s">
        <v>72</v>
      </c>
      <c r="AB105" s="14" t="s">
        <v>71</v>
      </c>
      <c r="AC105" s="14" t="s">
        <v>72</v>
      </c>
      <c r="AD105" s="14" t="s">
        <v>72</v>
      </c>
      <c r="AE105" s="14" t="s">
        <v>72</v>
      </c>
      <c r="AF105" s="14" t="s">
        <v>72</v>
      </c>
      <c r="AG105" s="14" t="s">
        <v>72</v>
      </c>
      <c r="AH105" s="14" t="s">
        <v>72</v>
      </c>
      <c r="AI105" s="14" t="s">
        <v>72</v>
      </c>
      <c r="AJ105" s="14" t="s">
        <v>71</v>
      </c>
      <c r="AK105" s="14" t="s">
        <v>72</v>
      </c>
      <c r="AL105" s="14" t="s">
        <v>72</v>
      </c>
      <c r="AM105" s="14" t="s">
        <v>71</v>
      </c>
      <c r="AN105" s="14" t="s">
        <v>72</v>
      </c>
      <c r="AO105" s="14" t="s">
        <v>72</v>
      </c>
      <c r="AP105" s="14" t="s">
        <v>72</v>
      </c>
      <c r="AQ105" s="14" t="s">
        <v>724</v>
      </c>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row>
    <row r="106" spans="1:101" ht="13.2">
      <c r="A106" s="5">
        <v>45365.483354594908</v>
      </c>
      <c r="B106" s="6" t="s">
        <v>725</v>
      </c>
      <c r="C106" s="6" t="s">
        <v>726</v>
      </c>
      <c r="D106" s="7" t="s">
        <v>727</v>
      </c>
      <c r="E106" s="6" t="s">
        <v>62</v>
      </c>
      <c r="F106" s="6" t="s">
        <v>134</v>
      </c>
      <c r="G106" s="6" t="s">
        <v>64</v>
      </c>
      <c r="H106" s="6" t="s">
        <v>728</v>
      </c>
      <c r="I106" s="6" t="s">
        <v>729</v>
      </c>
      <c r="K106" s="6" t="s">
        <v>725</v>
      </c>
      <c r="L106" s="6" t="s">
        <v>138</v>
      </c>
      <c r="M106" s="6" t="s">
        <v>655</v>
      </c>
      <c r="N106" s="6">
        <v>25</v>
      </c>
      <c r="O106" s="6" t="s">
        <v>70</v>
      </c>
      <c r="P106" s="6">
        <v>4</v>
      </c>
      <c r="Q106" s="6">
        <v>2</v>
      </c>
      <c r="R106" s="6">
        <v>0</v>
      </c>
      <c r="T106" s="6" t="s">
        <v>71</v>
      </c>
      <c r="U106" s="6" t="s">
        <v>72</v>
      </c>
      <c r="V106" s="6" t="s">
        <v>73</v>
      </c>
      <c r="W106" s="7" t="s">
        <v>520</v>
      </c>
      <c r="X106" s="6" t="s">
        <v>71</v>
      </c>
      <c r="Y106" s="6" t="s">
        <v>71</v>
      </c>
      <c r="Z106" s="6" t="s">
        <v>72</v>
      </c>
      <c r="AA106" s="6" t="s">
        <v>72</v>
      </c>
      <c r="AB106" s="6" t="s">
        <v>71</v>
      </c>
      <c r="AC106" s="6" t="s">
        <v>71</v>
      </c>
      <c r="AD106" s="6" t="s">
        <v>71</v>
      </c>
      <c r="AE106" s="6" t="s">
        <v>72</v>
      </c>
      <c r="AF106" s="6" t="s">
        <v>72</v>
      </c>
      <c r="AG106" s="6" t="s">
        <v>72</v>
      </c>
      <c r="AH106" s="6" t="s">
        <v>71</v>
      </c>
      <c r="AI106" s="6" t="s">
        <v>71</v>
      </c>
      <c r="AJ106" s="6" t="s">
        <v>72</v>
      </c>
      <c r="AK106" s="6" t="s">
        <v>72</v>
      </c>
      <c r="AL106" s="6" t="s">
        <v>72</v>
      </c>
      <c r="AM106" s="6" t="s">
        <v>72</v>
      </c>
      <c r="AN106" s="6" t="s">
        <v>72</v>
      </c>
      <c r="AO106" s="6" t="s">
        <v>72</v>
      </c>
      <c r="AP106" s="6" t="s">
        <v>72</v>
      </c>
    </row>
    <row r="107" spans="1:101" ht="13.2">
      <c r="A107" s="5">
        <v>45365.486939745373</v>
      </c>
      <c r="B107" s="6" t="s">
        <v>725</v>
      </c>
      <c r="C107" s="6" t="s">
        <v>726</v>
      </c>
      <c r="D107" s="7" t="s">
        <v>727</v>
      </c>
      <c r="E107" s="6" t="s">
        <v>84</v>
      </c>
      <c r="F107" s="6" t="s">
        <v>730</v>
      </c>
      <c r="G107" s="6" t="s">
        <v>64</v>
      </c>
      <c r="H107" s="6" t="s">
        <v>728</v>
      </c>
      <c r="I107" s="6" t="s">
        <v>729</v>
      </c>
      <c r="K107" s="6" t="s">
        <v>725</v>
      </c>
      <c r="L107" s="6" t="s">
        <v>138</v>
      </c>
      <c r="M107" s="6" t="s">
        <v>731</v>
      </c>
      <c r="N107" s="6">
        <v>15</v>
      </c>
      <c r="O107" s="6" t="s">
        <v>70</v>
      </c>
      <c r="P107" s="6">
        <v>4</v>
      </c>
      <c r="Q107" s="6">
        <v>2</v>
      </c>
      <c r="R107" s="6">
        <v>0</v>
      </c>
      <c r="T107" s="6" t="s">
        <v>71</v>
      </c>
      <c r="U107" s="6" t="s">
        <v>72</v>
      </c>
      <c r="V107" s="6" t="s">
        <v>73</v>
      </c>
      <c r="W107" s="7" t="s">
        <v>520</v>
      </c>
      <c r="X107" s="6" t="s">
        <v>71</v>
      </c>
      <c r="Y107" s="6" t="s">
        <v>71</v>
      </c>
      <c r="Z107" s="6" t="s">
        <v>72</v>
      </c>
      <c r="AA107" s="6" t="s">
        <v>72</v>
      </c>
      <c r="AB107" s="6" t="s">
        <v>71</v>
      </c>
      <c r="AC107" s="6" t="s">
        <v>71</v>
      </c>
      <c r="AD107" s="6" t="s">
        <v>71</v>
      </c>
      <c r="AE107" s="6" t="s">
        <v>72</v>
      </c>
      <c r="AF107" s="6" t="s">
        <v>72</v>
      </c>
      <c r="AG107" s="6" t="s">
        <v>72</v>
      </c>
      <c r="AH107" s="6" t="s">
        <v>71</v>
      </c>
      <c r="AI107" s="6" t="s">
        <v>71</v>
      </c>
      <c r="AJ107" s="6" t="s">
        <v>72</v>
      </c>
      <c r="AK107" s="6" t="s">
        <v>72</v>
      </c>
      <c r="AL107" s="6" t="s">
        <v>72</v>
      </c>
      <c r="AM107" s="6" t="s">
        <v>72</v>
      </c>
      <c r="AN107" s="6" t="s">
        <v>72</v>
      </c>
      <c r="AO107" s="6" t="s">
        <v>72</v>
      </c>
      <c r="AP107" s="6" t="s">
        <v>72</v>
      </c>
    </row>
    <row r="108" spans="1:101" ht="13.2">
      <c r="A108" s="5">
        <v>45365.495644722221</v>
      </c>
      <c r="B108" s="6" t="s">
        <v>732</v>
      </c>
      <c r="C108" s="6" t="s">
        <v>733</v>
      </c>
      <c r="D108" s="6">
        <v>20068000</v>
      </c>
      <c r="E108" s="6" t="s">
        <v>133</v>
      </c>
      <c r="F108" s="6" t="s">
        <v>254</v>
      </c>
      <c r="G108" s="6" t="s">
        <v>105</v>
      </c>
      <c r="H108" s="6" t="s">
        <v>734</v>
      </c>
      <c r="I108" s="6" t="s">
        <v>735</v>
      </c>
      <c r="J108" s="6" t="s">
        <v>736</v>
      </c>
      <c r="K108" s="6" t="s">
        <v>732</v>
      </c>
      <c r="L108" s="6" t="s">
        <v>89</v>
      </c>
      <c r="M108" s="6" t="s">
        <v>737</v>
      </c>
      <c r="N108" s="6">
        <v>35</v>
      </c>
      <c r="O108" s="6" t="s">
        <v>70</v>
      </c>
      <c r="P108" s="6">
        <v>4</v>
      </c>
      <c r="Q108" s="6">
        <v>4</v>
      </c>
      <c r="R108" s="6">
        <v>50</v>
      </c>
      <c r="T108" s="6" t="s">
        <v>72</v>
      </c>
      <c r="U108" s="6" t="s">
        <v>71</v>
      </c>
      <c r="V108" s="6" t="s">
        <v>351</v>
      </c>
      <c r="W108" s="7" t="s">
        <v>520</v>
      </c>
      <c r="X108" s="6" t="s">
        <v>72</v>
      </c>
      <c r="Y108" s="6" t="s">
        <v>72</v>
      </c>
      <c r="Z108" s="6" t="s">
        <v>72</v>
      </c>
      <c r="AA108" s="6" t="s">
        <v>71</v>
      </c>
      <c r="AB108" s="6" t="s">
        <v>72</v>
      </c>
      <c r="AC108" s="6" t="s">
        <v>72</v>
      </c>
      <c r="AD108" s="6" t="s">
        <v>72</v>
      </c>
      <c r="AE108" s="6" t="s">
        <v>72</v>
      </c>
      <c r="AF108" s="6" t="s">
        <v>72</v>
      </c>
      <c r="AG108" s="6" t="s">
        <v>71</v>
      </c>
      <c r="AH108" s="6" t="s">
        <v>72</v>
      </c>
      <c r="AI108" s="6" t="s">
        <v>72</v>
      </c>
      <c r="AJ108" s="6" t="s">
        <v>72</v>
      </c>
      <c r="AK108" s="6" t="s">
        <v>72</v>
      </c>
      <c r="AL108" s="6" t="s">
        <v>71</v>
      </c>
      <c r="AM108" s="6" t="s">
        <v>72</v>
      </c>
      <c r="AN108" s="6" t="s">
        <v>72</v>
      </c>
      <c r="AO108" s="6" t="s">
        <v>72</v>
      </c>
      <c r="AP108" s="6" t="s">
        <v>72</v>
      </c>
    </row>
    <row r="109" spans="1:101" ht="13.2">
      <c r="A109" s="5">
        <v>45365.538917025464</v>
      </c>
      <c r="B109" s="6" t="s">
        <v>738</v>
      </c>
      <c r="C109" s="6" t="s">
        <v>739</v>
      </c>
      <c r="D109" s="7" t="s">
        <v>740</v>
      </c>
      <c r="E109" s="6" t="s">
        <v>84</v>
      </c>
      <c r="F109" s="6" t="s">
        <v>741</v>
      </c>
      <c r="G109" s="6" t="s">
        <v>64</v>
      </c>
      <c r="H109" s="6" t="s">
        <v>742</v>
      </c>
      <c r="I109" s="6" t="s">
        <v>743</v>
      </c>
      <c r="K109" s="6" t="s">
        <v>744</v>
      </c>
      <c r="L109" s="6" t="s">
        <v>89</v>
      </c>
      <c r="M109" s="6" t="s">
        <v>536</v>
      </c>
      <c r="N109" s="6">
        <v>35</v>
      </c>
      <c r="O109" s="6" t="s">
        <v>70</v>
      </c>
      <c r="P109" s="6">
        <v>3</v>
      </c>
      <c r="Q109" s="6">
        <v>1</v>
      </c>
      <c r="R109" s="6">
        <v>30</v>
      </c>
      <c r="T109" s="6" t="s">
        <v>71</v>
      </c>
      <c r="U109" s="6" t="s">
        <v>72</v>
      </c>
      <c r="V109" s="6" t="s">
        <v>73</v>
      </c>
      <c r="W109" s="7" t="s">
        <v>520</v>
      </c>
      <c r="X109" s="6" t="s">
        <v>71</v>
      </c>
      <c r="Y109" s="6" t="s">
        <v>72</v>
      </c>
      <c r="Z109" s="6" t="s">
        <v>71</v>
      </c>
      <c r="AA109" s="6" t="s">
        <v>72</v>
      </c>
      <c r="AB109" s="6" t="s">
        <v>72</v>
      </c>
      <c r="AC109" s="6" t="s">
        <v>71</v>
      </c>
      <c r="AD109" s="6" t="s">
        <v>72</v>
      </c>
      <c r="AE109" s="6" t="s">
        <v>72</v>
      </c>
      <c r="AF109" s="6" t="s">
        <v>72</v>
      </c>
      <c r="AG109" s="6" t="s">
        <v>72</v>
      </c>
      <c r="AJ109" s="6" t="s">
        <v>72</v>
      </c>
      <c r="AK109" s="6" t="s">
        <v>71</v>
      </c>
      <c r="AM109" s="6" t="s">
        <v>72</v>
      </c>
      <c r="AN109" s="6" t="s">
        <v>72</v>
      </c>
      <c r="AO109" s="6" t="s">
        <v>72</v>
      </c>
      <c r="AP109" s="6" t="s">
        <v>71</v>
      </c>
    </row>
    <row r="110" spans="1:101" ht="13.2">
      <c r="A110" s="5">
        <v>45365.564028564811</v>
      </c>
      <c r="B110" s="6" t="s">
        <v>738</v>
      </c>
      <c r="C110" s="6" t="s">
        <v>739</v>
      </c>
      <c r="D110" s="7" t="s">
        <v>740</v>
      </c>
      <c r="E110" s="6" t="s">
        <v>84</v>
      </c>
      <c r="F110" s="6" t="s">
        <v>745</v>
      </c>
      <c r="G110" s="6" t="s">
        <v>64</v>
      </c>
      <c r="H110" s="6" t="s">
        <v>746</v>
      </c>
      <c r="I110" s="6" t="s">
        <v>747</v>
      </c>
      <c r="K110" s="6" t="s">
        <v>738</v>
      </c>
      <c r="L110" s="6" t="s">
        <v>89</v>
      </c>
      <c r="M110" s="6" t="s">
        <v>536</v>
      </c>
      <c r="N110" s="6">
        <v>30</v>
      </c>
      <c r="O110" s="6" t="s">
        <v>70</v>
      </c>
      <c r="P110" s="6">
        <v>3</v>
      </c>
      <c r="Q110" s="6">
        <v>3</v>
      </c>
      <c r="R110" s="6">
        <v>30</v>
      </c>
      <c r="T110" s="6" t="s">
        <v>71</v>
      </c>
      <c r="U110" s="6" t="s">
        <v>72</v>
      </c>
      <c r="V110" s="6" t="s">
        <v>73</v>
      </c>
      <c r="W110" s="7" t="s">
        <v>520</v>
      </c>
      <c r="X110" s="6" t="s">
        <v>71</v>
      </c>
      <c r="Y110" s="6" t="s">
        <v>72</v>
      </c>
      <c r="Z110" s="6" t="s">
        <v>72</v>
      </c>
      <c r="AA110" s="6" t="s">
        <v>72</v>
      </c>
      <c r="AB110" s="6" t="s">
        <v>72</v>
      </c>
      <c r="AC110" s="6" t="s">
        <v>71</v>
      </c>
      <c r="AD110" s="6" t="s">
        <v>72</v>
      </c>
      <c r="AE110" s="6" t="s">
        <v>72</v>
      </c>
      <c r="AF110" s="6" t="s">
        <v>72</v>
      </c>
      <c r="AG110" s="6" t="s">
        <v>71</v>
      </c>
      <c r="AH110" s="6" t="s">
        <v>72</v>
      </c>
      <c r="AI110" s="6" t="s">
        <v>72</v>
      </c>
      <c r="AJ110" s="6" t="s">
        <v>71</v>
      </c>
      <c r="AK110" s="6" t="s">
        <v>72</v>
      </c>
      <c r="AL110" s="6" t="s">
        <v>72</v>
      </c>
      <c r="AO110" s="6" t="s">
        <v>71</v>
      </c>
    </row>
    <row r="111" spans="1:101" ht="13.2">
      <c r="A111" s="5">
        <v>45365.572495393513</v>
      </c>
      <c r="B111" s="6" t="s">
        <v>315</v>
      </c>
      <c r="C111" s="6" t="s">
        <v>748</v>
      </c>
      <c r="D111" s="6">
        <v>60627100</v>
      </c>
      <c r="E111" s="6" t="s">
        <v>84</v>
      </c>
      <c r="F111" s="6" t="s">
        <v>589</v>
      </c>
      <c r="G111" s="6" t="s">
        <v>64</v>
      </c>
      <c r="H111" s="6" t="s">
        <v>319</v>
      </c>
      <c r="I111" s="6" t="s">
        <v>749</v>
      </c>
      <c r="J111" s="6" t="s">
        <v>750</v>
      </c>
      <c r="K111" s="6" t="s">
        <v>315</v>
      </c>
      <c r="L111" s="6" t="s">
        <v>245</v>
      </c>
      <c r="M111" s="6" t="s">
        <v>321</v>
      </c>
      <c r="N111" s="6">
        <v>35</v>
      </c>
      <c r="O111" s="6" t="s">
        <v>70</v>
      </c>
      <c r="P111" s="6">
        <v>5</v>
      </c>
      <c r="Q111" s="6">
        <v>3</v>
      </c>
      <c r="R111" s="6">
        <v>15</v>
      </c>
      <c r="T111" s="6" t="s">
        <v>71</v>
      </c>
      <c r="U111" s="6" t="s">
        <v>72</v>
      </c>
      <c r="V111" s="6" t="s">
        <v>73</v>
      </c>
      <c r="W111" s="7" t="s">
        <v>520</v>
      </c>
      <c r="X111" s="6" t="s">
        <v>71</v>
      </c>
      <c r="Y111" s="6" t="s">
        <v>72</v>
      </c>
      <c r="Z111" s="6" t="s">
        <v>72</v>
      </c>
      <c r="AA111" s="6" t="s">
        <v>72</v>
      </c>
      <c r="AB111" s="6" t="s">
        <v>72</v>
      </c>
      <c r="AC111" s="6" t="s">
        <v>71</v>
      </c>
      <c r="AD111" s="6" t="s">
        <v>72</v>
      </c>
      <c r="AE111" s="6" t="s">
        <v>72</v>
      </c>
      <c r="AF111" s="6" t="s">
        <v>72</v>
      </c>
      <c r="AG111" s="6" t="s">
        <v>72</v>
      </c>
      <c r="AK111" s="6" t="s">
        <v>71</v>
      </c>
      <c r="AM111" s="6" t="s">
        <v>72</v>
      </c>
      <c r="AN111" s="6" t="s">
        <v>71</v>
      </c>
      <c r="AO111" s="6" t="s">
        <v>72</v>
      </c>
      <c r="AP111" s="6" t="s">
        <v>72</v>
      </c>
    </row>
    <row r="112" spans="1:101" ht="13.2">
      <c r="A112" s="5">
        <v>45365.63207655093</v>
      </c>
      <c r="B112" s="6" t="s">
        <v>574</v>
      </c>
      <c r="C112" s="6" t="s">
        <v>751</v>
      </c>
      <c r="D112" s="6">
        <v>20059400</v>
      </c>
      <c r="E112" s="6" t="s">
        <v>276</v>
      </c>
      <c r="F112" s="6" t="s">
        <v>752</v>
      </c>
      <c r="G112" s="6" t="s">
        <v>64</v>
      </c>
      <c r="H112" s="6" t="s">
        <v>753</v>
      </c>
      <c r="I112" s="6" t="s">
        <v>754</v>
      </c>
      <c r="J112" s="6" t="s">
        <v>679</v>
      </c>
      <c r="K112" s="6" t="s">
        <v>574</v>
      </c>
      <c r="L112" s="6" t="s">
        <v>89</v>
      </c>
      <c r="M112" s="6" t="s">
        <v>755</v>
      </c>
      <c r="N112" s="6">
        <v>30</v>
      </c>
      <c r="O112" s="6" t="s">
        <v>70</v>
      </c>
      <c r="P112" s="6">
        <v>4</v>
      </c>
      <c r="Q112" s="6">
        <v>5</v>
      </c>
      <c r="R112" s="6">
        <v>50</v>
      </c>
      <c r="T112" s="6" t="s">
        <v>71</v>
      </c>
      <c r="U112" s="6" t="s">
        <v>72</v>
      </c>
      <c r="V112" s="6" t="s">
        <v>73</v>
      </c>
      <c r="W112" s="7" t="s">
        <v>520</v>
      </c>
      <c r="X112" s="6" t="s">
        <v>71</v>
      </c>
      <c r="Y112" s="6" t="s">
        <v>71</v>
      </c>
      <c r="Z112" s="6" t="s">
        <v>71</v>
      </c>
      <c r="AA112" s="6" t="s">
        <v>72</v>
      </c>
      <c r="AB112" s="6" t="s">
        <v>71</v>
      </c>
      <c r="AC112" s="6" t="s">
        <v>71</v>
      </c>
      <c r="AD112" s="6" t="s">
        <v>71</v>
      </c>
      <c r="AE112" s="6" t="s">
        <v>71</v>
      </c>
      <c r="AF112" s="6" t="s">
        <v>72</v>
      </c>
      <c r="AG112" s="6" t="s">
        <v>72</v>
      </c>
      <c r="AH112" s="6" t="s">
        <v>71</v>
      </c>
      <c r="AI112" s="6" t="s">
        <v>71</v>
      </c>
      <c r="AJ112" s="6" t="s">
        <v>71</v>
      </c>
      <c r="AK112" s="6" t="s">
        <v>72</v>
      </c>
      <c r="AL112" s="6" t="s">
        <v>72</v>
      </c>
      <c r="AM112" s="6" t="s">
        <v>71</v>
      </c>
      <c r="AN112" s="6" t="s">
        <v>71</v>
      </c>
      <c r="AO112" s="6" t="s">
        <v>72</v>
      </c>
      <c r="AP112" s="6" t="s">
        <v>72</v>
      </c>
      <c r="AQ112" s="6" t="s">
        <v>756</v>
      </c>
    </row>
    <row r="113" spans="1:101" ht="13.2">
      <c r="A113" s="5">
        <v>45365.635810624997</v>
      </c>
      <c r="B113" s="6" t="s">
        <v>574</v>
      </c>
      <c r="C113" s="6" t="s">
        <v>757</v>
      </c>
      <c r="D113" s="6">
        <v>20059400</v>
      </c>
      <c r="E113" s="6" t="s">
        <v>133</v>
      </c>
      <c r="F113" s="6" t="s">
        <v>730</v>
      </c>
      <c r="G113" s="6" t="s">
        <v>64</v>
      </c>
      <c r="H113" s="6" t="s">
        <v>753</v>
      </c>
      <c r="I113" s="6" t="s">
        <v>754</v>
      </c>
      <c r="J113" s="6" t="s">
        <v>758</v>
      </c>
      <c r="K113" s="6" t="s">
        <v>574</v>
      </c>
      <c r="L113" s="6" t="s">
        <v>89</v>
      </c>
      <c r="M113" s="6" t="s">
        <v>755</v>
      </c>
      <c r="N113" s="6">
        <v>30</v>
      </c>
      <c r="O113" s="6" t="s">
        <v>70</v>
      </c>
      <c r="P113" s="6">
        <v>4</v>
      </c>
      <c r="Q113" s="6">
        <v>5</v>
      </c>
      <c r="R113" s="6">
        <v>50</v>
      </c>
      <c r="T113" s="6" t="s">
        <v>71</v>
      </c>
      <c r="U113" s="6" t="s">
        <v>72</v>
      </c>
      <c r="V113" s="6" t="s">
        <v>73</v>
      </c>
      <c r="W113" s="7" t="s">
        <v>520</v>
      </c>
      <c r="X113" s="6" t="s">
        <v>71</v>
      </c>
      <c r="Y113" s="6" t="s">
        <v>71</v>
      </c>
      <c r="Z113" s="6" t="s">
        <v>71</v>
      </c>
      <c r="AA113" s="6" t="s">
        <v>72</v>
      </c>
      <c r="AB113" s="6" t="s">
        <v>71</v>
      </c>
      <c r="AC113" s="6" t="s">
        <v>71</v>
      </c>
      <c r="AD113" s="6" t="s">
        <v>71</v>
      </c>
      <c r="AE113" s="6" t="s">
        <v>71</v>
      </c>
      <c r="AF113" s="6" t="s">
        <v>72</v>
      </c>
      <c r="AG113" s="6" t="s">
        <v>72</v>
      </c>
      <c r="AH113" s="6" t="s">
        <v>71</v>
      </c>
      <c r="AI113" s="6" t="s">
        <v>71</v>
      </c>
      <c r="AJ113" s="6" t="s">
        <v>71</v>
      </c>
      <c r="AK113" s="6" t="s">
        <v>72</v>
      </c>
      <c r="AL113" s="6" t="s">
        <v>72</v>
      </c>
      <c r="AM113" s="6" t="s">
        <v>71</v>
      </c>
      <c r="AN113" s="6" t="s">
        <v>71</v>
      </c>
      <c r="AO113" s="6" t="s">
        <v>71</v>
      </c>
      <c r="AP113" s="6" t="s">
        <v>72</v>
      </c>
    </row>
    <row r="114" spans="1:101" ht="13.2">
      <c r="A114" s="5">
        <v>45365.664200740735</v>
      </c>
      <c r="B114" s="6" t="s">
        <v>759</v>
      </c>
      <c r="C114" s="6" t="s">
        <v>760</v>
      </c>
      <c r="D114" s="7" t="s">
        <v>761</v>
      </c>
      <c r="E114" s="6" t="s">
        <v>387</v>
      </c>
      <c r="F114" s="6" t="s">
        <v>762</v>
      </c>
      <c r="G114" s="6" t="s">
        <v>64</v>
      </c>
      <c r="H114" s="6" t="s">
        <v>763</v>
      </c>
      <c r="I114" s="6" t="s">
        <v>764</v>
      </c>
      <c r="J114" s="6" t="s">
        <v>765</v>
      </c>
      <c r="K114" s="6" t="s">
        <v>759</v>
      </c>
      <c r="L114" s="6" t="s">
        <v>138</v>
      </c>
      <c r="M114" s="6" t="s">
        <v>766</v>
      </c>
      <c r="N114" s="6">
        <v>34</v>
      </c>
      <c r="O114" s="6" t="s">
        <v>70</v>
      </c>
      <c r="P114" s="6">
        <v>5</v>
      </c>
      <c r="Q114" s="6">
        <v>5</v>
      </c>
      <c r="R114" s="6">
        <v>10</v>
      </c>
      <c r="T114" s="6" t="s">
        <v>71</v>
      </c>
      <c r="U114" s="6" t="s">
        <v>72</v>
      </c>
      <c r="V114" s="6" t="s">
        <v>73</v>
      </c>
      <c r="W114" s="7" t="s">
        <v>520</v>
      </c>
      <c r="X114" s="6" t="s">
        <v>72</v>
      </c>
      <c r="Y114" s="6" t="s">
        <v>71</v>
      </c>
      <c r="Z114" s="6" t="s">
        <v>71</v>
      </c>
      <c r="AA114" s="6" t="s">
        <v>71</v>
      </c>
      <c r="AB114" s="6" t="s">
        <v>72</v>
      </c>
      <c r="AC114" s="6" t="s">
        <v>71</v>
      </c>
      <c r="AD114" s="6" t="s">
        <v>71</v>
      </c>
      <c r="AE114" s="6" t="s">
        <v>72</v>
      </c>
      <c r="AF114" s="6" t="s">
        <v>72</v>
      </c>
      <c r="AG114" s="6" t="s">
        <v>72</v>
      </c>
      <c r="AH114" s="6" t="s">
        <v>71</v>
      </c>
      <c r="AI114" s="6" t="s">
        <v>71</v>
      </c>
      <c r="AJ114" s="6" t="s">
        <v>71</v>
      </c>
      <c r="AK114" s="6" t="s">
        <v>72</v>
      </c>
      <c r="AL114" s="6" t="s">
        <v>72</v>
      </c>
      <c r="AM114" s="6" t="s">
        <v>71</v>
      </c>
      <c r="AN114" s="6" t="s">
        <v>71</v>
      </c>
      <c r="AO114" s="6" t="s">
        <v>72</v>
      </c>
      <c r="AP114" s="6" t="s">
        <v>72</v>
      </c>
    </row>
    <row r="115" spans="1:101" ht="13.2">
      <c r="A115" s="5">
        <v>45365.81678079861</v>
      </c>
      <c r="B115" s="6" t="s">
        <v>767</v>
      </c>
      <c r="C115" s="6" t="s">
        <v>768</v>
      </c>
      <c r="D115" s="7" t="s">
        <v>442</v>
      </c>
      <c r="E115" s="6" t="s">
        <v>62</v>
      </c>
      <c r="F115" s="6" t="s">
        <v>769</v>
      </c>
      <c r="G115" s="6" t="s">
        <v>64</v>
      </c>
      <c r="H115" s="6" t="s">
        <v>770</v>
      </c>
      <c r="I115" s="6" t="s">
        <v>771</v>
      </c>
      <c r="K115" s="6" t="s">
        <v>772</v>
      </c>
      <c r="L115" s="6" t="s">
        <v>89</v>
      </c>
      <c r="M115" s="6" t="s">
        <v>773</v>
      </c>
      <c r="N115" s="6">
        <v>32</v>
      </c>
      <c r="O115" s="6" t="s">
        <v>70</v>
      </c>
      <c r="P115" s="6">
        <v>5</v>
      </c>
      <c r="Q115" s="6">
        <v>5</v>
      </c>
      <c r="R115" s="6">
        <v>5</v>
      </c>
      <c r="S115" s="6" t="s">
        <v>774</v>
      </c>
      <c r="T115" s="6" t="s">
        <v>71</v>
      </c>
      <c r="U115" s="6" t="s">
        <v>72</v>
      </c>
      <c r="V115" s="6" t="s">
        <v>73</v>
      </c>
      <c r="W115" s="7" t="s">
        <v>520</v>
      </c>
      <c r="X115" s="6" t="s">
        <v>71</v>
      </c>
      <c r="Y115" s="6" t="s">
        <v>71</v>
      </c>
      <c r="Z115" s="6" t="s">
        <v>72</v>
      </c>
      <c r="AA115" s="6" t="s">
        <v>72</v>
      </c>
      <c r="AB115" s="6" t="s">
        <v>71</v>
      </c>
      <c r="AC115" s="6" t="s">
        <v>71</v>
      </c>
      <c r="AD115" s="6" t="s">
        <v>71</v>
      </c>
      <c r="AE115" s="6" t="s">
        <v>72</v>
      </c>
      <c r="AF115" s="6" t="s">
        <v>72</v>
      </c>
      <c r="AG115" s="6" t="s">
        <v>72</v>
      </c>
      <c r="AH115" s="6" t="s">
        <v>71</v>
      </c>
      <c r="AI115" s="6" t="s">
        <v>71</v>
      </c>
      <c r="AJ115" s="6" t="s">
        <v>71</v>
      </c>
      <c r="AK115" s="6" t="s">
        <v>72</v>
      </c>
      <c r="AL115" s="6" t="s">
        <v>72</v>
      </c>
      <c r="AM115" s="6" t="s">
        <v>71</v>
      </c>
      <c r="AN115" s="6" t="s">
        <v>71</v>
      </c>
      <c r="AO115" s="6" t="s">
        <v>72</v>
      </c>
      <c r="AP115" s="6" t="s">
        <v>72</v>
      </c>
    </row>
    <row r="116" spans="1:101" ht="13.2">
      <c r="A116" s="5">
        <v>45365.882291770831</v>
      </c>
      <c r="B116" s="6" t="s">
        <v>647</v>
      </c>
      <c r="C116" s="6" t="s">
        <v>648</v>
      </c>
      <c r="D116" s="7" t="s">
        <v>649</v>
      </c>
      <c r="E116" s="6" t="s">
        <v>133</v>
      </c>
      <c r="F116" s="6" t="s">
        <v>775</v>
      </c>
      <c r="G116" s="6" t="s">
        <v>64</v>
      </c>
      <c r="H116" s="6" t="s">
        <v>651</v>
      </c>
      <c r="I116" s="6" t="s">
        <v>652</v>
      </c>
      <c r="J116" s="6" t="s">
        <v>776</v>
      </c>
      <c r="K116" s="6" t="s">
        <v>654</v>
      </c>
      <c r="L116" s="6" t="s">
        <v>138</v>
      </c>
      <c r="M116" s="6" t="s">
        <v>655</v>
      </c>
      <c r="N116" s="6">
        <v>31</v>
      </c>
      <c r="O116" s="6" t="s">
        <v>70</v>
      </c>
      <c r="P116" s="6">
        <v>5</v>
      </c>
      <c r="Q116" s="6">
        <v>3</v>
      </c>
      <c r="R116" s="6">
        <v>0</v>
      </c>
      <c r="S116" s="6" t="s">
        <v>777</v>
      </c>
      <c r="T116" s="6" t="s">
        <v>71</v>
      </c>
      <c r="U116" s="6" t="s">
        <v>71</v>
      </c>
      <c r="V116" s="6" t="s">
        <v>109</v>
      </c>
      <c r="W116" s="7" t="s">
        <v>520</v>
      </c>
      <c r="X116" s="6" t="s">
        <v>71</v>
      </c>
      <c r="Y116" s="6" t="s">
        <v>71</v>
      </c>
      <c r="Z116" s="6" t="s">
        <v>71</v>
      </c>
      <c r="AA116" s="6" t="s">
        <v>72</v>
      </c>
      <c r="AB116" s="6" t="s">
        <v>71</v>
      </c>
      <c r="AC116" s="6" t="s">
        <v>71</v>
      </c>
      <c r="AD116" s="6" t="s">
        <v>71</v>
      </c>
      <c r="AE116" s="6" t="s">
        <v>71</v>
      </c>
      <c r="AF116" s="6" t="s">
        <v>71</v>
      </c>
      <c r="AG116" s="6" t="s">
        <v>72</v>
      </c>
      <c r="AH116" s="6" t="s">
        <v>71</v>
      </c>
      <c r="AI116" s="6" t="s">
        <v>71</v>
      </c>
      <c r="AJ116" s="6" t="s">
        <v>71</v>
      </c>
      <c r="AK116" s="6" t="s">
        <v>71</v>
      </c>
      <c r="AL116" s="6" t="s">
        <v>72</v>
      </c>
      <c r="AM116" s="6" t="s">
        <v>71</v>
      </c>
      <c r="AN116" s="6" t="s">
        <v>71</v>
      </c>
      <c r="AO116" s="6" t="s">
        <v>72</v>
      </c>
      <c r="AP116" s="6" t="s">
        <v>72</v>
      </c>
    </row>
    <row r="117" spans="1:101" ht="13.2">
      <c r="A117" s="5">
        <v>45366.487628009258</v>
      </c>
      <c r="B117" s="6" t="s">
        <v>778</v>
      </c>
      <c r="C117" s="6" t="s">
        <v>779</v>
      </c>
      <c r="D117" s="7" t="s">
        <v>780</v>
      </c>
      <c r="E117" s="6" t="s">
        <v>62</v>
      </c>
      <c r="F117" s="6" t="s">
        <v>781</v>
      </c>
      <c r="G117" s="6" t="s">
        <v>105</v>
      </c>
      <c r="H117" s="6" t="s">
        <v>782</v>
      </c>
      <c r="I117" s="6" t="s">
        <v>783</v>
      </c>
      <c r="J117" s="6" t="s">
        <v>784</v>
      </c>
      <c r="K117" s="6" t="s">
        <v>778</v>
      </c>
      <c r="L117" s="6" t="s">
        <v>89</v>
      </c>
      <c r="M117" s="6" t="s">
        <v>785</v>
      </c>
      <c r="N117" s="6">
        <v>20</v>
      </c>
      <c r="O117" s="6" t="s">
        <v>282</v>
      </c>
      <c r="P117" s="6">
        <v>5</v>
      </c>
      <c r="Q117" s="6">
        <v>4</v>
      </c>
      <c r="R117" s="6">
        <v>60</v>
      </c>
      <c r="T117" s="6" t="s">
        <v>71</v>
      </c>
      <c r="U117" s="6" t="s">
        <v>72</v>
      </c>
      <c r="V117" s="6" t="s">
        <v>73</v>
      </c>
      <c r="W117" s="7" t="s">
        <v>520</v>
      </c>
      <c r="X117" s="6" t="s">
        <v>71</v>
      </c>
      <c r="Y117" s="6" t="s">
        <v>72</v>
      </c>
      <c r="Z117" s="6" t="s">
        <v>72</v>
      </c>
      <c r="AA117" s="6" t="s">
        <v>72</v>
      </c>
      <c r="AB117" s="6" t="s">
        <v>72</v>
      </c>
      <c r="AC117" s="6" t="s">
        <v>71</v>
      </c>
      <c r="AD117" s="6" t="s">
        <v>72</v>
      </c>
      <c r="AE117" s="6" t="s">
        <v>72</v>
      </c>
      <c r="AF117" s="6" t="s">
        <v>72</v>
      </c>
      <c r="AG117" s="6" t="s">
        <v>72</v>
      </c>
      <c r="AH117" s="6" t="s">
        <v>72</v>
      </c>
      <c r="AI117" s="6" t="s">
        <v>72</v>
      </c>
      <c r="AJ117" s="6" t="s">
        <v>72</v>
      </c>
      <c r="AK117" s="6" t="s">
        <v>72</v>
      </c>
      <c r="AL117" s="6" t="s">
        <v>72</v>
      </c>
      <c r="AM117" s="6" t="s">
        <v>72</v>
      </c>
      <c r="AN117" s="6" t="s">
        <v>72</v>
      </c>
      <c r="AO117" s="6" t="s">
        <v>72</v>
      </c>
      <c r="AP117" s="6" t="s">
        <v>72</v>
      </c>
    </row>
    <row r="118" spans="1:101" ht="13.2">
      <c r="A118" s="5">
        <v>45366.611727268522</v>
      </c>
      <c r="B118" s="6" t="s">
        <v>786</v>
      </c>
      <c r="C118" s="6" t="s">
        <v>787</v>
      </c>
      <c r="D118" s="6">
        <v>20063700</v>
      </c>
      <c r="E118" s="6" t="s">
        <v>387</v>
      </c>
      <c r="F118" s="6" t="s">
        <v>788</v>
      </c>
      <c r="G118" s="6" t="s">
        <v>105</v>
      </c>
      <c r="H118" s="6" t="s">
        <v>789</v>
      </c>
      <c r="I118" s="6" t="s">
        <v>790</v>
      </c>
      <c r="J118" s="6" t="s">
        <v>791</v>
      </c>
      <c r="K118" s="6" t="s">
        <v>792</v>
      </c>
      <c r="L118" s="6" t="s">
        <v>89</v>
      </c>
      <c r="M118" s="6" t="s">
        <v>392</v>
      </c>
      <c r="N118" s="6">
        <v>35</v>
      </c>
      <c r="O118" s="6" t="s">
        <v>70</v>
      </c>
      <c r="P118" s="6">
        <v>4</v>
      </c>
      <c r="Q118" s="6">
        <v>4</v>
      </c>
      <c r="R118" s="6">
        <v>70</v>
      </c>
      <c r="S118" s="6" t="s">
        <v>793</v>
      </c>
      <c r="T118" s="6" t="s">
        <v>71</v>
      </c>
      <c r="U118" s="6" t="s">
        <v>72</v>
      </c>
      <c r="V118" s="6" t="s">
        <v>73</v>
      </c>
      <c r="W118" s="7" t="s">
        <v>520</v>
      </c>
      <c r="X118" s="6" t="s">
        <v>71</v>
      </c>
      <c r="Y118" s="6" t="s">
        <v>72</v>
      </c>
      <c r="Z118" s="6" t="s">
        <v>72</v>
      </c>
      <c r="AA118" s="6" t="s">
        <v>72</v>
      </c>
      <c r="AB118" s="6" t="s">
        <v>72</v>
      </c>
      <c r="AC118" s="6" t="s">
        <v>71</v>
      </c>
      <c r="AD118" s="6" t="s">
        <v>72</v>
      </c>
      <c r="AE118" s="6" t="s">
        <v>72</v>
      </c>
      <c r="AF118" s="6" t="s">
        <v>72</v>
      </c>
      <c r="AG118" s="6" t="s">
        <v>72</v>
      </c>
      <c r="AH118" s="6" t="s">
        <v>72</v>
      </c>
      <c r="AI118" s="6" t="s">
        <v>72</v>
      </c>
      <c r="AJ118" s="6" t="s">
        <v>71</v>
      </c>
      <c r="AK118" s="6" t="s">
        <v>72</v>
      </c>
      <c r="AL118" s="6" t="s">
        <v>72</v>
      </c>
      <c r="AM118" s="6" t="s">
        <v>72</v>
      </c>
      <c r="AN118" s="6" t="s">
        <v>72</v>
      </c>
      <c r="AO118" s="6" t="s">
        <v>72</v>
      </c>
      <c r="AP118" s="6" t="s">
        <v>72</v>
      </c>
      <c r="AQ118" s="6" t="s">
        <v>794</v>
      </c>
    </row>
    <row r="119" spans="1:101" ht="13.2">
      <c r="A119" s="5">
        <v>45366.64229427083</v>
      </c>
      <c r="B119" s="6" t="s">
        <v>795</v>
      </c>
      <c r="C119" s="6" t="s">
        <v>796</v>
      </c>
      <c r="D119" s="6">
        <v>20063700</v>
      </c>
      <c r="E119" s="6" t="s">
        <v>387</v>
      </c>
      <c r="F119" s="6" t="s">
        <v>797</v>
      </c>
      <c r="G119" s="6" t="s">
        <v>105</v>
      </c>
      <c r="H119" s="6" t="s">
        <v>798</v>
      </c>
      <c r="I119" s="6" t="s">
        <v>799</v>
      </c>
      <c r="J119" s="6" t="s">
        <v>800</v>
      </c>
      <c r="K119" s="6" t="s">
        <v>795</v>
      </c>
      <c r="L119" s="6" t="s">
        <v>89</v>
      </c>
      <c r="M119" s="6" t="s">
        <v>392</v>
      </c>
      <c r="N119" s="6">
        <v>35</v>
      </c>
      <c r="O119" s="6" t="s">
        <v>70</v>
      </c>
      <c r="P119" s="6">
        <v>5</v>
      </c>
      <c r="Q119" s="6">
        <v>4</v>
      </c>
      <c r="R119" s="6">
        <v>80</v>
      </c>
      <c r="S119" s="6" t="s">
        <v>801</v>
      </c>
      <c r="T119" s="6" t="s">
        <v>72</v>
      </c>
      <c r="U119" s="6" t="s">
        <v>71</v>
      </c>
      <c r="V119" s="6" t="s">
        <v>351</v>
      </c>
      <c r="W119" s="7" t="s">
        <v>520</v>
      </c>
      <c r="X119" s="6" t="s">
        <v>72</v>
      </c>
      <c r="Y119" s="6" t="s">
        <v>72</v>
      </c>
      <c r="Z119" s="6" t="s">
        <v>72</v>
      </c>
      <c r="AA119" s="6" t="s">
        <v>71</v>
      </c>
      <c r="AB119" s="6" t="s">
        <v>72</v>
      </c>
      <c r="AC119" s="6" t="s">
        <v>72</v>
      </c>
      <c r="AD119" s="6" t="s">
        <v>72</v>
      </c>
      <c r="AE119" s="6" t="s">
        <v>72</v>
      </c>
      <c r="AF119" s="6" t="s">
        <v>72</v>
      </c>
      <c r="AG119" s="6" t="s">
        <v>71</v>
      </c>
      <c r="AH119" s="6" t="s">
        <v>72</v>
      </c>
      <c r="AI119" s="6" t="s">
        <v>72</v>
      </c>
      <c r="AJ119" s="6" t="s">
        <v>72</v>
      </c>
      <c r="AK119" s="6" t="s">
        <v>72</v>
      </c>
      <c r="AL119" s="6" t="s">
        <v>72</v>
      </c>
      <c r="AM119" s="6" t="s">
        <v>72</v>
      </c>
      <c r="AN119" s="6" t="s">
        <v>72</v>
      </c>
      <c r="AO119" s="6" t="s">
        <v>72</v>
      </c>
      <c r="AP119" s="6" t="s">
        <v>71</v>
      </c>
      <c r="AQ119" s="6" t="s">
        <v>802</v>
      </c>
    </row>
    <row r="120" spans="1:101" ht="13.2">
      <c r="A120" s="5">
        <v>45366.64803232639</v>
      </c>
      <c r="B120" s="6" t="s">
        <v>795</v>
      </c>
      <c r="C120" s="6" t="s">
        <v>803</v>
      </c>
      <c r="D120" s="6">
        <v>20063700</v>
      </c>
      <c r="E120" s="6" t="s">
        <v>387</v>
      </c>
      <c r="F120" s="6" t="s">
        <v>804</v>
      </c>
      <c r="G120" s="6" t="s">
        <v>105</v>
      </c>
      <c r="H120" s="6" t="s">
        <v>805</v>
      </c>
      <c r="I120" s="6" t="s">
        <v>798</v>
      </c>
      <c r="J120" s="6" t="s">
        <v>800</v>
      </c>
      <c r="K120" s="6" t="s">
        <v>795</v>
      </c>
      <c r="L120" s="6" t="s">
        <v>89</v>
      </c>
      <c r="M120" s="6" t="s">
        <v>392</v>
      </c>
      <c r="N120" s="6">
        <v>35</v>
      </c>
      <c r="O120" s="6" t="s">
        <v>70</v>
      </c>
      <c r="P120" s="6">
        <v>5</v>
      </c>
      <c r="Q120" s="6">
        <v>4</v>
      </c>
      <c r="R120" s="6">
        <v>80</v>
      </c>
      <c r="S120" s="6" t="s">
        <v>806</v>
      </c>
      <c r="T120" s="6" t="s">
        <v>72</v>
      </c>
      <c r="U120" s="6" t="s">
        <v>71</v>
      </c>
      <c r="V120" s="6" t="s">
        <v>351</v>
      </c>
      <c r="W120" s="7" t="s">
        <v>520</v>
      </c>
      <c r="X120" s="6" t="s">
        <v>72</v>
      </c>
      <c r="Y120" s="6" t="s">
        <v>72</v>
      </c>
      <c r="Z120" s="6" t="s">
        <v>72</v>
      </c>
      <c r="AA120" s="6" t="s">
        <v>71</v>
      </c>
      <c r="AB120" s="6" t="s">
        <v>72</v>
      </c>
      <c r="AC120" s="6" t="s">
        <v>72</v>
      </c>
      <c r="AD120" s="6" t="s">
        <v>72</v>
      </c>
      <c r="AE120" s="6" t="s">
        <v>72</v>
      </c>
      <c r="AF120" s="6" t="s">
        <v>72</v>
      </c>
      <c r="AG120" s="6" t="s">
        <v>71</v>
      </c>
      <c r="AH120" s="6" t="s">
        <v>72</v>
      </c>
      <c r="AI120" s="6" t="s">
        <v>72</v>
      </c>
      <c r="AJ120" s="6" t="s">
        <v>72</v>
      </c>
      <c r="AK120" s="6" t="s">
        <v>72</v>
      </c>
      <c r="AL120" s="6" t="s">
        <v>71</v>
      </c>
      <c r="AM120" s="6" t="s">
        <v>72</v>
      </c>
      <c r="AN120" s="6" t="s">
        <v>72</v>
      </c>
      <c r="AO120" s="6" t="s">
        <v>72</v>
      </c>
      <c r="AP120" s="6" t="s">
        <v>71</v>
      </c>
      <c r="AQ120" s="6" t="s">
        <v>807</v>
      </c>
    </row>
    <row r="121" spans="1:101" ht="13.2">
      <c r="A121" s="13">
        <v>45367.5013937037</v>
      </c>
      <c r="B121" s="14" t="s">
        <v>808</v>
      </c>
      <c r="C121" s="14" t="s">
        <v>421</v>
      </c>
      <c r="D121" s="14">
        <v>20116900</v>
      </c>
      <c r="E121" s="14" t="s">
        <v>286</v>
      </c>
      <c r="F121" s="14" t="s">
        <v>422</v>
      </c>
      <c r="G121" s="14" t="s">
        <v>105</v>
      </c>
      <c r="H121" s="14" t="s">
        <v>423</v>
      </c>
      <c r="I121" s="14" t="s">
        <v>423</v>
      </c>
      <c r="J121" s="14" t="s">
        <v>809</v>
      </c>
      <c r="K121" s="14" t="s">
        <v>808</v>
      </c>
      <c r="L121" s="14" t="s">
        <v>89</v>
      </c>
      <c r="M121" s="14" t="s">
        <v>425</v>
      </c>
      <c r="N121" s="14">
        <v>35</v>
      </c>
      <c r="O121" s="14" t="s">
        <v>282</v>
      </c>
      <c r="P121" s="14">
        <v>5</v>
      </c>
      <c r="Q121" s="14">
        <v>4</v>
      </c>
      <c r="R121" s="14">
        <v>60</v>
      </c>
      <c r="S121" s="16"/>
      <c r="T121" s="14" t="s">
        <v>71</v>
      </c>
      <c r="U121" s="14" t="s">
        <v>72</v>
      </c>
      <c r="V121" s="6" t="s">
        <v>73</v>
      </c>
      <c r="W121" s="15" t="s">
        <v>520</v>
      </c>
      <c r="X121" s="14" t="s">
        <v>71</v>
      </c>
      <c r="Y121" s="14" t="s">
        <v>71</v>
      </c>
      <c r="Z121" s="14" t="s">
        <v>71</v>
      </c>
      <c r="AA121" s="14" t="s">
        <v>72</v>
      </c>
      <c r="AB121" s="14" t="s">
        <v>71</v>
      </c>
      <c r="AC121" s="14" t="s">
        <v>71</v>
      </c>
      <c r="AD121" s="14" t="s">
        <v>71</v>
      </c>
      <c r="AE121" s="14" t="s">
        <v>72</v>
      </c>
      <c r="AF121" s="14" t="s">
        <v>72</v>
      </c>
      <c r="AG121" s="14" t="s">
        <v>72</v>
      </c>
      <c r="AH121" s="14" t="s">
        <v>71</v>
      </c>
      <c r="AI121" s="14" t="s">
        <v>71</v>
      </c>
      <c r="AJ121" s="14" t="s">
        <v>71</v>
      </c>
      <c r="AK121" s="16"/>
      <c r="AL121" s="16"/>
      <c r="AM121" s="14" t="s">
        <v>71</v>
      </c>
      <c r="AN121" s="14" t="s">
        <v>71</v>
      </c>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row>
    <row r="122" spans="1:101" ht="13.2">
      <c r="A122" s="5">
        <v>45367.535389722223</v>
      </c>
      <c r="B122" s="6" t="s">
        <v>808</v>
      </c>
      <c r="C122" s="6" t="s">
        <v>421</v>
      </c>
      <c r="D122" s="6">
        <v>20116900</v>
      </c>
      <c r="E122" s="6" t="s">
        <v>286</v>
      </c>
      <c r="F122" s="6" t="s">
        <v>810</v>
      </c>
      <c r="G122" s="6" t="s">
        <v>105</v>
      </c>
      <c r="H122" s="6" t="s">
        <v>811</v>
      </c>
      <c r="I122" s="6" t="s">
        <v>812</v>
      </c>
      <c r="J122" s="6" t="s">
        <v>809</v>
      </c>
      <c r="K122" s="6" t="s">
        <v>808</v>
      </c>
      <c r="L122" s="6" t="s">
        <v>89</v>
      </c>
      <c r="M122" s="6" t="s">
        <v>425</v>
      </c>
      <c r="N122" s="6">
        <v>35</v>
      </c>
      <c r="O122" s="6" t="s">
        <v>282</v>
      </c>
      <c r="P122" s="6">
        <v>5</v>
      </c>
      <c r="Q122" s="6">
        <v>4</v>
      </c>
      <c r="R122" s="6">
        <v>50</v>
      </c>
      <c r="T122" s="6" t="s">
        <v>72</v>
      </c>
      <c r="U122" s="6" t="s">
        <v>71</v>
      </c>
      <c r="V122" s="6" t="s">
        <v>351</v>
      </c>
      <c r="W122" s="7" t="s">
        <v>520</v>
      </c>
      <c r="X122" s="6" t="s">
        <v>72</v>
      </c>
      <c r="Y122" s="6" t="s">
        <v>72</v>
      </c>
      <c r="Z122" s="6" t="s">
        <v>72</v>
      </c>
      <c r="AA122" s="6" t="s">
        <v>71</v>
      </c>
      <c r="AB122" s="6" t="s">
        <v>72</v>
      </c>
      <c r="AC122" s="6" t="s">
        <v>72</v>
      </c>
      <c r="AD122" s="6" t="s">
        <v>72</v>
      </c>
      <c r="AE122" s="6" t="s">
        <v>72</v>
      </c>
      <c r="AF122" s="6" t="s">
        <v>71</v>
      </c>
      <c r="AG122" s="6" t="s">
        <v>71</v>
      </c>
      <c r="AH122" s="6" t="s">
        <v>72</v>
      </c>
      <c r="AI122" s="6" t="s">
        <v>72</v>
      </c>
      <c r="AJ122" s="6" t="s">
        <v>72</v>
      </c>
      <c r="AK122" s="6" t="s">
        <v>71</v>
      </c>
      <c r="AL122" s="6" t="s">
        <v>71</v>
      </c>
      <c r="AM122" s="6" t="s">
        <v>72</v>
      </c>
      <c r="AN122" s="6" t="s">
        <v>72</v>
      </c>
      <c r="AO122" s="6" t="s">
        <v>71</v>
      </c>
      <c r="AP122" s="6" t="s">
        <v>71</v>
      </c>
    </row>
    <row r="123" spans="1:101" ht="13.2">
      <c r="A123" s="5">
        <v>45367.586076747684</v>
      </c>
      <c r="B123" s="6" t="s">
        <v>813</v>
      </c>
      <c r="C123" s="6" t="s">
        <v>814</v>
      </c>
      <c r="D123" s="6">
        <v>30640241698</v>
      </c>
      <c r="E123" s="6" t="s">
        <v>815</v>
      </c>
      <c r="F123" s="6" t="s">
        <v>676</v>
      </c>
      <c r="G123" s="6" t="s">
        <v>64</v>
      </c>
      <c r="H123" s="6" t="s">
        <v>816</v>
      </c>
      <c r="I123" s="6" t="s">
        <v>817</v>
      </c>
      <c r="K123" s="6" t="s">
        <v>818</v>
      </c>
      <c r="L123" s="6" t="s">
        <v>89</v>
      </c>
      <c r="M123" s="6" t="s">
        <v>819</v>
      </c>
      <c r="N123" s="6">
        <v>20</v>
      </c>
      <c r="O123" s="6" t="s">
        <v>70</v>
      </c>
      <c r="P123" s="6">
        <v>4</v>
      </c>
      <c r="Q123" s="6">
        <v>3</v>
      </c>
      <c r="R123" s="6">
        <v>70</v>
      </c>
      <c r="T123" s="6" t="s">
        <v>72</v>
      </c>
      <c r="U123" s="6" t="s">
        <v>71</v>
      </c>
      <c r="V123" s="6" t="s">
        <v>351</v>
      </c>
      <c r="W123" s="7" t="s">
        <v>520</v>
      </c>
      <c r="X123" s="6" t="s">
        <v>72</v>
      </c>
      <c r="Y123" s="6" t="s">
        <v>72</v>
      </c>
      <c r="Z123" s="6" t="s">
        <v>72</v>
      </c>
      <c r="AA123" s="6" t="s">
        <v>71</v>
      </c>
      <c r="AB123" s="6" t="s">
        <v>72</v>
      </c>
      <c r="AC123" s="6" t="s">
        <v>72</v>
      </c>
      <c r="AD123" s="6" t="s">
        <v>72</v>
      </c>
      <c r="AE123" s="6" t="s">
        <v>72</v>
      </c>
      <c r="AF123" s="6" t="s">
        <v>71</v>
      </c>
      <c r="AG123" s="6" t="s">
        <v>71</v>
      </c>
      <c r="AH123" s="6" t="s">
        <v>72</v>
      </c>
      <c r="AI123" s="6" t="s">
        <v>72</v>
      </c>
      <c r="AJ123" s="6" t="s">
        <v>72</v>
      </c>
      <c r="AK123" s="6" t="s">
        <v>71</v>
      </c>
      <c r="AL123" s="6" t="s">
        <v>71</v>
      </c>
      <c r="AM123" s="6" t="s">
        <v>72</v>
      </c>
      <c r="AN123" s="6" t="s">
        <v>72</v>
      </c>
      <c r="AO123" s="6" t="s">
        <v>71</v>
      </c>
      <c r="AP123" s="6" t="s">
        <v>71</v>
      </c>
    </row>
    <row r="124" spans="1:101" ht="13.2">
      <c r="A124" s="5">
        <v>45367.586436516205</v>
      </c>
      <c r="B124" s="6" t="s">
        <v>820</v>
      </c>
      <c r="C124" s="6" t="s">
        <v>821</v>
      </c>
      <c r="D124" s="6">
        <v>605413</v>
      </c>
      <c r="E124" s="6" t="s">
        <v>84</v>
      </c>
      <c r="F124" s="6" t="s">
        <v>249</v>
      </c>
      <c r="G124" s="6" t="s">
        <v>64</v>
      </c>
      <c r="H124" s="6" t="s">
        <v>822</v>
      </c>
      <c r="I124" s="6" t="s">
        <v>823</v>
      </c>
      <c r="J124" s="6" t="s">
        <v>824</v>
      </c>
      <c r="K124" s="6" t="s">
        <v>820</v>
      </c>
      <c r="L124" s="6" t="s">
        <v>68</v>
      </c>
      <c r="M124" s="6" t="s">
        <v>825</v>
      </c>
      <c r="N124" s="6">
        <v>32</v>
      </c>
      <c r="O124" s="6" t="s">
        <v>148</v>
      </c>
      <c r="P124" s="6">
        <v>2</v>
      </c>
      <c r="Q124" s="6">
        <v>2</v>
      </c>
      <c r="R124" s="6">
        <v>10</v>
      </c>
      <c r="S124" s="6" t="s">
        <v>826</v>
      </c>
      <c r="T124" s="6" t="s">
        <v>71</v>
      </c>
      <c r="U124" s="6" t="s">
        <v>72</v>
      </c>
      <c r="V124" s="6" t="s">
        <v>73</v>
      </c>
      <c r="W124" s="7" t="s">
        <v>520</v>
      </c>
      <c r="X124" s="6" t="s">
        <v>71</v>
      </c>
      <c r="Y124" s="6" t="s">
        <v>71</v>
      </c>
      <c r="Z124" s="6" t="s">
        <v>71</v>
      </c>
      <c r="AA124" s="6" t="s">
        <v>72</v>
      </c>
      <c r="AB124" s="6" t="s">
        <v>71</v>
      </c>
      <c r="AC124" s="6" t="s">
        <v>71</v>
      </c>
      <c r="AD124" s="6" t="s">
        <v>71</v>
      </c>
      <c r="AE124" s="6" t="s">
        <v>72</v>
      </c>
      <c r="AF124" s="6" t="s">
        <v>72</v>
      </c>
      <c r="AG124" s="6" t="s">
        <v>72</v>
      </c>
      <c r="AH124" s="6" t="s">
        <v>71</v>
      </c>
      <c r="AI124" s="6" t="s">
        <v>71</v>
      </c>
      <c r="AJ124" s="6" t="s">
        <v>71</v>
      </c>
      <c r="AK124" s="6" t="s">
        <v>72</v>
      </c>
      <c r="AL124" s="6" t="s">
        <v>72</v>
      </c>
      <c r="AM124" s="6" t="s">
        <v>71</v>
      </c>
      <c r="AN124" s="6" t="s">
        <v>71</v>
      </c>
      <c r="AO124" s="6" t="s">
        <v>72</v>
      </c>
      <c r="AP124" s="6" t="s">
        <v>72</v>
      </c>
      <c r="AQ124" s="6" t="s">
        <v>827</v>
      </c>
    </row>
    <row r="125" spans="1:101" ht="13.2">
      <c r="A125" s="5">
        <v>45367.590295416667</v>
      </c>
      <c r="B125" s="6" t="s">
        <v>820</v>
      </c>
      <c r="C125" s="6" t="s">
        <v>828</v>
      </c>
      <c r="D125" s="6">
        <v>605413</v>
      </c>
      <c r="E125" s="6" t="s">
        <v>506</v>
      </c>
      <c r="F125" s="6" t="s">
        <v>630</v>
      </c>
      <c r="G125" s="6" t="s">
        <v>64</v>
      </c>
      <c r="H125" s="6" t="s">
        <v>822</v>
      </c>
      <c r="I125" s="6" t="s">
        <v>823</v>
      </c>
      <c r="J125" s="6" t="s">
        <v>824</v>
      </c>
      <c r="K125" s="6" t="s">
        <v>820</v>
      </c>
      <c r="L125" s="6" t="s">
        <v>68</v>
      </c>
      <c r="M125" s="6" t="s">
        <v>825</v>
      </c>
      <c r="N125" s="6">
        <v>32</v>
      </c>
      <c r="O125" s="6" t="s">
        <v>148</v>
      </c>
      <c r="P125" s="6">
        <v>2</v>
      </c>
      <c r="Q125" s="6">
        <v>2</v>
      </c>
      <c r="R125" s="6">
        <v>10</v>
      </c>
      <c r="S125" s="6" t="s">
        <v>829</v>
      </c>
      <c r="T125" s="6" t="s">
        <v>71</v>
      </c>
      <c r="U125" s="6" t="s">
        <v>72</v>
      </c>
      <c r="V125" s="6" t="s">
        <v>73</v>
      </c>
      <c r="W125" s="7" t="s">
        <v>520</v>
      </c>
      <c r="X125" s="6" t="s">
        <v>71</v>
      </c>
      <c r="Y125" s="6" t="s">
        <v>71</v>
      </c>
      <c r="Z125" s="6" t="s">
        <v>71</v>
      </c>
      <c r="AA125" s="6" t="s">
        <v>72</v>
      </c>
      <c r="AB125" s="6" t="s">
        <v>71</v>
      </c>
      <c r="AC125" s="6" t="s">
        <v>71</v>
      </c>
      <c r="AD125" s="6" t="s">
        <v>71</v>
      </c>
      <c r="AE125" s="6" t="s">
        <v>72</v>
      </c>
      <c r="AF125" s="6" t="s">
        <v>72</v>
      </c>
      <c r="AG125" s="6" t="s">
        <v>72</v>
      </c>
      <c r="AH125" s="6" t="s">
        <v>71</v>
      </c>
      <c r="AI125" s="6" t="s">
        <v>71</v>
      </c>
      <c r="AJ125" s="6" t="s">
        <v>71</v>
      </c>
      <c r="AK125" s="6" t="s">
        <v>72</v>
      </c>
      <c r="AL125" s="6" t="s">
        <v>72</v>
      </c>
      <c r="AM125" s="6" t="s">
        <v>71</v>
      </c>
      <c r="AN125" s="6" t="s">
        <v>71</v>
      </c>
      <c r="AO125" s="6" t="s">
        <v>72</v>
      </c>
      <c r="AP125" s="6" t="s">
        <v>72</v>
      </c>
      <c r="AQ125" s="6" t="s">
        <v>827</v>
      </c>
    </row>
    <row r="126" spans="1:101" ht="13.2">
      <c r="A126" s="5">
        <v>45368.450414085644</v>
      </c>
      <c r="B126" s="6" t="s">
        <v>830</v>
      </c>
      <c r="C126" s="6" t="s">
        <v>496</v>
      </c>
      <c r="D126" s="7" t="s">
        <v>831</v>
      </c>
      <c r="E126" s="6" t="s">
        <v>276</v>
      </c>
      <c r="F126" s="6" t="s">
        <v>832</v>
      </c>
      <c r="G126" s="6" t="s">
        <v>64</v>
      </c>
      <c r="H126" s="6" t="s">
        <v>833</v>
      </c>
      <c r="I126" s="6" t="s">
        <v>834</v>
      </c>
      <c r="J126" s="6" t="s">
        <v>835</v>
      </c>
      <c r="K126" s="6" t="s">
        <v>830</v>
      </c>
      <c r="L126" s="6" t="s">
        <v>89</v>
      </c>
      <c r="M126" s="6" t="s">
        <v>217</v>
      </c>
      <c r="N126" s="6">
        <v>35</v>
      </c>
      <c r="O126" s="6" t="s">
        <v>70</v>
      </c>
      <c r="P126" s="6">
        <v>5</v>
      </c>
      <c r="Q126" s="6">
        <v>5</v>
      </c>
      <c r="R126" s="6">
        <v>30</v>
      </c>
      <c r="T126" s="6" t="s">
        <v>71</v>
      </c>
      <c r="U126" s="6" t="s">
        <v>72</v>
      </c>
      <c r="V126" s="6" t="s">
        <v>73</v>
      </c>
      <c r="W126" s="7" t="s">
        <v>520</v>
      </c>
      <c r="X126" s="6" t="s">
        <v>71</v>
      </c>
      <c r="Y126" s="6" t="s">
        <v>71</v>
      </c>
      <c r="Z126" s="6" t="s">
        <v>71</v>
      </c>
      <c r="AA126" s="6" t="s">
        <v>72</v>
      </c>
      <c r="AB126" s="6" t="s">
        <v>71</v>
      </c>
      <c r="AC126" s="6" t="s">
        <v>71</v>
      </c>
      <c r="AD126" s="6" t="s">
        <v>71</v>
      </c>
      <c r="AE126" s="6" t="s">
        <v>72</v>
      </c>
      <c r="AF126" s="6" t="s">
        <v>72</v>
      </c>
      <c r="AG126" s="6" t="s">
        <v>72</v>
      </c>
      <c r="AH126" s="6" t="s">
        <v>71</v>
      </c>
      <c r="AI126" s="6" t="s">
        <v>71</v>
      </c>
      <c r="AJ126" s="6" t="s">
        <v>71</v>
      </c>
      <c r="AK126" s="6" t="s">
        <v>72</v>
      </c>
      <c r="AL126" s="6" t="s">
        <v>72</v>
      </c>
      <c r="AM126" s="6" t="s">
        <v>71</v>
      </c>
      <c r="AN126" s="6" t="s">
        <v>71</v>
      </c>
      <c r="AO126" s="6" t="s">
        <v>72</v>
      </c>
      <c r="AP126" s="6" t="s">
        <v>72</v>
      </c>
    </row>
    <row r="127" spans="1:101" ht="13.2">
      <c r="A127" s="5">
        <v>45368.466132592592</v>
      </c>
      <c r="B127" s="6" t="s">
        <v>830</v>
      </c>
      <c r="C127" s="6" t="s">
        <v>836</v>
      </c>
      <c r="D127" s="6">
        <v>20036400</v>
      </c>
      <c r="E127" s="6" t="s">
        <v>133</v>
      </c>
      <c r="F127" s="6" t="s">
        <v>837</v>
      </c>
      <c r="G127" s="6" t="s">
        <v>105</v>
      </c>
      <c r="H127" s="6" t="s">
        <v>833</v>
      </c>
      <c r="I127" s="6" t="s">
        <v>838</v>
      </c>
      <c r="J127" s="6" t="s">
        <v>839</v>
      </c>
      <c r="K127" s="6" t="s">
        <v>830</v>
      </c>
      <c r="L127" s="6" t="s">
        <v>89</v>
      </c>
      <c r="M127" s="6" t="s">
        <v>840</v>
      </c>
      <c r="N127" s="6">
        <v>35</v>
      </c>
      <c r="O127" s="6" t="s">
        <v>70</v>
      </c>
      <c r="P127" s="6">
        <v>5</v>
      </c>
      <c r="Q127" s="6">
        <v>4</v>
      </c>
      <c r="R127" s="6">
        <v>80</v>
      </c>
      <c r="S127" s="6" t="s">
        <v>841</v>
      </c>
      <c r="T127" s="6" t="s">
        <v>72</v>
      </c>
      <c r="U127" s="6" t="s">
        <v>71</v>
      </c>
      <c r="V127" s="6" t="s">
        <v>351</v>
      </c>
      <c r="W127" s="7" t="s">
        <v>520</v>
      </c>
      <c r="X127" s="6" t="s">
        <v>72</v>
      </c>
      <c r="Y127" s="6" t="s">
        <v>72</v>
      </c>
      <c r="Z127" s="6" t="s">
        <v>72</v>
      </c>
      <c r="AA127" s="6" t="s">
        <v>71</v>
      </c>
      <c r="AB127" s="6" t="s">
        <v>72</v>
      </c>
      <c r="AC127" s="6" t="s">
        <v>72</v>
      </c>
      <c r="AD127" s="6" t="s">
        <v>72</v>
      </c>
      <c r="AE127" s="6" t="s">
        <v>71</v>
      </c>
      <c r="AF127" s="6" t="s">
        <v>71</v>
      </c>
      <c r="AG127" s="6" t="s">
        <v>71</v>
      </c>
      <c r="AH127" s="6" t="s">
        <v>72</v>
      </c>
      <c r="AI127" s="6" t="s">
        <v>72</v>
      </c>
      <c r="AJ127" s="6" t="s">
        <v>72</v>
      </c>
      <c r="AK127" s="6" t="s">
        <v>71</v>
      </c>
      <c r="AL127" s="6" t="s">
        <v>71</v>
      </c>
      <c r="AM127" s="6" t="s">
        <v>72</v>
      </c>
      <c r="AN127" s="6" t="s">
        <v>72</v>
      </c>
      <c r="AO127" s="6" t="s">
        <v>71</v>
      </c>
      <c r="AP127" s="6" t="s">
        <v>71</v>
      </c>
    </row>
    <row r="128" spans="1:101" ht="13.2">
      <c r="A128" s="5">
        <v>45368.6555041088</v>
      </c>
      <c r="B128" s="6" t="s">
        <v>842</v>
      </c>
      <c r="C128" s="6" t="s">
        <v>843</v>
      </c>
      <c r="D128" s="6">
        <v>20097800</v>
      </c>
      <c r="E128" s="6" t="s">
        <v>133</v>
      </c>
      <c r="F128" s="6" t="s">
        <v>844</v>
      </c>
      <c r="G128" s="6" t="s">
        <v>64</v>
      </c>
      <c r="H128" s="6" t="s">
        <v>845</v>
      </c>
      <c r="I128" s="6" t="s">
        <v>845</v>
      </c>
      <c r="K128" s="6" t="s">
        <v>842</v>
      </c>
      <c r="L128" s="6" t="s">
        <v>89</v>
      </c>
      <c r="M128" s="6" t="s">
        <v>846</v>
      </c>
      <c r="N128" s="6">
        <v>11</v>
      </c>
      <c r="O128" s="6" t="s">
        <v>70</v>
      </c>
      <c r="P128" s="6">
        <v>4</v>
      </c>
      <c r="Q128" s="6">
        <v>4</v>
      </c>
      <c r="R128" s="6">
        <v>0</v>
      </c>
      <c r="T128" s="6" t="s">
        <v>72</v>
      </c>
      <c r="U128" s="6" t="s">
        <v>71</v>
      </c>
      <c r="V128" s="6" t="s">
        <v>351</v>
      </c>
      <c r="W128" s="7" t="s">
        <v>520</v>
      </c>
      <c r="X128" s="6" t="s">
        <v>72</v>
      </c>
      <c r="Y128" s="6" t="s">
        <v>72</v>
      </c>
      <c r="Z128" s="6" t="s">
        <v>72</v>
      </c>
      <c r="AA128" s="6" t="s">
        <v>71</v>
      </c>
      <c r="AB128" s="6" t="s">
        <v>72</v>
      </c>
      <c r="AC128" s="6" t="s">
        <v>72</v>
      </c>
      <c r="AD128" s="6" t="s">
        <v>72</v>
      </c>
      <c r="AE128" s="6" t="s">
        <v>71</v>
      </c>
      <c r="AF128" s="6" t="s">
        <v>71</v>
      </c>
      <c r="AG128" s="6" t="s">
        <v>71</v>
      </c>
      <c r="AH128" s="6" t="s">
        <v>72</v>
      </c>
      <c r="AI128" s="6" t="s">
        <v>72</v>
      </c>
      <c r="AJ128" s="6" t="s">
        <v>72</v>
      </c>
      <c r="AK128" s="6" t="s">
        <v>71</v>
      </c>
      <c r="AL128" s="6" t="s">
        <v>71</v>
      </c>
      <c r="AM128" s="6" t="s">
        <v>72</v>
      </c>
      <c r="AN128" s="6" t="s">
        <v>72</v>
      </c>
      <c r="AO128" s="6" t="s">
        <v>71</v>
      </c>
      <c r="AP128" s="6" t="s">
        <v>71</v>
      </c>
    </row>
    <row r="129" spans="1:101" ht="13.2">
      <c r="A129" s="5">
        <v>45368.832537881943</v>
      </c>
      <c r="B129" s="6" t="s">
        <v>847</v>
      </c>
      <c r="C129" s="6" t="s">
        <v>848</v>
      </c>
      <c r="D129" s="7" t="s">
        <v>849</v>
      </c>
      <c r="E129" s="6" t="s">
        <v>62</v>
      </c>
      <c r="F129" s="6" t="s">
        <v>235</v>
      </c>
      <c r="G129" s="6" t="s">
        <v>64</v>
      </c>
      <c r="H129" s="6" t="s">
        <v>460</v>
      </c>
      <c r="I129" s="6" t="s">
        <v>850</v>
      </c>
      <c r="J129" s="6" t="s">
        <v>851</v>
      </c>
      <c r="K129" s="6" t="s">
        <v>847</v>
      </c>
      <c r="L129" s="6" t="s">
        <v>68</v>
      </c>
      <c r="M129" s="6" t="s">
        <v>852</v>
      </c>
      <c r="N129" s="6">
        <v>31</v>
      </c>
      <c r="O129" s="6" t="s">
        <v>70</v>
      </c>
      <c r="P129" s="6">
        <v>3</v>
      </c>
      <c r="Q129" s="6">
        <v>3</v>
      </c>
      <c r="R129" s="6">
        <v>50</v>
      </c>
      <c r="T129" s="6" t="s">
        <v>71</v>
      </c>
      <c r="U129" s="6" t="s">
        <v>71</v>
      </c>
      <c r="V129" s="6" t="s">
        <v>109</v>
      </c>
      <c r="W129" s="7" t="s">
        <v>520</v>
      </c>
      <c r="X129" s="6" t="s">
        <v>72</v>
      </c>
      <c r="Y129" s="6" t="s">
        <v>72</v>
      </c>
      <c r="Z129" s="6" t="s">
        <v>71</v>
      </c>
      <c r="AA129" s="6" t="s">
        <v>71</v>
      </c>
      <c r="AB129" s="6" t="s">
        <v>72</v>
      </c>
      <c r="AC129" s="6" t="s">
        <v>72</v>
      </c>
      <c r="AD129" s="6" t="s">
        <v>72</v>
      </c>
      <c r="AE129" s="6" t="s">
        <v>71</v>
      </c>
      <c r="AF129" s="6" t="s">
        <v>71</v>
      </c>
      <c r="AG129" s="6" t="s">
        <v>71</v>
      </c>
      <c r="AH129" s="6" t="s">
        <v>72</v>
      </c>
      <c r="AI129" s="6" t="s">
        <v>72</v>
      </c>
      <c r="AJ129" s="6" t="s">
        <v>71</v>
      </c>
      <c r="AK129" s="6" t="s">
        <v>71</v>
      </c>
      <c r="AL129" s="6" t="s">
        <v>71</v>
      </c>
      <c r="AM129" s="6" t="s">
        <v>72</v>
      </c>
      <c r="AN129" s="6" t="s">
        <v>71</v>
      </c>
      <c r="AO129" s="6" t="s">
        <v>71</v>
      </c>
      <c r="AP129" s="6" t="s">
        <v>71</v>
      </c>
    </row>
    <row r="130" spans="1:101" ht="13.2">
      <c r="A130" s="13">
        <v>45369.031134166667</v>
      </c>
      <c r="B130" s="14" t="s">
        <v>853</v>
      </c>
      <c r="C130" s="14" t="s">
        <v>854</v>
      </c>
      <c r="D130" s="14">
        <v>61114200</v>
      </c>
      <c r="E130" s="14" t="s">
        <v>62</v>
      </c>
      <c r="F130" s="14" t="s">
        <v>855</v>
      </c>
      <c r="G130" s="14" t="s">
        <v>105</v>
      </c>
      <c r="H130" s="14" t="s">
        <v>856</v>
      </c>
      <c r="I130" s="14" t="s">
        <v>857</v>
      </c>
      <c r="J130" s="16"/>
      <c r="K130" s="14" t="s">
        <v>853</v>
      </c>
      <c r="L130" s="14" t="s">
        <v>245</v>
      </c>
      <c r="M130" s="14" t="s">
        <v>858</v>
      </c>
      <c r="N130" s="14">
        <v>12</v>
      </c>
      <c r="O130" s="14" t="s">
        <v>282</v>
      </c>
      <c r="P130" s="14">
        <v>1</v>
      </c>
      <c r="Q130" s="14">
        <v>1</v>
      </c>
      <c r="R130" s="14">
        <v>50</v>
      </c>
      <c r="S130" s="14" t="s">
        <v>859</v>
      </c>
      <c r="T130" s="14" t="s">
        <v>71</v>
      </c>
      <c r="U130" s="14" t="s">
        <v>72</v>
      </c>
      <c r="V130" s="6" t="s">
        <v>73</v>
      </c>
      <c r="W130" s="15" t="s">
        <v>520</v>
      </c>
      <c r="X130" s="14" t="s">
        <v>71</v>
      </c>
      <c r="Y130" s="14" t="s">
        <v>72</v>
      </c>
      <c r="Z130" s="14" t="s">
        <v>72</v>
      </c>
      <c r="AA130" s="14" t="s">
        <v>72</v>
      </c>
      <c r="AB130" s="14" t="s">
        <v>72</v>
      </c>
      <c r="AC130" s="14" t="s">
        <v>72</v>
      </c>
      <c r="AD130" s="14" t="s">
        <v>71</v>
      </c>
      <c r="AE130" s="14" t="s">
        <v>72</v>
      </c>
      <c r="AF130" s="14" t="s">
        <v>72</v>
      </c>
      <c r="AG130" s="14" t="s">
        <v>72</v>
      </c>
      <c r="AH130" s="16"/>
      <c r="AI130" s="16"/>
      <c r="AJ130" s="16"/>
      <c r="AK130" s="14" t="s">
        <v>71</v>
      </c>
      <c r="AL130" s="16"/>
      <c r="AM130" s="16"/>
      <c r="AN130" s="16"/>
      <c r="AO130" s="16"/>
      <c r="AP130" s="14" t="s">
        <v>71</v>
      </c>
      <c r="AQ130" s="14" t="s">
        <v>860</v>
      </c>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row>
    <row r="131" spans="1:101" ht="13.2">
      <c r="A131" s="5">
        <v>45369.501063009258</v>
      </c>
      <c r="B131" s="6" t="s">
        <v>861</v>
      </c>
      <c r="C131" s="6" t="s">
        <v>862</v>
      </c>
      <c r="D131" s="6">
        <v>20086000</v>
      </c>
      <c r="E131" s="6" t="s">
        <v>84</v>
      </c>
      <c r="F131" s="6" t="s">
        <v>269</v>
      </c>
      <c r="G131" s="6" t="s">
        <v>64</v>
      </c>
      <c r="H131" s="6" t="s">
        <v>863</v>
      </c>
      <c r="I131" s="6" t="s">
        <v>864</v>
      </c>
      <c r="J131" s="6" t="s">
        <v>865</v>
      </c>
      <c r="K131" s="6" t="s">
        <v>861</v>
      </c>
      <c r="L131" s="6" t="s">
        <v>89</v>
      </c>
      <c r="M131" s="6" t="s">
        <v>313</v>
      </c>
      <c r="N131" s="6">
        <v>10</v>
      </c>
      <c r="O131" s="6" t="s">
        <v>70</v>
      </c>
      <c r="P131" s="6">
        <v>5</v>
      </c>
      <c r="Q131" s="6">
        <v>5</v>
      </c>
      <c r="R131" s="6">
        <v>0</v>
      </c>
      <c r="T131" s="6" t="s">
        <v>71</v>
      </c>
      <c r="U131" s="6" t="s">
        <v>72</v>
      </c>
      <c r="V131" s="6" t="s">
        <v>73</v>
      </c>
      <c r="W131" s="7" t="s">
        <v>520</v>
      </c>
      <c r="X131" s="6" t="s">
        <v>72</v>
      </c>
      <c r="Y131" s="6" t="s">
        <v>72</v>
      </c>
      <c r="Z131" s="6" t="s">
        <v>72</v>
      </c>
      <c r="AA131" s="6" t="s">
        <v>72</v>
      </c>
      <c r="AB131" s="6" t="s">
        <v>71</v>
      </c>
      <c r="AC131" s="6" t="s">
        <v>72</v>
      </c>
      <c r="AD131" s="6" t="s">
        <v>72</v>
      </c>
      <c r="AE131" s="6" t="s">
        <v>72</v>
      </c>
      <c r="AF131" s="6" t="s">
        <v>72</v>
      </c>
      <c r="AG131" s="6" t="s">
        <v>72</v>
      </c>
      <c r="AJ131" s="6" t="s">
        <v>71</v>
      </c>
      <c r="AM131" s="6" t="s">
        <v>71</v>
      </c>
    </row>
    <row r="132" spans="1:101" ht="13.2">
      <c r="A132" s="5">
        <v>45369.567177847217</v>
      </c>
      <c r="B132" s="6" t="s">
        <v>813</v>
      </c>
      <c r="C132" s="6" t="s">
        <v>866</v>
      </c>
      <c r="D132" s="7" t="s">
        <v>867</v>
      </c>
      <c r="E132" s="6" t="s">
        <v>815</v>
      </c>
      <c r="F132" s="6" t="s">
        <v>676</v>
      </c>
      <c r="G132" s="6" t="s">
        <v>64</v>
      </c>
      <c r="H132" s="6" t="s">
        <v>816</v>
      </c>
      <c r="I132" s="6" t="s">
        <v>868</v>
      </c>
      <c r="K132" s="6" t="s">
        <v>813</v>
      </c>
      <c r="L132" s="6" t="s">
        <v>89</v>
      </c>
      <c r="M132" s="6" t="s">
        <v>819</v>
      </c>
      <c r="N132" s="6">
        <v>18</v>
      </c>
      <c r="O132" s="6" t="s">
        <v>70</v>
      </c>
      <c r="P132" s="6">
        <v>3</v>
      </c>
      <c r="Q132" s="6">
        <v>3</v>
      </c>
      <c r="R132" s="6">
        <v>70</v>
      </c>
      <c r="T132" s="6" t="s">
        <v>72</v>
      </c>
      <c r="U132" s="6" t="s">
        <v>71</v>
      </c>
      <c r="V132" s="6" t="s">
        <v>351</v>
      </c>
      <c r="W132" s="7" t="s">
        <v>520</v>
      </c>
      <c r="X132" s="6" t="s">
        <v>72</v>
      </c>
      <c r="Y132" s="6" t="s">
        <v>72</v>
      </c>
      <c r="Z132" s="6" t="s">
        <v>72</v>
      </c>
      <c r="AA132" s="6" t="s">
        <v>71</v>
      </c>
      <c r="AB132" s="6" t="s">
        <v>72</v>
      </c>
      <c r="AC132" s="6" t="s">
        <v>72</v>
      </c>
      <c r="AD132" s="6" t="s">
        <v>72</v>
      </c>
      <c r="AE132" s="6" t="s">
        <v>71</v>
      </c>
      <c r="AF132" s="6" t="s">
        <v>71</v>
      </c>
      <c r="AG132" s="6" t="s">
        <v>71</v>
      </c>
      <c r="AH132" s="6" t="s">
        <v>72</v>
      </c>
      <c r="AI132" s="6" t="s">
        <v>72</v>
      </c>
      <c r="AJ132" s="6" t="s">
        <v>72</v>
      </c>
      <c r="AK132" s="6" t="s">
        <v>71</v>
      </c>
      <c r="AL132" s="6" t="s">
        <v>71</v>
      </c>
      <c r="AM132" s="6" t="s">
        <v>72</v>
      </c>
      <c r="AN132" s="6" t="s">
        <v>72</v>
      </c>
      <c r="AO132" s="6" t="s">
        <v>71</v>
      </c>
      <c r="AP132" s="6" t="s">
        <v>71</v>
      </c>
    </row>
    <row r="133" spans="1:101" ht="13.2">
      <c r="A133" s="5">
        <v>45369.583257303238</v>
      </c>
      <c r="B133" s="6" t="s">
        <v>869</v>
      </c>
      <c r="C133" s="6" t="s">
        <v>870</v>
      </c>
      <c r="D133" s="7" t="s">
        <v>871</v>
      </c>
      <c r="E133" s="6" t="s">
        <v>62</v>
      </c>
      <c r="F133" s="6" t="s">
        <v>872</v>
      </c>
      <c r="G133" s="6" t="s">
        <v>64</v>
      </c>
      <c r="H133" s="6" t="s">
        <v>873</v>
      </c>
      <c r="I133" s="6" t="s">
        <v>874</v>
      </c>
      <c r="J133" s="6" t="s">
        <v>875</v>
      </c>
      <c r="K133" s="6" t="s">
        <v>869</v>
      </c>
      <c r="L133" s="6" t="s">
        <v>138</v>
      </c>
      <c r="M133" s="6" t="s">
        <v>876</v>
      </c>
      <c r="N133" s="6">
        <v>35</v>
      </c>
      <c r="O133" s="6" t="s">
        <v>70</v>
      </c>
      <c r="P133" s="6">
        <v>5</v>
      </c>
      <c r="Q133" s="6">
        <v>5</v>
      </c>
      <c r="R133" s="6">
        <v>0</v>
      </c>
      <c r="T133" s="6" t="s">
        <v>71</v>
      </c>
      <c r="U133" s="6" t="s">
        <v>72</v>
      </c>
      <c r="V133" s="6" t="s">
        <v>73</v>
      </c>
      <c r="W133" s="7" t="s">
        <v>520</v>
      </c>
      <c r="X133" s="6" t="s">
        <v>71</v>
      </c>
      <c r="Y133" s="6" t="s">
        <v>71</v>
      </c>
      <c r="Z133" s="6" t="s">
        <v>71</v>
      </c>
      <c r="AA133" s="6" t="s">
        <v>72</v>
      </c>
      <c r="AB133" s="6" t="s">
        <v>71</v>
      </c>
      <c r="AC133" s="6" t="s">
        <v>71</v>
      </c>
      <c r="AD133" s="6" t="s">
        <v>71</v>
      </c>
      <c r="AE133" s="6" t="s">
        <v>72</v>
      </c>
      <c r="AF133" s="6" t="s">
        <v>72</v>
      </c>
      <c r="AG133" s="6" t="s">
        <v>72</v>
      </c>
      <c r="AH133" s="6" t="s">
        <v>71</v>
      </c>
      <c r="AI133" s="6" t="s">
        <v>71</v>
      </c>
      <c r="AJ133" s="6" t="s">
        <v>71</v>
      </c>
      <c r="AK133" s="6" t="s">
        <v>72</v>
      </c>
      <c r="AL133" s="6" t="s">
        <v>72</v>
      </c>
      <c r="AM133" s="6" t="s">
        <v>71</v>
      </c>
      <c r="AN133" s="6" t="s">
        <v>71</v>
      </c>
      <c r="AO133" s="6" t="s">
        <v>72</v>
      </c>
      <c r="AP133" s="6" t="s">
        <v>72</v>
      </c>
    </row>
    <row r="134" spans="1:101" ht="13.2">
      <c r="A134" s="5">
        <v>45369.684196400463</v>
      </c>
      <c r="B134" s="6" t="s">
        <v>877</v>
      </c>
      <c r="C134" s="6" t="s">
        <v>878</v>
      </c>
      <c r="D134" s="6">
        <v>2001920</v>
      </c>
      <c r="E134" s="6" t="s">
        <v>387</v>
      </c>
      <c r="F134" s="6" t="s">
        <v>879</v>
      </c>
      <c r="G134" s="6" t="s">
        <v>105</v>
      </c>
      <c r="H134" s="6" t="s">
        <v>880</v>
      </c>
      <c r="I134" s="6" t="s">
        <v>881</v>
      </c>
      <c r="J134" s="6" t="s">
        <v>882</v>
      </c>
      <c r="K134" s="6" t="s">
        <v>877</v>
      </c>
      <c r="L134" s="6" t="s">
        <v>89</v>
      </c>
      <c r="M134" s="6" t="s">
        <v>883</v>
      </c>
      <c r="N134" s="6">
        <v>35</v>
      </c>
      <c r="O134" s="6" t="s">
        <v>148</v>
      </c>
      <c r="P134" s="6">
        <v>4</v>
      </c>
      <c r="Q134" s="6">
        <v>4</v>
      </c>
      <c r="R134" s="6">
        <v>40</v>
      </c>
      <c r="T134" s="6" t="s">
        <v>72</v>
      </c>
      <c r="U134" s="6" t="s">
        <v>71</v>
      </c>
      <c r="V134" s="6" t="s">
        <v>351</v>
      </c>
      <c r="W134" s="7" t="s">
        <v>520</v>
      </c>
      <c r="X134" s="6" t="s">
        <v>72</v>
      </c>
      <c r="Y134" s="6" t="s">
        <v>72</v>
      </c>
      <c r="Z134" s="6" t="s">
        <v>72</v>
      </c>
      <c r="AA134" s="6" t="s">
        <v>72</v>
      </c>
      <c r="AB134" s="6" t="s">
        <v>72</v>
      </c>
      <c r="AC134" s="6" t="s">
        <v>72</v>
      </c>
      <c r="AD134" s="6" t="s">
        <v>72</v>
      </c>
      <c r="AE134" s="6" t="s">
        <v>72</v>
      </c>
      <c r="AF134" s="6" t="s">
        <v>72</v>
      </c>
      <c r="AG134" s="6" t="s">
        <v>71</v>
      </c>
      <c r="AH134" s="6" t="s">
        <v>72</v>
      </c>
      <c r="AI134" s="6" t="s">
        <v>72</v>
      </c>
      <c r="AJ134" s="6" t="s">
        <v>72</v>
      </c>
      <c r="AK134" s="6" t="s">
        <v>71</v>
      </c>
      <c r="AL134" s="6" t="s">
        <v>72</v>
      </c>
      <c r="AM134" s="6" t="s">
        <v>72</v>
      </c>
      <c r="AN134" s="6" t="s">
        <v>72</v>
      </c>
      <c r="AO134" s="6" t="s">
        <v>72</v>
      </c>
      <c r="AP134" s="6" t="s">
        <v>72</v>
      </c>
      <c r="AQ134" s="6" t="s">
        <v>884</v>
      </c>
    </row>
    <row r="135" spans="1:101" ht="13.2">
      <c r="A135" s="5">
        <v>45369.806593969908</v>
      </c>
      <c r="B135" s="6" t="s">
        <v>885</v>
      </c>
      <c r="C135" s="6" t="s">
        <v>886</v>
      </c>
      <c r="D135" s="7" t="s">
        <v>887</v>
      </c>
      <c r="E135" s="6" t="s">
        <v>84</v>
      </c>
      <c r="F135" s="6" t="s">
        <v>888</v>
      </c>
      <c r="G135" s="6" t="s">
        <v>64</v>
      </c>
      <c r="H135" s="6" t="s">
        <v>889</v>
      </c>
      <c r="I135" s="6" t="s">
        <v>890</v>
      </c>
      <c r="K135" s="6" t="s">
        <v>885</v>
      </c>
      <c r="L135" s="6" t="s">
        <v>89</v>
      </c>
      <c r="M135" s="6" t="s">
        <v>846</v>
      </c>
      <c r="N135" s="6">
        <v>20</v>
      </c>
      <c r="O135" s="6" t="s">
        <v>70</v>
      </c>
      <c r="P135" s="6">
        <v>5</v>
      </c>
      <c r="Q135" s="6">
        <v>4</v>
      </c>
      <c r="R135" s="6">
        <v>0</v>
      </c>
      <c r="T135" s="6" t="s">
        <v>71</v>
      </c>
      <c r="U135" s="6" t="s">
        <v>72</v>
      </c>
      <c r="V135" s="6" t="s">
        <v>73</v>
      </c>
      <c r="W135" s="7" t="s">
        <v>520</v>
      </c>
      <c r="X135" s="6" t="s">
        <v>71</v>
      </c>
      <c r="Y135" s="6" t="s">
        <v>71</v>
      </c>
      <c r="Z135" s="6" t="s">
        <v>71</v>
      </c>
      <c r="AA135" s="6" t="s">
        <v>72</v>
      </c>
      <c r="AB135" s="6" t="s">
        <v>71</v>
      </c>
      <c r="AC135" s="6" t="s">
        <v>71</v>
      </c>
      <c r="AD135" s="6" t="s">
        <v>71</v>
      </c>
      <c r="AE135" s="6" t="s">
        <v>71</v>
      </c>
      <c r="AF135" s="6" t="s">
        <v>72</v>
      </c>
      <c r="AG135" s="6" t="s">
        <v>72</v>
      </c>
      <c r="AH135" s="6" t="s">
        <v>71</v>
      </c>
      <c r="AI135" s="6" t="s">
        <v>71</v>
      </c>
      <c r="AJ135" s="6" t="s">
        <v>71</v>
      </c>
      <c r="AK135" s="6" t="s">
        <v>72</v>
      </c>
      <c r="AL135" s="6" t="s">
        <v>72</v>
      </c>
      <c r="AM135" s="6" t="s">
        <v>71</v>
      </c>
      <c r="AN135" s="6" t="s">
        <v>71</v>
      </c>
      <c r="AO135" s="6" t="s">
        <v>72</v>
      </c>
      <c r="AP135" s="6" t="s">
        <v>72</v>
      </c>
      <c r="AQ135" s="6" t="s">
        <v>891</v>
      </c>
    </row>
    <row r="136" spans="1:101" ht="13.2">
      <c r="A136" s="5">
        <v>45369.811967349538</v>
      </c>
      <c r="B136" s="6" t="s">
        <v>892</v>
      </c>
      <c r="C136" s="6" t="s">
        <v>893</v>
      </c>
      <c r="D136" s="6">
        <v>20000100</v>
      </c>
      <c r="E136" s="6" t="s">
        <v>133</v>
      </c>
      <c r="F136" s="6" t="s">
        <v>894</v>
      </c>
      <c r="G136" s="6" t="s">
        <v>64</v>
      </c>
      <c r="H136" s="6" t="s">
        <v>895</v>
      </c>
      <c r="I136" s="6" t="s">
        <v>896</v>
      </c>
      <c r="J136" s="6" t="s">
        <v>897</v>
      </c>
      <c r="K136" s="6" t="s">
        <v>892</v>
      </c>
      <c r="L136" s="6" t="s">
        <v>89</v>
      </c>
      <c r="M136" s="6" t="s">
        <v>898</v>
      </c>
      <c r="N136" s="6">
        <v>30</v>
      </c>
      <c r="O136" s="6" t="s">
        <v>70</v>
      </c>
      <c r="P136" s="6">
        <v>3</v>
      </c>
      <c r="Q136" s="6">
        <v>2</v>
      </c>
      <c r="R136" s="6">
        <v>15</v>
      </c>
      <c r="T136" s="6" t="s">
        <v>71</v>
      </c>
      <c r="U136" s="6" t="s">
        <v>72</v>
      </c>
      <c r="V136" s="6" t="s">
        <v>73</v>
      </c>
      <c r="W136" s="7" t="s">
        <v>520</v>
      </c>
      <c r="X136" s="6" t="s">
        <v>71</v>
      </c>
      <c r="Y136" s="6" t="s">
        <v>72</v>
      </c>
      <c r="Z136" s="6" t="s">
        <v>71</v>
      </c>
      <c r="AA136" s="6" t="s">
        <v>72</v>
      </c>
      <c r="AB136" s="6" t="s">
        <v>72</v>
      </c>
      <c r="AC136" s="6" t="s">
        <v>71</v>
      </c>
      <c r="AD136" s="6" t="s">
        <v>72</v>
      </c>
      <c r="AE136" s="6" t="s">
        <v>72</v>
      </c>
      <c r="AF136" s="6" t="s">
        <v>72</v>
      </c>
      <c r="AG136" s="6" t="s">
        <v>72</v>
      </c>
      <c r="AH136" s="6" t="s">
        <v>72</v>
      </c>
      <c r="AI136" s="6" t="s">
        <v>72</v>
      </c>
      <c r="AJ136" s="6" t="s">
        <v>72</v>
      </c>
      <c r="AK136" s="6" t="s">
        <v>72</v>
      </c>
      <c r="AL136" s="6" t="s">
        <v>72</v>
      </c>
      <c r="AM136" s="6" t="s">
        <v>72</v>
      </c>
      <c r="AN136" s="6" t="s">
        <v>72</v>
      </c>
      <c r="AO136" s="6" t="s">
        <v>72</v>
      </c>
      <c r="AP136" s="6" t="s">
        <v>72</v>
      </c>
    </row>
    <row r="137" spans="1:101" ht="13.2">
      <c r="A137" s="5">
        <v>45369.949660613427</v>
      </c>
      <c r="B137" s="6" t="s">
        <v>899</v>
      </c>
      <c r="C137" s="6" t="s">
        <v>900</v>
      </c>
      <c r="D137" s="6">
        <v>200740</v>
      </c>
      <c r="E137" s="6" t="s">
        <v>133</v>
      </c>
      <c r="F137" s="6" t="s">
        <v>901</v>
      </c>
      <c r="G137" s="6" t="s">
        <v>64</v>
      </c>
      <c r="H137" s="6" t="s">
        <v>902</v>
      </c>
      <c r="I137" s="6" t="s">
        <v>903</v>
      </c>
      <c r="K137" s="6" t="s">
        <v>899</v>
      </c>
      <c r="L137" s="6" t="s">
        <v>89</v>
      </c>
      <c r="M137" s="6" t="s">
        <v>446</v>
      </c>
      <c r="N137" s="6">
        <v>22</v>
      </c>
      <c r="O137" s="6" t="s">
        <v>70</v>
      </c>
      <c r="P137" s="6">
        <v>4</v>
      </c>
      <c r="Q137" s="6">
        <v>4</v>
      </c>
      <c r="R137" s="6">
        <v>10</v>
      </c>
      <c r="T137" s="6" t="s">
        <v>71</v>
      </c>
      <c r="U137" s="6" t="s">
        <v>72</v>
      </c>
      <c r="V137" s="6" t="s">
        <v>73</v>
      </c>
      <c r="W137" s="7" t="s">
        <v>520</v>
      </c>
      <c r="X137" s="6" t="s">
        <v>71</v>
      </c>
      <c r="Y137" s="6" t="s">
        <v>72</v>
      </c>
      <c r="Z137" s="6" t="s">
        <v>72</v>
      </c>
      <c r="AA137" s="6" t="s">
        <v>72</v>
      </c>
      <c r="AB137" s="6" t="s">
        <v>72</v>
      </c>
      <c r="AC137" s="6" t="s">
        <v>72</v>
      </c>
      <c r="AD137" s="6" t="s">
        <v>71</v>
      </c>
      <c r="AE137" s="6" t="s">
        <v>72</v>
      </c>
      <c r="AF137" s="6" t="s">
        <v>72</v>
      </c>
      <c r="AG137" s="6" t="s">
        <v>72</v>
      </c>
      <c r="AI137" s="6" t="s">
        <v>71</v>
      </c>
      <c r="AM137" s="6" t="s">
        <v>72</v>
      </c>
      <c r="AN137" s="6" t="s">
        <v>71</v>
      </c>
      <c r="AO137" s="6" t="s">
        <v>72</v>
      </c>
      <c r="AP137" s="6" t="s">
        <v>72</v>
      </c>
    </row>
    <row r="138" spans="1:101" ht="13.2">
      <c r="A138" s="5">
        <v>45369.970670740746</v>
      </c>
      <c r="B138" s="6" t="s">
        <v>904</v>
      </c>
      <c r="C138" s="6" t="s">
        <v>905</v>
      </c>
      <c r="D138" s="6">
        <v>201690</v>
      </c>
      <c r="E138" s="6" t="s">
        <v>84</v>
      </c>
      <c r="F138" s="6" t="s">
        <v>304</v>
      </c>
      <c r="G138" s="6" t="s">
        <v>105</v>
      </c>
      <c r="H138" s="6" t="s">
        <v>906</v>
      </c>
      <c r="I138" s="6" t="s">
        <v>907</v>
      </c>
      <c r="J138" s="6" t="s">
        <v>908</v>
      </c>
      <c r="K138" s="6" t="s">
        <v>904</v>
      </c>
      <c r="L138" s="6" t="s">
        <v>89</v>
      </c>
      <c r="M138" s="6" t="s">
        <v>446</v>
      </c>
      <c r="N138" s="6">
        <v>21</v>
      </c>
      <c r="O138" s="6" t="s">
        <v>70</v>
      </c>
      <c r="P138" s="6">
        <v>5</v>
      </c>
      <c r="Q138" s="6">
        <v>5</v>
      </c>
      <c r="R138" s="6">
        <v>0</v>
      </c>
      <c r="T138" s="6" t="s">
        <v>71</v>
      </c>
      <c r="U138" s="6" t="s">
        <v>72</v>
      </c>
      <c r="V138" s="6" t="s">
        <v>73</v>
      </c>
      <c r="W138" s="7" t="s">
        <v>520</v>
      </c>
      <c r="X138" s="6" t="s">
        <v>71</v>
      </c>
      <c r="Y138" s="6" t="s">
        <v>71</v>
      </c>
      <c r="Z138" s="6" t="s">
        <v>71</v>
      </c>
      <c r="AA138" s="6" t="s">
        <v>72</v>
      </c>
      <c r="AB138" s="6" t="s">
        <v>71</v>
      </c>
      <c r="AC138" s="6" t="s">
        <v>71</v>
      </c>
      <c r="AD138" s="6" t="s">
        <v>71</v>
      </c>
      <c r="AE138" s="6" t="s">
        <v>72</v>
      </c>
      <c r="AF138" s="6" t="s">
        <v>72</v>
      </c>
      <c r="AG138" s="6" t="s">
        <v>72</v>
      </c>
      <c r="AH138" s="6" t="s">
        <v>71</v>
      </c>
      <c r="AI138" s="6" t="s">
        <v>71</v>
      </c>
      <c r="AJ138" s="6" t="s">
        <v>71</v>
      </c>
      <c r="AK138" s="6" t="s">
        <v>72</v>
      </c>
      <c r="AL138" s="6" t="s">
        <v>72</v>
      </c>
      <c r="AM138" s="6" t="s">
        <v>71</v>
      </c>
      <c r="AN138" s="6" t="s">
        <v>71</v>
      </c>
      <c r="AO138" s="6" t="s">
        <v>72</v>
      </c>
      <c r="AP138" s="6" t="s">
        <v>72</v>
      </c>
      <c r="AQ138" s="6" t="s">
        <v>909</v>
      </c>
    </row>
    <row r="139" spans="1:101" ht="13.2">
      <c r="A139" s="5">
        <v>45369.973896504627</v>
      </c>
      <c r="B139" s="6" t="s">
        <v>904</v>
      </c>
      <c r="C139" s="6" t="s">
        <v>910</v>
      </c>
      <c r="D139" s="6">
        <v>201690</v>
      </c>
      <c r="E139" s="6" t="s">
        <v>84</v>
      </c>
      <c r="F139" s="6" t="s">
        <v>304</v>
      </c>
      <c r="G139" s="6" t="s">
        <v>64</v>
      </c>
      <c r="H139" s="6" t="s">
        <v>906</v>
      </c>
      <c r="I139" s="6" t="s">
        <v>911</v>
      </c>
      <c r="J139" s="6" t="s">
        <v>908</v>
      </c>
      <c r="K139" s="6" t="s">
        <v>904</v>
      </c>
      <c r="L139" s="6" t="s">
        <v>89</v>
      </c>
      <c r="M139" s="6" t="s">
        <v>446</v>
      </c>
      <c r="N139" s="6">
        <v>22</v>
      </c>
      <c r="O139" s="6" t="s">
        <v>70</v>
      </c>
      <c r="P139" s="6">
        <v>5</v>
      </c>
      <c r="Q139" s="6">
        <v>5</v>
      </c>
      <c r="R139" s="6">
        <v>0</v>
      </c>
      <c r="T139" s="6" t="s">
        <v>71</v>
      </c>
      <c r="U139" s="6" t="s">
        <v>72</v>
      </c>
      <c r="V139" s="6" t="s">
        <v>73</v>
      </c>
      <c r="W139" s="7" t="s">
        <v>520</v>
      </c>
      <c r="X139" s="6" t="s">
        <v>71</v>
      </c>
      <c r="Y139" s="6" t="s">
        <v>71</v>
      </c>
      <c r="Z139" s="6" t="s">
        <v>71</v>
      </c>
      <c r="AA139" s="6" t="s">
        <v>72</v>
      </c>
      <c r="AB139" s="6" t="s">
        <v>71</v>
      </c>
      <c r="AC139" s="6" t="s">
        <v>71</v>
      </c>
      <c r="AD139" s="6" t="s">
        <v>71</v>
      </c>
      <c r="AE139" s="6" t="s">
        <v>72</v>
      </c>
      <c r="AF139" s="6" t="s">
        <v>72</v>
      </c>
      <c r="AG139" s="6" t="s">
        <v>72</v>
      </c>
      <c r="AH139" s="6" t="s">
        <v>71</v>
      </c>
      <c r="AI139" s="6" t="s">
        <v>71</v>
      </c>
      <c r="AJ139" s="6" t="s">
        <v>71</v>
      </c>
      <c r="AK139" s="6" t="s">
        <v>72</v>
      </c>
      <c r="AL139" s="6" t="s">
        <v>72</v>
      </c>
      <c r="AM139" s="6" t="s">
        <v>71</v>
      </c>
      <c r="AN139" s="6" t="s">
        <v>71</v>
      </c>
      <c r="AO139" s="6" t="s">
        <v>72</v>
      </c>
      <c r="AP139" s="6" t="s">
        <v>72</v>
      </c>
      <c r="AQ139" s="6" t="s">
        <v>909</v>
      </c>
    </row>
    <row r="140" spans="1:101" ht="13.2">
      <c r="A140" s="5">
        <v>45369.976511724541</v>
      </c>
      <c r="B140" s="6" t="s">
        <v>904</v>
      </c>
      <c r="C140" s="6" t="s">
        <v>910</v>
      </c>
      <c r="D140" s="6">
        <v>201690</v>
      </c>
      <c r="E140" s="6" t="s">
        <v>84</v>
      </c>
      <c r="F140" s="6" t="s">
        <v>304</v>
      </c>
      <c r="G140" s="6" t="s">
        <v>64</v>
      </c>
      <c r="H140" s="6" t="s">
        <v>906</v>
      </c>
      <c r="I140" s="6" t="s">
        <v>911</v>
      </c>
      <c r="J140" s="6" t="s">
        <v>908</v>
      </c>
      <c r="K140" s="6" t="s">
        <v>904</v>
      </c>
      <c r="L140" s="6" t="s">
        <v>89</v>
      </c>
      <c r="M140" s="6" t="s">
        <v>446</v>
      </c>
      <c r="N140" s="6">
        <v>24</v>
      </c>
      <c r="O140" s="6" t="s">
        <v>148</v>
      </c>
      <c r="P140" s="6">
        <v>5</v>
      </c>
      <c r="Q140" s="6">
        <v>5</v>
      </c>
      <c r="R140" s="6">
        <v>0</v>
      </c>
      <c r="T140" s="6" t="s">
        <v>71</v>
      </c>
      <c r="U140" s="6" t="s">
        <v>72</v>
      </c>
      <c r="V140" s="6" t="s">
        <v>73</v>
      </c>
      <c r="W140" s="7" t="s">
        <v>520</v>
      </c>
      <c r="X140" s="6" t="s">
        <v>71</v>
      </c>
      <c r="Y140" s="6" t="s">
        <v>71</v>
      </c>
      <c r="Z140" s="6" t="s">
        <v>71</v>
      </c>
      <c r="AA140" s="6" t="s">
        <v>72</v>
      </c>
      <c r="AB140" s="6" t="s">
        <v>71</v>
      </c>
      <c r="AC140" s="6" t="s">
        <v>71</v>
      </c>
      <c r="AD140" s="6" t="s">
        <v>71</v>
      </c>
      <c r="AE140" s="6" t="s">
        <v>72</v>
      </c>
      <c r="AF140" s="6" t="s">
        <v>72</v>
      </c>
      <c r="AG140" s="6" t="s">
        <v>72</v>
      </c>
      <c r="AH140" s="6" t="s">
        <v>71</v>
      </c>
      <c r="AI140" s="6" t="s">
        <v>71</v>
      </c>
      <c r="AJ140" s="6" t="s">
        <v>71</v>
      </c>
      <c r="AK140" s="6" t="s">
        <v>72</v>
      </c>
      <c r="AL140" s="6" t="s">
        <v>72</v>
      </c>
      <c r="AM140" s="6" t="s">
        <v>71</v>
      </c>
      <c r="AN140" s="6" t="s">
        <v>71</v>
      </c>
      <c r="AO140" s="6" t="s">
        <v>72</v>
      </c>
      <c r="AP140" s="6" t="s">
        <v>72</v>
      </c>
      <c r="AQ140" s="6" t="s">
        <v>909</v>
      </c>
    </row>
    <row r="141" spans="1:101" ht="13.2">
      <c r="A141" s="5">
        <v>45369.978644664356</v>
      </c>
      <c r="B141" s="6" t="s">
        <v>904</v>
      </c>
      <c r="C141" s="6" t="s">
        <v>910</v>
      </c>
      <c r="D141" s="6">
        <v>201690</v>
      </c>
      <c r="E141" s="6" t="s">
        <v>84</v>
      </c>
      <c r="F141" s="6" t="s">
        <v>304</v>
      </c>
      <c r="G141" s="6" t="s">
        <v>64</v>
      </c>
      <c r="H141" s="6" t="s">
        <v>906</v>
      </c>
      <c r="I141" s="6" t="s">
        <v>911</v>
      </c>
      <c r="J141" s="6" t="s">
        <v>908</v>
      </c>
      <c r="K141" s="6" t="s">
        <v>904</v>
      </c>
      <c r="L141" s="6" t="s">
        <v>89</v>
      </c>
      <c r="M141" s="6" t="s">
        <v>446</v>
      </c>
      <c r="N141" s="6">
        <v>24</v>
      </c>
      <c r="O141" s="6" t="s">
        <v>148</v>
      </c>
      <c r="P141" s="6">
        <v>5</v>
      </c>
      <c r="Q141" s="6">
        <v>5</v>
      </c>
      <c r="R141" s="6">
        <v>0</v>
      </c>
      <c r="T141" s="6" t="s">
        <v>71</v>
      </c>
      <c r="U141" s="6" t="s">
        <v>72</v>
      </c>
      <c r="V141" s="6" t="s">
        <v>73</v>
      </c>
      <c r="W141" s="7" t="s">
        <v>520</v>
      </c>
      <c r="X141" s="6" t="s">
        <v>71</v>
      </c>
      <c r="Y141" s="6" t="s">
        <v>71</v>
      </c>
      <c r="Z141" s="6" t="s">
        <v>71</v>
      </c>
      <c r="AA141" s="6" t="s">
        <v>72</v>
      </c>
      <c r="AB141" s="6" t="s">
        <v>71</v>
      </c>
      <c r="AC141" s="6" t="s">
        <v>71</v>
      </c>
      <c r="AD141" s="6" t="s">
        <v>71</v>
      </c>
      <c r="AE141" s="6" t="s">
        <v>72</v>
      </c>
      <c r="AF141" s="6" t="s">
        <v>72</v>
      </c>
      <c r="AG141" s="6" t="s">
        <v>72</v>
      </c>
      <c r="AH141" s="6" t="s">
        <v>71</v>
      </c>
      <c r="AI141" s="6" t="s">
        <v>71</v>
      </c>
      <c r="AJ141" s="6" t="s">
        <v>71</v>
      </c>
      <c r="AK141" s="6" t="s">
        <v>72</v>
      </c>
      <c r="AL141" s="6" t="s">
        <v>72</v>
      </c>
      <c r="AM141" s="6" t="s">
        <v>71</v>
      </c>
      <c r="AN141" s="6" t="s">
        <v>71</v>
      </c>
      <c r="AO141" s="6" t="s">
        <v>72</v>
      </c>
      <c r="AP141" s="6" t="s">
        <v>72</v>
      </c>
      <c r="AQ141" s="6" t="s">
        <v>909</v>
      </c>
    </row>
    <row r="142" spans="1:101" ht="13.2">
      <c r="A142" s="5">
        <v>45369.989024675924</v>
      </c>
      <c r="B142" s="6" t="s">
        <v>912</v>
      </c>
      <c r="C142" s="6" t="s">
        <v>913</v>
      </c>
      <c r="D142" s="6">
        <v>61726900</v>
      </c>
      <c r="E142" s="6" t="s">
        <v>62</v>
      </c>
      <c r="F142" s="6" t="s">
        <v>914</v>
      </c>
      <c r="G142" s="6" t="s">
        <v>105</v>
      </c>
      <c r="H142" s="6" t="s">
        <v>915</v>
      </c>
      <c r="I142" s="6" t="s">
        <v>916</v>
      </c>
      <c r="K142" s="6" t="s">
        <v>912</v>
      </c>
      <c r="L142" s="6" t="s">
        <v>245</v>
      </c>
      <c r="M142" s="6" t="s">
        <v>246</v>
      </c>
      <c r="N142" s="6">
        <v>20</v>
      </c>
      <c r="O142" s="6" t="s">
        <v>70</v>
      </c>
      <c r="P142" s="6">
        <v>2</v>
      </c>
      <c r="Q142" s="6">
        <v>1</v>
      </c>
      <c r="R142" s="6">
        <v>15</v>
      </c>
      <c r="S142" s="6" t="s">
        <v>917</v>
      </c>
      <c r="T142" s="6" t="s">
        <v>71</v>
      </c>
      <c r="U142" s="6" t="s">
        <v>72</v>
      </c>
      <c r="V142" s="6" t="s">
        <v>73</v>
      </c>
      <c r="W142" s="7" t="s">
        <v>520</v>
      </c>
      <c r="X142" s="6" t="s">
        <v>71</v>
      </c>
      <c r="Y142" s="6" t="s">
        <v>71</v>
      </c>
      <c r="Z142" s="6" t="s">
        <v>72</v>
      </c>
      <c r="AA142" s="6" t="s">
        <v>72</v>
      </c>
      <c r="AB142" s="6" t="s">
        <v>71</v>
      </c>
      <c r="AC142" s="6" t="s">
        <v>71</v>
      </c>
      <c r="AD142" s="6" t="s">
        <v>71</v>
      </c>
      <c r="AE142" s="6" t="s">
        <v>72</v>
      </c>
      <c r="AF142" s="6" t="s">
        <v>72</v>
      </c>
      <c r="AG142" s="6" t="s">
        <v>72</v>
      </c>
      <c r="AH142" s="6" t="s">
        <v>71</v>
      </c>
      <c r="AI142" s="6" t="s">
        <v>71</v>
      </c>
      <c r="AJ142" s="6" t="s">
        <v>71</v>
      </c>
      <c r="AK142" s="6" t="s">
        <v>72</v>
      </c>
      <c r="AL142" s="6" t="s">
        <v>72</v>
      </c>
      <c r="AM142" s="6" t="s">
        <v>71</v>
      </c>
      <c r="AN142" s="6" t="s">
        <v>72</v>
      </c>
      <c r="AO142" s="6" t="s">
        <v>72</v>
      </c>
      <c r="AP142" s="6" t="s">
        <v>72</v>
      </c>
      <c r="AQ142" s="6" t="s">
        <v>918</v>
      </c>
    </row>
    <row r="143" spans="1:101" ht="13.2">
      <c r="A143" s="5">
        <v>45363.509056180555</v>
      </c>
      <c r="B143" s="6" t="s">
        <v>919</v>
      </c>
      <c r="C143" s="6" t="s">
        <v>920</v>
      </c>
      <c r="D143" s="7" t="s">
        <v>921</v>
      </c>
      <c r="E143" s="6" t="s">
        <v>133</v>
      </c>
      <c r="F143" s="6" t="s">
        <v>134</v>
      </c>
      <c r="G143" s="6" t="s">
        <v>64</v>
      </c>
      <c r="H143" s="6" t="s">
        <v>922</v>
      </c>
      <c r="I143" s="6" t="s">
        <v>923</v>
      </c>
      <c r="J143" s="6" t="s">
        <v>924</v>
      </c>
      <c r="K143" s="6" t="s">
        <v>919</v>
      </c>
      <c r="L143" s="6" t="s">
        <v>138</v>
      </c>
      <c r="M143" s="6" t="s">
        <v>139</v>
      </c>
      <c r="N143" s="6">
        <v>35</v>
      </c>
      <c r="O143" s="6" t="s">
        <v>70</v>
      </c>
      <c r="P143" s="6">
        <v>1</v>
      </c>
      <c r="Q143" s="6">
        <v>3</v>
      </c>
      <c r="R143" s="6">
        <v>15</v>
      </c>
      <c r="S143" s="6" t="s">
        <v>925</v>
      </c>
      <c r="T143" s="6" t="s">
        <v>71</v>
      </c>
      <c r="U143" s="6" t="s">
        <v>72</v>
      </c>
      <c r="V143" s="6" t="s">
        <v>73</v>
      </c>
      <c r="W143" s="7" t="s">
        <v>926</v>
      </c>
      <c r="BL143" s="6" t="s">
        <v>71</v>
      </c>
      <c r="BM143" s="6" t="s">
        <v>71</v>
      </c>
      <c r="BN143" s="6" t="s">
        <v>71</v>
      </c>
      <c r="BO143" s="6" t="s">
        <v>72</v>
      </c>
      <c r="BP143" s="6" t="s">
        <v>71</v>
      </c>
      <c r="BQ143" s="6" t="s">
        <v>71</v>
      </c>
      <c r="BR143" s="6" t="s">
        <v>71</v>
      </c>
      <c r="BS143" s="6" t="s">
        <v>71</v>
      </c>
      <c r="BT143" s="6" t="s">
        <v>72</v>
      </c>
      <c r="BU143" s="6" t="s">
        <v>72</v>
      </c>
      <c r="BV143" s="6" t="s">
        <v>71</v>
      </c>
      <c r="BW143" s="6" t="s">
        <v>71</v>
      </c>
      <c r="BX143" s="6" t="s">
        <v>71</v>
      </c>
      <c r="BY143" s="6" t="s">
        <v>72</v>
      </c>
      <c r="BZ143" s="6" t="s">
        <v>72</v>
      </c>
      <c r="CA143" s="6" t="s">
        <v>71</v>
      </c>
      <c r="CB143" s="6" t="s">
        <v>71</v>
      </c>
      <c r="CC143" s="6" t="s">
        <v>72</v>
      </c>
      <c r="CD143" s="6" t="s">
        <v>72</v>
      </c>
      <c r="CE143" s="6" t="s">
        <v>927</v>
      </c>
    </row>
    <row r="144" spans="1:101" ht="13.2">
      <c r="A144" s="5">
        <v>45363.512064814815</v>
      </c>
      <c r="B144" s="6" t="s">
        <v>928</v>
      </c>
      <c r="C144" s="6" t="s">
        <v>929</v>
      </c>
      <c r="D144" s="7" t="s">
        <v>930</v>
      </c>
      <c r="E144" s="6" t="s">
        <v>62</v>
      </c>
      <c r="F144" s="6" t="s">
        <v>931</v>
      </c>
      <c r="G144" s="6" t="s">
        <v>105</v>
      </c>
      <c r="H144" s="6" t="s">
        <v>645</v>
      </c>
      <c r="I144" s="6" t="s">
        <v>645</v>
      </c>
      <c r="K144" s="6" t="s">
        <v>932</v>
      </c>
      <c r="L144" s="6" t="s">
        <v>89</v>
      </c>
      <c r="M144" s="6" t="s">
        <v>933</v>
      </c>
      <c r="N144" s="6">
        <v>20</v>
      </c>
      <c r="O144" s="6" t="s">
        <v>70</v>
      </c>
      <c r="P144" s="6">
        <v>3</v>
      </c>
      <c r="Q144" s="6">
        <v>2</v>
      </c>
      <c r="R144" s="6">
        <v>20</v>
      </c>
      <c r="T144" s="6" t="s">
        <v>72</v>
      </c>
      <c r="U144" s="6" t="s">
        <v>71</v>
      </c>
      <c r="V144" s="6" t="s">
        <v>351</v>
      </c>
      <c r="W144" s="7" t="s">
        <v>926</v>
      </c>
      <c r="BL144" s="6" t="s">
        <v>72</v>
      </c>
      <c r="BM144" s="6" t="s">
        <v>72</v>
      </c>
      <c r="BN144" s="6" t="s">
        <v>72</v>
      </c>
      <c r="BO144" s="6" t="s">
        <v>71</v>
      </c>
      <c r="BP144" s="6" t="s">
        <v>72</v>
      </c>
      <c r="BQ144" s="6" t="s">
        <v>72</v>
      </c>
      <c r="BR144" s="6" t="s">
        <v>72</v>
      </c>
      <c r="BS144" s="6" t="s">
        <v>71</v>
      </c>
      <c r="BT144" s="6" t="s">
        <v>71</v>
      </c>
      <c r="BU144" s="6" t="s">
        <v>71</v>
      </c>
      <c r="BY144" s="6" t="s">
        <v>71</v>
      </c>
      <c r="BZ144" s="6" t="s">
        <v>71</v>
      </c>
    </row>
    <row r="145" spans="1:83" ht="13.2">
      <c r="A145" s="5">
        <v>45363.514309247686</v>
      </c>
      <c r="B145" s="6" t="s">
        <v>934</v>
      </c>
      <c r="C145" s="6" t="s">
        <v>935</v>
      </c>
      <c r="D145" s="7" t="s">
        <v>936</v>
      </c>
      <c r="E145" s="6" t="s">
        <v>133</v>
      </c>
      <c r="F145" s="6" t="s">
        <v>937</v>
      </c>
      <c r="G145" s="6" t="s">
        <v>64</v>
      </c>
      <c r="H145" s="6" t="s">
        <v>938</v>
      </c>
      <c r="I145" s="6" t="s">
        <v>939</v>
      </c>
      <c r="K145" s="6" t="s">
        <v>934</v>
      </c>
      <c r="L145" s="6" t="s">
        <v>245</v>
      </c>
      <c r="M145" s="6" t="s">
        <v>940</v>
      </c>
      <c r="N145" s="6">
        <v>35</v>
      </c>
      <c r="O145" s="6" t="s">
        <v>70</v>
      </c>
      <c r="P145" s="6">
        <v>3</v>
      </c>
      <c r="Q145" s="6">
        <v>1</v>
      </c>
      <c r="R145" s="6">
        <v>10</v>
      </c>
      <c r="T145" s="6" t="s">
        <v>71</v>
      </c>
      <c r="U145" s="6" t="s">
        <v>72</v>
      </c>
      <c r="V145" s="6" t="s">
        <v>73</v>
      </c>
      <c r="W145" s="7" t="s">
        <v>926</v>
      </c>
      <c r="BL145" s="6" t="s">
        <v>71</v>
      </c>
      <c r="BM145" s="6" t="s">
        <v>71</v>
      </c>
      <c r="BN145" s="6" t="s">
        <v>71</v>
      </c>
      <c r="BO145" s="6" t="s">
        <v>72</v>
      </c>
      <c r="BP145" s="6" t="s">
        <v>71</v>
      </c>
      <c r="BQ145" s="6" t="s">
        <v>71</v>
      </c>
      <c r="BR145" s="6" t="s">
        <v>71</v>
      </c>
      <c r="BS145" s="6" t="s">
        <v>72</v>
      </c>
      <c r="BT145" s="6" t="s">
        <v>72</v>
      </c>
      <c r="BU145" s="6" t="s">
        <v>72</v>
      </c>
      <c r="BV145" s="6" t="s">
        <v>71</v>
      </c>
      <c r="BW145" s="6" t="s">
        <v>71</v>
      </c>
      <c r="BX145" s="6" t="s">
        <v>71</v>
      </c>
      <c r="BY145" s="6" t="s">
        <v>72</v>
      </c>
      <c r="BZ145" s="6" t="s">
        <v>72</v>
      </c>
      <c r="CA145" s="6" t="s">
        <v>71</v>
      </c>
      <c r="CB145" s="6" t="s">
        <v>71</v>
      </c>
      <c r="CC145" s="6" t="s">
        <v>72</v>
      </c>
      <c r="CD145" s="6" t="s">
        <v>72</v>
      </c>
    </row>
    <row r="146" spans="1:83" ht="13.2">
      <c r="A146" s="5">
        <v>45363.518783287036</v>
      </c>
      <c r="B146" s="6" t="s">
        <v>941</v>
      </c>
      <c r="C146" s="6" t="s">
        <v>942</v>
      </c>
      <c r="D146" s="7" t="s">
        <v>943</v>
      </c>
      <c r="E146" s="6" t="s">
        <v>133</v>
      </c>
      <c r="F146" s="6" t="s">
        <v>944</v>
      </c>
      <c r="G146" s="6" t="s">
        <v>105</v>
      </c>
      <c r="H146" s="6" t="s">
        <v>945</v>
      </c>
      <c r="I146" s="6" t="s">
        <v>946</v>
      </c>
      <c r="J146" s="6" t="s">
        <v>947</v>
      </c>
      <c r="K146" s="6" t="s">
        <v>941</v>
      </c>
      <c r="L146" s="6" t="s">
        <v>245</v>
      </c>
      <c r="M146" s="6" t="s">
        <v>948</v>
      </c>
      <c r="N146" s="6">
        <v>35</v>
      </c>
      <c r="O146" s="6" t="s">
        <v>70</v>
      </c>
      <c r="P146" s="6">
        <v>2</v>
      </c>
      <c r="Q146" s="6">
        <v>3</v>
      </c>
      <c r="R146" s="6">
        <v>90</v>
      </c>
      <c r="S146" s="6" t="s">
        <v>949</v>
      </c>
      <c r="T146" s="6" t="s">
        <v>71</v>
      </c>
      <c r="U146" s="6" t="s">
        <v>71</v>
      </c>
      <c r="V146" s="6" t="s">
        <v>109</v>
      </c>
      <c r="W146" s="7" t="s">
        <v>926</v>
      </c>
      <c r="BL146" s="6" t="s">
        <v>71</v>
      </c>
      <c r="BM146" s="6" t="s">
        <v>72</v>
      </c>
      <c r="BN146" s="6" t="s">
        <v>72</v>
      </c>
      <c r="BO146" s="6" t="s">
        <v>72</v>
      </c>
      <c r="BP146" s="6" t="s">
        <v>72</v>
      </c>
      <c r="BQ146" s="6" t="s">
        <v>71</v>
      </c>
      <c r="BR146" s="6" t="s">
        <v>71</v>
      </c>
      <c r="BS146" s="6" t="s">
        <v>72</v>
      </c>
      <c r="BT146" s="6" t="s">
        <v>72</v>
      </c>
      <c r="BU146" s="6" t="s">
        <v>72</v>
      </c>
      <c r="BV146" s="6" t="s">
        <v>72</v>
      </c>
      <c r="BW146" s="6" t="s">
        <v>72</v>
      </c>
      <c r="BX146" s="6" t="s">
        <v>72</v>
      </c>
      <c r="BY146" s="6" t="s">
        <v>71</v>
      </c>
      <c r="BZ146" s="6" t="s">
        <v>71</v>
      </c>
      <c r="CD146" s="6" t="s">
        <v>71</v>
      </c>
    </row>
    <row r="147" spans="1:83" ht="13.2">
      <c r="A147" s="5">
        <v>45363.534479386573</v>
      </c>
      <c r="B147" s="6" t="s">
        <v>123</v>
      </c>
      <c r="C147" s="6" t="s">
        <v>124</v>
      </c>
      <c r="D147" s="7" t="s">
        <v>125</v>
      </c>
      <c r="E147" s="6" t="s">
        <v>62</v>
      </c>
      <c r="F147" s="6" t="s">
        <v>126</v>
      </c>
      <c r="G147" s="6" t="s">
        <v>64</v>
      </c>
      <c r="H147" s="6" t="s">
        <v>128</v>
      </c>
      <c r="I147" s="6" t="s">
        <v>127</v>
      </c>
      <c r="K147" s="6" t="s">
        <v>123</v>
      </c>
      <c r="L147" s="6" t="s">
        <v>89</v>
      </c>
      <c r="M147" s="6" t="s">
        <v>129</v>
      </c>
      <c r="N147" s="6">
        <v>29</v>
      </c>
      <c r="O147" s="6" t="s">
        <v>148</v>
      </c>
      <c r="P147" s="6">
        <v>4</v>
      </c>
      <c r="Q147" s="6">
        <v>3</v>
      </c>
      <c r="R147" s="6">
        <v>5</v>
      </c>
      <c r="T147" s="6" t="s">
        <v>71</v>
      </c>
      <c r="U147" s="6" t="s">
        <v>72</v>
      </c>
      <c r="V147" s="6" t="s">
        <v>73</v>
      </c>
      <c r="W147" s="7" t="s">
        <v>926</v>
      </c>
      <c r="BL147" s="6" t="s">
        <v>71</v>
      </c>
      <c r="BM147" s="6" t="s">
        <v>72</v>
      </c>
      <c r="BN147" s="6" t="s">
        <v>72</v>
      </c>
      <c r="BO147" s="6" t="s">
        <v>72</v>
      </c>
      <c r="BP147" s="6" t="s">
        <v>72</v>
      </c>
      <c r="BQ147" s="6" t="s">
        <v>72</v>
      </c>
      <c r="BR147" s="6" t="s">
        <v>71</v>
      </c>
      <c r="BS147" s="6" t="s">
        <v>72</v>
      </c>
      <c r="BT147" s="6" t="s">
        <v>72</v>
      </c>
      <c r="BU147" s="6" t="s">
        <v>72</v>
      </c>
      <c r="BV147" s="6" t="s">
        <v>72</v>
      </c>
      <c r="BW147" s="6" t="s">
        <v>71</v>
      </c>
      <c r="BX147" s="6" t="s">
        <v>72</v>
      </c>
      <c r="BY147" s="6" t="s">
        <v>72</v>
      </c>
      <c r="BZ147" s="6" t="s">
        <v>72</v>
      </c>
      <c r="CA147" s="6" t="s">
        <v>72</v>
      </c>
      <c r="CB147" s="6" t="s">
        <v>72</v>
      </c>
      <c r="CC147" s="6" t="s">
        <v>72</v>
      </c>
      <c r="CD147" s="6" t="s">
        <v>72</v>
      </c>
    </row>
    <row r="148" spans="1:83" ht="13.2">
      <c r="A148" s="5">
        <v>45363.544117581019</v>
      </c>
      <c r="B148" s="6" t="s">
        <v>950</v>
      </c>
      <c r="C148" s="6" t="s">
        <v>951</v>
      </c>
      <c r="D148" s="7" t="s">
        <v>952</v>
      </c>
      <c r="E148" s="6" t="s">
        <v>84</v>
      </c>
      <c r="F148" s="6" t="s">
        <v>953</v>
      </c>
      <c r="G148" s="6" t="s">
        <v>64</v>
      </c>
      <c r="H148" s="6" t="s">
        <v>692</v>
      </c>
      <c r="I148" s="6" t="s">
        <v>954</v>
      </c>
      <c r="J148" s="6" t="s">
        <v>955</v>
      </c>
      <c r="K148" s="6" t="s">
        <v>950</v>
      </c>
      <c r="L148" s="6" t="s">
        <v>138</v>
      </c>
      <c r="M148" s="6" t="s">
        <v>956</v>
      </c>
      <c r="N148" s="6">
        <v>25</v>
      </c>
      <c r="O148" s="6" t="s">
        <v>70</v>
      </c>
      <c r="P148" s="6">
        <v>4</v>
      </c>
      <c r="Q148" s="6">
        <v>1</v>
      </c>
      <c r="R148" s="6">
        <v>75</v>
      </c>
      <c r="T148" s="6" t="s">
        <v>71</v>
      </c>
      <c r="U148" s="6" t="s">
        <v>71</v>
      </c>
      <c r="V148" s="6" t="s">
        <v>109</v>
      </c>
      <c r="W148" s="7" t="s">
        <v>926</v>
      </c>
      <c r="BL148" s="6" t="s">
        <v>71</v>
      </c>
      <c r="BM148" s="6" t="s">
        <v>71</v>
      </c>
      <c r="BN148" s="6" t="s">
        <v>71</v>
      </c>
      <c r="BO148" s="6" t="s">
        <v>71</v>
      </c>
      <c r="BP148" s="6" t="s">
        <v>71</v>
      </c>
      <c r="BQ148" s="6" t="s">
        <v>71</v>
      </c>
      <c r="BR148" s="6" t="s">
        <v>71</v>
      </c>
      <c r="BS148" s="6" t="s">
        <v>71</v>
      </c>
      <c r="BT148" s="6" t="s">
        <v>71</v>
      </c>
      <c r="BU148" s="6" t="s">
        <v>72</v>
      </c>
      <c r="BV148" s="6" t="s">
        <v>71</v>
      </c>
      <c r="BW148" s="6" t="s">
        <v>71</v>
      </c>
      <c r="BX148" s="6" t="s">
        <v>71</v>
      </c>
      <c r="BY148" s="6" t="s">
        <v>71</v>
      </c>
      <c r="BZ148" s="6" t="s">
        <v>72</v>
      </c>
      <c r="CA148" s="6" t="s">
        <v>71</v>
      </c>
      <c r="CB148" s="6" t="s">
        <v>71</v>
      </c>
      <c r="CC148" s="6" t="s">
        <v>71</v>
      </c>
      <c r="CD148" s="6" t="s">
        <v>72</v>
      </c>
    </row>
    <row r="149" spans="1:83" ht="13.2">
      <c r="A149" s="5">
        <v>45363.544123437503</v>
      </c>
      <c r="B149" s="6" t="s">
        <v>957</v>
      </c>
      <c r="C149" s="6" t="s">
        <v>958</v>
      </c>
      <c r="D149" s="7" t="s">
        <v>952</v>
      </c>
      <c r="E149" s="6" t="s">
        <v>84</v>
      </c>
      <c r="F149" s="6" t="s">
        <v>953</v>
      </c>
      <c r="G149" s="6" t="s">
        <v>64</v>
      </c>
      <c r="H149" s="6" t="s">
        <v>954</v>
      </c>
      <c r="I149" s="6" t="s">
        <v>700</v>
      </c>
      <c r="J149" s="6" t="s">
        <v>955</v>
      </c>
      <c r="K149" s="6" t="s">
        <v>957</v>
      </c>
      <c r="L149" s="6" t="s">
        <v>138</v>
      </c>
      <c r="M149" s="6" t="s">
        <v>956</v>
      </c>
      <c r="N149" s="6">
        <v>25</v>
      </c>
      <c r="O149" s="6" t="s">
        <v>70</v>
      </c>
      <c r="P149" s="6">
        <v>4</v>
      </c>
      <c r="Q149" s="6">
        <v>1</v>
      </c>
      <c r="R149" s="6">
        <v>75</v>
      </c>
      <c r="T149" s="6" t="s">
        <v>71</v>
      </c>
      <c r="U149" s="6" t="s">
        <v>71</v>
      </c>
      <c r="V149" s="6" t="s">
        <v>109</v>
      </c>
      <c r="W149" s="7" t="s">
        <v>926</v>
      </c>
      <c r="BL149" s="6" t="s">
        <v>71</v>
      </c>
      <c r="BM149" s="6" t="s">
        <v>71</v>
      </c>
      <c r="BN149" s="6" t="s">
        <v>71</v>
      </c>
      <c r="BO149" s="6" t="s">
        <v>71</v>
      </c>
      <c r="BP149" s="6" t="s">
        <v>71</v>
      </c>
      <c r="BQ149" s="6" t="s">
        <v>71</v>
      </c>
      <c r="BR149" s="6" t="s">
        <v>71</v>
      </c>
      <c r="BS149" s="6" t="s">
        <v>71</v>
      </c>
      <c r="BT149" s="6" t="s">
        <v>71</v>
      </c>
      <c r="BU149" s="6" t="s">
        <v>72</v>
      </c>
      <c r="BV149" s="6" t="s">
        <v>71</v>
      </c>
      <c r="BW149" s="6" t="s">
        <v>71</v>
      </c>
      <c r="BX149" s="6" t="s">
        <v>71</v>
      </c>
      <c r="BY149" s="6" t="s">
        <v>71</v>
      </c>
      <c r="BZ149" s="6" t="s">
        <v>72</v>
      </c>
      <c r="CA149" s="6" t="s">
        <v>71</v>
      </c>
      <c r="CB149" s="6" t="s">
        <v>71</v>
      </c>
      <c r="CC149" s="6" t="s">
        <v>71</v>
      </c>
      <c r="CD149" s="6" t="s">
        <v>72</v>
      </c>
    </row>
    <row r="150" spans="1:83" ht="13.2">
      <c r="A150" s="5">
        <v>45363.601264791665</v>
      </c>
      <c r="B150" s="6" t="s">
        <v>959</v>
      </c>
      <c r="C150" s="6" t="s">
        <v>960</v>
      </c>
      <c r="D150" s="6">
        <v>201699</v>
      </c>
      <c r="E150" s="6" t="s">
        <v>84</v>
      </c>
      <c r="F150" s="6" t="s">
        <v>961</v>
      </c>
      <c r="G150" s="6" t="s">
        <v>64</v>
      </c>
      <c r="H150" s="6" t="s">
        <v>583</v>
      </c>
      <c r="I150" s="6" t="s">
        <v>962</v>
      </c>
      <c r="J150" s="6" t="s">
        <v>963</v>
      </c>
      <c r="K150" s="6" t="s">
        <v>959</v>
      </c>
      <c r="L150" s="6" t="s">
        <v>89</v>
      </c>
      <c r="M150" s="6" t="s">
        <v>664</v>
      </c>
      <c r="N150" s="6">
        <v>35</v>
      </c>
      <c r="O150" s="6" t="s">
        <v>70</v>
      </c>
      <c r="P150" s="6">
        <v>4</v>
      </c>
      <c r="Q150" s="6">
        <v>2</v>
      </c>
      <c r="R150" s="6">
        <v>0</v>
      </c>
      <c r="T150" s="6" t="s">
        <v>71</v>
      </c>
      <c r="U150" s="6" t="s">
        <v>72</v>
      </c>
      <c r="V150" s="6" t="s">
        <v>73</v>
      </c>
      <c r="W150" s="7" t="s">
        <v>926</v>
      </c>
      <c r="BL150" s="6" t="s">
        <v>71</v>
      </c>
      <c r="BM150" s="6" t="s">
        <v>71</v>
      </c>
      <c r="BN150" s="6" t="s">
        <v>72</v>
      </c>
      <c r="BO150" s="6" t="s">
        <v>72</v>
      </c>
      <c r="BP150" s="6" t="s">
        <v>71</v>
      </c>
      <c r="BQ150" s="6" t="s">
        <v>71</v>
      </c>
      <c r="BR150" s="6" t="s">
        <v>71</v>
      </c>
      <c r="BS150" s="6" t="s">
        <v>72</v>
      </c>
      <c r="BT150" s="6" t="s">
        <v>72</v>
      </c>
      <c r="BU150" s="6" t="s">
        <v>72</v>
      </c>
      <c r="BV150" s="6" t="s">
        <v>71</v>
      </c>
      <c r="BW150" s="6" t="s">
        <v>71</v>
      </c>
      <c r="BX150" s="6" t="s">
        <v>71</v>
      </c>
      <c r="BY150" s="6" t="s">
        <v>72</v>
      </c>
      <c r="BZ150" s="6" t="s">
        <v>72</v>
      </c>
      <c r="CA150" s="6" t="s">
        <v>71</v>
      </c>
      <c r="CB150" s="6" t="s">
        <v>71</v>
      </c>
      <c r="CC150" s="6" t="s">
        <v>72</v>
      </c>
      <c r="CD150" s="6" t="s">
        <v>72</v>
      </c>
    </row>
    <row r="151" spans="1:83" ht="13.2">
      <c r="A151" s="5">
        <v>45363.605080439811</v>
      </c>
      <c r="B151" s="6" t="s">
        <v>959</v>
      </c>
      <c r="C151" s="6" t="s">
        <v>960</v>
      </c>
      <c r="D151" s="6">
        <v>201699</v>
      </c>
      <c r="E151" s="6" t="s">
        <v>84</v>
      </c>
      <c r="F151" s="6" t="s">
        <v>582</v>
      </c>
      <c r="G151" s="6" t="s">
        <v>64</v>
      </c>
      <c r="H151" s="6" t="s">
        <v>583</v>
      </c>
      <c r="I151" s="6" t="s">
        <v>962</v>
      </c>
      <c r="J151" s="6" t="s">
        <v>963</v>
      </c>
      <c r="K151" s="6" t="s">
        <v>959</v>
      </c>
      <c r="L151" s="6" t="s">
        <v>89</v>
      </c>
      <c r="M151" s="6" t="s">
        <v>664</v>
      </c>
      <c r="N151" s="6">
        <v>35</v>
      </c>
      <c r="O151" s="6" t="s">
        <v>70</v>
      </c>
      <c r="P151" s="6">
        <v>4</v>
      </c>
      <c r="Q151" s="6">
        <v>2</v>
      </c>
      <c r="R151" s="6">
        <v>0</v>
      </c>
      <c r="T151" s="6" t="s">
        <v>71</v>
      </c>
      <c r="U151" s="6" t="s">
        <v>72</v>
      </c>
      <c r="V151" s="6" t="s">
        <v>73</v>
      </c>
      <c r="W151" s="7" t="s">
        <v>926</v>
      </c>
      <c r="BL151" s="6" t="s">
        <v>71</v>
      </c>
      <c r="BM151" s="6" t="s">
        <v>71</v>
      </c>
      <c r="BN151" s="6" t="s">
        <v>72</v>
      </c>
      <c r="BO151" s="6" t="s">
        <v>72</v>
      </c>
      <c r="BP151" s="6" t="s">
        <v>71</v>
      </c>
      <c r="BQ151" s="6" t="s">
        <v>71</v>
      </c>
      <c r="BR151" s="6" t="s">
        <v>71</v>
      </c>
      <c r="BS151" s="6" t="s">
        <v>72</v>
      </c>
      <c r="BT151" s="6" t="s">
        <v>72</v>
      </c>
      <c r="BU151" s="6" t="s">
        <v>72</v>
      </c>
      <c r="BV151" s="6" t="s">
        <v>71</v>
      </c>
      <c r="BW151" s="6" t="s">
        <v>71</v>
      </c>
      <c r="BX151" s="6" t="s">
        <v>71</v>
      </c>
      <c r="BY151" s="6" t="s">
        <v>72</v>
      </c>
      <c r="BZ151" s="6" t="s">
        <v>72</v>
      </c>
      <c r="CA151" s="6" t="s">
        <v>71</v>
      </c>
      <c r="CB151" s="6" t="s">
        <v>71</v>
      </c>
      <c r="CC151" s="6" t="s">
        <v>72</v>
      </c>
      <c r="CD151" s="6" t="s">
        <v>72</v>
      </c>
    </row>
    <row r="152" spans="1:83" ht="13.2">
      <c r="A152" s="5">
        <v>45363.673763750005</v>
      </c>
      <c r="B152" s="6" t="s">
        <v>964</v>
      </c>
      <c r="C152" s="6" t="s">
        <v>965</v>
      </c>
      <c r="D152" s="7" t="s">
        <v>966</v>
      </c>
      <c r="E152" s="6" t="s">
        <v>62</v>
      </c>
      <c r="F152" s="6" t="s">
        <v>967</v>
      </c>
      <c r="G152" s="6" t="s">
        <v>64</v>
      </c>
      <c r="H152" s="6" t="s">
        <v>968</v>
      </c>
      <c r="I152" s="6" t="s">
        <v>969</v>
      </c>
      <c r="J152" s="6" t="s">
        <v>970</v>
      </c>
      <c r="K152" s="6" t="s">
        <v>964</v>
      </c>
      <c r="L152" s="6" t="s">
        <v>68</v>
      </c>
      <c r="M152" s="6" t="s">
        <v>971</v>
      </c>
      <c r="N152" s="6">
        <v>35</v>
      </c>
      <c r="O152" s="6" t="s">
        <v>70</v>
      </c>
      <c r="P152" s="6">
        <v>3</v>
      </c>
      <c r="Q152" s="6">
        <v>5</v>
      </c>
      <c r="R152" s="6">
        <v>40</v>
      </c>
      <c r="T152" s="6" t="s">
        <v>71</v>
      </c>
      <c r="U152" s="6" t="s">
        <v>71</v>
      </c>
      <c r="V152" s="6" t="s">
        <v>109</v>
      </c>
      <c r="W152" s="7" t="s">
        <v>926</v>
      </c>
      <c r="BL152" s="6" t="s">
        <v>71</v>
      </c>
      <c r="BM152" s="6" t="s">
        <v>71</v>
      </c>
      <c r="BN152" s="6" t="s">
        <v>71</v>
      </c>
      <c r="BO152" s="6" t="s">
        <v>71</v>
      </c>
      <c r="BP152" s="6" t="s">
        <v>71</v>
      </c>
      <c r="BQ152" s="6" t="s">
        <v>71</v>
      </c>
      <c r="BR152" s="6" t="s">
        <v>71</v>
      </c>
      <c r="BS152" s="6" t="s">
        <v>71</v>
      </c>
      <c r="BT152" s="6" t="s">
        <v>71</v>
      </c>
      <c r="BU152" s="6" t="s">
        <v>71</v>
      </c>
      <c r="BV152" s="6" t="s">
        <v>71</v>
      </c>
      <c r="BW152" s="6" t="s">
        <v>71</v>
      </c>
      <c r="BX152" s="6" t="s">
        <v>71</v>
      </c>
      <c r="BY152" s="6" t="s">
        <v>71</v>
      </c>
      <c r="CA152" s="6" t="s">
        <v>71</v>
      </c>
      <c r="CB152" s="6" t="s">
        <v>71</v>
      </c>
      <c r="CC152" s="6" t="s">
        <v>71</v>
      </c>
    </row>
    <row r="153" spans="1:83" ht="13.2">
      <c r="A153" s="5">
        <v>45363.688114999997</v>
      </c>
      <c r="B153" s="6" t="s">
        <v>972</v>
      </c>
      <c r="C153" s="6" t="s">
        <v>973</v>
      </c>
      <c r="D153" s="7" t="s">
        <v>974</v>
      </c>
      <c r="E153" s="6" t="s">
        <v>387</v>
      </c>
      <c r="F153" s="6" t="s">
        <v>975</v>
      </c>
      <c r="G153" s="6" t="s">
        <v>64</v>
      </c>
      <c r="H153" s="6" t="s">
        <v>976</v>
      </c>
      <c r="I153" s="6" t="s">
        <v>977</v>
      </c>
      <c r="J153" s="6" t="s">
        <v>978</v>
      </c>
      <c r="K153" s="6" t="s">
        <v>972</v>
      </c>
      <c r="L153" s="6" t="s">
        <v>245</v>
      </c>
      <c r="M153" s="6" t="s">
        <v>979</v>
      </c>
      <c r="N153" s="6">
        <v>29</v>
      </c>
      <c r="O153" s="6" t="s">
        <v>70</v>
      </c>
      <c r="P153" s="6">
        <v>3</v>
      </c>
      <c r="Q153" s="6">
        <v>1</v>
      </c>
      <c r="R153" s="6">
        <v>40</v>
      </c>
      <c r="S153" s="6" t="s">
        <v>980</v>
      </c>
      <c r="T153" s="6" t="s">
        <v>71</v>
      </c>
      <c r="U153" s="6" t="s">
        <v>72</v>
      </c>
      <c r="V153" s="6" t="s">
        <v>73</v>
      </c>
      <c r="W153" s="7" t="s">
        <v>926</v>
      </c>
      <c r="BL153" s="6" t="s">
        <v>72</v>
      </c>
      <c r="BM153" s="6" t="s">
        <v>71</v>
      </c>
      <c r="BN153" s="6" t="s">
        <v>72</v>
      </c>
      <c r="BO153" s="6" t="s">
        <v>72</v>
      </c>
      <c r="BP153" s="6" t="s">
        <v>71</v>
      </c>
      <c r="BQ153" s="6" t="s">
        <v>72</v>
      </c>
      <c r="BR153" s="6" t="s">
        <v>71</v>
      </c>
      <c r="BS153" s="6" t="s">
        <v>72</v>
      </c>
      <c r="BT153" s="6" t="s">
        <v>72</v>
      </c>
      <c r="BU153" s="6" t="s">
        <v>72</v>
      </c>
      <c r="BV153" s="6" t="s">
        <v>71</v>
      </c>
      <c r="BW153" s="6" t="s">
        <v>72</v>
      </c>
      <c r="BX153" s="6" t="s">
        <v>71</v>
      </c>
      <c r="BY153" s="6" t="s">
        <v>72</v>
      </c>
      <c r="BZ153" s="6" t="s">
        <v>72</v>
      </c>
      <c r="CA153" s="6" t="s">
        <v>72</v>
      </c>
      <c r="CB153" s="6" t="s">
        <v>72</v>
      </c>
      <c r="CC153" s="6" t="s">
        <v>72</v>
      </c>
      <c r="CD153" s="6" t="s">
        <v>72</v>
      </c>
      <c r="CE153" s="6" t="s">
        <v>981</v>
      </c>
    </row>
    <row r="154" spans="1:83" ht="13.2">
      <c r="A154" s="5">
        <v>45363.6912443287</v>
      </c>
      <c r="B154" s="6" t="s">
        <v>982</v>
      </c>
      <c r="C154" s="6" t="s">
        <v>983</v>
      </c>
      <c r="D154" s="7" t="s">
        <v>974</v>
      </c>
      <c r="E154" s="6" t="s">
        <v>387</v>
      </c>
      <c r="F154" s="6" t="s">
        <v>984</v>
      </c>
      <c r="G154" s="6" t="s">
        <v>64</v>
      </c>
      <c r="H154" s="6" t="s">
        <v>977</v>
      </c>
      <c r="I154" s="6" t="s">
        <v>976</v>
      </c>
      <c r="J154" s="6" t="s">
        <v>978</v>
      </c>
      <c r="K154" s="6" t="s">
        <v>982</v>
      </c>
      <c r="L154" s="6" t="s">
        <v>245</v>
      </c>
      <c r="M154" s="6" t="s">
        <v>985</v>
      </c>
      <c r="N154" s="6">
        <v>17</v>
      </c>
      <c r="O154" s="6" t="s">
        <v>70</v>
      </c>
      <c r="P154" s="6">
        <v>3</v>
      </c>
      <c r="Q154" s="6">
        <v>1</v>
      </c>
      <c r="R154" s="6">
        <v>40</v>
      </c>
      <c r="T154" s="6" t="s">
        <v>71</v>
      </c>
      <c r="U154" s="6" t="s">
        <v>72</v>
      </c>
      <c r="V154" s="6" t="s">
        <v>73</v>
      </c>
      <c r="W154" s="7" t="s">
        <v>926</v>
      </c>
      <c r="BL154" s="6" t="s">
        <v>72</v>
      </c>
      <c r="BM154" s="6" t="s">
        <v>71</v>
      </c>
      <c r="BN154" s="6" t="s">
        <v>71</v>
      </c>
      <c r="BO154" s="6" t="s">
        <v>72</v>
      </c>
      <c r="BP154" s="6" t="s">
        <v>71</v>
      </c>
      <c r="BQ154" s="6" t="s">
        <v>72</v>
      </c>
      <c r="BR154" s="6" t="s">
        <v>71</v>
      </c>
      <c r="BS154" s="6" t="s">
        <v>72</v>
      </c>
      <c r="BT154" s="6" t="s">
        <v>72</v>
      </c>
      <c r="BU154" s="6" t="s">
        <v>72</v>
      </c>
      <c r="BV154" s="6" t="s">
        <v>72</v>
      </c>
      <c r="BW154" s="6" t="s">
        <v>72</v>
      </c>
      <c r="BX154" s="6" t="s">
        <v>71</v>
      </c>
      <c r="BY154" s="6" t="s">
        <v>72</v>
      </c>
      <c r="BZ154" s="6" t="s">
        <v>72</v>
      </c>
      <c r="CA154" s="6" t="s">
        <v>72</v>
      </c>
      <c r="CB154" s="6" t="s">
        <v>72</v>
      </c>
      <c r="CC154" s="6" t="s">
        <v>72</v>
      </c>
      <c r="CD154" s="6" t="s">
        <v>72</v>
      </c>
      <c r="CE154" s="6" t="s">
        <v>986</v>
      </c>
    </row>
    <row r="155" spans="1:83" ht="13.2">
      <c r="A155" s="5">
        <v>45363.768122928246</v>
      </c>
      <c r="B155" s="6" t="s">
        <v>202</v>
      </c>
      <c r="C155" s="6" t="s">
        <v>203</v>
      </c>
      <c r="D155" s="6">
        <v>29003000</v>
      </c>
      <c r="E155" s="6" t="s">
        <v>62</v>
      </c>
      <c r="F155" s="6" t="s">
        <v>235</v>
      </c>
      <c r="G155" s="6" t="s">
        <v>64</v>
      </c>
      <c r="H155" s="6" t="s">
        <v>205</v>
      </c>
      <c r="I155" s="6" t="s">
        <v>206</v>
      </c>
      <c r="J155" s="6" t="s">
        <v>987</v>
      </c>
      <c r="K155" s="6" t="s">
        <v>202</v>
      </c>
      <c r="L155" s="6" t="s">
        <v>89</v>
      </c>
      <c r="M155" s="6" t="s">
        <v>208</v>
      </c>
      <c r="N155" s="6">
        <v>32</v>
      </c>
      <c r="O155" s="6" t="s">
        <v>70</v>
      </c>
      <c r="P155" s="6">
        <v>5</v>
      </c>
      <c r="Q155" s="6">
        <v>5</v>
      </c>
      <c r="R155" s="6">
        <v>10</v>
      </c>
      <c r="T155" s="6" t="s">
        <v>71</v>
      </c>
      <c r="U155" s="6" t="s">
        <v>72</v>
      </c>
      <c r="V155" s="6" t="s">
        <v>73</v>
      </c>
      <c r="W155" s="7" t="s">
        <v>926</v>
      </c>
      <c r="BL155" s="6" t="s">
        <v>71</v>
      </c>
      <c r="BM155" s="6" t="s">
        <v>71</v>
      </c>
      <c r="BN155" s="6" t="s">
        <v>71</v>
      </c>
      <c r="BO155" s="6" t="s">
        <v>72</v>
      </c>
      <c r="BP155" s="6" t="s">
        <v>71</v>
      </c>
      <c r="BQ155" s="6" t="s">
        <v>71</v>
      </c>
      <c r="BR155" s="6" t="s">
        <v>71</v>
      </c>
      <c r="BS155" s="6" t="s">
        <v>72</v>
      </c>
      <c r="BT155" s="6" t="s">
        <v>72</v>
      </c>
      <c r="BU155" s="6" t="s">
        <v>72</v>
      </c>
      <c r="BV155" s="6" t="s">
        <v>71</v>
      </c>
      <c r="BW155" s="6" t="s">
        <v>71</v>
      </c>
      <c r="BX155" s="6" t="s">
        <v>71</v>
      </c>
      <c r="BY155" s="6" t="s">
        <v>72</v>
      </c>
      <c r="BZ155" s="6" t="s">
        <v>72</v>
      </c>
      <c r="CA155" s="6" t="s">
        <v>71</v>
      </c>
      <c r="CB155" s="6" t="s">
        <v>71</v>
      </c>
      <c r="CC155" s="6" t="s">
        <v>72</v>
      </c>
      <c r="CD155" s="6" t="s">
        <v>72</v>
      </c>
    </row>
    <row r="156" spans="1:83" ht="13.2">
      <c r="A156" s="5">
        <v>45363.775411030088</v>
      </c>
      <c r="B156" s="6" t="s">
        <v>484</v>
      </c>
      <c r="C156" s="6" t="s">
        <v>988</v>
      </c>
      <c r="D156" s="7" t="s">
        <v>989</v>
      </c>
      <c r="E156" s="6" t="s">
        <v>212</v>
      </c>
      <c r="F156" s="6" t="s">
        <v>990</v>
      </c>
      <c r="G156" s="6" t="s">
        <v>105</v>
      </c>
      <c r="H156" s="6" t="s">
        <v>991</v>
      </c>
      <c r="I156" s="6" t="s">
        <v>992</v>
      </c>
      <c r="K156" s="6" t="s">
        <v>484</v>
      </c>
      <c r="L156" s="6" t="s">
        <v>245</v>
      </c>
      <c r="M156" s="6" t="s">
        <v>993</v>
      </c>
      <c r="N156" s="6">
        <v>30</v>
      </c>
      <c r="O156" s="6" t="s">
        <v>148</v>
      </c>
      <c r="P156" s="6">
        <v>4</v>
      </c>
      <c r="Q156" s="6">
        <v>4</v>
      </c>
      <c r="R156" s="6">
        <v>20</v>
      </c>
      <c r="S156" s="6" t="s">
        <v>994</v>
      </c>
      <c r="T156" s="6" t="s">
        <v>71</v>
      </c>
      <c r="U156" s="6" t="s">
        <v>72</v>
      </c>
      <c r="V156" s="6" t="s">
        <v>73</v>
      </c>
      <c r="W156" s="7" t="s">
        <v>926</v>
      </c>
      <c r="BL156" s="6" t="s">
        <v>71</v>
      </c>
      <c r="BM156" s="6" t="s">
        <v>71</v>
      </c>
      <c r="BN156" s="6" t="s">
        <v>72</v>
      </c>
      <c r="BO156" s="6" t="s">
        <v>72</v>
      </c>
      <c r="BP156" s="6" t="s">
        <v>71</v>
      </c>
      <c r="BQ156" s="6" t="s">
        <v>71</v>
      </c>
      <c r="BR156" s="6" t="s">
        <v>71</v>
      </c>
      <c r="BS156" s="6" t="s">
        <v>72</v>
      </c>
      <c r="BT156" s="6" t="s">
        <v>72</v>
      </c>
      <c r="BU156" s="6" t="s">
        <v>72</v>
      </c>
      <c r="BV156" s="6" t="s">
        <v>71</v>
      </c>
      <c r="BW156" s="6" t="s">
        <v>71</v>
      </c>
      <c r="BX156" s="6" t="s">
        <v>71</v>
      </c>
      <c r="BY156" s="6" t="s">
        <v>72</v>
      </c>
      <c r="BZ156" s="6" t="s">
        <v>72</v>
      </c>
      <c r="CA156" s="6" t="s">
        <v>71</v>
      </c>
      <c r="CB156" s="6" t="s">
        <v>71</v>
      </c>
      <c r="CC156" s="6" t="s">
        <v>72</v>
      </c>
      <c r="CD156" s="6" t="s">
        <v>72</v>
      </c>
      <c r="CE156" s="6" t="s">
        <v>995</v>
      </c>
    </row>
    <row r="157" spans="1:83" ht="13.2">
      <c r="A157" s="5">
        <v>45363.857439733794</v>
      </c>
      <c r="B157" s="6" t="s">
        <v>996</v>
      </c>
      <c r="C157" s="6" t="s">
        <v>997</v>
      </c>
      <c r="D157" s="7" t="s">
        <v>998</v>
      </c>
      <c r="E157" s="6" t="s">
        <v>62</v>
      </c>
      <c r="F157" s="6" t="s">
        <v>999</v>
      </c>
      <c r="G157" s="6" t="s">
        <v>105</v>
      </c>
      <c r="H157" s="6" t="s">
        <v>1000</v>
      </c>
      <c r="I157" s="6" t="s">
        <v>1001</v>
      </c>
      <c r="K157" s="6" t="s">
        <v>996</v>
      </c>
      <c r="L157" s="6" t="s">
        <v>68</v>
      </c>
      <c r="M157" s="6" t="s">
        <v>852</v>
      </c>
      <c r="N157" s="6">
        <v>20</v>
      </c>
      <c r="O157" s="6" t="s">
        <v>1002</v>
      </c>
      <c r="P157" s="6">
        <v>3</v>
      </c>
      <c r="Q157" s="6">
        <v>4</v>
      </c>
      <c r="R157" s="6">
        <v>25</v>
      </c>
      <c r="S157" s="6" t="s">
        <v>1003</v>
      </c>
      <c r="T157" s="6" t="s">
        <v>71</v>
      </c>
      <c r="U157" s="6" t="s">
        <v>72</v>
      </c>
      <c r="V157" s="6" t="s">
        <v>73</v>
      </c>
      <c r="W157" s="7" t="s">
        <v>926</v>
      </c>
      <c r="BL157" s="6" t="s">
        <v>71</v>
      </c>
      <c r="BM157" s="6" t="s">
        <v>72</v>
      </c>
      <c r="BN157" s="6" t="s">
        <v>72</v>
      </c>
      <c r="BO157" s="6" t="s">
        <v>72</v>
      </c>
      <c r="BP157" s="6" t="s">
        <v>71</v>
      </c>
      <c r="BQ157" s="6" t="s">
        <v>72</v>
      </c>
      <c r="BR157" s="6" t="s">
        <v>72</v>
      </c>
      <c r="BS157" s="6" t="s">
        <v>72</v>
      </c>
      <c r="BT157" s="6" t="s">
        <v>72</v>
      </c>
      <c r="BU157" s="6" t="s">
        <v>72</v>
      </c>
      <c r="BV157" s="6" t="s">
        <v>72</v>
      </c>
      <c r="BW157" s="6" t="s">
        <v>71</v>
      </c>
      <c r="BX157" s="6" t="s">
        <v>72</v>
      </c>
      <c r="BY157" s="6" t="s">
        <v>72</v>
      </c>
      <c r="BZ157" s="6" t="s">
        <v>72</v>
      </c>
      <c r="CA157" s="6" t="s">
        <v>72</v>
      </c>
      <c r="CB157" s="6" t="s">
        <v>71</v>
      </c>
      <c r="CC157" s="6" t="s">
        <v>72</v>
      </c>
      <c r="CD157" s="6" t="s">
        <v>72</v>
      </c>
      <c r="CE157" s="6" t="s">
        <v>1004</v>
      </c>
    </row>
    <row r="158" spans="1:83" ht="13.2">
      <c r="A158" s="5">
        <v>45363.867391284723</v>
      </c>
      <c r="B158" s="6" t="s">
        <v>1005</v>
      </c>
      <c r="C158" s="6" t="s">
        <v>1006</v>
      </c>
      <c r="D158" s="7" t="s">
        <v>1007</v>
      </c>
      <c r="E158" s="6" t="s">
        <v>62</v>
      </c>
      <c r="F158" s="6" t="s">
        <v>1008</v>
      </c>
      <c r="G158" s="6" t="s">
        <v>105</v>
      </c>
      <c r="H158" s="6" t="s">
        <v>1009</v>
      </c>
      <c r="I158" s="6" t="s">
        <v>1010</v>
      </c>
      <c r="K158" s="6" t="s">
        <v>1005</v>
      </c>
      <c r="L158" s="6" t="s">
        <v>245</v>
      </c>
      <c r="M158" s="6" t="s">
        <v>1011</v>
      </c>
      <c r="N158" s="6">
        <v>25</v>
      </c>
      <c r="O158" s="6" t="s">
        <v>148</v>
      </c>
      <c r="P158" s="6">
        <v>4</v>
      </c>
      <c r="Q158" s="6">
        <v>3</v>
      </c>
      <c r="R158" s="6">
        <v>60</v>
      </c>
      <c r="T158" s="6" t="s">
        <v>72</v>
      </c>
      <c r="U158" s="6" t="s">
        <v>71</v>
      </c>
      <c r="V158" s="6" t="s">
        <v>351</v>
      </c>
      <c r="W158" s="7" t="s">
        <v>926</v>
      </c>
      <c r="BL158" s="6" t="s">
        <v>72</v>
      </c>
      <c r="BM158" s="6" t="s">
        <v>72</v>
      </c>
      <c r="BN158" s="6" t="s">
        <v>72</v>
      </c>
      <c r="BO158" s="6" t="s">
        <v>71</v>
      </c>
      <c r="BP158" s="6" t="s">
        <v>72</v>
      </c>
      <c r="BQ158" s="6" t="s">
        <v>72</v>
      </c>
      <c r="BR158" s="6" t="s">
        <v>72</v>
      </c>
      <c r="BS158" s="6" t="s">
        <v>71</v>
      </c>
      <c r="BT158" s="6" t="s">
        <v>71</v>
      </c>
      <c r="BU158" s="6" t="s">
        <v>71</v>
      </c>
      <c r="BV158" s="6" t="s">
        <v>72</v>
      </c>
      <c r="BW158" s="6" t="s">
        <v>72</v>
      </c>
      <c r="BX158" s="6" t="s">
        <v>72</v>
      </c>
      <c r="BY158" s="6" t="s">
        <v>71</v>
      </c>
      <c r="BZ158" s="6" t="s">
        <v>71</v>
      </c>
      <c r="CA158" s="6" t="s">
        <v>72</v>
      </c>
      <c r="CB158" s="6" t="s">
        <v>72</v>
      </c>
      <c r="CC158" s="6" t="s">
        <v>71</v>
      </c>
      <c r="CD158" s="6" t="s">
        <v>71</v>
      </c>
    </row>
    <row r="159" spans="1:83" ht="13.2">
      <c r="A159" s="5">
        <v>45363.883584583338</v>
      </c>
      <c r="B159" s="6" t="s">
        <v>1012</v>
      </c>
      <c r="C159" s="6" t="s">
        <v>862</v>
      </c>
      <c r="D159" s="6">
        <v>20067300</v>
      </c>
      <c r="E159" s="6" t="s">
        <v>84</v>
      </c>
      <c r="F159" s="6" t="s">
        <v>582</v>
      </c>
      <c r="G159" s="6" t="s">
        <v>64</v>
      </c>
      <c r="H159" s="6" t="s">
        <v>1013</v>
      </c>
      <c r="I159" s="6" t="s">
        <v>1014</v>
      </c>
      <c r="J159" s="6" t="s">
        <v>565</v>
      </c>
      <c r="K159" s="6" t="s">
        <v>1012</v>
      </c>
      <c r="L159" s="6" t="s">
        <v>89</v>
      </c>
      <c r="M159" s="6" t="s">
        <v>473</v>
      </c>
      <c r="N159" s="6">
        <v>18</v>
      </c>
      <c r="O159" s="6" t="s">
        <v>70</v>
      </c>
      <c r="P159" s="6">
        <v>4</v>
      </c>
      <c r="Q159" s="6">
        <v>3</v>
      </c>
      <c r="R159" s="6">
        <v>30</v>
      </c>
      <c r="S159" s="6" t="s">
        <v>1015</v>
      </c>
      <c r="T159" s="6" t="s">
        <v>71</v>
      </c>
      <c r="U159" s="6" t="s">
        <v>72</v>
      </c>
      <c r="V159" s="6" t="s">
        <v>73</v>
      </c>
      <c r="W159" s="7" t="s">
        <v>926</v>
      </c>
      <c r="BL159" s="6" t="s">
        <v>71</v>
      </c>
      <c r="BM159" s="6" t="s">
        <v>71</v>
      </c>
      <c r="BN159" s="6" t="s">
        <v>71</v>
      </c>
      <c r="BO159" s="6" t="s">
        <v>72</v>
      </c>
      <c r="BP159" s="6" t="s">
        <v>71</v>
      </c>
      <c r="BQ159" s="6" t="s">
        <v>71</v>
      </c>
      <c r="BR159" s="6" t="s">
        <v>71</v>
      </c>
      <c r="BS159" s="6" t="s">
        <v>72</v>
      </c>
      <c r="BT159" s="6" t="s">
        <v>72</v>
      </c>
      <c r="BU159" s="6" t="s">
        <v>72</v>
      </c>
      <c r="BV159" s="6" t="s">
        <v>71</v>
      </c>
      <c r="BW159" s="6" t="s">
        <v>71</v>
      </c>
      <c r="BX159" s="6" t="s">
        <v>71</v>
      </c>
      <c r="BY159" s="6" t="s">
        <v>72</v>
      </c>
      <c r="BZ159" s="6" t="s">
        <v>72</v>
      </c>
      <c r="CA159" s="6" t="s">
        <v>71</v>
      </c>
      <c r="CB159" s="6" t="s">
        <v>71</v>
      </c>
      <c r="CC159" s="6" t="s">
        <v>72</v>
      </c>
      <c r="CD159" s="6" t="s">
        <v>72</v>
      </c>
    </row>
    <row r="160" spans="1:83" ht="13.2">
      <c r="A160" s="5">
        <v>45363.888119386575</v>
      </c>
      <c r="B160" s="6" t="s">
        <v>1012</v>
      </c>
      <c r="C160" s="6" t="s">
        <v>862</v>
      </c>
      <c r="D160" s="6">
        <v>20067300</v>
      </c>
      <c r="E160" s="6" t="s">
        <v>133</v>
      </c>
      <c r="F160" s="6" t="s">
        <v>192</v>
      </c>
      <c r="G160" s="6" t="s">
        <v>64</v>
      </c>
      <c r="H160" s="6" t="s">
        <v>1013</v>
      </c>
      <c r="I160" s="6" t="s">
        <v>1014</v>
      </c>
      <c r="J160" s="6" t="s">
        <v>1016</v>
      </c>
      <c r="K160" s="6" t="s">
        <v>1012</v>
      </c>
      <c r="L160" s="6" t="s">
        <v>89</v>
      </c>
      <c r="M160" s="6" t="s">
        <v>473</v>
      </c>
      <c r="N160" s="6">
        <v>22</v>
      </c>
      <c r="O160" s="6" t="s">
        <v>70</v>
      </c>
      <c r="P160" s="6">
        <v>4</v>
      </c>
      <c r="Q160" s="6">
        <v>3</v>
      </c>
      <c r="R160" s="6">
        <v>35</v>
      </c>
      <c r="S160" s="6" t="s">
        <v>1015</v>
      </c>
      <c r="T160" s="6" t="s">
        <v>71</v>
      </c>
      <c r="U160" s="6" t="s">
        <v>72</v>
      </c>
      <c r="V160" s="6" t="s">
        <v>73</v>
      </c>
      <c r="W160" s="7" t="s">
        <v>926</v>
      </c>
      <c r="BL160" s="6" t="s">
        <v>71</v>
      </c>
      <c r="BM160" s="6" t="s">
        <v>71</v>
      </c>
      <c r="BN160" s="6" t="s">
        <v>71</v>
      </c>
      <c r="BO160" s="6" t="s">
        <v>72</v>
      </c>
      <c r="BP160" s="6" t="s">
        <v>71</v>
      </c>
      <c r="BQ160" s="6" t="s">
        <v>71</v>
      </c>
      <c r="BR160" s="6" t="s">
        <v>71</v>
      </c>
      <c r="BS160" s="6" t="s">
        <v>72</v>
      </c>
      <c r="BT160" s="6" t="s">
        <v>72</v>
      </c>
      <c r="BU160" s="6" t="s">
        <v>72</v>
      </c>
      <c r="BV160" s="6" t="s">
        <v>71</v>
      </c>
      <c r="BW160" s="6" t="s">
        <v>71</v>
      </c>
      <c r="BX160" s="6" t="s">
        <v>71</v>
      </c>
      <c r="BY160" s="6" t="s">
        <v>72</v>
      </c>
      <c r="BZ160" s="6" t="s">
        <v>72</v>
      </c>
      <c r="CA160" s="6" t="s">
        <v>71</v>
      </c>
      <c r="CB160" s="6" t="s">
        <v>71</v>
      </c>
      <c r="CC160" s="6" t="s">
        <v>72</v>
      </c>
      <c r="CD160" s="6" t="s">
        <v>72</v>
      </c>
    </row>
    <row r="161" spans="1:83" ht="13.2">
      <c r="A161" s="5">
        <v>45363.938248749997</v>
      </c>
      <c r="B161" s="6" t="s">
        <v>352</v>
      </c>
      <c r="C161" s="6" t="s">
        <v>1017</v>
      </c>
      <c r="D161" s="7" t="s">
        <v>1018</v>
      </c>
      <c r="E161" s="6" t="s">
        <v>133</v>
      </c>
      <c r="F161" s="6" t="s">
        <v>1019</v>
      </c>
      <c r="G161" s="6" t="s">
        <v>105</v>
      </c>
      <c r="H161" s="6" t="s">
        <v>1020</v>
      </c>
      <c r="I161" s="6" t="s">
        <v>1021</v>
      </c>
      <c r="J161" s="6" t="s">
        <v>1022</v>
      </c>
      <c r="K161" s="6" t="s">
        <v>352</v>
      </c>
      <c r="L161" s="6" t="s">
        <v>68</v>
      </c>
      <c r="M161" s="6" t="s">
        <v>1023</v>
      </c>
      <c r="N161" s="6">
        <v>35</v>
      </c>
      <c r="O161" s="6" t="s">
        <v>70</v>
      </c>
      <c r="P161" s="6">
        <v>3</v>
      </c>
      <c r="Q161" s="6">
        <v>3</v>
      </c>
      <c r="R161" s="6">
        <v>60</v>
      </c>
      <c r="T161" s="6" t="s">
        <v>71</v>
      </c>
      <c r="U161" s="6" t="s">
        <v>72</v>
      </c>
      <c r="V161" s="6" t="s">
        <v>73</v>
      </c>
      <c r="W161" s="7" t="s">
        <v>926</v>
      </c>
      <c r="BL161" s="6" t="s">
        <v>71</v>
      </c>
      <c r="BM161" s="6" t="s">
        <v>72</v>
      </c>
      <c r="BN161" s="6" t="s">
        <v>72</v>
      </c>
      <c r="BO161" s="6" t="s">
        <v>72</v>
      </c>
      <c r="BP161" s="6" t="s">
        <v>72</v>
      </c>
      <c r="BQ161" s="6" t="s">
        <v>71</v>
      </c>
      <c r="BR161" s="6" t="s">
        <v>72</v>
      </c>
      <c r="BS161" s="6" t="s">
        <v>72</v>
      </c>
      <c r="BT161" s="6" t="s">
        <v>72</v>
      </c>
      <c r="BU161" s="6" t="s">
        <v>72</v>
      </c>
      <c r="BV161" s="6" t="s">
        <v>72</v>
      </c>
      <c r="BW161" s="6" t="s">
        <v>72</v>
      </c>
      <c r="BX161" s="6" t="s">
        <v>71</v>
      </c>
      <c r="BZ161" s="6" t="s">
        <v>72</v>
      </c>
      <c r="CA161" s="6" t="s">
        <v>72</v>
      </c>
      <c r="CB161" s="6" t="s">
        <v>72</v>
      </c>
      <c r="CC161" s="6" t="s">
        <v>71</v>
      </c>
      <c r="CD161" s="6" t="s">
        <v>72</v>
      </c>
    </row>
    <row r="162" spans="1:83" ht="13.2">
      <c r="A162" s="5">
        <v>45364.395298090283</v>
      </c>
      <c r="B162" s="6" t="s">
        <v>680</v>
      </c>
      <c r="C162" s="6" t="s">
        <v>575</v>
      </c>
      <c r="D162" s="6">
        <v>61</v>
      </c>
      <c r="E162" s="6" t="s">
        <v>133</v>
      </c>
      <c r="F162" s="6" t="s">
        <v>345</v>
      </c>
      <c r="G162" s="6" t="s">
        <v>64</v>
      </c>
      <c r="H162" s="6" t="s">
        <v>683</v>
      </c>
      <c r="I162" s="6" t="s">
        <v>684</v>
      </c>
      <c r="J162" s="6" t="s">
        <v>1024</v>
      </c>
      <c r="K162" s="6" t="s">
        <v>680</v>
      </c>
      <c r="L162" s="6" t="s">
        <v>89</v>
      </c>
      <c r="M162" s="6" t="s">
        <v>686</v>
      </c>
      <c r="N162" s="6">
        <v>35</v>
      </c>
      <c r="O162" s="6" t="s">
        <v>148</v>
      </c>
      <c r="P162" s="6">
        <v>4</v>
      </c>
      <c r="Q162" s="6">
        <v>4</v>
      </c>
      <c r="R162" s="6">
        <v>10</v>
      </c>
      <c r="T162" s="6" t="s">
        <v>71</v>
      </c>
      <c r="U162" s="6" t="s">
        <v>72</v>
      </c>
      <c r="V162" s="6" t="s">
        <v>73</v>
      </c>
      <c r="W162" s="7" t="s">
        <v>926</v>
      </c>
      <c r="BL162" s="6" t="s">
        <v>71</v>
      </c>
      <c r="BM162" s="6" t="s">
        <v>71</v>
      </c>
      <c r="BN162" s="6" t="s">
        <v>72</v>
      </c>
      <c r="BO162" s="6" t="s">
        <v>72</v>
      </c>
      <c r="BP162" s="6" t="s">
        <v>71</v>
      </c>
      <c r="BQ162" s="6" t="s">
        <v>71</v>
      </c>
      <c r="BR162" s="6" t="s">
        <v>71</v>
      </c>
      <c r="BS162" s="6" t="s">
        <v>71</v>
      </c>
      <c r="BT162" s="6" t="s">
        <v>72</v>
      </c>
      <c r="BU162" s="6" t="s">
        <v>72</v>
      </c>
      <c r="BV162" s="6" t="s">
        <v>71</v>
      </c>
      <c r="BW162" s="6" t="s">
        <v>71</v>
      </c>
      <c r="BX162" s="6" t="s">
        <v>71</v>
      </c>
      <c r="BY162" s="6" t="s">
        <v>72</v>
      </c>
      <c r="BZ162" s="6" t="s">
        <v>72</v>
      </c>
      <c r="CA162" s="6" t="s">
        <v>71</v>
      </c>
      <c r="CB162" s="6" t="s">
        <v>71</v>
      </c>
      <c r="CC162" s="6" t="s">
        <v>72</v>
      </c>
      <c r="CD162" s="6" t="s">
        <v>72</v>
      </c>
    </row>
    <row r="163" spans="1:83" ht="13.2">
      <c r="A163" s="5">
        <v>45364.411596504629</v>
      </c>
      <c r="B163" s="6" t="s">
        <v>1025</v>
      </c>
      <c r="C163" s="6" t="s">
        <v>1026</v>
      </c>
      <c r="D163" s="7" t="s">
        <v>275</v>
      </c>
      <c r="E163" s="6" t="s">
        <v>286</v>
      </c>
      <c r="F163" s="6" t="s">
        <v>1027</v>
      </c>
      <c r="G163" s="6" t="s">
        <v>105</v>
      </c>
      <c r="H163" s="6" t="s">
        <v>1028</v>
      </c>
      <c r="I163" s="6" t="s">
        <v>1029</v>
      </c>
      <c r="J163" s="6" t="s">
        <v>1030</v>
      </c>
      <c r="K163" s="6" t="s">
        <v>1025</v>
      </c>
      <c r="L163" s="6" t="s">
        <v>245</v>
      </c>
      <c r="M163" s="6" t="s">
        <v>1031</v>
      </c>
      <c r="N163" s="6">
        <v>35</v>
      </c>
      <c r="O163" s="6" t="s">
        <v>282</v>
      </c>
      <c r="P163" s="6">
        <v>4</v>
      </c>
      <c r="Q163" s="6">
        <v>3</v>
      </c>
      <c r="R163" s="6">
        <v>50</v>
      </c>
      <c r="T163" s="6" t="s">
        <v>72</v>
      </c>
      <c r="U163" s="6" t="s">
        <v>71</v>
      </c>
      <c r="V163" s="6" t="s">
        <v>351</v>
      </c>
      <c r="W163" s="7" t="s">
        <v>926</v>
      </c>
      <c r="BL163" s="6" t="s">
        <v>72</v>
      </c>
      <c r="BM163" s="6" t="s">
        <v>72</v>
      </c>
      <c r="BN163" s="6" t="s">
        <v>72</v>
      </c>
      <c r="BO163" s="6" t="s">
        <v>71</v>
      </c>
      <c r="BP163" s="6" t="s">
        <v>72</v>
      </c>
      <c r="BQ163" s="6" t="s">
        <v>72</v>
      </c>
      <c r="BR163" s="6" t="s">
        <v>72</v>
      </c>
      <c r="BS163" s="6" t="s">
        <v>71</v>
      </c>
      <c r="BT163" s="6" t="s">
        <v>71</v>
      </c>
      <c r="BU163" s="6" t="s">
        <v>71</v>
      </c>
      <c r="BV163" s="6" t="s">
        <v>72</v>
      </c>
      <c r="BW163" s="6" t="s">
        <v>72</v>
      </c>
      <c r="BX163" s="6" t="s">
        <v>72</v>
      </c>
      <c r="BY163" s="6" t="s">
        <v>71</v>
      </c>
      <c r="BZ163" s="6" t="s">
        <v>71</v>
      </c>
      <c r="CA163" s="6" t="s">
        <v>72</v>
      </c>
      <c r="CB163" s="6" t="s">
        <v>72</v>
      </c>
      <c r="CC163" s="6" t="s">
        <v>71</v>
      </c>
      <c r="CD163" s="6" t="s">
        <v>72</v>
      </c>
    </row>
    <row r="164" spans="1:83" ht="13.2">
      <c r="A164" s="5">
        <v>45364.459560277777</v>
      </c>
      <c r="B164" s="6" t="s">
        <v>1032</v>
      </c>
      <c r="C164" s="6" t="s">
        <v>1033</v>
      </c>
      <c r="D164" s="7" t="s">
        <v>720</v>
      </c>
      <c r="E164" s="6" t="s">
        <v>286</v>
      </c>
      <c r="F164" s="6" t="s">
        <v>1027</v>
      </c>
      <c r="G164" s="6" t="s">
        <v>105</v>
      </c>
      <c r="H164" s="6" t="s">
        <v>1034</v>
      </c>
      <c r="I164" s="6" t="s">
        <v>279</v>
      </c>
      <c r="J164" s="6" t="s">
        <v>280</v>
      </c>
      <c r="K164" s="6" t="s">
        <v>1035</v>
      </c>
      <c r="L164" s="6" t="s">
        <v>138</v>
      </c>
      <c r="M164" s="6" t="s">
        <v>1036</v>
      </c>
      <c r="N164" s="6">
        <v>35</v>
      </c>
      <c r="O164" s="6" t="s">
        <v>282</v>
      </c>
      <c r="P164" s="6">
        <v>5</v>
      </c>
      <c r="Q164" s="6">
        <v>5</v>
      </c>
      <c r="R164" s="6">
        <v>50</v>
      </c>
      <c r="T164" s="6" t="s">
        <v>71</v>
      </c>
      <c r="U164" s="6" t="s">
        <v>71</v>
      </c>
      <c r="V164" s="6" t="s">
        <v>109</v>
      </c>
      <c r="W164" s="7" t="s">
        <v>926</v>
      </c>
      <c r="BL164" s="6" t="s">
        <v>71</v>
      </c>
      <c r="BM164" s="6" t="s">
        <v>71</v>
      </c>
      <c r="BN164" s="6" t="s">
        <v>71</v>
      </c>
      <c r="BO164" s="6" t="s">
        <v>71</v>
      </c>
      <c r="BP164" s="6" t="s">
        <v>72</v>
      </c>
      <c r="BQ164" s="6" t="s">
        <v>72</v>
      </c>
      <c r="BR164" s="6" t="s">
        <v>71</v>
      </c>
      <c r="BS164" s="6" t="s">
        <v>71</v>
      </c>
      <c r="BT164" s="6" t="s">
        <v>72</v>
      </c>
      <c r="BU164" s="6" t="s">
        <v>71</v>
      </c>
      <c r="BV164" s="6" t="s">
        <v>71</v>
      </c>
      <c r="BW164" s="6" t="s">
        <v>71</v>
      </c>
      <c r="BX164" s="6" t="s">
        <v>71</v>
      </c>
      <c r="BY164" s="6" t="s">
        <v>71</v>
      </c>
      <c r="BZ164" s="6" t="s">
        <v>71</v>
      </c>
      <c r="CA164" s="6" t="s">
        <v>71</v>
      </c>
      <c r="CB164" s="6" t="s">
        <v>71</v>
      </c>
      <c r="CC164" s="6" t="s">
        <v>71</v>
      </c>
      <c r="CD164" s="6" t="s">
        <v>71</v>
      </c>
    </row>
    <row r="165" spans="1:83" ht="13.2">
      <c r="A165" s="5">
        <v>45364.473455208332</v>
      </c>
      <c r="B165" s="6" t="s">
        <v>1035</v>
      </c>
      <c r="C165" s="6" t="s">
        <v>1037</v>
      </c>
      <c r="D165" s="7" t="s">
        <v>720</v>
      </c>
      <c r="E165" s="6" t="s">
        <v>286</v>
      </c>
      <c r="F165" s="6" t="s">
        <v>277</v>
      </c>
      <c r="G165" s="6" t="s">
        <v>105</v>
      </c>
      <c r="H165" s="6" t="s">
        <v>1038</v>
      </c>
      <c r="I165" s="6" t="s">
        <v>723</v>
      </c>
      <c r="J165" s="6" t="s">
        <v>280</v>
      </c>
      <c r="K165" s="6" t="s">
        <v>1035</v>
      </c>
      <c r="L165" s="6" t="s">
        <v>138</v>
      </c>
      <c r="M165" s="6" t="s">
        <v>1036</v>
      </c>
      <c r="N165" s="6">
        <v>35</v>
      </c>
      <c r="O165" s="6" t="s">
        <v>282</v>
      </c>
      <c r="P165" s="6">
        <v>5</v>
      </c>
      <c r="Q165" s="6">
        <v>5</v>
      </c>
      <c r="R165" s="6">
        <v>50</v>
      </c>
      <c r="T165" s="6" t="s">
        <v>71</v>
      </c>
      <c r="U165" s="6" t="s">
        <v>71</v>
      </c>
      <c r="V165" s="6" t="s">
        <v>109</v>
      </c>
      <c r="W165" s="7" t="s">
        <v>926</v>
      </c>
      <c r="BL165" s="6" t="s">
        <v>71</v>
      </c>
      <c r="BM165" s="6" t="s">
        <v>72</v>
      </c>
      <c r="BN165" s="6" t="s">
        <v>71</v>
      </c>
      <c r="BO165" s="6" t="s">
        <v>71</v>
      </c>
      <c r="BP165" s="6" t="s">
        <v>72</v>
      </c>
      <c r="BQ165" s="6" t="s">
        <v>71</v>
      </c>
      <c r="BR165" s="6" t="s">
        <v>72</v>
      </c>
      <c r="BS165" s="6" t="s">
        <v>71</v>
      </c>
      <c r="BT165" s="6" t="s">
        <v>72</v>
      </c>
      <c r="BU165" s="6" t="s">
        <v>71</v>
      </c>
      <c r="BV165" s="6" t="s">
        <v>71</v>
      </c>
      <c r="BW165" s="6" t="s">
        <v>71</v>
      </c>
      <c r="BX165" s="6" t="s">
        <v>71</v>
      </c>
      <c r="BY165" s="6" t="s">
        <v>71</v>
      </c>
      <c r="BZ165" s="6" t="s">
        <v>71</v>
      </c>
      <c r="CA165" s="6" t="s">
        <v>71</v>
      </c>
      <c r="CB165" s="6" t="s">
        <v>71</v>
      </c>
      <c r="CC165" s="6" t="s">
        <v>71</v>
      </c>
      <c r="CD165" s="6" t="s">
        <v>71</v>
      </c>
      <c r="CE165" s="6" t="s">
        <v>1039</v>
      </c>
    </row>
    <row r="166" spans="1:83" ht="13.2">
      <c r="A166" s="5">
        <v>45364.735914375</v>
      </c>
      <c r="B166" s="6" t="s">
        <v>1040</v>
      </c>
      <c r="C166" s="6" t="s">
        <v>1041</v>
      </c>
      <c r="D166" s="7" t="s">
        <v>1042</v>
      </c>
      <c r="E166" s="6" t="s">
        <v>133</v>
      </c>
      <c r="F166" s="6" t="s">
        <v>1043</v>
      </c>
      <c r="G166" s="6" t="s">
        <v>64</v>
      </c>
      <c r="H166" s="6" t="s">
        <v>1044</v>
      </c>
      <c r="I166" s="6" t="s">
        <v>1045</v>
      </c>
      <c r="K166" s="6" t="s">
        <v>1046</v>
      </c>
      <c r="L166" s="6" t="s">
        <v>1047</v>
      </c>
      <c r="M166" s="6" t="s">
        <v>1048</v>
      </c>
      <c r="N166" s="6">
        <v>32</v>
      </c>
      <c r="O166" s="6" t="s">
        <v>70</v>
      </c>
      <c r="P166" s="6">
        <v>2</v>
      </c>
      <c r="Q166" s="6">
        <v>2</v>
      </c>
      <c r="R166" s="6">
        <v>10</v>
      </c>
      <c r="S166" s="6" t="s">
        <v>1049</v>
      </c>
      <c r="T166" s="6" t="s">
        <v>72</v>
      </c>
      <c r="U166" s="6" t="s">
        <v>71</v>
      </c>
      <c r="V166" s="6" t="s">
        <v>351</v>
      </c>
      <c r="W166" s="7" t="s">
        <v>926</v>
      </c>
      <c r="BL166" s="6" t="s">
        <v>72</v>
      </c>
      <c r="BM166" s="6" t="s">
        <v>72</v>
      </c>
      <c r="BN166" s="6" t="s">
        <v>72</v>
      </c>
      <c r="BO166" s="6" t="s">
        <v>71</v>
      </c>
      <c r="BP166" s="6" t="s">
        <v>72</v>
      </c>
      <c r="BQ166" s="6" t="s">
        <v>72</v>
      </c>
      <c r="BR166" s="6" t="s">
        <v>72</v>
      </c>
      <c r="BS166" s="6" t="s">
        <v>71</v>
      </c>
      <c r="BT166" s="6" t="s">
        <v>72</v>
      </c>
      <c r="BU166" s="6" t="s">
        <v>72</v>
      </c>
      <c r="BV166" s="6" t="s">
        <v>72</v>
      </c>
      <c r="BW166" s="6" t="s">
        <v>72</v>
      </c>
      <c r="BX166" s="6" t="s">
        <v>72</v>
      </c>
      <c r="BY166" s="6" t="s">
        <v>72</v>
      </c>
      <c r="BZ166" s="6" t="s">
        <v>71</v>
      </c>
      <c r="CA166" s="6" t="s">
        <v>71</v>
      </c>
      <c r="CB166" s="6" t="s">
        <v>71</v>
      </c>
      <c r="CC166" s="6" t="s">
        <v>71</v>
      </c>
      <c r="CD166" s="6" t="s">
        <v>71</v>
      </c>
    </row>
    <row r="167" spans="1:83" ht="13.2">
      <c r="A167" s="5">
        <v>45364.947471805557</v>
      </c>
      <c r="B167" s="6" t="s">
        <v>209</v>
      </c>
      <c r="C167" s="6" t="s">
        <v>210</v>
      </c>
      <c r="D167" s="7" t="s">
        <v>211</v>
      </c>
      <c r="E167" s="6" t="s">
        <v>286</v>
      </c>
      <c r="F167" s="6" t="s">
        <v>1050</v>
      </c>
      <c r="G167" s="6" t="s">
        <v>105</v>
      </c>
      <c r="H167" s="6" t="s">
        <v>214</v>
      </c>
      <c r="I167" s="6" t="s">
        <v>1051</v>
      </c>
      <c r="J167" s="6" t="s">
        <v>1052</v>
      </c>
      <c r="K167" s="6" t="s">
        <v>209</v>
      </c>
      <c r="L167" s="6" t="s">
        <v>89</v>
      </c>
      <c r="M167" s="6" t="s">
        <v>217</v>
      </c>
      <c r="N167" s="6">
        <v>20</v>
      </c>
      <c r="O167" s="6" t="s">
        <v>70</v>
      </c>
      <c r="P167" s="6">
        <v>5</v>
      </c>
      <c r="Q167" s="6">
        <v>5</v>
      </c>
      <c r="R167" s="6">
        <v>80</v>
      </c>
      <c r="T167" s="6" t="s">
        <v>71</v>
      </c>
      <c r="U167" s="6" t="s">
        <v>72</v>
      </c>
      <c r="V167" s="6" t="s">
        <v>73</v>
      </c>
      <c r="W167" s="7" t="s">
        <v>926</v>
      </c>
      <c r="BL167" s="6" t="s">
        <v>72</v>
      </c>
      <c r="BM167" s="6" t="s">
        <v>72</v>
      </c>
      <c r="BN167" s="6" t="s">
        <v>72</v>
      </c>
      <c r="BO167" s="6" t="s">
        <v>72</v>
      </c>
      <c r="BP167" s="6" t="s">
        <v>71</v>
      </c>
      <c r="BQ167" s="6" t="s">
        <v>72</v>
      </c>
      <c r="BR167" s="6" t="s">
        <v>72</v>
      </c>
      <c r="BS167" s="6" t="s">
        <v>72</v>
      </c>
      <c r="BT167" s="6" t="s">
        <v>72</v>
      </c>
      <c r="BU167" s="6" t="s">
        <v>72</v>
      </c>
      <c r="BV167" s="6" t="s">
        <v>72</v>
      </c>
      <c r="BW167" s="6" t="s">
        <v>71</v>
      </c>
      <c r="BX167" s="6" t="s">
        <v>72</v>
      </c>
      <c r="BY167" s="6" t="s">
        <v>72</v>
      </c>
      <c r="BZ167" s="6" t="s">
        <v>72</v>
      </c>
      <c r="CA167" s="6" t="s">
        <v>72</v>
      </c>
      <c r="CB167" s="6" t="s">
        <v>71</v>
      </c>
      <c r="CC167" s="6" t="s">
        <v>72</v>
      </c>
      <c r="CD167" s="6" t="s">
        <v>72</v>
      </c>
    </row>
    <row r="168" spans="1:83" ht="13.2">
      <c r="A168" s="5">
        <v>45364.951024606482</v>
      </c>
      <c r="B168" s="6" t="s">
        <v>209</v>
      </c>
      <c r="C168" s="6" t="s">
        <v>210</v>
      </c>
      <c r="D168" s="7" t="s">
        <v>211</v>
      </c>
      <c r="E168" s="6" t="s">
        <v>212</v>
      </c>
      <c r="F168" s="6" t="s">
        <v>1053</v>
      </c>
      <c r="G168" s="6" t="s">
        <v>105</v>
      </c>
      <c r="H168" s="6" t="s">
        <v>214</v>
      </c>
      <c r="I168" s="6" t="s">
        <v>1051</v>
      </c>
      <c r="J168" s="6" t="s">
        <v>1052</v>
      </c>
      <c r="K168" s="6" t="s">
        <v>209</v>
      </c>
      <c r="L168" s="6" t="s">
        <v>89</v>
      </c>
      <c r="M168" s="6" t="s">
        <v>217</v>
      </c>
      <c r="N168" s="6">
        <v>20</v>
      </c>
      <c r="O168" s="6" t="s">
        <v>70</v>
      </c>
      <c r="P168" s="6">
        <v>5</v>
      </c>
      <c r="Q168" s="6">
        <v>5</v>
      </c>
      <c r="R168" s="6">
        <v>80</v>
      </c>
      <c r="T168" s="6" t="s">
        <v>71</v>
      </c>
      <c r="U168" s="6" t="s">
        <v>72</v>
      </c>
      <c r="V168" s="6" t="s">
        <v>73</v>
      </c>
      <c r="W168" s="7" t="s">
        <v>926</v>
      </c>
      <c r="BL168" s="6" t="s">
        <v>72</v>
      </c>
      <c r="BM168" s="6" t="s">
        <v>72</v>
      </c>
      <c r="BN168" s="6" t="s">
        <v>72</v>
      </c>
      <c r="BO168" s="6" t="s">
        <v>72</v>
      </c>
      <c r="BP168" s="6" t="s">
        <v>71</v>
      </c>
      <c r="BQ168" s="6" t="s">
        <v>72</v>
      </c>
      <c r="BR168" s="6" t="s">
        <v>72</v>
      </c>
      <c r="BS168" s="6" t="s">
        <v>72</v>
      </c>
      <c r="BT168" s="6" t="s">
        <v>72</v>
      </c>
      <c r="BU168" s="6" t="s">
        <v>72</v>
      </c>
      <c r="BV168" s="6" t="s">
        <v>72</v>
      </c>
      <c r="BW168" s="6" t="s">
        <v>71</v>
      </c>
      <c r="BX168" s="6" t="s">
        <v>72</v>
      </c>
      <c r="BY168" s="6" t="s">
        <v>72</v>
      </c>
      <c r="BZ168" s="6" t="s">
        <v>72</v>
      </c>
      <c r="CA168" s="6" t="s">
        <v>72</v>
      </c>
      <c r="CB168" s="6" t="s">
        <v>71</v>
      </c>
      <c r="CC168" s="6" t="s">
        <v>72</v>
      </c>
      <c r="CD168" s="6" t="s">
        <v>72</v>
      </c>
    </row>
    <row r="169" spans="1:83" ht="13.2">
      <c r="A169" s="5">
        <v>45365.331200879635</v>
      </c>
      <c r="B169" s="6" t="s">
        <v>1054</v>
      </c>
      <c r="C169" s="6" t="s">
        <v>1055</v>
      </c>
      <c r="D169" s="7" t="s">
        <v>1056</v>
      </c>
      <c r="E169" s="6" t="s">
        <v>62</v>
      </c>
      <c r="F169" s="6" t="s">
        <v>235</v>
      </c>
      <c r="G169" s="6" t="s">
        <v>105</v>
      </c>
      <c r="H169" s="6" t="s">
        <v>1057</v>
      </c>
      <c r="I169" s="6" t="s">
        <v>1058</v>
      </c>
      <c r="J169" s="6" t="s">
        <v>1059</v>
      </c>
      <c r="K169" s="6" t="s">
        <v>1054</v>
      </c>
      <c r="L169" s="6" t="s">
        <v>245</v>
      </c>
      <c r="M169" s="6" t="s">
        <v>1060</v>
      </c>
      <c r="N169" s="6">
        <v>19</v>
      </c>
      <c r="O169" s="6" t="s">
        <v>70</v>
      </c>
      <c r="P169" s="6">
        <v>3</v>
      </c>
      <c r="Q169" s="6">
        <v>1</v>
      </c>
      <c r="R169" s="6">
        <v>80</v>
      </c>
      <c r="T169" s="6" t="s">
        <v>71</v>
      </c>
      <c r="U169" s="6" t="s">
        <v>72</v>
      </c>
      <c r="V169" s="6" t="s">
        <v>73</v>
      </c>
      <c r="W169" s="7" t="s">
        <v>926</v>
      </c>
      <c r="BL169" s="6" t="s">
        <v>72</v>
      </c>
      <c r="BM169" s="6" t="s">
        <v>71</v>
      </c>
      <c r="BN169" s="6" t="s">
        <v>72</v>
      </c>
      <c r="BO169" s="6" t="s">
        <v>72</v>
      </c>
      <c r="BP169" s="6" t="s">
        <v>71</v>
      </c>
      <c r="BQ169" s="6" t="s">
        <v>72</v>
      </c>
      <c r="BR169" s="6" t="s">
        <v>72</v>
      </c>
      <c r="BS169" s="6" t="s">
        <v>72</v>
      </c>
      <c r="BT169" s="6" t="s">
        <v>72</v>
      </c>
      <c r="BU169" s="6" t="s">
        <v>72</v>
      </c>
      <c r="BV169" s="6" t="s">
        <v>72</v>
      </c>
      <c r="BW169" s="6" t="s">
        <v>72</v>
      </c>
      <c r="BX169" s="6" t="s">
        <v>71</v>
      </c>
      <c r="BY169" s="6" t="s">
        <v>72</v>
      </c>
      <c r="BZ169" s="6" t="s">
        <v>72</v>
      </c>
      <c r="CA169" s="6" t="s">
        <v>72</v>
      </c>
      <c r="CB169" s="6" t="s">
        <v>72</v>
      </c>
      <c r="CC169" s="6" t="s">
        <v>72</v>
      </c>
      <c r="CD169" s="6" t="s">
        <v>72</v>
      </c>
    </row>
    <row r="170" spans="1:83" ht="13.2">
      <c r="A170" s="5">
        <v>45365.401173217593</v>
      </c>
      <c r="B170" s="6" t="s">
        <v>1061</v>
      </c>
      <c r="C170" s="6" t="s">
        <v>1062</v>
      </c>
      <c r="D170" s="7" t="s">
        <v>1063</v>
      </c>
      <c r="E170" s="6" t="s">
        <v>84</v>
      </c>
      <c r="F170" s="6" t="s">
        <v>1064</v>
      </c>
      <c r="G170" s="6" t="s">
        <v>64</v>
      </c>
      <c r="H170" s="6" t="s">
        <v>1065</v>
      </c>
      <c r="I170" s="6" t="s">
        <v>1066</v>
      </c>
      <c r="J170" s="6" t="s">
        <v>1067</v>
      </c>
      <c r="K170" s="6" t="s">
        <v>1061</v>
      </c>
      <c r="L170" s="6" t="s">
        <v>89</v>
      </c>
      <c r="M170" s="6" t="s">
        <v>1068</v>
      </c>
      <c r="N170" s="6">
        <v>35</v>
      </c>
      <c r="O170" s="6" t="s">
        <v>148</v>
      </c>
      <c r="P170" s="6">
        <v>2</v>
      </c>
      <c r="Q170" s="6">
        <v>3</v>
      </c>
      <c r="R170" s="6">
        <v>15</v>
      </c>
      <c r="T170" s="6" t="s">
        <v>71</v>
      </c>
      <c r="U170" s="6" t="s">
        <v>72</v>
      </c>
      <c r="V170" s="6" t="s">
        <v>73</v>
      </c>
      <c r="W170" s="7" t="s">
        <v>926</v>
      </c>
      <c r="BL170" s="6" t="s">
        <v>71</v>
      </c>
      <c r="BM170" s="6" t="s">
        <v>71</v>
      </c>
      <c r="BN170" s="6" t="s">
        <v>72</v>
      </c>
      <c r="BO170" s="6" t="s">
        <v>72</v>
      </c>
      <c r="BP170" s="6" t="s">
        <v>71</v>
      </c>
      <c r="BQ170" s="6" t="s">
        <v>71</v>
      </c>
      <c r="BR170" s="6" t="s">
        <v>71</v>
      </c>
      <c r="BS170" s="6" t="s">
        <v>72</v>
      </c>
      <c r="BT170" s="6" t="s">
        <v>72</v>
      </c>
      <c r="BU170" s="6" t="s">
        <v>72</v>
      </c>
      <c r="BV170" s="6" t="s">
        <v>71</v>
      </c>
      <c r="BW170" s="6" t="s">
        <v>71</v>
      </c>
      <c r="BX170" s="6" t="s">
        <v>71</v>
      </c>
      <c r="BY170" s="6" t="s">
        <v>72</v>
      </c>
      <c r="BZ170" s="6" t="s">
        <v>72</v>
      </c>
      <c r="CA170" s="6" t="s">
        <v>71</v>
      </c>
      <c r="CB170" s="6" t="s">
        <v>71</v>
      </c>
      <c r="CC170" s="6" t="s">
        <v>72</v>
      </c>
      <c r="CD170" s="6" t="s">
        <v>72</v>
      </c>
    </row>
    <row r="171" spans="1:83" ht="13.2">
      <c r="A171" s="5">
        <v>45365.406489108791</v>
      </c>
      <c r="B171" s="6" t="s">
        <v>1061</v>
      </c>
      <c r="C171" s="6" t="s">
        <v>1069</v>
      </c>
      <c r="D171" s="7" t="s">
        <v>1070</v>
      </c>
      <c r="E171" s="6" t="s">
        <v>84</v>
      </c>
      <c r="F171" s="6" t="s">
        <v>582</v>
      </c>
      <c r="G171" s="6" t="s">
        <v>64</v>
      </c>
      <c r="H171" s="6" t="s">
        <v>1065</v>
      </c>
      <c r="I171" s="6" t="s">
        <v>1071</v>
      </c>
      <c r="J171" s="6" t="s">
        <v>1072</v>
      </c>
      <c r="K171" s="6" t="s">
        <v>1061</v>
      </c>
      <c r="L171" s="6" t="s">
        <v>89</v>
      </c>
      <c r="M171" s="6" t="s">
        <v>1068</v>
      </c>
      <c r="N171" s="6">
        <v>33</v>
      </c>
      <c r="O171" s="6" t="s">
        <v>148</v>
      </c>
      <c r="P171" s="6">
        <v>2</v>
      </c>
      <c r="Q171" s="6">
        <v>3</v>
      </c>
      <c r="R171" s="6">
        <v>15</v>
      </c>
      <c r="T171" s="6" t="s">
        <v>71</v>
      </c>
      <c r="U171" s="6" t="s">
        <v>72</v>
      </c>
      <c r="V171" s="6" t="s">
        <v>73</v>
      </c>
      <c r="W171" s="7" t="s">
        <v>926</v>
      </c>
      <c r="BL171" s="6" t="s">
        <v>71</v>
      </c>
      <c r="BM171" s="6" t="s">
        <v>71</v>
      </c>
      <c r="BN171" s="6" t="s">
        <v>71</v>
      </c>
      <c r="BO171" s="6" t="s">
        <v>72</v>
      </c>
      <c r="BP171" s="6" t="s">
        <v>71</v>
      </c>
      <c r="BQ171" s="6" t="s">
        <v>71</v>
      </c>
      <c r="BR171" s="6" t="s">
        <v>71</v>
      </c>
      <c r="BS171" s="6" t="s">
        <v>72</v>
      </c>
      <c r="BT171" s="6" t="s">
        <v>72</v>
      </c>
      <c r="BU171" s="6" t="s">
        <v>72</v>
      </c>
      <c r="BV171" s="6" t="s">
        <v>71</v>
      </c>
      <c r="BW171" s="6" t="s">
        <v>71</v>
      </c>
      <c r="BX171" s="6" t="s">
        <v>71</v>
      </c>
      <c r="BY171" s="6" t="s">
        <v>72</v>
      </c>
      <c r="BZ171" s="6" t="s">
        <v>72</v>
      </c>
      <c r="CA171" s="6" t="s">
        <v>71</v>
      </c>
      <c r="CB171" s="6" t="s">
        <v>71</v>
      </c>
      <c r="CC171" s="6" t="s">
        <v>72</v>
      </c>
      <c r="CD171" s="6" t="s">
        <v>72</v>
      </c>
    </row>
    <row r="172" spans="1:83" ht="13.2">
      <c r="A172" s="5">
        <v>45365.435829652779</v>
      </c>
      <c r="B172" s="6" t="s">
        <v>1073</v>
      </c>
      <c r="C172" s="6" t="s">
        <v>1074</v>
      </c>
      <c r="D172" s="7" t="s">
        <v>720</v>
      </c>
      <c r="E172" s="6" t="s">
        <v>286</v>
      </c>
      <c r="F172" s="6" t="s">
        <v>1075</v>
      </c>
      <c r="G172" s="6" t="s">
        <v>105</v>
      </c>
      <c r="H172" s="6" t="s">
        <v>1076</v>
      </c>
      <c r="I172" s="6" t="s">
        <v>1077</v>
      </c>
      <c r="J172" s="6" t="s">
        <v>1078</v>
      </c>
      <c r="K172" s="6" t="s">
        <v>1073</v>
      </c>
      <c r="L172" s="6" t="s">
        <v>245</v>
      </c>
      <c r="M172" s="6" t="s">
        <v>1079</v>
      </c>
      <c r="N172" s="6">
        <v>33</v>
      </c>
      <c r="O172" s="6" t="s">
        <v>282</v>
      </c>
      <c r="P172" s="6">
        <v>2</v>
      </c>
      <c r="Q172" s="6">
        <v>2</v>
      </c>
      <c r="R172" s="6">
        <v>40</v>
      </c>
      <c r="T172" s="6" t="s">
        <v>71</v>
      </c>
      <c r="U172" s="6" t="s">
        <v>71</v>
      </c>
      <c r="V172" s="6" t="s">
        <v>109</v>
      </c>
      <c r="W172" s="7" t="s">
        <v>926</v>
      </c>
      <c r="BL172" s="6" t="s">
        <v>71</v>
      </c>
      <c r="BM172" s="6" t="s">
        <v>71</v>
      </c>
      <c r="BN172" s="6" t="s">
        <v>71</v>
      </c>
      <c r="BO172" s="6" t="s">
        <v>71</v>
      </c>
      <c r="BP172" s="6" t="s">
        <v>71</v>
      </c>
      <c r="BQ172" s="6" t="s">
        <v>71</v>
      </c>
      <c r="BR172" s="6" t="s">
        <v>71</v>
      </c>
      <c r="BS172" s="6" t="s">
        <v>71</v>
      </c>
      <c r="BT172" s="6" t="s">
        <v>71</v>
      </c>
      <c r="BU172" s="6" t="s">
        <v>71</v>
      </c>
      <c r="BV172" s="6" t="s">
        <v>71</v>
      </c>
      <c r="BW172" s="6" t="s">
        <v>71</v>
      </c>
      <c r="BX172" s="6" t="s">
        <v>71</v>
      </c>
      <c r="BY172" s="6" t="s">
        <v>71</v>
      </c>
      <c r="BZ172" s="6" t="s">
        <v>71</v>
      </c>
      <c r="CA172" s="6" t="s">
        <v>71</v>
      </c>
      <c r="CB172" s="6" t="s">
        <v>71</v>
      </c>
      <c r="CC172" s="6" t="s">
        <v>71</v>
      </c>
      <c r="CD172" s="6" t="s">
        <v>71</v>
      </c>
    </row>
    <row r="173" spans="1:83" ht="13.2">
      <c r="A173" s="5">
        <v>45365.489663020839</v>
      </c>
      <c r="B173" s="6" t="s">
        <v>732</v>
      </c>
      <c r="C173" s="6" t="s">
        <v>1080</v>
      </c>
      <c r="D173" s="6">
        <v>20068000</v>
      </c>
      <c r="E173" s="6" t="s">
        <v>133</v>
      </c>
      <c r="F173" s="6" t="s">
        <v>961</v>
      </c>
      <c r="G173" s="6" t="s">
        <v>105</v>
      </c>
      <c r="H173" s="6" t="s">
        <v>734</v>
      </c>
      <c r="I173" s="6" t="s">
        <v>1081</v>
      </c>
      <c r="J173" s="6" t="s">
        <v>736</v>
      </c>
      <c r="K173" s="6" t="s">
        <v>732</v>
      </c>
      <c r="L173" s="6" t="s">
        <v>89</v>
      </c>
      <c r="M173" s="6" t="s">
        <v>89</v>
      </c>
      <c r="N173" s="6">
        <v>25</v>
      </c>
      <c r="O173" s="6" t="s">
        <v>70</v>
      </c>
      <c r="P173" s="6">
        <v>4</v>
      </c>
      <c r="Q173" s="6">
        <v>4</v>
      </c>
      <c r="R173" s="6">
        <v>50</v>
      </c>
      <c r="T173" s="6" t="s">
        <v>71</v>
      </c>
      <c r="U173" s="6" t="s">
        <v>72</v>
      </c>
      <c r="V173" s="6" t="s">
        <v>73</v>
      </c>
      <c r="W173" s="7" t="s">
        <v>926</v>
      </c>
      <c r="BL173" s="6" t="s">
        <v>71</v>
      </c>
      <c r="BM173" s="6" t="s">
        <v>72</v>
      </c>
      <c r="BN173" s="6" t="s">
        <v>72</v>
      </c>
      <c r="BO173" s="6" t="s">
        <v>72</v>
      </c>
      <c r="BP173" s="6" t="s">
        <v>72</v>
      </c>
      <c r="BQ173" s="6" t="s">
        <v>71</v>
      </c>
      <c r="BR173" s="6" t="s">
        <v>71</v>
      </c>
      <c r="BS173" s="6" t="s">
        <v>72</v>
      </c>
      <c r="BT173" s="6" t="s">
        <v>72</v>
      </c>
      <c r="BU173" s="6" t="s">
        <v>72</v>
      </c>
      <c r="BV173" s="6" t="s">
        <v>72</v>
      </c>
      <c r="BW173" s="6" t="s">
        <v>71</v>
      </c>
      <c r="BX173" s="6" t="s">
        <v>72</v>
      </c>
      <c r="BY173" s="6" t="s">
        <v>72</v>
      </c>
      <c r="BZ173" s="6" t="s">
        <v>72</v>
      </c>
      <c r="CA173" s="6" t="s">
        <v>72</v>
      </c>
      <c r="CB173" s="6" t="s">
        <v>72</v>
      </c>
      <c r="CC173" s="6" t="s">
        <v>72</v>
      </c>
      <c r="CD173" s="6" t="s">
        <v>72</v>
      </c>
    </row>
    <row r="174" spans="1:83" ht="13.2">
      <c r="A174" s="5">
        <v>45365.492322418984</v>
      </c>
      <c r="B174" s="6" t="s">
        <v>732</v>
      </c>
      <c r="C174" s="6" t="s">
        <v>733</v>
      </c>
      <c r="D174" s="6">
        <v>20068000</v>
      </c>
      <c r="E174" s="6" t="s">
        <v>133</v>
      </c>
      <c r="F174" s="6" t="s">
        <v>961</v>
      </c>
      <c r="G174" s="6" t="s">
        <v>105</v>
      </c>
      <c r="H174" s="6" t="s">
        <v>734</v>
      </c>
      <c r="I174" s="6" t="s">
        <v>1081</v>
      </c>
      <c r="J174" s="6" t="s">
        <v>736</v>
      </c>
      <c r="K174" s="6" t="s">
        <v>732</v>
      </c>
      <c r="L174" s="6" t="s">
        <v>89</v>
      </c>
      <c r="M174" s="6" t="s">
        <v>737</v>
      </c>
      <c r="N174" s="6">
        <v>28</v>
      </c>
      <c r="O174" s="6" t="s">
        <v>70</v>
      </c>
      <c r="P174" s="6">
        <v>4</v>
      </c>
      <c r="Q174" s="6">
        <v>4</v>
      </c>
      <c r="R174" s="6">
        <v>50</v>
      </c>
      <c r="T174" s="6" t="s">
        <v>71</v>
      </c>
      <c r="U174" s="6" t="s">
        <v>72</v>
      </c>
      <c r="V174" s="6" t="s">
        <v>73</v>
      </c>
      <c r="W174" s="7" t="s">
        <v>926</v>
      </c>
      <c r="BL174" s="6" t="s">
        <v>71</v>
      </c>
      <c r="BM174" s="6" t="s">
        <v>72</v>
      </c>
      <c r="BN174" s="6" t="s">
        <v>72</v>
      </c>
      <c r="BO174" s="6" t="s">
        <v>72</v>
      </c>
      <c r="BP174" s="6" t="s">
        <v>72</v>
      </c>
      <c r="BQ174" s="6" t="s">
        <v>71</v>
      </c>
      <c r="BR174" s="6" t="s">
        <v>71</v>
      </c>
      <c r="BS174" s="6" t="s">
        <v>72</v>
      </c>
      <c r="BT174" s="6" t="s">
        <v>72</v>
      </c>
      <c r="BU174" s="6" t="s">
        <v>72</v>
      </c>
      <c r="BV174" s="6" t="s">
        <v>72</v>
      </c>
      <c r="BW174" s="6" t="s">
        <v>71</v>
      </c>
      <c r="BX174" s="6" t="s">
        <v>72</v>
      </c>
      <c r="BY174" s="6" t="s">
        <v>72</v>
      </c>
      <c r="BZ174" s="6" t="s">
        <v>72</v>
      </c>
      <c r="CA174" s="6" t="s">
        <v>72</v>
      </c>
      <c r="CB174" s="6" t="s">
        <v>72</v>
      </c>
      <c r="CC174" s="6" t="s">
        <v>72</v>
      </c>
      <c r="CD174" s="6" t="s">
        <v>72</v>
      </c>
    </row>
    <row r="175" spans="1:83" ht="13.2">
      <c r="A175" s="5">
        <v>45365.522917511575</v>
      </c>
      <c r="B175" s="6" t="s">
        <v>1082</v>
      </c>
      <c r="C175" s="6" t="s">
        <v>1083</v>
      </c>
      <c r="D175" s="7" t="s">
        <v>1084</v>
      </c>
      <c r="E175" s="6" t="s">
        <v>133</v>
      </c>
      <c r="F175" s="6" t="s">
        <v>1085</v>
      </c>
      <c r="G175" s="6" t="s">
        <v>64</v>
      </c>
      <c r="H175" s="6" t="s">
        <v>1086</v>
      </c>
      <c r="I175" s="6" t="s">
        <v>1087</v>
      </c>
      <c r="J175" s="6" t="s">
        <v>1088</v>
      </c>
      <c r="K175" s="6" t="s">
        <v>1082</v>
      </c>
      <c r="L175" s="6" t="s">
        <v>89</v>
      </c>
      <c r="M175" s="6" t="s">
        <v>1089</v>
      </c>
      <c r="N175" s="6">
        <v>27</v>
      </c>
      <c r="O175" s="6" t="s">
        <v>70</v>
      </c>
      <c r="P175" s="6">
        <v>5</v>
      </c>
      <c r="Q175" s="6">
        <v>2</v>
      </c>
      <c r="R175" s="6">
        <v>0</v>
      </c>
      <c r="T175" s="6" t="s">
        <v>71</v>
      </c>
      <c r="U175" s="6" t="s">
        <v>71</v>
      </c>
      <c r="V175" s="6" t="s">
        <v>109</v>
      </c>
      <c r="W175" s="7" t="s">
        <v>926</v>
      </c>
      <c r="BL175" s="6" t="s">
        <v>71</v>
      </c>
      <c r="BM175" s="6" t="s">
        <v>72</v>
      </c>
      <c r="BN175" s="6" t="s">
        <v>72</v>
      </c>
      <c r="BO175" s="6" t="s">
        <v>72</v>
      </c>
      <c r="BP175" s="6" t="s">
        <v>72</v>
      </c>
      <c r="BQ175" s="6" t="s">
        <v>72</v>
      </c>
      <c r="BR175" s="6" t="s">
        <v>71</v>
      </c>
      <c r="BS175" s="6" t="s">
        <v>72</v>
      </c>
      <c r="BT175" s="6" t="s">
        <v>71</v>
      </c>
      <c r="BU175" s="6" t="s">
        <v>72</v>
      </c>
      <c r="BV175" s="6" t="s">
        <v>72</v>
      </c>
      <c r="BW175" s="6" t="s">
        <v>71</v>
      </c>
      <c r="BX175" s="6" t="s">
        <v>72</v>
      </c>
      <c r="BY175" s="6" t="s">
        <v>72</v>
      </c>
      <c r="BZ175" s="6" t="s">
        <v>71</v>
      </c>
      <c r="CA175" s="6" t="s">
        <v>72</v>
      </c>
      <c r="CB175" s="6" t="s">
        <v>71</v>
      </c>
      <c r="CC175" s="6" t="s">
        <v>71</v>
      </c>
      <c r="CD175" s="6" t="s">
        <v>72</v>
      </c>
      <c r="CE175" s="6" t="s">
        <v>1090</v>
      </c>
    </row>
    <row r="176" spans="1:83" ht="13.2">
      <c r="A176" s="5">
        <v>45365.525436377313</v>
      </c>
      <c r="B176" s="6" t="s">
        <v>1082</v>
      </c>
      <c r="C176" s="6" t="s">
        <v>1091</v>
      </c>
      <c r="D176" s="7" t="s">
        <v>1084</v>
      </c>
      <c r="E176" s="6" t="s">
        <v>133</v>
      </c>
      <c r="F176" s="6" t="s">
        <v>1085</v>
      </c>
      <c r="G176" s="6" t="s">
        <v>64</v>
      </c>
      <c r="H176" s="6" t="s">
        <v>1086</v>
      </c>
      <c r="I176" s="6" t="s">
        <v>1087</v>
      </c>
      <c r="J176" s="6" t="s">
        <v>1088</v>
      </c>
      <c r="K176" s="6" t="s">
        <v>1082</v>
      </c>
      <c r="L176" s="6" t="s">
        <v>89</v>
      </c>
      <c r="M176" s="6" t="s">
        <v>1089</v>
      </c>
      <c r="N176" s="6">
        <v>27</v>
      </c>
      <c r="O176" s="6" t="s">
        <v>70</v>
      </c>
      <c r="P176" s="6">
        <v>5</v>
      </c>
      <c r="Q176" s="6">
        <v>2</v>
      </c>
      <c r="R176" s="6">
        <v>0</v>
      </c>
      <c r="T176" s="6" t="s">
        <v>71</v>
      </c>
      <c r="U176" s="6" t="s">
        <v>71</v>
      </c>
      <c r="V176" s="6" t="s">
        <v>109</v>
      </c>
      <c r="W176" s="7" t="s">
        <v>926</v>
      </c>
      <c r="BL176" s="6" t="s">
        <v>71</v>
      </c>
      <c r="BM176" s="6" t="s">
        <v>72</v>
      </c>
      <c r="BN176" s="6" t="s">
        <v>72</v>
      </c>
      <c r="BO176" s="6" t="s">
        <v>71</v>
      </c>
      <c r="BP176" s="6" t="s">
        <v>72</v>
      </c>
      <c r="BQ176" s="6" t="s">
        <v>71</v>
      </c>
      <c r="BR176" s="6" t="s">
        <v>72</v>
      </c>
      <c r="BS176" s="6" t="s">
        <v>72</v>
      </c>
      <c r="BT176" s="6" t="s">
        <v>72</v>
      </c>
      <c r="BU176" s="6" t="s">
        <v>71</v>
      </c>
      <c r="BV176" s="6" t="s">
        <v>72</v>
      </c>
      <c r="BW176" s="6" t="s">
        <v>72</v>
      </c>
      <c r="BX176" s="6" t="s">
        <v>71</v>
      </c>
      <c r="BY176" s="6" t="s">
        <v>72</v>
      </c>
      <c r="BZ176" s="6" t="s">
        <v>71</v>
      </c>
      <c r="CA176" s="6" t="s">
        <v>72</v>
      </c>
      <c r="CB176" s="6" t="s">
        <v>71</v>
      </c>
      <c r="CC176" s="6" t="s">
        <v>71</v>
      </c>
      <c r="CD176" s="6" t="s">
        <v>72</v>
      </c>
      <c r="CE176" s="6" t="s">
        <v>1092</v>
      </c>
    </row>
    <row r="177" spans="1:83" ht="13.2">
      <c r="A177" s="5">
        <v>45365.527291342594</v>
      </c>
      <c r="B177" s="6" t="s">
        <v>1082</v>
      </c>
      <c r="C177" s="6" t="s">
        <v>1083</v>
      </c>
      <c r="D177" s="7" t="s">
        <v>1084</v>
      </c>
      <c r="E177" s="6" t="s">
        <v>133</v>
      </c>
      <c r="F177" s="6" t="s">
        <v>1093</v>
      </c>
      <c r="G177" s="6" t="s">
        <v>64</v>
      </c>
      <c r="H177" s="6" t="s">
        <v>1086</v>
      </c>
      <c r="I177" s="6" t="s">
        <v>1087</v>
      </c>
      <c r="J177" s="6" t="s">
        <v>1088</v>
      </c>
      <c r="K177" s="6" t="s">
        <v>1082</v>
      </c>
      <c r="L177" s="6" t="s">
        <v>89</v>
      </c>
      <c r="M177" s="6" t="s">
        <v>1094</v>
      </c>
      <c r="N177" s="6">
        <v>22</v>
      </c>
      <c r="O177" s="6" t="s">
        <v>70</v>
      </c>
      <c r="P177" s="6">
        <v>5</v>
      </c>
      <c r="Q177" s="6">
        <v>2</v>
      </c>
      <c r="R177" s="6">
        <v>0</v>
      </c>
      <c r="T177" s="6" t="s">
        <v>72</v>
      </c>
      <c r="U177" s="6" t="s">
        <v>71</v>
      </c>
      <c r="V177" s="6" t="s">
        <v>351</v>
      </c>
      <c r="W177" s="7" t="s">
        <v>926</v>
      </c>
      <c r="BL177" s="6" t="s">
        <v>72</v>
      </c>
      <c r="BM177" s="6" t="s">
        <v>72</v>
      </c>
      <c r="BN177" s="6" t="s">
        <v>72</v>
      </c>
      <c r="BO177" s="6" t="s">
        <v>71</v>
      </c>
      <c r="BP177" s="6" t="s">
        <v>72</v>
      </c>
      <c r="BQ177" s="6" t="s">
        <v>72</v>
      </c>
      <c r="BR177" s="6" t="s">
        <v>72</v>
      </c>
      <c r="BS177" s="6" t="s">
        <v>72</v>
      </c>
      <c r="BT177" s="6" t="s">
        <v>71</v>
      </c>
      <c r="BU177" s="6" t="s">
        <v>72</v>
      </c>
      <c r="BV177" s="6" t="s">
        <v>72</v>
      </c>
      <c r="BW177" s="6" t="s">
        <v>72</v>
      </c>
      <c r="BX177" s="6" t="s">
        <v>72</v>
      </c>
      <c r="BY177" s="6" t="s">
        <v>72</v>
      </c>
      <c r="BZ177" s="6" t="s">
        <v>71</v>
      </c>
      <c r="CA177" s="6" t="s">
        <v>72</v>
      </c>
      <c r="CB177" s="6" t="s">
        <v>72</v>
      </c>
      <c r="CC177" s="6" t="s">
        <v>72</v>
      </c>
      <c r="CD177" s="6" t="s">
        <v>71</v>
      </c>
      <c r="CE177" s="6" t="s">
        <v>1095</v>
      </c>
    </row>
    <row r="178" spans="1:83" ht="13.2">
      <c r="A178" s="5">
        <v>45365.572138888892</v>
      </c>
      <c r="B178" s="6" t="s">
        <v>1096</v>
      </c>
      <c r="C178" s="6" t="s">
        <v>1097</v>
      </c>
      <c r="D178" s="6">
        <v>200883</v>
      </c>
      <c r="E178" s="6" t="s">
        <v>62</v>
      </c>
      <c r="F178" s="6" t="s">
        <v>1098</v>
      </c>
      <c r="G178" s="6" t="s">
        <v>105</v>
      </c>
      <c r="H178" s="6" t="s">
        <v>1099</v>
      </c>
      <c r="I178" s="6" t="s">
        <v>1100</v>
      </c>
      <c r="J178" s="6" t="s">
        <v>1101</v>
      </c>
      <c r="K178" s="6" t="s">
        <v>1096</v>
      </c>
      <c r="L178" s="6" t="s">
        <v>89</v>
      </c>
      <c r="M178" s="6" t="s">
        <v>1102</v>
      </c>
      <c r="N178" s="6">
        <v>30</v>
      </c>
      <c r="O178" s="6" t="s">
        <v>70</v>
      </c>
      <c r="P178" s="6">
        <v>3</v>
      </c>
      <c r="Q178" s="6">
        <v>3</v>
      </c>
      <c r="R178" s="6">
        <v>50</v>
      </c>
      <c r="T178" s="6" t="s">
        <v>71</v>
      </c>
      <c r="U178" s="6" t="s">
        <v>72</v>
      </c>
      <c r="V178" s="6" t="s">
        <v>73</v>
      </c>
      <c r="W178" s="7" t="s">
        <v>926</v>
      </c>
      <c r="BL178" s="6" t="s">
        <v>72</v>
      </c>
      <c r="BM178" s="6" t="s">
        <v>71</v>
      </c>
      <c r="BN178" s="6" t="s">
        <v>71</v>
      </c>
      <c r="BO178" s="6" t="s">
        <v>72</v>
      </c>
      <c r="BP178" s="6" t="s">
        <v>71</v>
      </c>
      <c r="BQ178" s="6" t="s">
        <v>71</v>
      </c>
      <c r="BR178" s="6" t="s">
        <v>71</v>
      </c>
      <c r="BS178" s="6" t="s">
        <v>72</v>
      </c>
      <c r="BT178" s="6" t="s">
        <v>72</v>
      </c>
      <c r="BU178" s="6" t="s">
        <v>72</v>
      </c>
      <c r="BV178" s="6" t="s">
        <v>71</v>
      </c>
      <c r="BW178" s="6" t="s">
        <v>71</v>
      </c>
      <c r="BX178" s="6" t="s">
        <v>71</v>
      </c>
      <c r="BY178" s="6" t="s">
        <v>72</v>
      </c>
      <c r="BZ178" s="6" t="s">
        <v>72</v>
      </c>
      <c r="CA178" s="6" t="s">
        <v>72</v>
      </c>
      <c r="CB178" s="6" t="s">
        <v>72</v>
      </c>
      <c r="CC178" s="6" t="s">
        <v>72</v>
      </c>
      <c r="CD178" s="6" t="s">
        <v>72</v>
      </c>
    </row>
    <row r="179" spans="1:83" ht="13.2">
      <c r="A179" s="5">
        <v>45365.572177638889</v>
      </c>
      <c r="B179" s="6" t="s">
        <v>1103</v>
      </c>
      <c r="C179" s="6" t="s">
        <v>1104</v>
      </c>
      <c r="D179" s="6">
        <v>200883</v>
      </c>
      <c r="E179" s="6" t="s">
        <v>62</v>
      </c>
      <c r="F179" s="6" t="s">
        <v>1105</v>
      </c>
      <c r="G179" s="6" t="s">
        <v>105</v>
      </c>
      <c r="H179" s="6" t="s">
        <v>1100</v>
      </c>
      <c r="I179" s="6" t="s">
        <v>1099</v>
      </c>
      <c r="K179" s="6" t="s">
        <v>1103</v>
      </c>
      <c r="L179" s="6" t="s">
        <v>89</v>
      </c>
      <c r="M179" s="6" t="s">
        <v>208</v>
      </c>
      <c r="N179" s="6">
        <v>20</v>
      </c>
      <c r="O179" s="6" t="s">
        <v>70</v>
      </c>
      <c r="P179" s="6">
        <v>3</v>
      </c>
      <c r="Q179" s="6">
        <v>3</v>
      </c>
      <c r="R179" s="6">
        <v>50</v>
      </c>
      <c r="T179" s="6" t="s">
        <v>71</v>
      </c>
      <c r="U179" s="6" t="s">
        <v>72</v>
      </c>
      <c r="V179" s="6" t="s">
        <v>73</v>
      </c>
      <c r="W179" s="7" t="s">
        <v>926</v>
      </c>
      <c r="BL179" s="6" t="s">
        <v>72</v>
      </c>
      <c r="BM179" s="6" t="s">
        <v>71</v>
      </c>
      <c r="BN179" s="6" t="s">
        <v>71</v>
      </c>
      <c r="BO179" s="6" t="s">
        <v>72</v>
      </c>
      <c r="BP179" s="6" t="s">
        <v>71</v>
      </c>
      <c r="BQ179" s="6" t="s">
        <v>71</v>
      </c>
      <c r="BR179" s="6" t="s">
        <v>71</v>
      </c>
      <c r="BS179" s="6" t="s">
        <v>72</v>
      </c>
      <c r="BT179" s="6" t="s">
        <v>72</v>
      </c>
      <c r="BU179" s="6" t="s">
        <v>72</v>
      </c>
      <c r="BV179" s="6" t="s">
        <v>71</v>
      </c>
      <c r="BW179" s="6" t="s">
        <v>71</v>
      </c>
      <c r="BX179" s="6" t="s">
        <v>71</v>
      </c>
      <c r="BY179" s="6" t="s">
        <v>72</v>
      </c>
      <c r="BZ179" s="6" t="s">
        <v>72</v>
      </c>
      <c r="CA179" s="6" t="s">
        <v>72</v>
      </c>
      <c r="CB179" s="6" t="s">
        <v>72</v>
      </c>
      <c r="CC179" s="6" t="s">
        <v>72</v>
      </c>
      <c r="CD179" s="6" t="s">
        <v>72</v>
      </c>
    </row>
    <row r="180" spans="1:83" ht="13.2">
      <c r="A180" s="5">
        <v>45365.572235324071</v>
      </c>
      <c r="B180" s="6" t="s">
        <v>1106</v>
      </c>
      <c r="C180" s="6" t="s">
        <v>1107</v>
      </c>
      <c r="D180" s="6">
        <v>200883</v>
      </c>
      <c r="E180" s="6" t="s">
        <v>62</v>
      </c>
      <c r="F180" s="6" t="s">
        <v>1108</v>
      </c>
      <c r="G180" s="6" t="s">
        <v>105</v>
      </c>
      <c r="H180" s="6" t="s">
        <v>1109</v>
      </c>
      <c r="I180" s="6" t="s">
        <v>1110</v>
      </c>
      <c r="J180" s="6" t="s">
        <v>1111</v>
      </c>
      <c r="K180" s="6" t="s">
        <v>1106</v>
      </c>
      <c r="L180" s="6" t="s">
        <v>89</v>
      </c>
      <c r="M180" s="6" t="s">
        <v>1112</v>
      </c>
      <c r="N180" s="6">
        <v>20</v>
      </c>
      <c r="O180" s="6" t="s">
        <v>70</v>
      </c>
      <c r="P180" s="6">
        <v>3</v>
      </c>
      <c r="Q180" s="6">
        <v>3</v>
      </c>
      <c r="R180" s="6">
        <v>50</v>
      </c>
      <c r="T180" s="6" t="s">
        <v>71</v>
      </c>
      <c r="U180" s="6" t="s">
        <v>72</v>
      </c>
      <c r="V180" s="6" t="s">
        <v>73</v>
      </c>
      <c r="W180" s="7" t="s">
        <v>926</v>
      </c>
      <c r="BL180" s="6" t="s">
        <v>72</v>
      </c>
      <c r="BM180" s="6" t="s">
        <v>71</v>
      </c>
      <c r="BN180" s="6" t="s">
        <v>71</v>
      </c>
      <c r="BO180" s="6" t="s">
        <v>72</v>
      </c>
      <c r="BP180" s="6" t="s">
        <v>71</v>
      </c>
      <c r="BQ180" s="6" t="s">
        <v>71</v>
      </c>
      <c r="BR180" s="6" t="s">
        <v>71</v>
      </c>
      <c r="BS180" s="6" t="s">
        <v>72</v>
      </c>
      <c r="BT180" s="6" t="s">
        <v>72</v>
      </c>
      <c r="BU180" s="6" t="s">
        <v>72</v>
      </c>
      <c r="BV180" s="6" t="s">
        <v>71</v>
      </c>
      <c r="BW180" s="6" t="s">
        <v>71</v>
      </c>
      <c r="BX180" s="6" t="s">
        <v>71</v>
      </c>
      <c r="BY180" s="6" t="s">
        <v>72</v>
      </c>
      <c r="BZ180" s="6" t="s">
        <v>72</v>
      </c>
      <c r="CA180" s="6" t="s">
        <v>72</v>
      </c>
      <c r="CB180" s="6" t="s">
        <v>72</v>
      </c>
      <c r="CC180" s="6" t="s">
        <v>72</v>
      </c>
      <c r="CD180" s="6" t="s">
        <v>72</v>
      </c>
    </row>
    <row r="181" spans="1:83" ht="13.2">
      <c r="A181" s="5">
        <v>45365.577211342592</v>
      </c>
      <c r="B181" s="6" t="s">
        <v>1113</v>
      </c>
      <c r="C181" s="6" t="s">
        <v>1114</v>
      </c>
      <c r="D181" s="7" t="s">
        <v>1115</v>
      </c>
      <c r="E181" s="6" t="s">
        <v>84</v>
      </c>
      <c r="F181" s="6" t="s">
        <v>269</v>
      </c>
      <c r="G181" s="6" t="s">
        <v>64</v>
      </c>
      <c r="H181" s="6" t="s">
        <v>1116</v>
      </c>
      <c r="I181" s="6" t="s">
        <v>1117</v>
      </c>
      <c r="K181" s="6" t="s">
        <v>1113</v>
      </c>
      <c r="L181" s="6" t="s">
        <v>138</v>
      </c>
      <c r="M181" s="6" t="s">
        <v>1118</v>
      </c>
      <c r="N181" s="6">
        <v>20</v>
      </c>
      <c r="O181" s="6" t="s">
        <v>70</v>
      </c>
      <c r="P181" s="6">
        <v>4</v>
      </c>
      <c r="Q181" s="6">
        <v>3</v>
      </c>
      <c r="R181" s="6">
        <v>30</v>
      </c>
      <c r="S181" s="6" t="s">
        <v>1119</v>
      </c>
      <c r="T181" s="6" t="s">
        <v>71</v>
      </c>
      <c r="U181" s="6" t="s">
        <v>71</v>
      </c>
      <c r="V181" s="6" t="s">
        <v>109</v>
      </c>
      <c r="W181" s="7" t="s">
        <v>926</v>
      </c>
      <c r="BL181" s="6" t="s">
        <v>71</v>
      </c>
      <c r="BM181" s="6" t="s">
        <v>71</v>
      </c>
      <c r="BN181" s="6" t="s">
        <v>71</v>
      </c>
      <c r="BO181" s="6" t="s">
        <v>71</v>
      </c>
      <c r="BP181" s="6" t="s">
        <v>71</v>
      </c>
      <c r="BQ181" s="6" t="s">
        <v>71</v>
      </c>
      <c r="BR181" s="6" t="s">
        <v>71</v>
      </c>
      <c r="BS181" s="6" t="s">
        <v>71</v>
      </c>
      <c r="BT181" s="6" t="s">
        <v>71</v>
      </c>
      <c r="BU181" s="6" t="s">
        <v>71</v>
      </c>
      <c r="BV181" s="6" t="s">
        <v>71</v>
      </c>
      <c r="BW181" s="6" t="s">
        <v>71</v>
      </c>
      <c r="BX181" s="6" t="s">
        <v>71</v>
      </c>
      <c r="BY181" s="6" t="s">
        <v>71</v>
      </c>
      <c r="BZ181" s="6" t="s">
        <v>71</v>
      </c>
      <c r="CA181" s="6" t="s">
        <v>71</v>
      </c>
      <c r="CB181" s="6" t="s">
        <v>71</v>
      </c>
      <c r="CC181" s="6" t="s">
        <v>71</v>
      </c>
      <c r="CD181" s="6" t="s">
        <v>71</v>
      </c>
      <c r="CE181" s="6" t="s">
        <v>1120</v>
      </c>
    </row>
    <row r="182" spans="1:83" ht="13.2">
      <c r="A182" s="5">
        <v>45365.666555393516</v>
      </c>
      <c r="B182" s="6" t="s">
        <v>1121</v>
      </c>
      <c r="C182" s="6" t="s">
        <v>1122</v>
      </c>
      <c r="D182" s="7" t="s">
        <v>1123</v>
      </c>
      <c r="E182" s="6" t="s">
        <v>62</v>
      </c>
      <c r="F182" s="6" t="s">
        <v>235</v>
      </c>
      <c r="G182" s="6" t="s">
        <v>105</v>
      </c>
      <c r="H182" s="6" t="s">
        <v>117</v>
      </c>
      <c r="I182" s="6" t="s">
        <v>1124</v>
      </c>
      <c r="J182" s="6" t="s">
        <v>1125</v>
      </c>
      <c r="K182" s="6" t="s">
        <v>1121</v>
      </c>
      <c r="L182" s="6" t="s">
        <v>245</v>
      </c>
      <c r="M182" s="6" t="s">
        <v>1126</v>
      </c>
      <c r="N182" s="6">
        <v>35</v>
      </c>
      <c r="O182" s="6" t="s">
        <v>70</v>
      </c>
      <c r="P182" s="6">
        <v>4</v>
      </c>
      <c r="Q182" s="6">
        <v>4</v>
      </c>
      <c r="R182" s="6">
        <v>25</v>
      </c>
      <c r="S182" s="6" t="s">
        <v>1127</v>
      </c>
      <c r="T182" s="6" t="s">
        <v>72</v>
      </c>
      <c r="U182" s="6" t="s">
        <v>71</v>
      </c>
      <c r="V182" s="6" t="s">
        <v>351</v>
      </c>
      <c r="W182" s="7" t="s">
        <v>926</v>
      </c>
      <c r="BL182" s="6" t="s">
        <v>72</v>
      </c>
      <c r="BM182" s="6" t="s">
        <v>72</v>
      </c>
      <c r="BN182" s="6" t="s">
        <v>72</v>
      </c>
      <c r="BO182" s="6" t="s">
        <v>71</v>
      </c>
      <c r="BP182" s="6" t="s">
        <v>72</v>
      </c>
      <c r="BQ182" s="6" t="s">
        <v>72</v>
      </c>
      <c r="BR182" s="6" t="s">
        <v>72</v>
      </c>
      <c r="BS182" s="6" t="s">
        <v>71</v>
      </c>
      <c r="BT182" s="6" t="s">
        <v>72</v>
      </c>
      <c r="BU182" s="6" t="s">
        <v>72</v>
      </c>
      <c r="BV182" s="6" t="s">
        <v>72</v>
      </c>
      <c r="BW182" s="6" t="s">
        <v>72</v>
      </c>
      <c r="BX182" s="6" t="s">
        <v>72</v>
      </c>
      <c r="BY182" s="6" t="s">
        <v>71</v>
      </c>
      <c r="CA182" s="6" t="s">
        <v>72</v>
      </c>
      <c r="CB182" s="6" t="s">
        <v>72</v>
      </c>
      <c r="CC182" s="6" t="s">
        <v>72</v>
      </c>
      <c r="CD182" s="6" t="s">
        <v>71</v>
      </c>
      <c r="CE182" s="6" t="s">
        <v>1127</v>
      </c>
    </row>
    <row r="183" spans="1:83" ht="13.2">
      <c r="A183" s="5">
        <v>45365.668596724536</v>
      </c>
      <c r="B183" s="6" t="s">
        <v>1121</v>
      </c>
      <c r="C183" s="6" t="s">
        <v>1122</v>
      </c>
      <c r="D183" s="7" t="s">
        <v>1123</v>
      </c>
      <c r="E183" s="6" t="s">
        <v>84</v>
      </c>
      <c r="F183" s="6" t="s">
        <v>1128</v>
      </c>
      <c r="G183" s="6" t="s">
        <v>105</v>
      </c>
      <c r="H183" s="6" t="s">
        <v>117</v>
      </c>
      <c r="I183" s="6" t="s">
        <v>1124</v>
      </c>
      <c r="J183" s="6" t="s">
        <v>1125</v>
      </c>
      <c r="K183" s="6" t="s">
        <v>1121</v>
      </c>
      <c r="L183" s="6" t="s">
        <v>245</v>
      </c>
      <c r="M183" s="6" t="s">
        <v>1126</v>
      </c>
      <c r="N183" s="6">
        <v>35</v>
      </c>
      <c r="O183" s="6" t="s">
        <v>70</v>
      </c>
      <c r="P183" s="6">
        <v>4</v>
      </c>
      <c r="Q183" s="6">
        <v>4</v>
      </c>
      <c r="R183" s="6">
        <v>25</v>
      </c>
      <c r="S183" s="6" t="s">
        <v>1127</v>
      </c>
      <c r="T183" s="6" t="s">
        <v>72</v>
      </c>
      <c r="U183" s="6" t="s">
        <v>71</v>
      </c>
      <c r="V183" s="6" t="s">
        <v>351</v>
      </c>
      <c r="W183" s="7" t="s">
        <v>926</v>
      </c>
      <c r="BL183" s="6" t="s">
        <v>72</v>
      </c>
      <c r="BM183" s="6" t="s">
        <v>72</v>
      </c>
      <c r="BN183" s="6" t="s">
        <v>72</v>
      </c>
      <c r="BO183" s="6" t="s">
        <v>71</v>
      </c>
      <c r="BP183" s="6" t="s">
        <v>72</v>
      </c>
      <c r="BQ183" s="6" t="s">
        <v>72</v>
      </c>
      <c r="BR183" s="6" t="s">
        <v>72</v>
      </c>
      <c r="BS183" s="6" t="s">
        <v>71</v>
      </c>
      <c r="BT183" s="6" t="s">
        <v>72</v>
      </c>
      <c r="BU183" s="6" t="s">
        <v>72</v>
      </c>
      <c r="BV183" s="6" t="s">
        <v>72</v>
      </c>
      <c r="BW183" s="6" t="s">
        <v>72</v>
      </c>
      <c r="BX183" s="6" t="s">
        <v>72</v>
      </c>
      <c r="BY183" s="6" t="s">
        <v>71</v>
      </c>
      <c r="BZ183" s="6" t="s">
        <v>72</v>
      </c>
      <c r="CA183" s="6" t="s">
        <v>72</v>
      </c>
      <c r="CB183" s="6" t="s">
        <v>72</v>
      </c>
      <c r="CC183" s="6" t="s">
        <v>72</v>
      </c>
      <c r="CD183" s="6" t="s">
        <v>71</v>
      </c>
      <c r="CE183" s="6" t="s">
        <v>1127</v>
      </c>
    </row>
    <row r="184" spans="1:83" ht="13.2">
      <c r="A184" s="5">
        <v>45365.670216296297</v>
      </c>
      <c r="B184" s="6" t="s">
        <v>1121</v>
      </c>
      <c r="C184" s="6" t="s">
        <v>1122</v>
      </c>
      <c r="D184" s="7" t="s">
        <v>1123</v>
      </c>
      <c r="E184" s="6" t="s">
        <v>133</v>
      </c>
      <c r="F184" s="6" t="s">
        <v>894</v>
      </c>
      <c r="G184" s="6" t="s">
        <v>105</v>
      </c>
      <c r="H184" s="6" t="s">
        <v>117</v>
      </c>
      <c r="I184" s="6" t="s">
        <v>1124</v>
      </c>
      <c r="J184" s="6" t="s">
        <v>1125</v>
      </c>
      <c r="K184" s="6" t="s">
        <v>1121</v>
      </c>
      <c r="L184" s="6" t="s">
        <v>245</v>
      </c>
      <c r="M184" s="6" t="s">
        <v>1126</v>
      </c>
      <c r="N184" s="6">
        <v>26</v>
      </c>
      <c r="O184" s="6" t="s">
        <v>70</v>
      </c>
      <c r="P184" s="6">
        <v>4</v>
      </c>
      <c r="Q184" s="6">
        <v>4</v>
      </c>
      <c r="R184" s="6">
        <v>25</v>
      </c>
      <c r="S184" s="6" t="s">
        <v>1127</v>
      </c>
      <c r="T184" s="6" t="s">
        <v>72</v>
      </c>
      <c r="U184" s="6" t="s">
        <v>71</v>
      </c>
      <c r="V184" s="6" t="s">
        <v>351</v>
      </c>
      <c r="W184" s="7" t="s">
        <v>926</v>
      </c>
      <c r="BL184" s="6" t="s">
        <v>72</v>
      </c>
      <c r="BM184" s="6" t="s">
        <v>72</v>
      </c>
      <c r="BN184" s="6" t="s">
        <v>72</v>
      </c>
      <c r="BO184" s="6" t="s">
        <v>71</v>
      </c>
      <c r="BP184" s="6" t="s">
        <v>72</v>
      </c>
      <c r="BQ184" s="6" t="s">
        <v>72</v>
      </c>
      <c r="BR184" s="6" t="s">
        <v>72</v>
      </c>
      <c r="BS184" s="6" t="s">
        <v>71</v>
      </c>
      <c r="BT184" s="6" t="s">
        <v>72</v>
      </c>
      <c r="BU184" s="6" t="s">
        <v>72</v>
      </c>
      <c r="BV184" s="6" t="s">
        <v>72</v>
      </c>
      <c r="BW184" s="6" t="s">
        <v>72</v>
      </c>
      <c r="BX184" s="6" t="s">
        <v>72</v>
      </c>
      <c r="BY184" s="6" t="s">
        <v>71</v>
      </c>
      <c r="BZ184" s="6" t="s">
        <v>72</v>
      </c>
      <c r="CA184" s="6" t="s">
        <v>72</v>
      </c>
      <c r="CB184" s="6" t="s">
        <v>72</v>
      </c>
      <c r="CC184" s="6" t="s">
        <v>72</v>
      </c>
      <c r="CD184" s="6" t="s">
        <v>71</v>
      </c>
      <c r="CE184" s="6" t="s">
        <v>1127</v>
      </c>
    </row>
    <row r="185" spans="1:83" ht="13.2">
      <c r="A185" s="5">
        <v>45366.480739606486</v>
      </c>
      <c r="B185" s="6" t="s">
        <v>1129</v>
      </c>
      <c r="C185" s="6" t="s">
        <v>1130</v>
      </c>
      <c r="D185" s="6">
        <v>20014300</v>
      </c>
      <c r="E185" s="6" t="s">
        <v>62</v>
      </c>
      <c r="F185" s="6" t="s">
        <v>235</v>
      </c>
      <c r="G185" s="6" t="s">
        <v>105</v>
      </c>
      <c r="H185" s="6" t="s">
        <v>1131</v>
      </c>
      <c r="I185" s="6" t="s">
        <v>1132</v>
      </c>
      <c r="K185" s="6" t="s">
        <v>1129</v>
      </c>
      <c r="L185" s="6" t="s">
        <v>89</v>
      </c>
      <c r="M185" s="6" t="s">
        <v>313</v>
      </c>
      <c r="N185" s="6">
        <v>25</v>
      </c>
      <c r="O185" s="6" t="s">
        <v>70</v>
      </c>
      <c r="P185" s="6">
        <v>5</v>
      </c>
      <c r="Q185" s="6">
        <v>3</v>
      </c>
      <c r="R185" s="6">
        <v>50</v>
      </c>
      <c r="T185" s="6" t="s">
        <v>72</v>
      </c>
      <c r="U185" s="6" t="s">
        <v>71</v>
      </c>
      <c r="V185" s="6" t="s">
        <v>351</v>
      </c>
      <c r="W185" s="7" t="s">
        <v>926</v>
      </c>
      <c r="BL185" s="6" t="s">
        <v>72</v>
      </c>
      <c r="BM185" s="6" t="s">
        <v>72</v>
      </c>
      <c r="BN185" s="6" t="s">
        <v>72</v>
      </c>
      <c r="BO185" s="6" t="s">
        <v>71</v>
      </c>
      <c r="BP185" s="6" t="s">
        <v>72</v>
      </c>
      <c r="BQ185" s="6" t="s">
        <v>72</v>
      </c>
      <c r="BR185" s="6" t="s">
        <v>72</v>
      </c>
      <c r="BS185" s="6" t="s">
        <v>71</v>
      </c>
      <c r="BT185" s="6" t="s">
        <v>71</v>
      </c>
      <c r="BU185" s="6" t="s">
        <v>71</v>
      </c>
      <c r="BV185" s="6" t="s">
        <v>72</v>
      </c>
      <c r="BW185" s="6" t="s">
        <v>72</v>
      </c>
      <c r="BX185" s="6" t="s">
        <v>72</v>
      </c>
      <c r="BY185" s="6" t="s">
        <v>71</v>
      </c>
      <c r="BZ185" s="6" t="s">
        <v>71</v>
      </c>
      <c r="CA185" s="6" t="s">
        <v>72</v>
      </c>
      <c r="CB185" s="6" t="s">
        <v>72</v>
      </c>
      <c r="CC185" s="6" t="s">
        <v>71</v>
      </c>
      <c r="CD185" s="6" t="s">
        <v>71</v>
      </c>
    </row>
    <row r="186" spans="1:83" ht="13.2">
      <c r="A186" s="5">
        <v>45366.556322187505</v>
      </c>
      <c r="B186" s="6" t="s">
        <v>1133</v>
      </c>
      <c r="C186" s="6" t="s">
        <v>1134</v>
      </c>
      <c r="D186" s="7" t="s">
        <v>1135</v>
      </c>
      <c r="E186" s="6" t="s">
        <v>133</v>
      </c>
      <c r="F186" s="6" t="s">
        <v>192</v>
      </c>
      <c r="G186" s="6" t="s">
        <v>64</v>
      </c>
      <c r="H186" s="6" t="s">
        <v>1136</v>
      </c>
      <c r="I186" s="6" t="s">
        <v>1137</v>
      </c>
      <c r="J186" s="6" t="s">
        <v>1138</v>
      </c>
      <c r="K186" s="6" t="s">
        <v>1133</v>
      </c>
      <c r="L186" s="6" t="s">
        <v>89</v>
      </c>
      <c r="M186" s="6" t="s">
        <v>89</v>
      </c>
      <c r="N186" s="6">
        <v>20</v>
      </c>
      <c r="O186" s="6" t="s">
        <v>70</v>
      </c>
      <c r="P186" s="6">
        <v>5</v>
      </c>
      <c r="Q186" s="6">
        <v>2</v>
      </c>
      <c r="R186" s="6">
        <v>1</v>
      </c>
      <c r="T186" s="6" t="s">
        <v>71</v>
      </c>
      <c r="U186" s="6" t="s">
        <v>72</v>
      </c>
      <c r="V186" s="6" t="s">
        <v>73</v>
      </c>
      <c r="W186" s="7" t="s">
        <v>926</v>
      </c>
      <c r="BL186" s="6" t="s">
        <v>71</v>
      </c>
      <c r="BM186" s="6" t="s">
        <v>71</v>
      </c>
      <c r="BN186" s="6" t="s">
        <v>72</v>
      </c>
      <c r="BO186" s="6" t="s">
        <v>72</v>
      </c>
      <c r="BP186" s="6" t="s">
        <v>71</v>
      </c>
      <c r="BQ186" s="6" t="s">
        <v>71</v>
      </c>
      <c r="BR186" s="6" t="s">
        <v>71</v>
      </c>
      <c r="BS186" s="6" t="s">
        <v>72</v>
      </c>
      <c r="BT186" s="6" t="s">
        <v>72</v>
      </c>
      <c r="BU186" s="6" t="s">
        <v>72</v>
      </c>
      <c r="BV186" s="6" t="s">
        <v>71</v>
      </c>
      <c r="BW186" s="6" t="s">
        <v>71</v>
      </c>
      <c r="BX186" s="6" t="s">
        <v>71</v>
      </c>
      <c r="BY186" s="6" t="s">
        <v>72</v>
      </c>
      <c r="BZ186" s="6" t="s">
        <v>72</v>
      </c>
      <c r="CA186" s="6" t="s">
        <v>71</v>
      </c>
      <c r="CB186" s="6" t="s">
        <v>71</v>
      </c>
      <c r="CC186" s="6" t="s">
        <v>72</v>
      </c>
      <c r="CD186" s="6" t="s">
        <v>72</v>
      </c>
    </row>
    <row r="187" spans="1:83" ht="13.2">
      <c r="A187" s="5">
        <v>45366.56606420139</v>
      </c>
      <c r="B187" s="6" t="s">
        <v>1133</v>
      </c>
      <c r="C187" s="6" t="s">
        <v>1134</v>
      </c>
      <c r="D187" s="7" t="s">
        <v>1135</v>
      </c>
      <c r="E187" s="6" t="s">
        <v>133</v>
      </c>
      <c r="F187" s="6" t="s">
        <v>1139</v>
      </c>
      <c r="G187" s="6" t="s">
        <v>64</v>
      </c>
      <c r="H187" s="6" t="s">
        <v>1140</v>
      </c>
      <c r="I187" s="6" t="s">
        <v>1137</v>
      </c>
      <c r="J187" s="6" t="s">
        <v>1138</v>
      </c>
      <c r="K187" s="6" t="s">
        <v>1133</v>
      </c>
      <c r="L187" s="6" t="s">
        <v>89</v>
      </c>
      <c r="M187" s="6" t="s">
        <v>1141</v>
      </c>
      <c r="N187" s="6">
        <v>24</v>
      </c>
      <c r="O187" s="6" t="s">
        <v>70</v>
      </c>
      <c r="P187" s="6">
        <v>5</v>
      </c>
      <c r="Q187" s="6">
        <v>2</v>
      </c>
      <c r="R187" s="6">
        <v>1</v>
      </c>
      <c r="S187" s="6" t="s">
        <v>1142</v>
      </c>
      <c r="T187" s="6" t="s">
        <v>71</v>
      </c>
      <c r="U187" s="6" t="s">
        <v>72</v>
      </c>
      <c r="V187" s="6" t="s">
        <v>73</v>
      </c>
      <c r="W187" s="7" t="s">
        <v>926</v>
      </c>
      <c r="BL187" s="6" t="s">
        <v>71</v>
      </c>
      <c r="BM187" s="6" t="s">
        <v>71</v>
      </c>
      <c r="BN187" s="6" t="s">
        <v>72</v>
      </c>
      <c r="BO187" s="6" t="s">
        <v>72</v>
      </c>
      <c r="BP187" s="6" t="s">
        <v>71</v>
      </c>
      <c r="BQ187" s="6" t="s">
        <v>71</v>
      </c>
      <c r="BR187" s="6" t="s">
        <v>71</v>
      </c>
      <c r="BS187" s="6" t="s">
        <v>72</v>
      </c>
      <c r="BT187" s="6" t="s">
        <v>72</v>
      </c>
      <c r="BU187" s="6" t="s">
        <v>72</v>
      </c>
      <c r="BV187" s="6" t="s">
        <v>71</v>
      </c>
      <c r="BW187" s="6" t="s">
        <v>71</v>
      </c>
      <c r="BX187" s="6" t="s">
        <v>71</v>
      </c>
      <c r="BY187" s="6" t="s">
        <v>72</v>
      </c>
      <c r="BZ187" s="6" t="s">
        <v>72</v>
      </c>
      <c r="CA187" s="6" t="s">
        <v>71</v>
      </c>
      <c r="CB187" s="6" t="s">
        <v>71</v>
      </c>
      <c r="CC187" s="6" t="s">
        <v>72</v>
      </c>
      <c r="CD187" s="6" t="s">
        <v>72</v>
      </c>
      <c r="CE187" s="6" t="s">
        <v>1142</v>
      </c>
    </row>
    <row r="188" spans="1:83" ht="13.2">
      <c r="A188" s="5">
        <v>45366.696653692125</v>
      </c>
      <c r="B188" s="6" t="s">
        <v>1143</v>
      </c>
      <c r="C188" s="6" t="s">
        <v>1144</v>
      </c>
      <c r="D188" s="7" t="s">
        <v>1145</v>
      </c>
      <c r="E188" s="6" t="s">
        <v>62</v>
      </c>
      <c r="F188" s="6" t="s">
        <v>1146</v>
      </c>
      <c r="G188" s="6" t="s">
        <v>105</v>
      </c>
      <c r="H188" s="6" t="s">
        <v>1147</v>
      </c>
      <c r="I188" s="6" t="s">
        <v>1148</v>
      </c>
      <c r="J188" s="6" t="s">
        <v>1149</v>
      </c>
      <c r="K188" s="6" t="s">
        <v>1143</v>
      </c>
      <c r="L188" s="6" t="s">
        <v>68</v>
      </c>
      <c r="M188" s="6" t="s">
        <v>1150</v>
      </c>
      <c r="N188" s="6">
        <v>35</v>
      </c>
      <c r="O188" s="6" t="s">
        <v>70</v>
      </c>
      <c r="P188" s="6">
        <v>4</v>
      </c>
      <c r="Q188" s="6">
        <v>4</v>
      </c>
      <c r="R188" s="6">
        <v>50</v>
      </c>
      <c r="T188" s="6" t="s">
        <v>71</v>
      </c>
      <c r="U188" s="6" t="s">
        <v>71</v>
      </c>
      <c r="V188" s="6" t="s">
        <v>109</v>
      </c>
      <c r="W188" s="7" t="s">
        <v>926</v>
      </c>
      <c r="BL188" s="6" t="s">
        <v>71</v>
      </c>
      <c r="BM188" s="6" t="s">
        <v>72</v>
      </c>
      <c r="BN188" s="6" t="s">
        <v>72</v>
      </c>
      <c r="BO188" s="6" t="s">
        <v>72</v>
      </c>
      <c r="BP188" s="6" t="s">
        <v>72</v>
      </c>
      <c r="BQ188" s="6" t="s">
        <v>71</v>
      </c>
      <c r="BR188" s="6" t="s">
        <v>72</v>
      </c>
      <c r="BS188" s="6" t="s">
        <v>72</v>
      </c>
      <c r="BT188" s="6" t="s">
        <v>72</v>
      </c>
      <c r="BU188" s="6" t="s">
        <v>72</v>
      </c>
      <c r="BV188" s="6" t="s">
        <v>72</v>
      </c>
      <c r="BW188" s="6" t="s">
        <v>72</v>
      </c>
      <c r="BX188" s="6" t="s">
        <v>71</v>
      </c>
      <c r="BY188" s="6" t="s">
        <v>71</v>
      </c>
      <c r="BZ188" s="6" t="s">
        <v>72</v>
      </c>
      <c r="CA188" s="6" t="s">
        <v>72</v>
      </c>
      <c r="CB188" s="6" t="s">
        <v>72</v>
      </c>
      <c r="CC188" s="6" t="s">
        <v>72</v>
      </c>
      <c r="CD188" s="6" t="s">
        <v>71</v>
      </c>
    </row>
    <row r="189" spans="1:83" ht="13.2">
      <c r="A189" s="5">
        <v>45366.871050347225</v>
      </c>
      <c r="B189" s="6" t="s">
        <v>1151</v>
      </c>
      <c r="C189" s="6" t="s">
        <v>1152</v>
      </c>
      <c r="D189" s="7" t="s">
        <v>1153</v>
      </c>
      <c r="E189" s="6" t="s">
        <v>133</v>
      </c>
      <c r="F189" s="6" t="s">
        <v>894</v>
      </c>
      <c r="G189" s="6" t="s">
        <v>64</v>
      </c>
      <c r="H189" s="6" t="s">
        <v>1154</v>
      </c>
      <c r="I189" s="6" t="s">
        <v>1155</v>
      </c>
      <c r="K189" s="6" t="s">
        <v>1151</v>
      </c>
      <c r="L189" s="6" t="s">
        <v>89</v>
      </c>
      <c r="M189" s="6" t="s">
        <v>1156</v>
      </c>
      <c r="N189" s="6">
        <v>20</v>
      </c>
      <c r="O189" s="6" t="s">
        <v>70</v>
      </c>
      <c r="P189" s="6">
        <v>4</v>
      </c>
      <c r="Q189" s="6">
        <v>3</v>
      </c>
      <c r="R189" s="6">
        <v>30</v>
      </c>
      <c r="T189" s="6" t="s">
        <v>71</v>
      </c>
      <c r="U189" s="6" t="s">
        <v>71</v>
      </c>
      <c r="V189" s="6" t="s">
        <v>109</v>
      </c>
      <c r="W189" s="7" t="s">
        <v>926</v>
      </c>
      <c r="BL189" s="6" t="s">
        <v>71</v>
      </c>
      <c r="BM189" s="6" t="s">
        <v>71</v>
      </c>
      <c r="BN189" s="6" t="s">
        <v>71</v>
      </c>
      <c r="BO189" s="6" t="s">
        <v>71</v>
      </c>
      <c r="BP189" s="6" t="s">
        <v>71</v>
      </c>
      <c r="BQ189" s="6" t="s">
        <v>71</v>
      </c>
      <c r="BR189" s="6" t="s">
        <v>71</v>
      </c>
      <c r="BS189" s="6" t="s">
        <v>71</v>
      </c>
      <c r="BT189" s="6" t="s">
        <v>71</v>
      </c>
      <c r="BU189" s="6" t="s">
        <v>71</v>
      </c>
      <c r="BV189" s="6" t="s">
        <v>71</v>
      </c>
      <c r="BW189" s="6" t="s">
        <v>71</v>
      </c>
      <c r="BX189" s="6" t="s">
        <v>71</v>
      </c>
      <c r="BY189" s="6" t="s">
        <v>71</v>
      </c>
      <c r="BZ189" s="6" t="s">
        <v>71</v>
      </c>
      <c r="CA189" s="6" t="s">
        <v>71</v>
      </c>
      <c r="CB189" s="6" t="s">
        <v>71</v>
      </c>
      <c r="CC189" s="6" t="s">
        <v>71</v>
      </c>
      <c r="CD189" s="6" t="s">
        <v>71</v>
      </c>
    </row>
    <row r="190" spans="1:83" ht="13.2">
      <c r="A190" s="5">
        <v>45367.572838148146</v>
      </c>
      <c r="B190" s="6" t="s">
        <v>820</v>
      </c>
      <c r="C190" s="6" t="s">
        <v>1157</v>
      </c>
      <c r="D190" s="7" t="s">
        <v>1158</v>
      </c>
      <c r="E190" s="6" t="s">
        <v>133</v>
      </c>
      <c r="F190" s="6" t="s">
        <v>192</v>
      </c>
      <c r="G190" s="6" t="s">
        <v>64</v>
      </c>
      <c r="H190" s="6" t="s">
        <v>1159</v>
      </c>
      <c r="I190" s="6" t="s">
        <v>1160</v>
      </c>
      <c r="J190" s="6" t="s">
        <v>824</v>
      </c>
      <c r="K190" s="6" t="s">
        <v>820</v>
      </c>
      <c r="L190" s="6" t="s">
        <v>68</v>
      </c>
      <c r="M190" s="6" t="s">
        <v>825</v>
      </c>
      <c r="N190" s="6">
        <v>20</v>
      </c>
      <c r="O190" s="6" t="s">
        <v>70</v>
      </c>
      <c r="P190" s="6">
        <v>4</v>
      </c>
      <c r="Q190" s="6">
        <v>2</v>
      </c>
      <c r="R190" s="6">
        <v>10</v>
      </c>
      <c r="S190" s="6" t="s">
        <v>1161</v>
      </c>
      <c r="T190" s="6" t="s">
        <v>71</v>
      </c>
      <c r="U190" s="6" t="s">
        <v>72</v>
      </c>
      <c r="V190" s="6" t="s">
        <v>73</v>
      </c>
      <c r="W190" s="7" t="s">
        <v>926</v>
      </c>
      <c r="BL190" s="6" t="s">
        <v>71</v>
      </c>
      <c r="BM190" s="6" t="s">
        <v>71</v>
      </c>
      <c r="BN190" s="6" t="s">
        <v>71</v>
      </c>
      <c r="BO190" s="6" t="s">
        <v>72</v>
      </c>
      <c r="BP190" s="6" t="s">
        <v>71</v>
      </c>
      <c r="BQ190" s="6" t="s">
        <v>71</v>
      </c>
      <c r="BR190" s="6" t="s">
        <v>71</v>
      </c>
      <c r="BS190" s="6" t="s">
        <v>72</v>
      </c>
      <c r="BT190" s="6" t="s">
        <v>72</v>
      </c>
      <c r="BU190" s="6" t="s">
        <v>72</v>
      </c>
      <c r="BV190" s="6" t="s">
        <v>71</v>
      </c>
      <c r="BW190" s="6" t="s">
        <v>71</v>
      </c>
      <c r="BX190" s="6" t="s">
        <v>71</v>
      </c>
      <c r="BY190" s="6" t="s">
        <v>72</v>
      </c>
      <c r="BZ190" s="6" t="s">
        <v>72</v>
      </c>
      <c r="CA190" s="6" t="s">
        <v>71</v>
      </c>
      <c r="CB190" s="6" t="s">
        <v>71</v>
      </c>
      <c r="CC190" s="6" t="s">
        <v>72</v>
      </c>
      <c r="CD190" s="6" t="s">
        <v>72</v>
      </c>
      <c r="CE190" s="6" t="s">
        <v>1162</v>
      </c>
    </row>
    <row r="191" spans="1:83" ht="13.2">
      <c r="A191" s="5">
        <v>45367.575208194445</v>
      </c>
      <c r="B191" s="6" t="s">
        <v>820</v>
      </c>
      <c r="C191" s="6" t="s">
        <v>1157</v>
      </c>
      <c r="D191" s="7" t="s">
        <v>1158</v>
      </c>
      <c r="E191" s="6" t="s">
        <v>133</v>
      </c>
      <c r="F191" s="6" t="s">
        <v>192</v>
      </c>
      <c r="G191" s="6" t="s">
        <v>64</v>
      </c>
      <c r="H191" s="6" t="s">
        <v>822</v>
      </c>
      <c r="I191" s="6" t="s">
        <v>1160</v>
      </c>
      <c r="J191" s="6" t="s">
        <v>824</v>
      </c>
      <c r="K191" s="6" t="s">
        <v>820</v>
      </c>
      <c r="L191" s="6" t="s">
        <v>68</v>
      </c>
      <c r="M191" s="6" t="s">
        <v>825</v>
      </c>
      <c r="N191" s="6">
        <v>25</v>
      </c>
      <c r="O191" s="6" t="s">
        <v>70</v>
      </c>
      <c r="P191" s="6">
        <v>4</v>
      </c>
      <c r="Q191" s="6">
        <v>2</v>
      </c>
      <c r="R191" s="6">
        <v>10</v>
      </c>
      <c r="S191" s="6" t="s">
        <v>1163</v>
      </c>
      <c r="T191" s="6" t="s">
        <v>71</v>
      </c>
      <c r="U191" s="6" t="s">
        <v>72</v>
      </c>
      <c r="V191" s="6" t="s">
        <v>73</v>
      </c>
      <c r="W191" s="7" t="s">
        <v>926</v>
      </c>
      <c r="BL191" s="6" t="s">
        <v>71</v>
      </c>
      <c r="BM191" s="6" t="s">
        <v>71</v>
      </c>
      <c r="BN191" s="6" t="s">
        <v>71</v>
      </c>
      <c r="BO191" s="6" t="s">
        <v>72</v>
      </c>
      <c r="BP191" s="6" t="s">
        <v>71</v>
      </c>
      <c r="BQ191" s="6" t="s">
        <v>71</v>
      </c>
      <c r="BR191" s="6" t="s">
        <v>71</v>
      </c>
      <c r="BS191" s="6" t="s">
        <v>72</v>
      </c>
      <c r="BT191" s="6" t="s">
        <v>72</v>
      </c>
      <c r="BU191" s="6" t="s">
        <v>72</v>
      </c>
      <c r="BV191" s="6" t="s">
        <v>71</v>
      </c>
      <c r="BW191" s="6" t="s">
        <v>71</v>
      </c>
      <c r="BX191" s="6" t="s">
        <v>71</v>
      </c>
      <c r="BY191" s="6" t="s">
        <v>72</v>
      </c>
      <c r="BZ191" s="6" t="s">
        <v>72</v>
      </c>
      <c r="CA191" s="6" t="s">
        <v>71</v>
      </c>
      <c r="CB191" s="6" t="s">
        <v>71</v>
      </c>
      <c r="CC191" s="6" t="s">
        <v>72</v>
      </c>
      <c r="CD191" s="6" t="s">
        <v>72</v>
      </c>
      <c r="CE191" s="6" t="s">
        <v>1164</v>
      </c>
    </row>
    <row r="192" spans="1:83" ht="13.2">
      <c r="A192" s="5">
        <v>45367.576759942131</v>
      </c>
      <c r="B192" s="6" t="s">
        <v>1165</v>
      </c>
      <c r="C192" s="6" t="s">
        <v>1166</v>
      </c>
      <c r="D192" s="6">
        <v>30640241698</v>
      </c>
      <c r="E192" s="6" t="s">
        <v>84</v>
      </c>
      <c r="F192" s="6" t="s">
        <v>228</v>
      </c>
      <c r="G192" s="6" t="s">
        <v>64</v>
      </c>
      <c r="H192" s="6" t="s">
        <v>1167</v>
      </c>
      <c r="I192" s="6" t="s">
        <v>1168</v>
      </c>
      <c r="K192" s="6" t="s">
        <v>1165</v>
      </c>
      <c r="L192" s="6" t="s">
        <v>89</v>
      </c>
      <c r="M192" s="6" t="s">
        <v>737</v>
      </c>
      <c r="N192" s="6">
        <v>35</v>
      </c>
      <c r="O192" s="6" t="s">
        <v>148</v>
      </c>
      <c r="P192" s="6">
        <v>4</v>
      </c>
      <c r="Q192" s="6">
        <v>3</v>
      </c>
      <c r="R192" s="6">
        <v>30</v>
      </c>
      <c r="T192" s="6" t="s">
        <v>71</v>
      </c>
      <c r="U192" s="6" t="s">
        <v>72</v>
      </c>
      <c r="V192" s="6" t="s">
        <v>73</v>
      </c>
      <c r="W192" s="7" t="s">
        <v>926</v>
      </c>
      <c r="BL192" s="6" t="s">
        <v>71</v>
      </c>
      <c r="BM192" s="6" t="s">
        <v>71</v>
      </c>
      <c r="BN192" s="6" t="s">
        <v>71</v>
      </c>
      <c r="BO192" s="6" t="s">
        <v>71</v>
      </c>
      <c r="BP192" s="6" t="s">
        <v>71</v>
      </c>
      <c r="BQ192" s="6" t="s">
        <v>71</v>
      </c>
      <c r="BR192" s="6" t="s">
        <v>71</v>
      </c>
      <c r="BS192" s="6" t="s">
        <v>71</v>
      </c>
      <c r="BT192" s="6" t="s">
        <v>71</v>
      </c>
      <c r="BU192" s="6" t="s">
        <v>71</v>
      </c>
      <c r="BV192" s="6" t="s">
        <v>71</v>
      </c>
      <c r="BW192" s="6" t="s">
        <v>71</v>
      </c>
      <c r="BX192" s="6" t="s">
        <v>71</v>
      </c>
      <c r="BY192" s="6" t="s">
        <v>71</v>
      </c>
      <c r="BZ192" s="6" t="s">
        <v>71</v>
      </c>
      <c r="CA192" s="6" t="s">
        <v>71</v>
      </c>
      <c r="CB192" s="6" t="s">
        <v>71</v>
      </c>
      <c r="CC192" s="6" t="s">
        <v>71</v>
      </c>
      <c r="CD192" s="6" t="s">
        <v>71</v>
      </c>
    </row>
    <row r="193" spans="1:83" ht="13.2">
      <c r="A193" s="5">
        <v>45367.578485081016</v>
      </c>
      <c r="B193" s="6" t="s">
        <v>820</v>
      </c>
      <c r="C193" s="6" t="s">
        <v>1157</v>
      </c>
      <c r="D193" s="7" t="s">
        <v>1158</v>
      </c>
      <c r="E193" s="6" t="s">
        <v>84</v>
      </c>
      <c r="F193" s="6" t="s">
        <v>249</v>
      </c>
      <c r="G193" s="6" t="s">
        <v>64</v>
      </c>
      <c r="H193" s="6" t="s">
        <v>822</v>
      </c>
      <c r="I193" s="6" t="s">
        <v>1169</v>
      </c>
      <c r="J193" s="6" t="s">
        <v>824</v>
      </c>
      <c r="K193" s="6" t="s">
        <v>820</v>
      </c>
      <c r="L193" s="6" t="s">
        <v>68</v>
      </c>
      <c r="M193" s="6" t="s">
        <v>825</v>
      </c>
      <c r="N193" s="6">
        <v>30</v>
      </c>
      <c r="O193" s="6" t="s">
        <v>70</v>
      </c>
      <c r="P193" s="6">
        <v>4</v>
      </c>
      <c r="Q193" s="6">
        <v>2</v>
      </c>
      <c r="R193" s="6">
        <v>10</v>
      </c>
      <c r="S193" s="6" t="s">
        <v>1170</v>
      </c>
      <c r="T193" s="6" t="s">
        <v>71</v>
      </c>
      <c r="U193" s="6" t="s">
        <v>72</v>
      </c>
      <c r="V193" s="6" t="s">
        <v>73</v>
      </c>
      <c r="W193" s="7" t="s">
        <v>926</v>
      </c>
      <c r="BL193" s="6" t="s">
        <v>71</v>
      </c>
      <c r="BM193" s="6" t="s">
        <v>71</v>
      </c>
      <c r="BN193" s="6" t="s">
        <v>71</v>
      </c>
      <c r="BO193" s="6" t="s">
        <v>72</v>
      </c>
      <c r="BP193" s="6" t="s">
        <v>71</v>
      </c>
      <c r="BQ193" s="6" t="s">
        <v>71</v>
      </c>
      <c r="BR193" s="6" t="s">
        <v>71</v>
      </c>
      <c r="BS193" s="6" t="s">
        <v>72</v>
      </c>
      <c r="BT193" s="6" t="s">
        <v>72</v>
      </c>
      <c r="BU193" s="6" t="s">
        <v>72</v>
      </c>
      <c r="BV193" s="6" t="s">
        <v>71</v>
      </c>
      <c r="BW193" s="6" t="s">
        <v>71</v>
      </c>
      <c r="BX193" s="6" t="s">
        <v>71</v>
      </c>
      <c r="BY193" s="6" t="s">
        <v>72</v>
      </c>
      <c r="BZ193" s="6" t="s">
        <v>72</v>
      </c>
      <c r="CA193" s="6" t="s">
        <v>71</v>
      </c>
      <c r="CB193" s="6" t="s">
        <v>71</v>
      </c>
      <c r="CC193" s="6" t="s">
        <v>72</v>
      </c>
      <c r="CD193" s="6" t="s">
        <v>72</v>
      </c>
      <c r="CE193" s="6" t="s">
        <v>1164</v>
      </c>
    </row>
    <row r="194" spans="1:83" ht="13.2">
      <c r="A194" s="5">
        <v>45367.580832245367</v>
      </c>
      <c r="B194" s="6" t="s">
        <v>1165</v>
      </c>
      <c r="C194" s="6" t="s">
        <v>1166</v>
      </c>
      <c r="D194" s="6">
        <v>30640241698</v>
      </c>
      <c r="E194" s="6" t="s">
        <v>84</v>
      </c>
      <c r="F194" s="6" t="s">
        <v>228</v>
      </c>
      <c r="G194" s="6" t="s">
        <v>64</v>
      </c>
      <c r="H194" s="6" t="s">
        <v>1167</v>
      </c>
      <c r="I194" s="6" t="s">
        <v>1168</v>
      </c>
      <c r="K194" s="6" t="s">
        <v>1165</v>
      </c>
      <c r="L194" s="6" t="s">
        <v>89</v>
      </c>
      <c r="M194" s="6" t="s">
        <v>737</v>
      </c>
      <c r="N194" s="6">
        <v>32</v>
      </c>
      <c r="O194" s="6" t="s">
        <v>148</v>
      </c>
      <c r="P194" s="6">
        <v>4</v>
      </c>
      <c r="Q194" s="6">
        <v>3</v>
      </c>
      <c r="R194" s="6">
        <v>35</v>
      </c>
      <c r="T194" s="6" t="s">
        <v>71</v>
      </c>
      <c r="U194" s="6" t="s">
        <v>72</v>
      </c>
      <c r="V194" s="6" t="s">
        <v>73</v>
      </c>
      <c r="W194" s="7" t="s">
        <v>926</v>
      </c>
      <c r="BL194" s="6" t="s">
        <v>71</v>
      </c>
      <c r="BM194" s="6" t="s">
        <v>71</v>
      </c>
      <c r="BN194" s="6" t="s">
        <v>71</v>
      </c>
      <c r="BO194" s="6" t="s">
        <v>71</v>
      </c>
      <c r="BP194" s="6" t="s">
        <v>71</v>
      </c>
      <c r="BQ194" s="6" t="s">
        <v>71</v>
      </c>
      <c r="BR194" s="6" t="s">
        <v>71</v>
      </c>
      <c r="BS194" s="6" t="s">
        <v>72</v>
      </c>
      <c r="BT194" s="6" t="s">
        <v>72</v>
      </c>
      <c r="BU194" s="6" t="s">
        <v>72</v>
      </c>
      <c r="BV194" s="6" t="s">
        <v>71</v>
      </c>
      <c r="BW194" s="6" t="s">
        <v>71</v>
      </c>
      <c r="BX194" s="6" t="s">
        <v>71</v>
      </c>
      <c r="BY194" s="6" t="s">
        <v>72</v>
      </c>
      <c r="BZ194" s="6" t="s">
        <v>72</v>
      </c>
      <c r="CA194" s="6" t="s">
        <v>71</v>
      </c>
      <c r="CB194" s="6" t="s">
        <v>71</v>
      </c>
      <c r="CC194" s="6" t="s">
        <v>72</v>
      </c>
      <c r="CD194" s="6" t="s">
        <v>72</v>
      </c>
    </row>
    <row r="195" spans="1:83" ht="13.2">
      <c r="A195" s="5">
        <v>45367.660648611112</v>
      </c>
      <c r="B195" s="6" t="s">
        <v>1171</v>
      </c>
      <c r="C195" s="6" t="s">
        <v>1172</v>
      </c>
      <c r="D195" s="6">
        <v>20069600</v>
      </c>
      <c r="E195" s="6" t="s">
        <v>62</v>
      </c>
      <c r="F195" s="6" t="s">
        <v>1173</v>
      </c>
      <c r="G195" s="6" t="s">
        <v>105</v>
      </c>
      <c r="H195" s="6" t="s">
        <v>1174</v>
      </c>
      <c r="I195" s="6" t="s">
        <v>1175</v>
      </c>
      <c r="K195" s="6" t="s">
        <v>1171</v>
      </c>
      <c r="L195" s="6" t="s">
        <v>89</v>
      </c>
      <c r="M195" s="6" t="s">
        <v>1176</v>
      </c>
      <c r="N195" s="6">
        <v>35</v>
      </c>
      <c r="O195" s="6" t="s">
        <v>70</v>
      </c>
      <c r="P195" s="6">
        <v>5</v>
      </c>
      <c r="Q195" s="6">
        <v>5</v>
      </c>
      <c r="R195" s="6">
        <v>30</v>
      </c>
      <c r="S195" s="6" t="s">
        <v>1177</v>
      </c>
      <c r="T195" s="6" t="s">
        <v>71</v>
      </c>
      <c r="U195" s="6" t="s">
        <v>72</v>
      </c>
      <c r="V195" s="6" t="s">
        <v>73</v>
      </c>
      <c r="W195" s="7" t="s">
        <v>926</v>
      </c>
      <c r="BL195" s="6" t="s">
        <v>71</v>
      </c>
      <c r="BM195" s="6" t="s">
        <v>72</v>
      </c>
      <c r="BN195" s="6" t="s">
        <v>72</v>
      </c>
      <c r="BO195" s="6" t="s">
        <v>72</v>
      </c>
      <c r="BP195" s="6" t="s">
        <v>72</v>
      </c>
      <c r="BQ195" s="6" t="s">
        <v>71</v>
      </c>
      <c r="BR195" s="6" t="s">
        <v>71</v>
      </c>
      <c r="BS195" s="6" t="s">
        <v>72</v>
      </c>
      <c r="BT195" s="6" t="s">
        <v>72</v>
      </c>
      <c r="BU195" s="6" t="s">
        <v>72</v>
      </c>
      <c r="BV195" s="6" t="s">
        <v>72</v>
      </c>
      <c r="BW195" s="6" t="s">
        <v>71</v>
      </c>
      <c r="BY195" s="6" t="s">
        <v>72</v>
      </c>
      <c r="BZ195" s="6" t="s">
        <v>72</v>
      </c>
      <c r="CA195" s="6" t="s">
        <v>72</v>
      </c>
      <c r="CB195" s="6" t="s">
        <v>71</v>
      </c>
      <c r="CC195" s="6" t="s">
        <v>72</v>
      </c>
      <c r="CD195" s="6" t="s">
        <v>72</v>
      </c>
      <c r="CE195" s="6" t="s">
        <v>1178</v>
      </c>
    </row>
    <row r="196" spans="1:83" ht="13.2">
      <c r="A196" s="5">
        <v>45367.859103622686</v>
      </c>
      <c r="B196" s="6" t="s">
        <v>1179</v>
      </c>
      <c r="C196" s="6" t="s">
        <v>1180</v>
      </c>
      <c r="D196" s="7" t="s">
        <v>1181</v>
      </c>
      <c r="E196" s="6" t="s">
        <v>62</v>
      </c>
      <c r="F196" s="6" t="s">
        <v>1182</v>
      </c>
      <c r="G196" s="6" t="s">
        <v>64</v>
      </c>
      <c r="H196" s="6" t="s">
        <v>1183</v>
      </c>
      <c r="I196" s="6" t="s">
        <v>1184</v>
      </c>
      <c r="K196" s="6" t="s">
        <v>1179</v>
      </c>
      <c r="L196" s="6" t="s">
        <v>89</v>
      </c>
      <c r="M196" s="6" t="s">
        <v>1185</v>
      </c>
      <c r="N196" s="6">
        <v>28</v>
      </c>
      <c r="O196" s="6" t="s">
        <v>70</v>
      </c>
      <c r="P196" s="6">
        <v>5</v>
      </c>
      <c r="Q196" s="6">
        <v>5</v>
      </c>
      <c r="R196" s="6">
        <v>15</v>
      </c>
      <c r="T196" s="6" t="s">
        <v>72</v>
      </c>
      <c r="U196" s="6" t="s">
        <v>71</v>
      </c>
      <c r="V196" s="6" t="s">
        <v>351</v>
      </c>
      <c r="W196" s="7" t="s">
        <v>926</v>
      </c>
      <c r="BL196" s="6" t="s">
        <v>72</v>
      </c>
      <c r="BM196" s="6" t="s">
        <v>72</v>
      </c>
      <c r="BN196" s="6" t="s">
        <v>72</v>
      </c>
      <c r="BO196" s="6" t="s">
        <v>71</v>
      </c>
      <c r="BP196" s="6" t="s">
        <v>72</v>
      </c>
      <c r="BQ196" s="6" t="s">
        <v>72</v>
      </c>
      <c r="BR196" s="6" t="s">
        <v>72</v>
      </c>
      <c r="BS196" s="6" t="s">
        <v>72</v>
      </c>
      <c r="BT196" s="6" t="s">
        <v>72</v>
      </c>
      <c r="BU196" s="6" t="s">
        <v>72</v>
      </c>
      <c r="BV196" s="6" t="s">
        <v>72</v>
      </c>
      <c r="BW196" s="6" t="s">
        <v>72</v>
      </c>
      <c r="BX196" s="6" t="s">
        <v>72</v>
      </c>
      <c r="BY196" s="6" t="s">
        <v>72</v>
      </c>
      <c r="BZ196" s="6" t="s">
        <v>72</v>
      </c>
      <c r="CA196" s="6" t="s">
        <v>72</v>
      </c>
      <c r="CB196" s="6" t="s">
        <v>72</v>
      </c>
      <c r="CC196" s="6" t="s">
        <v>72</v>
      </c>
      <c r="CD196" s="6" t="s">
        <v>72</v>
      </c>
    </row>
    <row r="197" spans="1:83" ht="13.2">
      <c r="A197" s="5">
        <v>45368.531049953701</v>
      </c>
      <c r="B197" s="6" t="s">
        <v>1186</v>
      </c>
      <c r="C197" s="6" t="s">
        <v>1187</v>
      </c>
      <c r="D197" s="7" t="s">
        <v>1188</v>
      </c>
      <c r="E197" s="6" t="s">
        <v>62</v>
      </c>
      <c r="F197" s="6" t="s">
        <v>1189</v>
      </c>
      <c r="G197" s="6" t="s">
        <v>105</v>
      </c>
      <c r="H197" s="6" t="s">
        <v>1190</v>
      </c>
      <c r="I197" s="6" t="s">
        <v>1191</v>
      </c>
      <c r="K197" s="6" t="s">
        <v>1186</v>
      </c>
      <c r="L197" s="6" t="s">
        <v>68</v>
      </c>
      <c r="M197" s="6" t="s">
        <v>1192</v>
      </c>
      <c r="N197" s="6">
        <v>35</v>
      </c>
      <c r="O197" s="6" t="s">
        <v>70</v>
      </c>
      <c r="P197" s="6">
        <v>3</v>
      </c>
      <c r="Q197" s="6">
        <v>4</v>
      </c>
      <c r="R197" s="6">
        <v>60</v>
      </c>
      <c r="S197" s="6" t="s">
        <v>1193</v>
      </c>
      <c r="T197" s="6" t="s">
        <v>71</v>
      </c>
      <c r="U197" s="6" t="s">
        <v>71</v>
      </c>
      <c r="V197" s="6" t="s">
        <v>109</v>
      </c>
      <c r="W197" s="7" t="s">
        <v>926</v>
      </c>
      <c r="BL197" s="6" t="s">
        <v>71</v>
      </c>
      <c r="BM197" s="6" t="s">
        <v>72</v>
      </c>
      <c r="BN197" s="6" t="s">
        <v>72</v>
      </c>
      <c r="BO197" s="6" t="s">
        <v>71</v>
      </c>
      <c r="BP197" s="6" t="s">
        <v>72</v>
      </c>
      <c r="BQ197" s="6" t="s">
        <v>71</v>
      </c>
      <c r="BR197" s="6" t="s">
        <v>71</v>
      </c>
      <c r="BS197" s="6" t="s">
        <v>72</v>
      </c>
      <c r="BT197" s="6" t="s">
        <v>72</v>
      </c>
      <c r="BU197" s="6" t="s">
        <v>72</v>
      </c>
      <c r="BV197" s="6" t="s">
        <v>71</v>
      </c>
      <c r="BW197" s="6" t="s">
        <v>72</v>
      </c>
      <c r="BX197" s="6" t="s">
        <v>71</v>
      </c>
      <c r="BY197" s="6" t="s">
        <v>71</v>
      </c>
      <c r="BZ197" s="6" t="s">
        <v>71</v>
      </c>
      <c r="CA197" s="6" t="s">
        <v>71</v>
      </c>
    </row>
    <row r="198" spans="1:83" ht="13.2">
      <c r="A198" s="5">
        <v>45368.826779560186</v>
      </c>
      <c r="B198" s="6" t="s">
        <v>457</v>
      </c>
      <c r="C198" s="6" t="s">
        <v>458</v>
      </c>
      <c r="D198" s="7" t="s">
        <v>459</v>
      </c>
      <c r="E198" s="6" t="s">
        <v>84</v>
      </c>
      <c r="F198" s="6" t="s">
        <v>249</v>
      </c>
      <c r="G198" s="6" t="s">
        <v>64</v>
      </c>
      <c r="H198" s="6" t="s">
        <v>460</v>
      </c>
      <c r="I198" s="6" t="s">
        <v>461</v>
      </c>
      <c r="J198" s="6" t="s">
        <v>462</v>
      </c>
      <c r="K198" s="6" t="s">
        <v>457</v>
      </c>
      <c r="L198" s="6" t="s">
        <v>68</v>
      </c>
      <c r="M198" s="6" t="s">
        <v>1194</v>
      </c>
      <c r="N198" s="6">
        <v>32</v>
      </c>
      <c r="O198" s="6" t="s">
        <v>148</v>
      </c>
      <c r="P198" s="6">
        <v>5</v>
      </c>
      <c r="Q198" s="6">
        <v>3</v>
      </c>
      <c r="R198" s="6">
        <v>30</v>
      </c>
      <c r="T198" s="6" t="s">
        <v>72</v>
      </c>
      <c r="U198" s="6" t="s">
        <v>71</v>
      </c>
      <c r="V198" s="6" t="s">
        <v>351</v>
      </c>
      <c r="W198" s="7" t="s">
        <v>926</v>
      </c>
      <c r="BL198" s="6" t="s">
        <v>72</v>
      </c>
      <c r="BM198" s="6" t="s">
        <v>72</v>
      </c>
      <c r="BN198" s="6" t="s">
        <v>72</v>
      </c>
      <c r="BO198" s="6" t="s">
        <v>71</v>
      </c>
      <c r="BP198" s="6" t="s">
        <v>72</v>
      </c>
      <c r="BQ198" s="6" t="s">
        <v>72</v>
      </c>
      <c r="BR198" s="6" t="s">
        <v>72</v>
      </c>
      <c r="BS198" s="6" t="s">
        <v>72</v>
      </c>
      <c r="BT198" s="6" t="s">
        <v>72</v>
      </c>
      <c r="BU198" s="6" t="s">
        <v>71</v>
      </c>
      <c r="BV198" s="6" t="s">
        <v>72</v>
      </c>
      <c r="BW198" s="6" t="s">
        <v>72</v>
      </c>
      <c r="BX198" s="6" t="s">
        <v>72</v>
      </c>
      <c r="BY198" s="6" t="s">
        <v>71</v>
      </c>
      <c r="BZ198" s="6" t="s">
        <v>71</v>
      </c>
      <c r="CA198" s="6" t="s">
        <v>72</v>
      </c>
      <c r="CB198" s="6" t="s">
        <v>72</v>
      </c>
      <c r="CC198" s="6" t="s">
        <v>71</v>
      </c>
      <c r="CD198" s="6" t="s">
        <v>71</v>
      </c>
    </row>
    <row r="199" spans="1:83" ht="13.2">
      <c r="A199" s="5">
        <v>45368.931890219908</v>
      </c>
      <c r="B199" s="6" t="s">
        <v>503</v>
      </c>
      <c r="C199" s="6" t="s">
        <v>1195</v>
      </c>
      <c r="D199" s="7" t="s">
        <v>1196</v>
      </c>
      <c r="E199" s="6" t="s">
        <v>1197</v>
      </c>
      <c r="F199" s="6" t="s">
        <v>521</v>
      </c>
      <c r="G199" s="6" t="s">
        <v>105</v>
      </c>
      <c r="H199" s="6" t="s">
        <v>1198</v>
      </c>
      <c r="I199" s="6" t="s">
        <v>1199</v>
      </c>
      <c r="J199" s="6" t="s">
        <v>1200</v>
      </c>
      <c r="K199" s="6" t="s">
        <v>503</v>
      </c>
      <c r="L199" s="6" t="s">
        <v>138</v>
      </c>
      <c r="M199" s="6" t="s">
        <v>1201</v>
      </c>
      <c r="N199" s="6">
        <v>34</v>
      </c>
      <c r="O199" s="6" t="s">
        <v>70</v>
      </c>
      <c r="P199" s="6">
        <v>1</v>
      </c>
      <c r="Q199" s="6">
        <v>1</v>
      </c>
      <c r="R199" s="6">
        <v>90</v>
      </c>
      <c r="T199" s="6" t="s">
        <v>71</v>
      </c>
      <c r="U199" s="6" t="s">
        <v>71</v>
      </c>
      <c r="V199" s="6" t="s">
        <v>109</v>
      </c>
      <c r="W199" s="7" t="s">
        <v>926</v>
      </c>
      <c r="BL199" s="6" t="s">
        <v>72</v>
      </c>
      <c r="BM199" s="6" t="s">
        <v>72</v>
      </c>
      <c r="BN199" s="6" t="s">
        <v>72</v>
      </c>
      <c r="BO199" s="6" t="s">
        <v>72</v>
      </c>
      <c r="BP199" s="6" t="s">
        <v>72</v>
      </c>
      <c r="BQ199" s="6" t="s">
        <v>72</v>
      </c>
      <c r="BR199" s="6" t="s">
        <v>72</v>
      </c>
      <c r="BS199" s="6" t="s">
        <v>71</v>
      </c>
      <c r="BT199" s="6" t="s">
        <v>72</v>
      </c>
      <c r="BU199" s="6" t="s">
        <v>72</v>
      </c>
      <c r="BV199" s="6" t="s">
        <v>72</v>
      </c>
      <c r="BW199" s="6" t="s">
        <v>71</v>
      </c>
      <c r="BX199" s="6" t="s">
        <v>72</v>
      </c>
      <c r="BY199" s="6" t="s">
        <v>72</v>
      </c>
      <c r="BZ199" s="6" t="s">
        <v>72</v>
      </c>
      <c r="CA199" s="6" t="s">
        <v>72</v>
      </c>
      <c r="CB199" s="6" t="s">
        <v>71</v>
      </c>
      <c r="CC199" s="6" t="s">
        <v>72</v>
      </c>
      <c r="CD199" s="6" t="s">
        <v>72</v>
      </c>
      <c r="CE199" s="6" t="s">
        <v>1202</v>
      </c>
    </row>
    <row r="200" spans="1:83" ht="13.2">
      <c r="A200" s="5">
        <v>45369.368262858799</v>
      </c>
      <c r="B200" s="6" t="s">
        <v>1165</v>
      </c>
      <c r="C200" s="6" t="s">
        <v>1166</v>
      </c>
      <c r="D200" s="7" t="s">
        <v>1084</v>
      </c>
      <c r="E200" s="6" t="s">
        <v>133</v>
      </c>
      <c r="F200" s="6" t="s">
        <v>228</v>
      </c>
      <c r="G200" s="6" t="s">
        <v>64</v>
      </c>
      <c r="H200" s="6" t="s">
        <v>816</v>
      </c>
      <c r="I200" s="6" t="s">
        <v>1168</v>
      </c>
      <c r="K200" s="6" t="s">
        <v>1165</v>
      </c>
      <c r="L200" s="6" t="s">
        <v>89</v>
      </c>
      <c r="M200" s="6" t="s">
        <v>737</v>
      </c>
      <c r="N200" s="6">
        <v>33</v>
      </c>
      <c r="O200" s="6" t="s">
        <v>148</v>
      </c>
      <c r="P200" s="6">
        <v>4</v>
      </c>
      <c r="Q200" s="6">
        <v>3</v>
      </c>
      <c r="R200" s="6">
        <v>30</v>
      </c>
      <c r="T200" s="6" t="s">
        <v>71</v>
      </c>
      <c r="U200" s="6" t="s">
        <v>72</v>
      </c>
      <c r="V200" s="6" t="s">
        <v>73</v>
      </c>
      <c r="W200" s="7" t="s">
        <v>926</v>
      </c>
      <c r="BL200" s="6" t="s">
        <v>71</v>
      </c>
      <c r="BM200" s="6" t="s">
        <v>71</v>
      </c>
      <c r="BN200" s="6" t="s">
        <v>71</v>
      </c>
      <c r="BO200" s="6" t="s">
        <v>72</v>
      </c>
      <c r="BP200" s="6" t="s">
        <v>71</v>
      </c>
      <c r="BQ200" s="6" t="s">
        <v>71</v>
      </c>
      <c r="BR200" s="6" t="s">
        <v>71</v>
      </c>
      <c r="BS200" s="6" t="s">
        <v>72</v>
      </c>
      <c r="BT200" s="6" t="s">
        <v>72</v>
      </c>
      <c r="BU200" s="6" t="s">
        <v>72</v>
      </c>
      <c r="BV200" s="6" t="s">
        <v>71</v>
      </c>
      <c r="BW200" s="6" t="s">
        <v>71</v>
      </c>
      <c r="BX200" s="6" t="s">
        <v>71</v>
      </c>
      <c r="BY200" s="6" t="s">
        <v>72</v>
      </c>
      <c r="BZ200" s="6" t="s">
        <v>72</v>
      </c>
      <c r="CA200" s="6" t="s">
        <v>71</v>
      </c>
      <c r="CB200" s="6" t="s">
        <v>71</v>
      </c>
      <c r="CC200" s="6" t="s">
        <v>72</v>
      </c>
      <c r="CD200" s="6" t="s">
        <v>72</v>
      </c>
    </row>
    <row r="201" spans="1:83" ht="13.2">
      <c r="A201" s="5">
        <v>45369.426430405088</v>
      </c>
      <c r="B201" s="6" t="s">
        <v>1165</v>
      </c>
      <c r="C201" s="6" t="s">
        <v>1166</v>
      </c>
      <c r="D201" s="7" t="s">
        <v>1084</v>
      </c>
      <c r="E201" s="6" t="s">
        <v>133</v>
      </c>
      <c r="F201" s="6" t="s">
        <v>1203</v>
      </c>
      <c r="G201" s="6" t="s">
        <v>64</v>
      </c>
      <c r="H201" s="6" t="s">
        <v>816</v>
      </c>
      <c r="I201" s="6" t="s">
        <v>1168</v>
      </c>
      <c r="K201" s="6" t="s">
        <v>1165</v>
      </c>
      <c r="L201" s="6" t="s">
        <v>89</v>
      </c>
      <c r="M201" s="6" t="s">
        <v>737</v>
      </c>
      <c r="N201" s="6">
        <v>34</v>
      </c>
      <c r="O201" s="6" t="s">
        <v>148</v>
      </c>
      <c r="P201" s="6">
        <v>4</v>
      </c>
      <c r="Q201" s="6">
        <v>3</v>
      </c>
      <c r="R201" s="6">
        <v>30</v>
      </c>
      <c r="T201" s="6" t="s">
        <v>71</v>
      </c>
      <c r="U201" s="6" t="s">
        <v>72</v>
      </c>
      <c r="V201" s="6" t="s">
        <v>73</v>
      </c>
      <c r="W201" s="7" t="s">
        <v>926</v>
      </c>
      <c r="BL201" s="6" t="s">
        <v>71</v>
      </c>
      <c r="BM201" s="6" t="s">
        <v>71</v>
      </c>
      <c r="BN201" s="6" t="s">
        <v>71</v>
      </c>
      <c r="BO201" s="6" t="s">
        <v>72</v>
      </c>
      <c r="BP201" s="6" t="s">
        <v>71</v>
      </c>
      <c r="BQ201" s="6" t="s">
        <v>71</v>
      </c>
      <c r="BR201" s="6" t="s">
        <v>71</v>
      </c>
      <c r="BS201" s="6" t="s">
        <v>72</v>
      </c>
      <c r="BT201" s="6" t="s">
        <v>72</v>
      </c>
      <c r="BU201" s="6" t="s">
        <v>72</v>
      </c>
      <c r="BV201" s="6" t="s">
        <v>71</v>
      </c>
      <c r="BW201" s="6" t="s">
        <v>71</v>
      </c>
      <c r="BX201" s="6" t="s">
        <v>71</v>
      </c>
      <c r="BY201" s="6" t="s">
        <v>72</v>
      </c>
      <c r="BZ201" s="6" t="s">
        <v>72</v>
      </c>
      <c r="CA201" s="6" t="s">
        <v>71</v>
      </c>
      <c r="CB201" s="6" t="s">
        <v>71</v>
      </c>
      <c r="CC201" s="6" t="s">
        <v>72</v>
      </c>
      <c r="CD201" s="6" t="s">
        <v>72</v>
      </c>
    </row>
    <row r="202" spans="1:83" ht="13.2">
      <c r="A202" s="5">
        <v>45369.613210914351</v>
      </c>
      <c r="B202" s="6" t="s">
        <v>1204</v>
      </c>
      <c r="C202" s="6" t="s">
        <v>1205</v>
      </c>
      <c r="D202" s="6">
        <v>201448</v>
      </c>
      <c r="E202" s="6" t="s">
        <v>286</v>
      </c>
      <c r="F202" s="6" t="s">
        <v>1027</v>
      </c>
      <c r="G202" s="6" t="s">
        <v>105</v>
      </c>
      <c r="H202" s="6" t="s">
        <v>1051</v>
      </c>
      <c r="I202" s="6" t="s">
        <v>1051</v>
      </c>
      <c r="J202" s="6" t="s">
        <v>214</v>
      </c>
      <c r="K202" s="6" t="s">
        <v>1206</v>
      </c>
      <c r="L202" s="6" t="s">
        <v>89</v>
      </c>
      <c r="M202" s="6" t="s">
        <v>217</v>
      </c>
      <c r="N202" s="6">
        <v>12</v>
      </c>
      <c r="O202" s="6" t="s">
        <v>70</v>
      </c>
      <c r="P202" s="6">
        <v>4</v>
      </c>
      <c r="Q202" s="6">
        <v>3</v>
      </c>
      <c r="R202" s="6">
        <v>20</v>
      </c>
      <c r="S202" s="6" t="s">
        <v>1207</v>
      </c>
      <c r="T202" s="6" t="s">
        <v>71</v>
      </c>
      <c r="U202" s="6" t="s">
        <v>72</v>
      </c>
      <c r="V202" s="6" t="s">
        <v>73</v>
      </c>
      <c r="W202" s="7" t="s">
        <v>926</v>
      </c>
      <c r="BL202" s="6" t="s">
        <v>72</v>
      </c>
      <c r="BM202" s="6" t="s">
        <v>72</v>
      </c>
      <c r="BN202" s="6" t="s">
        <v>72</v>
      </c>
      <c r="BO202" s="6" t="s">
        <v>72</v>
      </c>
      <c r="BP202" s="6" t="s">
        <v>72</v>
      </c>
      <c r="BQ202" s="6" t="s">
        <v>71</v>
      </c>
      <c r="BR202" s="6" t="s">
        <v>72</v>
      </c>
      <c r="BS202" s="6" t="s">
        <v>72</v>
      </c>
      <c r="BT202" s="6" t="s">
        <v>72</v>
      </c>
      <c r="BU202" s="6" t="s">
        <v>72</v>
      </c>
      <c r="BV202" s="6" t="s">
        <v>71</v>
      </c>
      <c r="BW202" s="6" t="s">
        <v>72</v>
      </c>
      <c r="BX202" s="6" t="s">
        <v>72</v>
      </c>
      <c r="BY202" s="6" t="s">
        <v>72</v>
      </c>
      <c r="BZ202" s="6" t="s">
        <v>72</v>
      </c>
      <c r="CA202" s="6" t="s">
        <v>72</v>
      </c>
      <c r="CB202" s="6" t="s">
        <v>71</v>
      </c>
      <c r="CC202" s="6" t="s">
        <v>72</v>
      </c>
      <c r="CD202" s="6" t="s">
        <v>72</v>
      </c>
    </row>
    <row r="203" spans="1:83" ht="13.2">
      <c r="A203" s="5">
        <v>45369.805577164356</v>
      </c>
      <c r="B203" s="6" t="s">
        <v>1208</v>
      </c>
      <c r="C203" s="6" t="s">
        <v>1209</v>
      </c>
      <c r="D203" s="7" t="s">
        <v>1210</v>
      </c>
      <c r="E203" s="6" t="s">
        <v>133</v>
      </c>
      <c r="F203" s="6" t="s">
        <v>220</v>
      </c>
      <c r="G203" s="6" t="s">
        <v>64</v>
      </c>
      <c r="H203" s="6" t="s">
        <v>1211</v>
      </c>
      <c r="I203" s="6" t="s">
        <v>1212</v>
      </c>
      <c r="K203" s="6" t="s">
        <v>1208</v>
      </c>
      <c r="L203" s="6" t="s">
        <v>68</v>
      </c>
      <c r="M203" s="6" t="s">
        <v>1213</v>
      </c>
      <c r="N203" s="6">
        <v>12</v>
      </c>
      <c r="O203" s="6" t="s">
        <v>70</v>
      </c>
      <c r="P203" s="6">
        <v>5</v>
      </c>
      <c r="Q203" s="6">
        <v>3</v>
      </c>
      <c r="R203" s="6">
        <v>0</v>
      </c>
      <c r="T203" s="6" t="s">
        <v>71</v>
      </c>
      <c r="U203" s="6" t="s">
        <v>71</v>
      </c>
      <c r="V203" s="6" t="s">
        <v>109</v>
      </c>
      <c r="W203" s="7" t="s">
        <v>926</v>
      </c>
      <c r="BL203" s="6" t="s">
        <v>72</v>
      </c>
      <c r="BM203" s="6" t="s">
        <v>72</v>
      </c>
      <c r="BN203" s="6" t="s">
        <v>71</v>
      </c>
      <c r="BO203" s="6" t="s">
        <v>71</v>
      </c>
      <c r="BP203" s="6" t="s">
        <v>71</v>
      </c>
      <c r="BQ203" s="6" t="s">
        <v>72</v>
      </c>
      <c r="BR203" s="6" t="s">
        <v>72</v>
      </c>
      <c r="BS203" s="6" t="s">
        <v>71</v>
      </c>
      <c r="BT203" s="6" t="s">
        <v>72</v>
      </c>
      <c r="BU203" s="6" t="s">
        <v>72</v>
      </c>
      <c r="BV203" s="6" t="s">
        <v>72</v>
      </c>
      <c r="BW203" s="6" t="s">
        <v>71</v>
      </c>
      <c r="BX203" s="6" t="s">
        <v>71</v>
      </c>
      <c r="BY203" s="6" t="s">
        <v>72</v>
      </c>
      <c r="BZ203" s="6" t="s">
        <v>72</v>
      </c>
      <c r="CA203" s="6" t="s">
        <v>71</v>
      </c>
      <c r="CB203" s="6" t="s">
        <v>71</v>
      </c>
      <c r="CC203" s="6" t="s">
        <v>71</v>
      </c>
      <c r="CD203" s="6" t="s">
        <v>72</v>
      </c>
    </row>
    <row r="204" spans="1:83" ht="13.2">
      <c r="A204" s="5">
        <v>45369.808472696765</v>
      </c>
      <c r="B204" s="6" t="s">
        <v>1208</v>
      </c>
      <c r="C204" s="6" t="s">
        <v>1209</v>
      </c>
      <c r="D204" s="7" t="s">
        <v>1210</v>
      </c>
      <c r="E204" s="6" t="s">
        <v>133</v>
      </c>
      <c r="F204" s="6" t="s">
        <v>1214</v>
      </c>
      <c r="G204" s="6" t="s">
        <v>64</v>
      </c>
      <c r="H204" s="6" t="s">
        <v>1211</v>
      </c>
      <c r="I204" s="6" t="s">
        <v>1212</v>
      </c>
      <c r="K204" s="6" t="s">
        <v>1208</v>
      </c>
      <c r="L204" s="6" t="s">
        <v>68</v>
      </c>
      <c r="M204" s="6" t="s">
        <v>1215</v>
      </c>
      <c r="N204" s="6">
        <v>34</v>
      </c>
      <c r="O204" s="6" t="s">
        <v>70</v>
      </c>
      <c r="P204" s="6">
        <v>5</v>
      </c>
      <c r="Q204" s="6">
        <v>3</v>
      </c>
      <c r="R204" s="6">
        <v>0</v>
      </c>
      <c r="T204" s="6" t="s">
        <v>71</v>
      </c>
      <c r="U204" s="6" t="s">
        <v>71</v>
      </c>
      <c r="V204" s="6" t="s">
        <v>109</v>
      </c>
      <c r="W204" s="7" t="s">
        <v>926</v>
      </c>
      <c r="BL204" s="6" t="s">
        <v>72</v>
      </c>
      <c r="BM204" s="6" t="s">
        <v>72</v>
      </c>
      <c r="BN204" s="6" t="s">
        <v>71</v>
      </c>
      <c r="BO204" s="6" t="s">
        <v>71</v>
      </c>
      <c r="BP204" s="6" t="s">
        <v>71</v>
      </c>
      <c r="BQ204" s="6" t="s">
        <v>72</v>
      </c>
      <c r="BR204" s="6" t="s">
        <v>72</v>
      </c>
      <c r="BS204" s="6" t="s">
        <v>71</v>
      </c>
      <c r="BT204" s="6" t="s">
        <v>72</v>
      </c>
      <c r="BU204" s="6" t="s">
        <v>72</v>
      </c>
      <c r="BV204" s="6" t="s">
        <v>72</v>
      </c>
      <c r="BW204" s="6" t="s">
        <v>71</v>
      </c>
      <c r="BX204" s="6" t="s">
        <v>71</v>
      </c>
      <c r="BY204" s="6" t="s">
        <v>72</v>
      </c>
      <c r="BZ204" s="6" t="s">
        <v>72</v>
      </c>
      <c r="CA204" s="6" t="s">
        <v>71</v>
      </c>
      <c r="CB204" s="6" t="s">
        <v>71</v>
      </c>
      <c r="CC204" s="6" t="s">
        <v>71</v>
      </c>
      <c r="CD204" s="6" t="s">
        <v>72</v>
      </c>
    </row>
    <row r="205" spans="1:83" ht="13.2">
      <c r="A205" s="5">
        <v>45369.817293043983</v>
      </c>
      <c r="B205" s="6" t="s">
        <v>1216</v>
      </c>
      <c r="C205" s="6" t="s">
        <v>1217</v>
      </c>
      <c r="D205" s="7" t="s">
        <v>1218</v>
      </c>
      <c r="E205" s="6" t="s">
        <v>133</v>
      </c>
      <c r="F205" s="6" t="s">
        <v>1219</v>
      </c>
      <c r="G205" s="6" t="s">
        <v>105</v>
      </c>
      <c r="H205" s="6" t="s">
        <v>1220</v>
      </c>
      <c r="I205" s="6" t="s">
        <v>1221</v>
      </c>
      <c r="J205" s="6" t="s">
        <v>1222</v>
      </c>
      <c r="K205" s="6" t="s">
        <v>1216</v>
      </c>
      <c r="L205" s="6" t="s">
        <v>245</v>
      </c>
      <c r="M205" s="6" t="s">
        <v>1223</v>
      </c>
      <c r="N205" s="6">
        <v>35</v>
      </c>
      <c r="O205" s="6" t="s">
        <v>70</v>
      </c>
      <c r="P205" s="6">
        <v>2</v>
      </c>
      <c r="Q205" s="6">
        <v>3</v>
      </c>
      <c r="R205" s="6">
        <v>80</v>
      </c>
      <c r="S205" s="6" t="s">
        <v>1224</v>
      </c>
      <c r="T205" s="6" t="s">
        <v>72</v>
      </c>
      <c r="U205" s="6" t="s">
        <v>71</v>
      </c>
      <c r="V205" s="6" t="s">
        <v>351</v>
      </c>
      <c r="W205" s="7" t="s">
        <v>926</v>
      </c>
      <c r="BL205" s="6" t="s">
        <v>72</v>
      </c>
      <c r="BM205" s="6" t="s">
        <v>72</v>
      </c>
      <c r="BN205" s="6" t="s">
        <v>71</v>
      </c>
      <c r="BO205" s="6" t="s">
        <v>71</v>
      </c>
      <c r="BP205" s="6" t="s">
        <v>72</v>
      </c>
      <c r="BQ205" s="6" t="s">
        <v>72</v>
      </c>
      <c r="BR205" s="6" t="s">
        <v>71</v>
      </c>
      <c r="BS205" s="6" t="s">
        <v>71</v>
      </c>
      <c r="BT205" s="6" t="s">
        <v>71</v>
      </c>
      <c r="BU205" s="6" t="s">
        <v>71</v>
      </c>
      <c r="BV205" s="6" t="s">
        <v>72</v>
      </c>
      <c r="BW205" s="6" t="s">
        <v>72</v>
      </c>
      <c r="BX205" s="6" t="s">
        <v>71</v>
      </c>
      <c r="BY205" s="6" t="s">
        <v>71</v>
      </c>
      <c r="BZ205" s="6" t="s">
        <v>71</v>
      </c>
      <c r="CA205" s="6" t="s">
        <v>71</v>
      </c>
      <c r="CB205" s="6" t="s">
        <v>72</v>
      </c>
      <c r="CC205" s="6" t="s">
        <v>72</v>
      </c>
      <c r="CD205" s="6" t="s">
        <v>72</v>
      </c>
      <c r="CE205" s="6" t="s">
        <v>1225</v>
      </c>
    </row>
    <row r="206" spans="1:83" ht="13.2">
      <c r="A206" s="5">
        <v>45369.823601678239</v>
      </c>
      <c r="B206" s="6" t="s">
        <v>1216</v>
      </c>
      <c r="C206" s="6" t="s">
        <v>1217</v>
      </c>
      <c r="D206" s="7" t="s">
        <v>1218</v>
      </c>
      <c r="E206" s="6" t="s">
        <v>133</v>
      </c>
      <c r="F206" s="6" t="s">
        <v>1226</v>
      </c>
      <c r="G206" s="6" t="s">
        <v>105</v>
      </c>
      <c r="H206" s="6" t="s">
        <v>1227</v>
      </c>
      <c r="I206" s="6" t="s">
        <v>1228</v>
      </c>
      <c r="J206" s="6" t="s">
        <v>1229</v>
      </c>
      <c r="K206" s="6" t="s">
        <v>1216</v>
      </c>
      <c r="L206" s="6" t="s">
        <v>245</v>
      </c>
      <c r="M206" s="6" t="s">
        <v>1223</v>
      </c>
      <c r="N206" s="6">
        <v>35</v>
      </c>
      <c r="O206" s="6" t="s">
        <v>70</v>
      </c>
      <c r="P206" s="6">
        <v>2</v>
      </c>
      <c r="Q206" s="6">
        <v>3</v>
      </c>
      <c r="R206" s="6">
        <v>80</v>
      </c>
      <c r="S206" s="6" t="s">
        <v>1230</v>
      </c>
      <c r="T206" s="6" t="s">
        <v>72</v>
      </c>
      <c r="U206" s="6" t="s">
        <v>71</v>
      </c>
      <c r="V206" s="6" t="s">
        <v>351</v>
      </c>
      <c r="W206" s="7" t="s">
        <v>926</v>
      </c>
      <c r="BL206" s="6" t="s">
        <v>72</v>
      </c>
      <c r="BM206" s="6" t="s">
        <v>72</v>
      </c>
      <c r="BN206" s="6" t="s">
        <v>71</v>
      </c>
      <c r="BO206" s="6" t="s">
        <v>71</v>
      </c>
      <c r="BP206" s="6" t="s">
        <v>72</v>
      </c>
      <c r="BQ206" s="6" t="s">
        <v>72</v>
      </c>
      <c r="BR206" s="6" t="s">
        <v>71</v>
      </c>
      <c r="BS206" s="6" t="s">
        <v>71</v>
      </c>
      <c r="BT206" s="6" t="s">
        <v>71</v>
      </c>
      <c r="BU206" s="6" t="s">
        <v>71</v>
      </c>
      <c r="BV206" s="6" t="s">
        <v>72</v>
      </c>
      <c r="BW206" s="6" t="s">
        <v>72</v>
      </c>
      <c r="BX206" s="6" t="s">
        <v>71</v>
      </c>
      <c r="BY206" s="6" t="s">
        <v>71</v>
      </c>
      <c r="BZ206" s="6" t="s">
        <v>71</v>
      </c>
      <c r="CA206" s="6" t="s">
        <v>71</v>
      </c>
      <c r="CB206" s="6" t="s">
        <v>72</v>
      </c>
      <c r="CC206" s="6" t="s">
        <v>72</v>
      </c>
      <c r="CD206" s="6" t="s">
        <v>72</v>
      </c>
      <c r="CE206" s="6" t="s">
        <v>1231</v>
      </c>
    </row>
    <row r="207" spans="1:83" ht="13.2">
      <c r="A207" s="5">
        <v>45369.909722175929</v>
      </c>
      <c r="B207" s="6" t="s">
        <v>1232</v>
      </c>
      <c r="C207" s="6" t="s">
        <v>1233</v>
      </c>
      <c r="D207" s="7" t="s">
        <v>1234</v>
      </c>
      <c r="E207" s="6" t="s">
        <v>62</v>
      </c>
      <c r="F207" s="6" t="s">
        <v>1235</v>
      </c>
      <c r="G207" s="6" t="s">
        <v>105</v>
      </c>
      <c r="H207" s="6" t="s">
        <v>1236</v>
      </c>
      <c r="I207" s="6" t="s">
        <v>1237</v>
      </c>
      <c r="J207" s="6" t="s">
        <v>1238</v>
      </c>
      <c r="K207" s="6" t="s">
        <v>1232</v>
      </c>
      <c r="L207" s="6" t="s">
        <v>245</v>
      </c>
      <c r="M207" s="6" t="s">
        <v>1239</v>
      </c>
      <c r="N207" s="6">
        <v>35</v>
      </c>
      <c r="O207" s="6" t="s">
        <v>148</v>
      </c>
      <c r="P207" s="6">
        <v>1</v>
      </c>
      <c r="Q207" s="6">
        <v>1</v>
      </c>
      <c r="R207" s="6">
        <v>80</v>
      </c>
      <c r="T207" s="6" t="s">
        <v>71</v>
      </c>
      <c r="U207" s="6" t="s">
        <v>71</v>
      </c>
      <c r="V207" s="6" t="s">
        <v>109</v>
      </c>
      <c r="W207" s="7" t="s">
        <v>926</v>
      </c>
      <c r="BL207" s="6" t="s">
        <v>72</v>
      </c>
      <c r="BM207" s="6" t="s">
        <v>71</v>
      </c>
      <c r="BN207" s="6" t="s">
        <v>71</v>
      </c>
      <c r="BO207" s="6" t="s">
        <v>72</v>
      </c>
      <c r="BP207" s="6" t="s">
        <v>71</v>
      </c>
      <c r="BQ207" s="6" t="s">
        <v>71</v>
      </c>
      <c r="BR207" s="6" t="s">
        <v>72</v>
      </c>
      <c r="BS207" s="6" t="s">
        <v>72</v>
      </c>
      <c r="BT207" s="6" t="s">
        <v>72</v>
      </c>
      <c r="BU207" s="6" t="s">
        <v>71</v>
      </c>
      <c r="BV207" s="6" t="s">
        <v>72</v>
      </c>
      <c r="BW207" s="6" t="s">
        <v>72</v>
      </c>
      <c r="BX207" s="6" t="s">
        <v>72</v>
      </c>
      <c r="BY207" s="6" t="s">
        <v>71</v>
      </c>
      <c r="BZ207" s="6" t="s">
        <v>71</v>
      </c>
      <c r="CA207" s="6" t="s">
        <v>72</v>
      </c>
      <c r="CB207" s="6" t="s">
        <v>71</v>
      </c>
      <c r="CC207" s="6" t="s">
        <v>72</v>
      </c>
      <c r="CD207" s="6" t="s">
        <v>71</v>
      </c>
      <c r="CE207" s="6" t="s">
        <v>1240</v>
      </c>
    </row>
    <row r="208" spans="1:83" ht="13.2" hidden="1"/>
    <row r="209" spans="14:14" ht="13.2" hidden="1">
      <c r="N209" s="17">
        <f>SUM(N2:N207)</f>
        <v>5916</v>
      </c>
    </row>
    <row r="210" spans="14:14" ht="13.2" hidden="1"/>
    <row r="211" spans="14:14" ht="13.2" hidden="1"/>
    <row r="212" spans="14:14" ht="13.2" hidden="1"/>
    <row r="213" spans="14:14" ht="13.2" hidden="1"/>
    <row r="214" spans="14:14" ht="13.2" hidden="1"/>
    <row r="215" spans="14:14" ht="13.2" hidden="1"/>
    <row r="216" spans="14:14" ht="13.2" hidden="1"/>
    <row r="217" spans="14:14" ht="13.2" hidden="1"/>
    <row r="218" spans="14:14" ht="13.2" hidden="1"/>
    <row r="219" spans="14:14" ht="13.2" hidden="1"/>
    <row r="220" spans="14:14" ht="13.2" hidden="1"/>
    <row r="221" spans="14:14" ht="13.2" hidden="1"/>
    <row r="222" spans="14:14" ht="13.2" hidden="1"/>
    <row r="223" spans="14:14" ht="13.2" hidden="1"/>
    <row r="224" spans="14:1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sheetData>
  <autoFilter ref="A1:CK307">
    <filterColumn colId="19">
      <filters>
        <filter val="No"/>
        <filter val="Si"/>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J76"/>
  <sheetViews>
    <sheetView workbookViewId="0"/>
  </sheetViews>
  <sheetFormatPr baseColWidth="10" defaultColWidth="12.6640625" defaultRowHeight="15.75" customHeight="1"/>
  <sheetData>
    <row r="1" spans="1:88">
      <c r="A1" s="18" t="s">
        <v>0</v>
      </c>
      <c r="B1" s="18" t="s">
        <v>1</v>
      </c>
      <c r="C1" s="18" t="s">
        <v>2</v>
      </c>
      <c r="D1" s="18" t="s">
        <v>1241</v>
      </c>
      <c r="E1" s="18" t="s">
        <v>1242</v>
      </c>
      <c r="F1" s="18" t="s">
        <v>5</v>
      </c>
      <c r="G1" s="18" t="s">
        <v>6</v>
      </c>
      <c r="H1" s="18" t="s">
        <v>7</v>
      </c>
      <c r="I1" s="18" t="s">
        <v>8</v>
      </c>
      <c r="J1" s="18" t="s">
        <v>9</v>
      </c>
      <c r="K1" s="18" t="s">
        <v>10</v>
      </c>
      <c r="L1" s="18" t="s">
        <v>1243</v>
      </c>
      <c r="M1" s="18" t="s">
        <v>12</v>
      </c>
      <c r="N1" s="18" t="s">
        <v>1244</v>
      </c>
      <c r="O1" s="18" t="s">
        <v>1245</v>
      </c>
      <c r="P1" s="18" t="s">
        <v>15</v>
      </c>
      <c r="Q1" s="18" t="s">
        <v>16</v>
      </c>
      <c r="R1" s="18" t="s">
        <v>1246</v>
      </c>
      <c r="S1" s="18" t="s">
        <v>18</v>
      </c>
      <c r="T1" s="18" t="s">
        <v>19</v>
      </c>
      <c r="U1" s="18" t="s">
        <v>20</v>
      </c>
      <c r="V1" s="18" t="s">
        <v>1247</v>
      </c>
      <c r="W1" s="18" t="s">
        <v>1248</v>
      </c>
      <c r="X1" s="18" t="s">
        <v>1249</v>
      </c>
      <c r="Y1" s="18" t="s">
        <v>1250</v>
      </c>
      <c r="Z1" s="18" t="s">
        <v>1251</v>
      </c>
      <c r="AA1" s="18" t="s">
        <v>26</v>
      </c>
      <c r="AB1" s="18" t="s">
        <v>27</v>
      </c>
      <c r="AC1" s="18" t="s">
        <v>28</v>
      </c>
      <c r="AD1" s="18" t="s">
        <v>29</v>
      </c>
      <c r="AE1" s="18" t="s">
        <v>30</v>
      </c>
      <c r="AF1" s="18" t="s">
        <v>31</v>
      </c>
      <c r="AG1" s="18" t="s">
        <v>32</v>
      </c>
      <c r="AH1" s="18" t="s">
        <v>33</v>
      </c>
      <c r="AI1" s="18" t="s">
        <v>34</v>
      </c>
      <c r="AJ1" s="18" t="s">
        <v>35</v>
      </c>
      <c r="AK1" s="18" t="s">
        <v>36</v>
      </c>
      <c r="AL1" s="18" t="s">
        <v>42</v>
      </c>
      <c r="AM1" s="18" t="s">
        <v>43</v>
      </c>
      <c r="AN1" s="18" t="s">
        <v>44</v>
      </c>
      <c r="AO1" s="18" t="s">
        <v>45</v>
      </c>
      <c r="AP1" s="18" t="s">
        <v>46</v>
      </c>
      <c r="AQ1" s="18" t="s">
        <v>1248</v>
      </c>
      <c r="AR1" s="18" t="s">
        <v>1249</v>
      </c>
      <c r="AS1" s="18" t="s">
        <v>1250</v>
      </c>
      <c r="AT1" s="18" t="s">
        <v>1251</v>
      </c>
      <c r="AU1" s="18" t="s">
        <v>26</v>
      </c>
      <c r="AV1" s="18" t="s">
        <v>27</v>
      </c>
      <c r="AW1" s="18" t="s">
        <v>28</v>
      </c>
      <c r="AX1" s="18" t="s">
        <v>29</v>
      </c>
      <c r="AY1" s="18" t="s">
        <v>30</v>
      </c>
      <c r="AZ1" s="18" t="s">
        <v>31</v>
      </c>
      <c r="BA1" s="18" t="s">
        <v>50</v>
      </c>
      <c r="BB1" s="18" t="s">
        <v>33</v>
      </c>
      <c r="BC1" s="18" t="s">
        <v>34</v>
      </c>
      <c r="BD1" s="18" t="s">
        <v>35</v>
      </c>
      <c r="BE1" s="18" t="s">
        <v>36</v>
      </c>
      <c r="BF1" s="18" t="s">
        <v>51</v>
      </c>
      <c r="BG1" s="18" t="s">
        <v>52</v>
      </c>
      <c r="BH1" s="18" t="s">
        <v>53</v>
      </c>
      <c r="BI1" s="18" t="s">
        <v>54</v>
      </c>
      <c r="BJ1" s="18" t="s">
        <v>46</v>
      </c>
      <c r="BK1" s="18" t="s">
        <v>1248</v>
      </c>
      <c r="BL1" s="18" t="s">
        <v>1249</v>
      </c>
      <c r="BM1" s="18" t="s">
        <v>1250</v>
      </c>
      <c r="BN1" s="18" t="s">
        <v>1251</v>
      </c>
      <c r="BO1" s="18" t="s">
        <v>26</v>
      </c>
      <c r="BP1" s="18" t="s">
        <v>27</v>
      </c>
      <c r="BQ1" s="18" t="s">
        <v>28</v>
      </c>
      <c r="BR1" s="18" t="s">
        <v>29</v>
      </c>
      <c r="BS1" s="18" t="s">
        <v>30</v>
      </c>
      <c r="BT1" s="18" t="s">
        <v>31</v>
      </c>
      <c r="BU1" s="18" t="s">
        <v>32</v>
      </c>
      <c r="BV1" s="18" t="s">
        <v>58</v>
      </c>
      <c r="BW1" s="18" t="s">
        <v>34</v>
      </c>
      <c r="BX1" s="18" t="s">
        <v>35</v>
      </c>
      <c r="BY1" s="18" t="s">
        <v>36</v>
      </c>
      <c r="BZ1" s="18" t="s">
        <v>51</v>
      </c>
      <c r="CA1" s="18" t="s">
        <v>52</v>
      </c>
      <c r="CB1" s="18" t="s">
        <v>53</v>
      </c>
      <c r="CC1" s="18" t="s">
        <v>54</v>
      </c>
      <c r="CD1" s="18" t="s">
        <v>46</v>
      </c>
      <c r="CE1" s="12"/>
      <c r="CF1" s="12"/>
      <c r="CG1" s="12"/>
      <c r="CH1" s="12"/>
      <c r="CI1" s="12"/>
      <c r="CJ1" s="12"/>
    </row>
    <row r="2" spans="1:88">
      <c r="A2" s="5">
        <v>45363.438363159723</v>
      </c>
      <c r="B2" s="6" t="s">
        <v>513</v>
      </c>
      <c r="C2" s="6" t="s">
        <v>514</v>
      </c>
      <c r="D2" s="7" t="s">
        <v>515</v>
      </c>
      <c r="E2" s="6" t="s">
        <v>133</v>
      </c>
      <c r="F2" s="6" t="s">
        <v>516</v>
      </c>
      <c r="G2" s="6" t="s">
        <v>64</v>
      </c>
      <c r="H2" s="6" t="s">
        <v>517</v>
      </c>
      <c r="I2" s="6" t="s">
        <v>518</v>
      </c>
      <c r="J2" s="6" t="s">
        <v>518</v>
      </c>
      <c r="K2" s="6" t="s">
        <v>513</v>
      </c>
      <c r="L2" s="6" t="s">
        <v>245</v>
      </c>
      <c r="M2" s="6" t="s">
        <v>519</v>
      </c>
      <c r="N2" s="6">
        <v>33</v>
      </c>
      <c r="O2" s="6" t="s">
        <v>70</v>
      </c>
      <c r="P2" s="6">
        <v>2</v>
      </c>
      <c r="Q2" s="6">
        <v>4</v>
      </c>
      <c r="R2" s="6">
        <v>50</v>
      </c>
      <c r="T2" s="6" t="s">
        <v>71</v>
      </c>
      <c r="U2" s="6" t="s">
        <v>72</v>
      </c>
      <c r="V2" s="7" t="s">
        <v>520</v>
      </c>
      <c r="W2" s="6" t="s">
        <v>71</v>
      </c>
      <c r="X2" s="6" t="s">
        <v>72</v>
      </c>
      <c r="Y2" s="6" t="s">
        <v>72</v>
      </c>
      <c r="Z2" s="6" t="s">
        <v>72</v>
      </c>
      <c r="AA2" s="6" t="s">
        <v>72</v>
      </c>
      <c r="AB2" s="6" t="s">
        <v>71</v>
      </c>
      <c r="AC2" s="6" t="s">
        <v>72</v>
      </c>
      <c r="AD2" s="6" t="s">
        <v>72</v>
      </c>
      <c r="AE2" s="6" t="s">
        <v>72</v>
      </c>
      <c r="AF2" s="6" t="s">
        <v>72</v>
      </c>
      <c r="AG2" s="6" t="s">
        <v>72</v>
      </c>
      <c r="AH2" s="6" t="s">
        <v>72</v>
      </c>
      <c r="AI2" s="6" t="s">
        <v>71</v>
      </c>
      <c r="AJ2" s="6" t="s">
        <v>72</v>
      </c>
      <c r="AK2" s="6" t="s">
        <v>72</v>
      </c>
      <c r="AL2" s="6" t="s">
        <v>72</v>
      </c>
      <c r="AM2" s="6" t="s">
        <v>72</v>
      </c>
      <c r="AN2" s="6" t="s">
        <v>72</v>
      </c>
      <c r="AO2" s="6" t="s">
        <v>72</v>
      </c>
    </row>
    <row r="3" spans="1:88">
      <c r="A3" s="5">
        <v>45363.440609155092</v>
      </c>
      <c r="B3" s="6" t="s">
        <v>513</v>
      </c>
      <c r="C3" s="6" t="s">
        <v>514</v>
      </c>
      <c r="D3" s="7" t="s">
        <v>515</v>
      </c>
      <c r="E3" s="6" t="s">
        <v>133</v>
      </c>
      <c r="F3" s="6" t="s">
        <v>521</v>
      </c>
      <c r="G3" s="6" t="s">
        <v>64</v>
      </c>
      <c r="H3" s="6" t="s">
        <v>517</v>
      </c>
      <c r="I3" s="6" t="s">
        <v>522</v>
      </c>
      <c r="J3" s="6" t="s">
        <v>522</v>
      </c>
      <c r="K3" s="6" t="s">
        <v>513</v>
      </c>
      <c r="L3" s="6" t="s">
        <v>245</v>
      </c>
      <c r="M3" s="6" t="s">
        <v>519</v>
      </c>
      <c r="N3" s="6">
        <v>32</v>
      </c>
      <c r="O3" s="6" t="s">
        <v>70</v>
      </c>
      <c r="P3" s="6">
        <v>2</v>
      </c>
      <c r="Q3" s="6">
        <v>4</v>
      </c>
      <c r="R3" s="6">
        <v>50</v>
      </c>
      <c r="T3" s="6" t="s">
        <v>71</v>
      </c>
      <c r="U3" s="6" t="s">
        <v>72</v>
      </c>
      <c r="V3" s="7" t="s">
        <v>520</v>
      </c>
      <c r="W3" s="6" t="s">
        <v>71</v>
      </c>
      <c r="X3" s="6" t="s">
        <v>72</v>
      </c>
      <c r="Y3" s="6" t="s">
        <v>72</v>
      </c>
      <c r="Z3" s="6" t="s">
        <v>72</v>
      </c>
      <c r="AA3" s="6" t="s">
        <v>72</v>
      </c>
      <c r="AB3" s="6" t="s">
        <v>71</v>
      </c>
      <c r="AC3" s="6" t="s">
        <v>72</v>
      </c>
      <c r="AD3" s="6" t="s">
        <v>72</v>
      </c>
      <c r="AE3" s="6" t="s">
        <v>72</v>
      </c>
      <c r="AF3" s="6" t="s">
        <v>72</v>
      </c>
      <c r="AG3" s="6" t="s">
        <v>72</v>
      </c>
      <c r="AH3" s="6" t="s">
        <v>72</v>
      </c>
      <c r="AI3" s="6" t="s">
        <v>71</v>
      </c>
      <c r="AJ3" s="6" t="s">
        <v>72</v>
      </c>
      <c r="AK3" s="6" t="s">
        <v>72</v>
      </c>
      <c r="AL3" s="6" t="s">
        <v>72</v>
      </c>
      <c r="AM3" s="6" t="s">
        <v>72</v>
      </c>
      <c r="AN3" s="6" t="s">
        <v>72</v>
      </c>
      <c r="AO3" s="6" t="s">
        <v>72</v>
      </c>
    </row>
    <row r="4" spans="1:88">
      <c r="A4" s="5">
        <v>45363.442617592591</v>
      </c>
      <c r="B4" s="6" t="s">
        <v>513</v>
      </c>
      <c r="C4" s="6" t="s">
        <v>514</v>
      </c>
      <c r="D4" s="7" t="s">
        <v>515</v>
      </c>
      <c r="E4" s="6" t="s">
        <v>133</v>
      </c>
      <c r="F4" s="6" t="s">
        <v>523</v>
      </c>
      <c r="G4" s="6" t="s">
        <v>64</v>
      </c>
      <c r="H4" s="6" t="s">
        <v>517</v>
      </c>
      <c r="I4" s="6" t="s">
        <v>522</v>
      </c>
      <c r="J4" s="6" t="s">
        <v>522</v>
      </c>
      <c r="K4" s="6" t="s">
        <v>513</v>
      </c>
      <c r="L4" s="6" t="s">
        <v>245</v>
      </c>
      <c r="M4" s="6" t="s">
        <v>519</v>
      </c>
      <c r="N4" s="6">
        <v>31</v>
      </c>
      <c r="O4" s="6" t="s">
        <v>70</v>
      </c>
      <c r="P4" s="6">
        <v>2</v>
      </c>
      <c r="Q4" s="6">
        <v>4</v>
      </c>
      <c r="R4" s="6">
        <v>50</v>
      </c>
      <c r="T4" s="6" t="s">
        <v>71</v>
      </c>
      <c r="U4" s="6" t="s">
        <v>72</v>
      </c>
      <c r="V4" s="7" t="s">
        <v>520</v>
      </c>
      <c r="W4" s="6" t="s">
        <v>71</v>
      </c>
      <c r="X4" s="6" t="s">
        <v>72</v>
      </c>
      <c r="Y4" s="6" t="s">
        <v>72</v>
      </c>
      <c r="Z4" s="6" t="s">
        <v>72</v>
      </c>
      <c r="AA4" s="6" t="s">
        <v>72</v>
      </c>
      <c r="AB4" s="6" t="s">
        <v>71</v>
      </c>
      <c r="AC4" s="6" t="s">
        <v>72</v>
      </c>
      <c r="AD4" s="6" t="s">
        <v>72</v>
      </c>
      <c r="AE4" s="6" t="s">
        <v>72</v>
      </c>
      <c r="AF4" s="6" t="s">
        <v>72</v>
      </c>
      <c r="AG4" s="6" t="s">
        <v>72</v>
      </c>
      <c r="AH4" s="6" t="s">
        <v>72</v>
      </c>
      <c r="AI4" s="6" t="s">
        <v>71</v>
      </c>
      <c r="AJ4" s="6" t="s">
        <v>72</v>
      </c>
      <c r="AK4" s="6" t="s">
        <v>72</v>
      </c>
      <c r="AL4" s="6" t="s">
        <v>72</v>
      </c>
      <c r="AM4" s="6" t="s">
        <v>72</v>
      </c>
      <c r="AN4" s="6" t="s">
        <v>72</v>
      </c>
      <c r="AO4" s="6" t="s">
        <v>72</v>
      </c>
    </row>
    <row r="5" spans="1:88">
      <c r="A5" s="5">
        <v>45363.474652395831</v>
      </c>
      <c r="B5" s="6" t="s">
        <v>524</v>
      </c>
      <c r="C5" s="6" t="s">
        <v>525</v>
      </c>
      <c r="D5" s="7" t="s">
        <v>526</v>
      </c>
      <c r="E5" s="6" t="s">
        <v>62</v>
      </c>
      <c r="F5" s="6" t="s">
        <v>235</v>
      </c>
      <c r="G5" s="6" t="s">
        <v>105</v>
      </c>
      <c r="H5" s="6" t="s">
        <v>527</v>
      </c>
      <c r="I5" s="6" t="s">
        <v>528</v>
      </c>
      <c r="J5" s="6" t="s">
        <v>529</v>
      </c>
      <c r="K5" s="6" t="s">
        <v>524</v>
      </c>
      <c r="L5" s="6" t="s">
        <v>68</v>
      </c>
      <c r="M5" s="6" t="s">
        <v>530</v>
      </c>
      <c r="N5" s="6">
        <v>35</v>
      </c>
      <c r="O5" s="6" t="s">
        <v>70</v>
      </c>
      <c r="P5" s="6">
        <v>2</v>
      </c>
      <c r="Q5" s="6">
        <v>2</v>
      </c>
      <c r="R5" s="6">
        <v>90</v>
      </c>
      <c r="T5" s="6" t="s">
        <v>71</v>
      </c>
      <c r="U5" s="6" t="s">
        <v>71</v>
      </c>
      <c r="V5" s="7" t="s">
        <v>520</v>
      </c>
      <c r="W5" s="6" t="s">
        <v>71</v>
      </c>
      <c r="X5" s="6" t="s">
        <v>71</v>
      </c>
      <c r="Y5" s="6" t="s">
        <v>71</v>
      </c>
      <c r="Z5" s="6" t="s">
        <v>71</v>
      </c>
      <c r="AA5" s="6" t="s">
        <v>72</v>
      </c>
      <c r="AB5" s="6" t="s">
        <v>72</v>
      </c>
      <c r="AC5" s="6" t="s">
        <v>72</v>
      </c>
      <c r="AD5" s="6" t="s">
        <v>72</v>
      </c>
      <c r="AE5" s="6" t="s">
        <v>72</v>
      </c>
      <c r="AF5" s="6" t="s">
        <v>72</v>
      </c>
      <c r="AH5" s="6" t="s">
        <v>71</v>
      </c>
      <c r="AO5" s="6" t="s">
        <v>71</v>
      </c>
    </row>
    <row r="6" spans="1:88">
      <c r="A6" s="5">
        <v>45363.491433344912</v>
      </c>
      <c r="B6" s="6" t="s">
        <v>531</v>
      </c>
      <c r="C6" s="6" t="s">
        <v>532</v>
      </c>
      <c r="D6" s="7" t="s">
        <v>533</v>
      </c>
      <c r="E6" s="6" t="s">
        <v>62</v>
      </c>
      <c r="F6" s="6" t="s">
        <v>104</v>
      </c>
      <c r="G6" s="6" t="s">
        <v>64</v>
      </c>
      <c r="H6" s="6" t="s">
        <v>534</v>
      </c>
      <c r="I6" s="6" t="s">
        <v>535</v>
      </c>
      <c r="K6" s="6" t="s">
        <v>531</v>
      </c>
      <c r="L6" s="6" t="s">
        <v>89</v>
      </c>
      <c r="M6" s="6" t="s">
        <v>536</v>
      </c>
      <c r="N6" s="6">
        <v>21</v>
      </c>
      <c r="O6" s="6" t="s">
        <v>148</v>
      </c>
      <c r="P6" s="6">
        <v>5</v>
      </c>
      <c r="Q6" s="6">
        <v>4</v>
      </c>
      <c r="R6" s="6">
        <v>0</v>
      </c>
      <c r="T6" s="6" t="s">
        <v>71</v>
      </c>
      <c r="U6" s="6" t="s">
        <v>72</v>
      </c>
      <c r="V6" s="7" t="s">
        <v>520</v>
      </c>
      <c r="W6" s="6" t="s">
        <v>71</v>
      </c>
      <c r="X6" s="6" t="s">
        <v>71</v>
      </c>
      <c r="Y6" s="6" t="s">
        <v>71</v>
      </c>
      <c r="Z6" s="6" t="s">
        <v>72</v>
      </c>
      <c r="AA6" s="6" t="s">
        <v>71</v>
      </c>
      <c r="AB6" s="6" t="s">
        <v>71</v>
      </c>
      <c r="AC6" s="6" t="s">
        <v>71</v>
      </c>
      <c r="AD6" s="6" t="s">
        <v>72</v>
      </c>
      <c r="AE6" s="6" t="s">
        <v>72</v>
      </c>
      <c r="AF6" s="6" t="s">
        <v>72</v>
      </c>
      <c r="AG6" s="6" t="s">
        <v>71</v>
      </c>
      <c r="AH6" s="6" t="s">
        <v>71</v>
      </c>
      <c r="AI6" s="6" t="s">
        <v>71</v>
      </c>
      <c r="AJ6" s="6" t="s">
        <v>72</v>
      </c>
      <c r="AK6" s="6" t="s">
        <v>72</v>
      </c>
      <c r="AL6" s="6" t="s">
        <v>71</v>
      </c>
      <c r="AM6" s="6" t="s">
        <v>71</v>
      </c>
      <c r="AN6" s="6" t="s">
        <v>72</v>
      </c>
      <c r="AO6" s="6" t="s">
        <v>72</v>
      </c>
    </row>
    <row r="7" spans="1:88">
      <c r="A7" s="5">
        <v>45363.518486504632</v>
      </c>
      <c r="B7" s="6" t="s">
        <v>537</v>
      </c>
      <c r="C7" s="6" t="s">
        <v>538</v>
      </c>
      <c r="D7" s="7" t="s">
        <v>539</v>
      </c>
      <c r="E7" s="6" t="s">
        <v>62</v>
      </c>
      <c r="F7" s="6" t="s">
        <v>540</v>
      </c>
      <c r="G7" s="6" t="s">
        <v>64</v>
      </c>
      <c r="H7" s="6" t="s">
        <v>541</v>
      </c>
      <c r="I7" s="6" t="s">
        <v>542</v>
      </c>
      <c r="J7" s="6" t="s">
        <v>543</v>
      </c>
      <c r="K7" s="6" t="s">
        <v>537</v>
      </c>
      <c r="L7" s="6" t="s">
        <v>68</v>
      </c>
      <c r="M7" s="6" t="s">
        <v>544</v>
      </c>
      <c r="N7" s="6">
        <v>20</v>
      </c>
      <c r="O7" s="6" t="s">
        <v>148</v>
      </c>
      <c r="P7" s="6">
        <v>4</v>
      </c>
      <c r="Q7" s="6">
        <v>2</v>
      </c>
      <c r="R7" s="6">
        <v>20</v>
      </c>
      <c r="T7" s="6" t="s">
        <v>71</v>
      </c>
      <c r="U7" s="6" t="s">
        <v>72</v>
      </c>
      <c r="V7" s="7" t="s">
        <v>520</v>
      </c>
      <c r="W7" s="6" t="s">
        <v>72</v>
      </c>
      <c r="X7" s="6" t="s">
        <v>72</v>
      </c>
      <c r="Y7" s="6" t="s">
        <v>71</v>
      </c>
      <c r="Z7" s="6" t="s">
        <v>72</v>
      </c>
      <c r="AA7" s="6" t="s">
        <v>71</v>
      </c>
      <c r="AB7" s="6" t="s">
        <v>71</v>
      </c>
      <c r="AC7" s="6" t="s">
        <v>71</v>
      </c>
      <c r="AD7" s="6" t="s">
        <v>71</v>
      </c>
      <c r="AE7" s="6" t="s">
        <v>72</v>
      </c>
      <c r="AF7" s="6" t="s">
        <v>72</v>
      </c>
      <c r="AG7" s="6" t="s">
        <v>72</v>
      </c>
      <c r="AH7" s="6" t="s">
        <v>71</v>
      </c>
      <c r="AI7" s="6" t="s">
        <v>72</v>
      </c>
      <c r="AJ7" s="6" t="s">
        <v>72</v>
      </c>
      <c r="AK7" s="6" t="s">
        <v>72</v>
      </c>
      <c r="AL7" s="6" t="s">
        <v>72</v>
      </c>
      <c r="AM7" s="6" t="s">
        <v>71</v>
      </c>
      <c r="AN7" s="6" t="s">
        <v>72</v>
      </c>
      <c r="AO7" s="6" t="s">
        <v>72</v>
      </c>
      <c r="AP7" s="6" t="s">
        <v>545</v>
      </c>
    </row>
    <row r="8" spans="1:88">
      <c r="A8" s="5">
        <v>45363.520946273144</v>
      </c>
      <c r="B8" s="6" t="s">
        <v>546</v>
      </c>
      <c r="C8" s="6" t="s">
        <v>547</v>
      </c>
      <c r="D8" s="7" t="s">
        <v>548</v>
      </c>
      <c r="E8" s="6" t="s">
        <v>133</v>
      </c>
      <c r="F8" s="6" t="s">
        <v>549</v>
      </c>
      <c r="G8" s="6" t="s">
        <v>64</v>
      </c>
      <c r="H8" s="6" t="s">
        <v>550</v>
      </c>
      <c r="I8" s="6" t="s">
        <v>551</v>
      </c>
      <c r="K8" s="6" t="s">
        <v>546</v>
      </c>
      <c r="L8" s="6" t="s">
        <v>89</v>
      </c>
      <c r="M8" s="6" t="s">
        <v>552</v>
      </c>
      <c r="N8" s="6">
        <v>23</v>
      </c>
      <c r="O8" s="6" t="s">
        <v>70</v>
      </c>
      <c r="P8" s="6">
        <v>4</v>
      </c>
      <c r="Q8" s="6">
        <v>3</v>
      </c>
      <c r="R8" s="6">
        <v>0</v>
      </c>
      <c r="T8" s="6" t="s">
        <v>71</v>
      </c>
      <c r="U8" s="6" t="s">
        <v>72</v>
      </c>
      <c r="V8" s="7" t="s">
        <v>520</v>
      </c>
      <c r="W8" s="6" t="s">
        <v>72</v>
      </c>
      <c r="X8" s="6" t="s">
        <v>71</v>
      </c>
      <c r="Y8" s="6" t="s">
        <v>72</v>
      </c>
      <c r="Z8" s="6" t="s">
        <v>72</v>
      </c>
      <c r="AA8" s="6" t="s">
        <v>71</v>
      </c>
      <c r="AB8" s="6" t="s">
        <v>72</v>
      </c>
      <c r="AC8" s="6" t="s">
        <v>72</v>
      </c>
      <c r="AD8" s="6" t="s">
        <v>72</v>
      </c>
      <c r="AE8" s="6" t="s">
        <v>72</v>
      </c>
      <c r="AF8" s="6" t="s">
        <v>71</v>
      </c>
      <c r="AG8" s="6" t="s">
        <v>72</v>
      </c>
      <c r="AH8" s="6" t="s">
        <v>72</v>
      </c>
      <c r="AI8" s="6" t="s">
        <v>71</v>
      </c>
      <c r="AJ8" s="6" t="s">
        <v>72</v>
      </c>
      <c r="AK8" s="6" t="s">
        <v>72</v>
      </c>
      <c r="AL8" s="6" t="s">
        <v>72</v>
      </c>
      <c r="AM8" s="6" t="s">
        <v>72</v>
      </c>
      <c r="AN8" s="6" t="s">
        <v>71</v>
      </c>
      <c r="AO8" s="6" t="s">
        <v>72</v>
      </c>
    </row>
    <row r="9" spans="1:88">
      <c r="A9" s="5">
        <v>45363.523194444446</v>
      </c>
      <c r="B9" s="6" t="s">
        <v>553</v>
      </c>
      <c r="C9" s="6" t="s">
        <v>547</v>
      </c>
      <c r="D9" s="7" t="s">
        <v>548</v>
      </c>
      <c r="E9" s="6" t="s">
        <v>84</v>
      </c>
      <c r="F9" s="6" t="s">
        <v>554</v>
      </c>
      <c r="G9" s="6" t="s">
        <v>64</v>
      </c>
      <c r="H9" s="6" t="s">
        <v>550</v>
      </c>
      <c r="I9" s="6" t="s">
        <v>555</v>
      </c>
      <c r="J9" s="6" t="s">
        <v>556</v>
      </c>
      <c r="K9" s="6" t="s">
        <v>546</v>
      </c>
      <c r="L9" s="6" t="s">
        <v>89</v>
      </c>
      <c r="M9" s="6" t="s">
        <v>557</v>
      </c>
      <c r="N9" s="6">
        <v>20</v>
      </c>
      <c r="O9" s="6" t="s">
        <v>148</v>
      </c>
      <c r="P9" s="6">
        <v>4</v>
      </c>
      <c r="Q9" s="6">
        <v>2</v>
      </c>
      <c r="R9" s="6">
        <v>0</v>
      </c>
      <c r="S9" s="6" t="s">
        <v>558</v>
      </c>
      <c r="T9" s="6" t="s">
        <v>71</v>
      </c>
      <c r="U9" s="6" t="s">
        <v>72</v>
      </c>
      <c r="V9" s="7" t="s">
        <v>520</v>
      </c>
      <c r="W9" s="6" t="s">
        <v>72</v>
      </c>
      <c r="X9" s="6" t="s">
        <v>71</v>
      </c>
      <c r="Y9" s="6" t="s">
        <v>72</v>
      </c>
      <c r="Z9" s="6" t="s">
        <v>72</v>
      </c>
      <c r="AA9" s="6" t="s">
        <v>71</v>
      </c>
      <c r="AB9" s="6" t="s">
        <v>72</v>
      </c>
      <c r="AC9" s="6" t="s">
        <v>72</v>
      </c>
      <c r="AD9" s="6" t="s">
        <v>72</v>
      </c>
      <c r="AE9" s="6" t="s">
        <v>72</v>
      </c>
      <c r="AF9" s="6" t="s">
        <v>71</v>
      </c>
      <c r="AG9" s="6" t="s">
        <v>72</v>
      </c>
      <c r="AH9" s="6" t="s">
        <v>72</v>
      </c>
      <c r="AI9" s="6" t="s">
        <v>71</v>
      </c>
      <c r="AJ9" s="6" t="s">
        <v>72</v>
      </c>
      <c r="AK9" s="6" t="s">
        <v>72</v>
      </c>
      <c r="AL9" s="6" t="s">
        <v>72</v>
      </c>
      <c r="AM9" s="6" t="s">
        <v>72</v>
      </c>
      <c r="AN9" s="6" t="s">
        <v>71</v>
      </c>
      <c r="AO9" s="6" t="s">
        <v>72</v>
      </c>
      <c r="AP9" s="6" t="s">
        <v>559</v>
      </c>
    </row>
    <row r="10" spans="1:88">
      <c r="A10" s="5">
        <v>45363.52479033565</v>
      </c>
      <c r="B10" s="6" t="s">
        <v>537</v>
      </c>
      <c r="C10" s="6" t="s">
        <v>538</v>
      </c>
      <c r="D10" s="7" t="s">
        <v>539</v>
      </c>
      <c r="E10" s="6" t="s">
        <v>62</v>
      </c>
      <c r="F10" s="6" t="s">
        <v>560</v>
      </c>
      <c r="G10" s="6" t="s">
        <v>64</v>
      </c>
      <c r="H10" s="6" t="s">
        <v>542</v>
      </c>
      <c r="I10" s="6" t="s">
        <v>541</v>
      </c>
      <c r="J10" s="6" t="s">
        <v>543</v>
      </c>
      <c r="K10" s="6" t="s">
        <v>537</v>
      </c>
      <c r="L10" s="6" t="s">
        <v>68</v>
      </c>
      <c r="M10" s="6" t="s">
        <v>544</v>
      </c>
      <c r="N10" s="6">
        <v>35</v>
      </c>
      <c r="O10" s="6" t="s">
        <v>148</v>
      </c>
      <c r="P10" s="6">
        <v>4</v>
      </c>
      <c r="Q10" s="6">
        <v>2</v>
      </c>
      <c r="R10" s="6">
        <v>20</v>
      </c>
      <c r="T10" s="6" t="s">
        <v>71</v>
      </c>
      <c r="U10" s="6" t="s">
        <v>72</v>
      </c>
      <c r="V10" s="7" t="s">
        <v>520</v>
      </c>
      <c r="W10" s="6" t="s">
        <v>72</v>
      </c>
      <c r="X10" s="6" t="s">
        <v>71</v>
      </c>
      <c r="Y10" s="6" t="s">
        <v>72</v>
      </c>
      <c r="Z10" s="6" t="s">
        <v>72</v>
      </c>
      <c r="AA10" s="6" t="s">
        <v>71</v>
      </c>
      <c r="AB10" s="6" t="s">
        <v>71</v>
      </c>
      <c r="AC10" s="6" t="s">
        <v>71</v>
      </c>
      <c r="AD10" s="6" t="s">
        <v>71</v>
      </c>
      <c r="AE10" s="6" t="s">
        <v>72</v>
      </c>
      <c r="AF10" s="6" t="s">
        <v>72</v>
      </c>
      <c r="AG10" s="6" t="s">
        <v>72</v>
      </c>
      <c r="AH10" s="6" t="s">
        <v>71</v>
      </c>
      <c r="AI10" s="6" t="s">
        <v>71</v>
      </c>
      <c r="AJ10" s="6" t="s">
        <v>72</v>
      </c>
      <c r="AK10" s="6" t="s">
        <v>72</v>
      </c>
      <c r="AL10" s="6" t="s">
        <v>71</v>
      </c>
      <c r="AM10" s="6" t="s">
        <v>72</v>
      </c>
      <c r="AN10" s="6" t="s">
        <v>72</v>
      </c>
      <c r="AO10" s="6" t="s">
        <v>72</v>
      </c>
      <c r="AP10" s="6" t="s">
        <v>561</v>
      </c>
    </row>
    <row r="11" spans="1:88">
      <c r="A11" s="5">
        <v>45363.543467384261</v>
      </c>
      <c r="B11" s="6" t="s">
        <v>562</v>
      </c>
      <c r="C11" s="6" t="s">
        <v>563</v>
      </c>
      <c r="D11" s="7" t="s">
        <v>564</v>
      </c>
      <c r="E11" s="6" t="s">
        <v>84</v>
      </c>
      <c r="F11" s="6" t="s">
        <v>269</v>
      </c>
      <c r="G11" s="6" t="s">
        <v>64</v>
      </c>
      <c r="H11" s="6" t="s">
        <v>565</v>
      </c>
      <c r="I11" s="6" t="s">
        <v>566</v>
      </c>
      <c r="K11" s="6" t="s">
        <v>562</v>
      </c>
      <c r="L11" s="6" t="s">
        <v>89</v>
      </c>
      <c r="M11" s="6" t="s">
        <v>473</v>
      </c>
      <c r="N11" s="6">
        <v>35</v>
      </c>
      <c r="O11" s="6" t="s">
        <v>70</v>
      </c>
      <c r="P11" s="6">
        <v>2</v>
      </c>
      <c r="Q11" s="6">
        <v>2</v>
      </c>
      <c r="R11" s="6">
        <v>5</v>
      </c>
      <c r="T11" s="6" t="s">
        <v>72</v>
      </c>
      <c r="U11" s="6" t="s">
        <v>71</v>
      </c>
      <c r="V11" s="7" t="s">
        <v>520</v>
      </c>
      <c r="W11" s="6" t="s">
        <v>72</v>
      </c>
      <c r="X11" s="6" t="s">
        <v>72</v>
      </c>
      <c r="Y11" s="6" t="s">
        <v>72</v>
      </c>
      <c r="Z11" s="6" t="s">
        <v>71</v>
      </c>
      <c r="AA11" s="6" t="s">
        <v>72</v>
      </c>
      <c r="AB11" s="6" t="s">
        <v>72</v>
      </c>
      <c r="AC11" s="6" t="s">
        <v>72</v>
      </c>
      <c r="AD11" s="6" t="s">
        <v>72</v>
      </c>
      <c r="AE11" s="6" t="s">
        <v>72</v>
      </c>
      <c r="AF11" s="6" t="s">
        <v>71</v>
      </c>
      <c r="AG11" s="6" t="s">
        <v>72</v>
      </c>
      <c r="AH11" s="6" t="s">
        <v>72</v>
      </c>
      <c r="AI11" s="6" t="s">
        <v>72</v>
      </c>
      <c r="AJ11" s="6" t="s">
        <v>71</v>
      </c>
      <c r="AK11" s="6" t="s">
        <v>71</v>
      </c>
      <c r="AL11" s="6" t="s">
        <v>72</v>
      </c>
      <c r="AM11" s="6" t="s">
        <v>72</v>
      </c>
      <c r="AN11" s="6" t="s">
        <v>71</v>
      </c>
      <c r="AO11" s="6" t="s">
        <v>71</v>
      </c>
      <c r="AP11" s="6" t="s">
        <v>567</v>
      </c>
    </row>
    <row r="12" spans="1:88">
      <c r="A12" s="5">
        <v>45363.554758252314</v>
      </c>
      <c r="B12" s="6" t="s">
        <v>568</v>
      </c>
      <c r="C12" s="6" t="s">
        <v>569</v>
      </c>
      <c r="D12" s="7" t="s">
        <v>570</v>
      </c>
      <c r="E12" s="6" t="s">
        <v>62</v>
      </c>
      <c r="F12" s="6" t="s">
        <v>235</v>
      </c>
      <c r="G12" s="6" t="s">
        <v>64</v>
      </c>
      <c r="H12" s="6" t="s">
        <v>571</v>
      </c>
      <c r="I12" s="6" t="s">
        <v>572</v>
      </c>
      <c r="K12" s="6" t="s">
        <v>568</v>
      </c>
      <c r="L12" s="6" t="s">
        <v>138</v>
      </c>
      <c r="M12" s="6" t="s">
        <v>573</v>
      </c>
      <c r="N12" s="6">
        <v>25</v>
      </c>
      <c r="O12" s="6" t="s">
        <v>70</v>
      </c>
      <c r="P12" s="6">
        <v>5</v>
      </c>
      <c r="Q12" s="6">
        <v>5</v>
      </c>
      <c r="R12" s="6">
        <v>0</v>
      </c>
      <c r="T12" s="6" t="s">
        <v>71</v>
      </c>
      <c r="U12" s="6" t="s">
        <v>71</v>
      </c>
      <c r="V12" s="7" t="s">
        <v>520</v>
      </c>
      <c r="W12" s="6" t="s">
        <v>72</v>
      </c>
      <c r="X12" s="6" t="s">
        <v>71</v>
      </c>
      <c r="Y12" s="6" t="s">
        <v>71</v>
      </c>
      <c r="Z12" s="6" t="s">
        <v>72</v>
      </c>
      <c r="AA12" s="6" t="s">
        <v>71</v>
      </c>
      <c r="AB12" s="6" t="s">
        <v>72</v>
      </c>
      <c r="AC12" s="6" t="s">
        <v>72</v>
      </c>
      <c r="AD12" s="6" t="s">
        <v>72</v>
      </c>
      <c r="AE12" s="6" t="s">
        <v>72</v>
      </c>
      <c r="AF12" s="6" t="s">
        <v>71</v>
      </c>
      <c r="AG12" s="6" t="s">
        <v>72</v>
      </c>
      <c r="AH12" s="6" t="s">
        <v>72</v>
      </c>
      <c r="AI12" s="6" t="s">
        <v>71</v>
      </c>
      <c r="AJ12" s="6" t="s">
        <v>71</v>
      </c>
      <c r="AK12" s="6" t="s">
        <v>71</v>
      </c>
      <c r="AL12" s="6" t="s">
        <v>72</v>
      </c>
      <c r="AM12" s="6" t="s">
        <v>72</v>
      </c>
      <c r="AN12" s="6" t="s">
        <v>72</v>
      </c>
      <c r="AO12" s="6" t="s">
        <v>72</v>
      </c>
    </row>
    <row r="13" spans="1:88">
      <c r="A13" s="5">
        <v>45363.631157094904</v>
      </c>
      <c r="B13" s="6" t="s">
        <v>574</v>
      </c>
      <c r="C13" s="6" t="s">
        <v>575</v>
      </c>
      <c r="D13" s="6">
        <v>20059400</v>
      </c>
      <c r="E13" s="6" t="s">
        <v>387</v>
      </c>
      <c r="F13" s="6" t="s">
        <v>111</v>
      </c>
      <c r="G13" s="6" t="s">
        <v>64</v>
      </c>
      <c r="H13" s="6" t="s">
        <v>576</v>
      </c>
      <c r="I13" s="6" t="s">
        <v>577</v>
      </c>
      <c r="J13" s="6" t="s">
        <v>578</v>
      </c>
      <c r="K13" s="6" t="s">
        <v>574</v>
      </c>
      <c r="L13" s="6" t="s">
        <v>89</v>
      </c>
      <c r="M13" s="6" t="s">
        <v>579</v>
      </c>
      <c r="N13" s="6">
        <v>31</v>
      </c>
      <c r="O13" s="6" t="s">
        <v>70</v>
      </c>
      <c r="P13" s="6">
        <v>4</v>
      </c>
      <c r="Q13" s="6">
        <v>5</v>
      </c>
      <c r="R13" s="6">
        <v>30</v>
      </c>
      <c r="T13" s="6" t="s">
        <v>71</v>
      </c>
      <c r="U13" s="6" t="s">
        <v>72</v>
      </c>
      <c r="V13" s="7" t="s">
        <v>520</v>
      </c>
      <c r="W13" s="6" t="s">
        <v>71</v>
      </c>
      <c r="X13" s="6" t="s">
        <v>71</v>
      </c>
      <c r="Y13" s="6" t="s">
        <v>71</v>
      </c>
      <c r="Z13" s="6" t="s">
        <v>72</v>
      </c>
      <c r="AA13" s="6" t="s">
        <v>71</v>
      </c>
      <c r="AB13" s="6" t="s">
        <v>71</v>
      </c>
      <c r="AC13" s="6" t="s">
        <v>71</v>
      </c>
      <c r="AD13" s="6" t="s">
        <v>72</v>
      </c>
      <c r="AE13" s="6" t="s">
        <v>72</v>
      </c>
      <c r="AF13" s="6" t="s">
        <v>72</v>
      </c>
      <c r="AG13" s="6" t="s">
        <v>71</v>
      </c>
      <c r="AH13" s="6" t="s">
        <v>71</v>
      </c>
      <c r="AI13" s="6" t="s">
        <v>71</v>
      </c>
      <c r="AJ13" s="6" t="s">
        <v>72</v>
      </c>
      <c r="AK13" s="6" t="s">
        <v>72</v>
      </c>
      <c r="AL13" s="6" t="s">
        <v>71</v>
      </c>
      <c r="AM13" s="6" t="s">
        <v>71</v>
      </c>
      <c r="AN13" s="6" t="s">
        <v>72</v>
      </c>
      <c r="AO13" s="6" t="s">
        <v>72</v>
      </c>
    </row>
    <row r="14" spans="1:88">
      <c r="A14" s="5">
        <v>45363.647077858797</v>
      </c>
      <c r="B14" s="6" t="s">
        <v>580</v>
      </c>
      <c r="C14" s="6" t="s">
        <v>581</v>
      </c>
      <c r="D14" s="6">
        <v>201342</v>
      </c>
      <c r="E14" s="6" t="s">
        <v>84</v>
      </c>
      <c r="F14" s="6" t="s">
        <v>582</v>
      </c>
      <c r="G14" s="6" t="s">
        <v>64</v>
      </c>
      <c r="H14" s="6" t="s">
        <v>583</v>
      </c>
      <c r="I14" s="6" t="s">
        <v>584</v>
      </c>
      <c r="J14" s="6" t="s">
        <v>585</v>
      </c>
      <c r="K14" s="6" t="s">
        <v>580</v>
      </c>
      <c r="L14" s="6" t="s">
        <v>89</v>
      </c>
      <c r="M14" s="6" t="s">
        <v>208</v>
      </c>
      <c r="N14" s="6">
        <v>20</v>
      </c>
      <c r="O14" s="6" t="s">
        <v>148</v>
      </c>
      <c r="P14" s="6">
        <v>4</v>
      </c>
      <c r="Q14" s="6">
        <v>1</v>
      </c>
      <c r="R14" s="6">
        <v>10</v>
      </c>
      <c r="T14" s="6" t="s">
        <v>71</v>
      </c>
      <c r="U14" s="6" t="s">
        <v>72</v>
      </c>
      <c r="V14" s="7" t="s">
        <v>520</v>
      </c>
      <c r="W14" s="6" t="s">
        <v>71</v>
      </c>
      <c r="X14" s="6" t="s">
        <v>71</v>
      </c>
      <c r="Y14" s="6" t="s">
        <v>72</v>
      </c>
      <c r="Z14" s="6" t="s">
        <v>72</v>
      </c>
      <c r="AA14" s="6" t="s">
        <v>71</v>
      </c>
      <c r="AB14" s="6" t="s">
        <v>71</v>
      </c>
      <c r="AC14" s="6" t="s">
        <v>71</v>
      </c>
      <c r="AD14" s="6" t="s">
        <v>72</v>
      </c>
      <c r="AE14" s="6" t="s">
        <v>72</v>
      </c>
      <c r="AF14" s="6" t="s">
        <v>72</v>
      </c>
      <c r="AG14" s="6" t="s">
        <v>71</v>
      </c>
      <c r="AH14" s="6" t="s">
        <v>71</v>
      </c>
      <c r="AI14" s="6" t="s">
        <v>71</v>
      </c>
      <c r="AJ14" s="6" t="s">
        <v>72</v>
      </c>
      <c r="AK14" s="6" t="s">
        <v>72</v>
      </c>
      <c r="AL14" s="6" t="s">
        <v>71</v>
      </c>
      <c r="AM14" s="6" t="s">
        <v>71</v>
      </c>
      <c r="AN14" s="6" t="s">
        <v>72</v>
      </c>
      <c r="AO14" s="6" t="s">
        <v>72</v>
      </c>
    </row>
    <row r="15" spans="1:88">
      <c r="A15" s="5">
        <v>45363.647391956023</v>
      </c>
      <c r="B15" s="6" t="s">
        <v>586</v>
      </c>
      <c r="C15" s="6" t="s">
        <v>587</v>
      </c>
      <c r="D15" s="7" t="s">
        <v>588</v>
      </c>
      <c r="E15" s="6" t="s">
        <v>84</v>
      </c>
      <c r="F15" s="6" t="s">
        <v>589</v>
      </c>
      <c r="G15" s="6" t="s">
        <v>64</v>
      </c>
      <c r="H15" s="6" t="s">
        <v>590</v>
      </c>
      <c r="I15" s="6" t="s">
        <v>591</v>
      </c>
      <c r="J15" s="6" t="s">
        <v>592</v>
      </c>
      <c r="K15" s="6" t="s">
        <v>586</v>
      </c>
      <c r="L15" s="6" t="s">
        <v>245</v>
      </c>
      <c r="M15" s="6" t="s">
        <v>593</v>
      </c>
      <c r="N15" s="6">
        <v>25</v>
      </c>
      <c r="O15" s="6" t="s">
        <v>70</v>
      </c>
      <c r="P15" s="6">
        <v>3</v>
      </c>
      <c r="Q15" s="6">
        <v>3</v>
      </c>
      <c r="R15" s="6">
        <v>10</v>
      </c>
      <c r="T15" s="6" t="s">
        <v>72</v>
      </c>
      <c r="U15" s="6" t="s">
        <v>71</v>
      </c>
      <c r="V15" s="7" t="s">
        <v>520</v>
      </c>
      <c r="W15" s="6" t="s">
        <v>72</v>
      </c>
      <c r="X15" s="6" t="s">
        <v>72</v>
      </c>
      <c r="Y15" s="6" t="s">
        <v>72</v>
      </c>
      <c r="Z15" s="6" t="s">
        <v>71</v>
      </c>
      <c r="AA15" s="6" t="s">
        <v>72</v>
      </c>
      <c r="AB15" s="6" t="s">
        <v>72</v>
      </c>
      <c r="AC15" s="6" t="s">
        <v>72</v>
      </c>
      <c r="AD15" s="6" t="s">
        <v>71</v>
      </c>
      <c r="AE15" s="6" t="s">
        <v>71</v>
      </c>
      <c r="AF15" s="6" t="s">
        <v>71</v>
      </c>
      <c r="AG15" s="6" t="s">
        <v>72</v>
      </c>
      <c r="AH15" s="6" t="s">
        <v>72</v>
      </c>
      <c r="AI15" s="6" t="s">
        <v>72</v>
      </c>
      <c r="AJ15" s="6" t="s">
        <v>71</v>
      </c>
      <c r="AK15" s="6" t="s">
        <v>71</v>
      </c>
      <c r="AL15" s="6" t="s">
        <v>72</v>
      </c>
      <c r="AM15" s="6" t="s">
        <v>72</v>
      </c>
      <c r="AN15" s="6" t="s">
        <v>71</v>
      </c>
      <c r="AO15" s="6" t="s">
        <v>71</v>
      </c>
    </row>
    <row r="16" spans="1:88">
      <c r="A16" s="5">
        <v>45363.650400023151</v>
      </c>
      <c r="B16" s="6" t="s">
        <v>586</v>
      </c>
      <c r="C16" s="6" t="s">
        <v>587</v>
      </c>
      <c r="D16" s="7" t="s">
        <v>588</v>
      </c>
      <c r="E16" s="6" t="s">
        <v>133</v>
      </c>
      <c r="F16" s="6" t="s">
        <v>594</v>
      </c>
      <c r="G16" s="6" t="s">
        <v>64</v>
      </c>
      <c r="H16" s="6" t="s">
        <v>595</v>
      </c>
      <c r="I16" s="6" t="s">
        <v>596</v>
      </c>
      <c r="J16" s="6" t="s">
        <v>597</v>
      </c>
      <c r="K16" s="6" t="s">
        <v>586</v>
      </c>
      <c r="L16" s="6" t="s">
        <v>245</v>
      </c>
      <c r="M16" s="6" t="s">
        <v>598</v>
      </c>
      <c r="N16" s="6">
        <v>20</v>
      </c>
      <c r="O16" s="6" t="s">
        <v>70</v>
      </c>
      <c r="P16" s="6">
        <v>3</v>
      </c>
      <c r="Q16" s="6">
        <v>3</v>
      </c>
      <c r="R16" s="6">
        <v>10</v>
      </c>
      <c r="T16" s="6" t="s">
        <v>72</v>
      </c>
      <c r="U16" s="6" t="s">
        <v>71</v>
      </c>
      <c r="V16" s="7" t="s">
        <v>520</v>
      </c>
      <c r="W16" s="6" t="s">
        <v>72</v>
      </c>
      <c r="X16" s="6" t="s">
        <v>72</v>
      </c>
      <c r="Y16" s="6" t="s">
        <v>72</v>
      </c>
      <c r="Z16" s="6" t="s">
        <v>71</v>
      </c>
      <c r="AA16" s="6" t="s">
        <v>72</v>
      </c>
      <c r="AB16" s="6" t="s">
        <v>72</v>
      </c>
      <c r="AC16" s="6" t="s">
        <v>72</v>
      </c>
      <c r="AD16" s="6" t="s">
        <v>71</v>
      </c>
      <c r="AE16" s="6" t="s">
        <v>71</v>
      </c>
      <c r="AF16" s="6" t="s">
        <v>71</v>
      </c>
      <c r="AG16" s="6" t="s">
        <v>72</v>
      </c>
      <c r="AH16" s="6" t="s">
        <v>72</v>
      </c>
      <c r="AI16" s="6" t="s">
        <v>72</v>
      </c>
      <c r="AJ16" s="6" t="s">
        <v>71</v>
      </c>
      <c r="AK16" s="6" t="s">
        <v>71</v>
      </c>
      <c r="AL16" s="6" t="s">
        <v>72</v>
      </c>
      <c r="AM16" s="6" t="s">
        <v>72</v>
      </c>
      <c r="AN16" s="6" t="s">
        <v>71</v>
      </c>
      <c r="AO16" s="6" t="s">
        <v>71</v>
      </c>
    </row>
    <row r="17" spans="1:42">
      <c r="A17" s="5">
        <v>45363.683418576387</v>
      </c>
      <c r="B17" s="6" t="s">
        <v>209</v>
      </c>
      <c r="C17" s="6" t="s">
        <v>210</v>
      </c>
      <c r="D17" s="7" t="s">
        <v>211</v>
      </c>
      <c r="E17" s="6" t="s">
        <v>286</v>
      </c>
      <c r="F17" s="6" t="s">
        <v>599</v>
      </c>
      <c r="G17" s="6" t="s">
        <v>105</v>
      </c>
      <c r="H17" s="6" t="s">
        <v>600</v>
      </c>
      <c r="I17" s="6" t="s">
        <v>601</v>
      </c>
      <c r="J17" s="6" t="s">
        <v>602</v>
      </c>
      <c r="K17" s="6" t="s">
        <v>209</v>
      </c>
      <c r="L17" s="6" t="s">
        <v>89</v>
      </c>
      <c r="M17" s="6" t="s">
        <v>217</v>
      </c>
      <c r="N17" s="6">
        <v>22</v>
      </c>
      <c r="O17" s="6" t="s">
        <v>148</v>
      </c>
      <c r="P17" s="6">
        <v>5</v>
      </c>
      <c r="Q17" s="6">
        <v>5</v>
      </c>
      <c r="R17" s="6">
        <v>90</v>
      </c>
      <c r="T17" s="6" t="s">
        <v>71</v>
      </c>
      <c r="U17" s="6" t="s">
        <v>72</v>
      </c>
      <c r="V17" s="7" t="s">
        <v>520</v>
      </c>
      <c r="W17" s="6" t="s">
        <v>72</v>
      </c>
      <c r="X17" s="6" t="s">
        <v>72</v>
      </c>
      <c r="Y17" s="6" t="s">
        <v>72</v>
      </c>
      <c r="Z17" s="6" t="s">
        <v>72</v>
      </c>
      <c r="AA17" s="6" t="s">
        <v>71</v>
      </c>
      <c r="AB17" s="6" t="s">
        <v>72</v>
      </c>
      <c r="AC17" s="6" t="s">
        <v>72</v>
      </c>
      <c r="AD17" s="6" t="s">
        <v>72</v>
      </c>
      <c r="AE17" s="6" t="s">
        <v>72</v>
      </c>
      <c r="AF17" s="6" t="s">
        <v>72</v>
      </c>
      <c r="AG17" s="6" t="s">
        <v>72</v>
      </c>
      <c r="AH17" s="6" t="s">
        <v>71</v>
      </c>
      <c r="AI17" s="6" t="s">
        <v>72</v>
      </c>
      <c r="AJ17" s="6" t="s">
        <v>72</v>
      </c>
      <c r="AK17" s="6" t="s">
        <v>72</v>
      </c>
      <c r="AL17" s="6" t="s">
        <v>72</v>
      </c>
      <c r="AM17" s="6" t="s">
        <v>71</v>
      </c>
      <c r="AN17" s="6" t="s">
        <v>72</v>
      </c>
      <c r="AO17" s="6" t="s">
        <v>72</v>
      </c>
    </row>
    <row r="18" spans="1:42">
      <c r="A18" s="5">
        <v>45363.707946979164</v>
      </c>
      <c r="B18" s="6" t="s">
        <v>603</v>
      </c>
      <c r="C18" s="6" t="s">
        <v>604</v>
      </c>
      <c r="D18" s="7" t="s">
        <v>605</v>
      </c>
      <c r="E18" s="6" t="s">
        <v>133</v>
      </c>
      <c r="F18" s="6" t="s">
        <v>192</v>
      </c>
      <c r="G18" s="6" t="s">
        <v>64</v>
      </c>
      <c r="H18" s="6" t="s">
        <v>606</v>
      </c>
      <c r="I18" s="6" t="s">
        <v>607</v>
      </c>
      <c r="J18" s="6" t="s">
        <v>608</v>
      </c>
      <c r="K18" s="6" t="s">
        <v>603</v>
      </c>
      <c r="L18" s="6" t="s">
        <v>89</v>
      </c>
      <c r="M18" s="6" t="s">
        <v>190</v>
      </c>
      <c r="N18" s="6">
        <v>35</v>
      </c>
      <c r="O18" s="6" t="s">
        <v>70</v>
      </c>
      <c r="P18" s="6">
        <v>2</v>
      </c>
      <c r="Q18" s="6">
        <v>3</v>
      </c>
      <c r="R18" s="6">
        <v>75</v>
      </c>
      <c r="T18" s="6" t="s">
        <v>71</v>
      </c>
      <c r="U18" s="6" t="s">
        <v>72</v>
      </c>
      <c r="V18" s="7" t="s">
        <v>520</v>
      </c>
      <c r="W18" s="6" t="s">
        <v>71</v>
      </c>
      <c r="X18" s="6" t="s">
        <v>72</v>
      </c>
      <c r="Y18" s="6" t="s">
        <v>72</v>
      </c>
      <c r="Z18" s="6" t="s">
        <v>72</v>
      </c>
      <c r="AA18" s="6" t="s">
        <v>72</v>
      </c>
      <c r="AB18" s="6" t="s">
        <v>71</v>
      </c>
      <c r="AC18" s="6" t="s">
        <v>72</v>
      </c>
      <c r="AD18" s="6" t="s">
        <v>72</v>
      </c>
      <c r="AE18" s="6" t="s">
        <v>72</v>
      </c>
      <c r="AF18" s="6" t="s">
        <v>72</v>
      </c>
      <c r="AG18" s="6" t="s">
        <v>72</v>
      </c>
      <c r="AH18" s="6" t="s">
        <v>72</v>
      </c>
      <c r="AI18" s="6" t="s">
        <v>71</v>
      </c>
      <c r="AJ18" s="6" t="s">
        <v>72</v>
      </c>
      <c r="AK18" s="6" t="s">
        <v>72</v>
      </c>
      <c r="AL18" s="6" t="s">
        <v>71</v>
      </c>
      <c r="AM18" s="6" t="s">
        <v>72</v>
      </c>
      <c r="AN18" s="6" t="s">
        <v>72</v>
      </c>
      <c r="AO18" s="6" t="s">
        <v>72</v>
      </c>
      <c r="AP18" s="6" t="s">
        <v>609</v>
      </c>
    </row>
    <row r="19" spans="1:42">
      <c r="A19" s="5">
        <v>45363.710773865736</v>
      </c>
      <c r="B19" s="6" t="s">
        <v>603</v>
      </c>
      <c r="C19" s="6" t="s">
        <v>610</v>
      </c>
      <c r="D19" s="7" t="s">
        <v>605</v>
      </c>
      <c r="E19" s="6" t="s">
        <v>133</v>
      </c>
      <c r="F19" s="6" t="s">
        <v>192</v>
      </c>
      <c r="G19" s="6" t="s">
        <v>64</v>
      </c>
      <c r="H19" s="6" t="s">
        <v>187</v>
      </c>
      <c r="I19" s="6" t="s">
        <v>611</v>
      </c>
      <c r="J19" s="6" t="s">
        <v>612</v>
      </c>
      <c r="K19" s="6" t="s">
        <v>603</v>
      </c>
      <c r="L19" s="6" t="s">
        <v>89</v>
      </c>
      <c r="M19" s="6" t="s">
        <v>190</v>
      </c>
      <c r="N19" s="6">
        <v>35</v>
      </c>
      <c r="O19" s="6" t="s">
        <v>70</v>
      </c>
      <c r="P19" s="6">
        <v>2</v>
      </c>
      <c r="Q19" s="6">
        <v>3</v>
      </c>
      <c r="R19" s="6">
        <v>75</v>
      </c>
      <c r="T19" s="6" t="s">
        <v>71</v>
      </c>
      <c r="U19" s="6" t="s">
        <v>72</v>
      </c>
      <c r="V19" s="7" t="s">
        <v>520</v>
      </c>
      <c r="W19" s="6" t="s">
        <v>71</v>
      </c>
      <c r="X19" s="6" t="s">
        <v>72</v>
      </c>
      <c r="Y19" s="6" t="s">
        <v>72</v>
      </c>
      <c r="Z19" s="6" t="s">
        <v>72</v>
      </c>
      <c r="AA19" s="6" t="s">
        <v>72</v>
      </c>
      <c r="AB19" s="6" t="s">
        <v>71</v>
      </c>
      <c r="AC19" s="6" t="s">
        <v>72</v>
      </c>
      <c r="AD19" s="6" t="s">
        <v>72</v>
      </c>
      <c r="AE19" s="6" t="s">
        <v>72</v>
      </c>
      <c r="AF19" s="6" t="s">
        <v>72</v>
      </c>
      <c r="AG19" s="6" t="s">
        <v>72</v>
      </c>
      <c r="AH19" s="6" t="s">
        <v>72</v>
      </c>
      <c r="AI19" s="6" t="s">
        <v>71</v>
      </c>
      <c r="AJ19" s="6" t="s">
        <v>72</v>
      </c>
      <c r="AK19" s="6" t="s">
        <v>72</v>
      </c>
      <c r="AL19" s="6" t="s">
        <v>71</v>
      </c>
      <c r="AM19" s="6" t="s">
        <v>72</v>
      </c>
      <c r="AN19" s="6" t="s">
        <v>72</v>
      </c>
      <c r="AO19" s="6" t="s">
        <v>72</v>
      </c>
      <c r="AP19" s="6" t="s">
        <v>609</v>
      </c>
    </row>
    <row r="20" spans="1:42">
      <c r="A20" s="5">
        <v>45363.723644571757</v>
      </c>
      <c r="B20" s="6" t="s">
        <v>195</v>
      </c>
      <c r="C20" s="6" t="s">
        <v>613</v>
      </c>
      <c r="D20" s="6">
        <v>61338200</v>
      </c>
      <c r="E20" s="6" t="s">
        <v>62</v>
      </c>
      <c r="F20" s="6" t="s">
        <v>104</v>
      </c>
      <c r="G20" s="6" t="s">
        <v>64</v>
      </c>
      <c r="H20" s="6" t="s">
        <v>614</v>
      </c>
      <c r="I20" s="6" t="s">
        <v>615</v>
      </c>
      <c r="J20" s="6" t="s">
        <v>616</v>
      </c>
      <c r="K20" s="6" t="s">
        <v>195</v>
      </c>
      <c r="L20" s="6" t="s">
        <v>68</v>
      </c>
      <c r="M20" s="6" t="s">
        <v>617</v>
      </c>
      <c r="N20" s="6">
        <v>30</v>
      </c>
      <c r="O20" s="6" t="s">
        <v>70</v>
      </c>
      <c r="P20" s="6">
        <v>5</v>
      </c>
      <c r="Q20" s="6">
        <v>5</v>
      </c>
      <c r="R20" s="6">
        <v>40</v>
      </c>
      <c r="S20" s="6" t="s">
        <v>200</v>
      </c>
      <c r="T20" s="6" t="s">
        <v>71</v>
      </c>
      <c r="U20" s="6" t="s">
        <v>72</v>
      </c>
      <c r="V20" s="7" t="s">
        <v>520</v>
      </c>
      <c r="W20" s="6" t="s">
        <v>71</v>
      </c>
      <c r="X20" s="6" t="s">
        <v>72</v>
      </c>
      <c r="Y20" s="6" t="s">
        <v>72</v>
      </c>
      <c r="Z20" s="6" t="s">
        <v>72</v>
      </c>
      <c r="AA20" s="6" t="s">
        <v>72</v>
      </c>
      <c r="AB20" s="6" t="s">
        <v>72</v>
      </c>
      <c r="AC20" s="6" t="s">
        <v>72</v>
      </c>
      <c r="AD20" s="6" t="s">
        <v>71</v>
      </c>
      <c r="AE20" s="6" t="s">
        <v>72</v>
      </c>
      <c r="AF20" s="6" t="s">
        <v>72</v>
      </c>
      <c r="AG20" s="6" t="s">
        <v>72</v>
      </c>
      <c r="AH20" s="6" t="s">
        <v>71</v>
      </c>
      <c r="AJ20" s="6" t="s">
        <v>72</v>
      </c>
      <c r="AK20" s="6" t="s">
        <v>72</v>
      </c>
      <c r="AL20" s="6" t="s">
        <v>72</v>
      </c>
      <c r="AM20" s="6" t="s">
        <v>71</v>
      </c>
      <c r="AN20" s="6" t="s">
        <v>72</v>
      </c>
      <c r="AO20" s="6" t="s">
        <v>72</v>
      </c>
    </row>
    <row r="21" spans="1:42">
      <c r="A21" s="5">
        <v>45363.726919548615</v>
      </c>
      <c r="B21" s="6" t="s">
        <v>195</v>
      </c>
      <c r="C21" s="6" t="s">
        <v>618</v>
      </c>
      <c r="D21" s="6">
        <v>61338200</v>
      </c>
      <c r="E21" s="6" t="s">
        <v>62</v>
      </c>
      <c r="F21" s="6" t="s">
        <v>619</v>
      </c>
      <c r="G21" s="6" t="s">
        <v>64</v>
      </c>
      <c r="H21" s="6" t="s">
        <v>620</v>
      </c>
      <c r="I21" s="6" t="s">
        <v>621</v>
      </c>
      <c r="J21" s="6" t="s">
        <v>622</v>
      </c>
      <c r="K21" s="6" t="s">
        <v>195</v>
      </c>
      <c r="L21" s="6" t="s">
        <v>68</v>
      </c>
      <c r="M21" s="6" t="s">
        <v>623</v>
      </c>
      <c r="N21" s="6">
        <v>30</v>
      </c>
      <c r="O21" s="6" t="s">
        <v>70</v>
      </c>
      <c r="P21" s="6">
        <v>5</v>
      </c>
      <c r="Q21" s="6">
        <v>5</v>
      </c>
      <c r="R21" s="6">
        <v>40</v>
      </c>
      <c r="S21" s="6" t="s">
        <v>200</v>
      </c>
      <c r="T21" s="6" t="s">
        <v>71</v>
      </c>
      <c r="U21" s="6" t="s">
        <v>71</v>
      </c>
      <c r="V21" s="7" t="s">
        <v>520</v>
      </c>
      <c r="W21" s="6" t="s">
        <v>71</v>
      </c>
      <c r="X21" s="6" t="s">
        <v>72</v>
      </c>
      <c r="Y21" s="6" t="s">
        <v>72</v>
      </c>
      <c r="Z21" s="6" t="s">
        <v>72</v>
      </c>
      <c r="AA21" s="6" t="s">
        <v>72</v>
      </c>
      <c r="AB21" s="6" t="s">
        <v>72</v>
      </c>
      <c r="AC21" s="6" t="s">
        <v>72</v>
      </c>
      <c r="AD21" s="6" t="s">
        <v>71</v>
      </c>
      <c r="AE21" s="6" t="s">
        <v>72</v>
      </c>
      <c r="AF21" s="6" t="s">
        <v>72</v>
      </c>
      <c r="AG21" s="6" t="s">
        <v>72</v>
      </c>
      <c r="AH21" s="6" t="s">
        <v>71</v>
      </c>
      <c r="AI21" s="6" t="s">
        <v>72</v>
      </c>
      <c r="AJ21" s="6" t="s">
        <v>72</v>
      </c>
      <c r="AK21" s="6" t="s">
        <v>72</v>
      </c>
      <c r="AL21" s="6" t="s">
        <v>72</v>
      </c>
      <c r="AM21" s="6" t="s">
        <v>71</v>
      </c>
      <c r="AN21" s="6" t="s">
        <v>72</v>
      </c>
      <c r="AO21" s="6" t="s">
        <v>72</v>
      </c>
    </row>
    <row r="22" spans="1:42">
      <c r="A22" s="5">
        <v>45363.726925532406</v>
      </c>
      <c r="B22" s="6" t="s">
        <v>624</v>
      </c>
      <c r="C22" s="6" t="s">
        <v>625</v>
      </c>
      <c r="D22" s="6">
        <v>1111111</v>
      </c>
      <c r="E22" s="6" t="s">
        <v>62</v>
      </c>
      <c r="F22" s="6" t="s">
        <v>198</v>
      </c>
      <c r="G22" s="6" t="s">
        <v>105</v>
      </c>
      <c r="H22" s="6" t="s">
        <v>626</v>
      </c>
      <c r="I22" s="6" t="s">
        <v>627</v>
      </c>
      <c r="K22" s="6" t="s">
        <v>624</v>
      </c>
      <c r="L22" s="6" t="s">
        <v>138</v>
      </c>
      <c r="M22" s="6" t="s">
        <v>628</v>
      </c>
      <c r="N22" s="6">
        <v>35</v>
      </c>
      <c r="O22" s="6" t="s">
        <v>282</v>
      </c>
      <c r="P22" s="6">
        <v>5</v>
      </c>
      <c r="Q22" s="6">
        <v>5</v>
      </c>
      <c r="R22" s="6">
        <v>0</v>
      </c>
      <c r="T22" s="6" t="s">
        <v>71</v>
      </c>
      <c r="U22" s="6" t="s">
        <v>71</v>
      </c>
      <c r="V22" s="7" t="s">
        <v>520</v>
      </c>
      <c r="W22" s="6" t="s">
        <v>71</v>
      </c>
      <c r="X22" s="6" t="s">
        <v>71</v>
      </c>
      <c r="Y22" s="6" t="s">
        <v>71</v>
      </c>
      <c r="Z22" s="6" t="s">
        <v>71</v>
      </c>
      <c r="AA22" s="6" t="s">
        <v>71</v>
      </c>
      <c r="AB22" s="6" t="s">
        <v>71</v>
      </c>
      <c r="AC22" s="6" t="s">
        <v>71</v>
      </c>
      <c r="AD22" s="6" t="s">
        <v>71</v>
      </c>
      <c r="AE22" s="6" t="s">
        <v>72</v>
      </c>
      <c r="AF22" s="6" t="s">
        <v>72</v>
      </c>
      <c r="AG22" s="6" t="s">
        <v>71</v>
      </c>
      <c r="AL22" s="6" t="s">
        <v>71</v>
      </c>
      <c r="AM22" s="6" t="s">
        <v>71</v>
      </c>
    </row>
    <row r="23" spans="1:42">
      <c r="A23" s="5">
        <v>45363.729623333333</v>
      </c>
      <c r="B23" s="6" t="s">
        <v>624</v>
      </c>
      <c r="C23" s="6" t="s">
        <v>629</v>
      </c>
      <c r="D23" s="6">
        <v>1111111</v>
      </c>
      <c r="E23" s="6" t="s">
        <v>62</v>
      </c>
      <c r="F23" s="6" t="s">
        <v>630</v>
      </c>
      <c r="G23" s="6" t="s">
        <v>105</v>
      </c>
      <c r="H23" s="6" t="s">
        <v>626</v>
      </c>
      <c r="I23" s="6" t="s">
        <v>631</v>
      </c>
      <c r="K23" s="6" t="s">
        <v>624</v>
      </c>
      <c r="L23" s="6" t="s">
        <v>138</v>
      </c>
      <c r="M23" s="6" t="s">
        <v>628</v>
      </c>
      <c r="N23" s="6">
        <v>35</v>
      </c>
      <c r="O23" s="6" t="s">
        <v>282</v>
      </c>
      <c r="P23" s="6">
        <v>5</v>
      </c>
      <c r="Q23" s="6">
        <v>5</v>
      </c>
      <c r="R23" s="6">
        <v>0</v>
      </c>
      <c r="T23" s="6" t="s">
        <v>71</v>
      </c>
      <c r="U23" s="6" t="s">
        <v>71</v>
      </c>
      <c r="V23" s="7" t="s">
        <v>520</v>
      </c>
      <c r="W23" s="6" t="s">
        <v>71</v>
      </c>
      <c r="X23" s="6" t="s">
        <v>71</v>
      </c>
      <c r="Y23" s="6" t="s">
        <v>71</v>
      </c>
      <c r="Z23" s="6" t="s">
        <v>71</v>
      </c>
      <c r="AA23" s="6" t="s">
        <v>71</v>
      </c>
      <c r="AB23" s="6" t="s">
        <v>71</v>
      </c>
      <c r="AC23" s="6" t="s">
        <v>71</v>
      </c>
      <c r="AD23" s="6" t="s">
        <v>71</v>
      </c>
      <c r="AE23" s="6" t="s">
        <v>71</v>
      </c>
      <c r="AF23" s="6" t="s">
        <v>71</v>
      </c>
      <c r="AG23" s="6" t="s">
        <v>71</v>
      </c>
      <c r="AH23" s="6" t="s">
        <v>71</v>
      </c>
      <c r="AI23" s="6" t="s">
        <v>71</v>
      </c>
      <c r="AJ23" s="6" t="s">
        <v>71</v>
      </c>
      <c r="AK23" s="6" t="s">
        <v>71</v>
      </c>
      <c r="AL23" s="6" t="s">
        <v>71</v>
      </c>
      <c r="AM23" s="6" t="s">
        <v>71</v>
      </c>
      <c r="AN23" s="6" t="s">
        <v>71</v>
      </c>
      <c r="AO23" s="6" t="s">
        <v>71</v>
      </c>
    </row>
    <row r="24" spans="1:42">
      <c r="A24" s="5">
        <v>45363.865755532403</v>
      </c>
      <c r="B24" s="6" t="s">
        <v>632</v>
      </c>
      <c r="C24" s="6" t="s">
        <v>633</v>
      </c>
      <c r="D24" s="7" t="s">
        <v>634</v>
      </c>
      <c r="E24" s="6" t="s">
        <v>62</v>
      </c>
      <c r="F24" s="6" t="s">
        <v>635</v>
      </c>
      <c r="G24" s="6" t="s">
        <v>105</v>
      </c>
      <c r="H24" s="6" t="s">
        <v>636</v>
      </c>
      <c r="I24" s="6" t="s">
        <v>637</v>
      </c>
      <c r="J24" s="6" t="s">
        <v>638</v>
      </c>
      <c r="K24" s="6" t="s">
        <v>632</v>
      </c>
      <c r="L24" s="6" t="s">
        <v>245</v>
      </c>
      <c r="M24" s="6" t="s">
        <v>639</v>
      </c>
      <c r="N24" s="6">
        <v>35</v>
      </c>
      <c r="O24" s="6" t="s">
        <v>70</v>
      </c>
      <c r="P24" s="6">
        <v>3</v>
      </c>
      <c r="Q24" s="6">
        <v>5</v>
      </c>
      <c r="R24" s="6">
        <v>40</v>
      </c>
      <c r="T24" s="6" t="s">
        <v>72</v>
      </c>
      <c r="U24" s="6" t="s">
        <v>71</v>
      </c>
      <c r="V24" s="7" t="s">
        <v>520</v>
      </c>
      <c r="W24" s="6" t="s">
        <v>72</v>
      </c>
      <c r="X24" s="6" t="s">
        <v>72</v>
      </c>
      <c r="Y24" s="6" t="s">
        <v>72</v>
      </c>
      <c r="Z24" s="6" t="s">
        <v>72</v>
      </c>
      <c r="AA24" s="6" t="s">
        <v>72</v>
      </c>
      <c r="AB24" s="6" t="s">
        <v>72</v>
      </c>
      <c r="AC24" s="6" t="s">
        <v>72</v>
      </c>
      <c r="AD24" s="6" t="s">
        <v>71</v>
      </c>
      <c r="AE24" s="6" t="s">
        <v>72</v>
      </c>
      <c r="AF24" s="6" t="s">
        <v>72</v>
      </c>
      <c r="AJ24" s="6" t="s">
        <v>71</v>
      </c>
      <c r="AO24" s="6" t="s">
        <v>71</v>
      </c>
      <c r="AP24" s="6" t="s">
        <v>640</v>
      </c>
    </row>
    <row r="25" spans="1:42">
      <c r="A25" s="5">
        <v>45363.86855363426</v>
      </c>
      <c r="B25" s="6" t="s">
        <v>641</v>
      </c>
      <c r="C25" s="6" t="s">
        <v>642</v>
      </c>
      <c r="D25" s="6">
        <v>20129700</v>
      </c>
      <c r="E25" s="6" t="s">
        <v>62</v>
      </c>
      <c r="F25" s="6" t="s">
        <v>643</v>
      </c>
      <c r="G25" s="6" t="s">
        <v>105</v>
      </c>
      <c r="H25" s="6" t="s">
        <v>644</v>
      </c>
      <c r="I25" s="6" t="s">
        <v>645</v>
      </c>
      <c r="J25" s="6" t="s">
        <v>646</v>
      </c>
      <c r="K25" s="6" t="s">
        <v>641</v>
      </c>
      <c r="L25" s="6" t="s">
        <v>89</v>
      </c>
      <c r="M25" s="6" t="s">
        <v>208</v>
      </c>
      <c r="N25" s="6">
        <v>26</v>
      </c>
      <c r="O25" s="6" t="s">
        <v>70</v>
      </c>
      <c r="P25" s="6">
        <v>5</v>
      </c>
      <c r="Q25" s="6">
        <v>4</v>
      </c>
      <c r="R25" s="6">
        <v>10</v>
      </c>
      <c r="T25" s="6" t="s">
        <v>71</v>
      </c>
      <c r="U25" s="6" t="s">
        <v>72</v>
      </c>
      <c r="V25" s="7" t="s">
        <v>520</v>
      </c>
      <c r="W25" s="6" t="s">
        <v>71</v>
      </c>
      <c r="X25" s="6" t="s">
        <v>72</v>
      </c>
      <c r="Y25" s="6" t="s">
        <v>72</v>
      </c>
      <c r="Z25" s="6" t="s">
        <v>72</v>
      </c>
      <c r="AA25" s="6" t="s">
        <v>72</v>
      </c>
      <c r="AB25" s="6" t="s">
        <v>71</v>
      </c>
      <c r="AC25" s="6" t="s">
        <v>72</v>
      </c>
      <c r="AD25" s="6" t="s">
        <v>72</v>
      </c>
      <c r="AE25" s="6" t="s">
        <v>72</v>
      </c>
      <c r="AF25" s="6" t="s">
        <v>72</v>
      </c>
      <c r="AG25" s="6" t="s">
        <v>72</v>
      </c>
      <c r="AH25" s="6" t="s">
        <v>72</v>
      </c>
      <c r="AI25" s="6" t="s">
        <v>71</v>
      </c>
      <c r="AJ25" s="6" t="s">
        <v>72</v>
      </c>
      <c r="AK25" s="6" t="s">
        <v>72</v>
      </c>
      <c r="AL25" s="6" t="s">
        <v>72</v>
      </c>
      <c r="AM25" s="6" t="s">
        <v>72</v>
      </c>
      <c r="AN25" s="6" t="s">
        <v>72</v>
      </c>
      <c r="AO25" s="6" t="s">
        <v>72</v>
      </c>
    </row>
    <row r="26" spans="1:42">
      <c r="A26" s="5">
        <v>45363.972373113429</v>
      </c>
      <c r="B26" s="6" t="s">
        <v>647</v>
      </c>
      <c r="C26" s="6" t="s">
        <v>648</v>
      </c>
      <c r="D26" s="7" t="s">
        <v>649</v>
      </c>
      <c r="E26" s="6" t="s">
        <v>506</v>
      </c>
      <c r="F26" s="6" t="s">
        <v>650</v>
      </c>
      <c r="G26" s="6" t="s">
        <v>64</v>
      </c>
      <c r="H26" s="6" t="s">
        <v>651</v>
      </c>
      <c r="I26" s="6" t="s">
        <v>652</v>
      </c>
      <c r="J26" s="6" t="s">
        <v>653</v>
      </c>
      <c r="K26" s="6" t="s">
        <v>654</v>
      </c>
      <c r="L26" s="6" t="s">
        <v>138</v>
      </c>
      <c r="M26" s="6" t="s">
        <v>655</v>
      </c>
      <c r="N26" s="6">
        <v>22</v>
      </c>
      <c r="O26" s="6" t="s">
        <v>148</v>
      </c>
      <c r="P26" s="6">
        <v>5</v>
      </c>
      <c r="Q26" s="6">
        <v>3</v>
      </c>
      <c r="R26" s="6">
        <v>0</v>
      </c>
      <c r="S26" s="6" t="s">
        <v>656</v>
      </c>
      <c r="T26" s="6" t="s">
        <v>71</v>
      </c>
      <c r="U26" s="6" t="s">
        <v>71</v>
      </c>
      <c r="V26" s="7" t="s">
        <v>520</v>
      </c>
      <c r="W26" s="6" t="s">
        <v>71</v>
      </c>
      <c r="X26" s="6" t="s">
        <v>71</v>
      </c>
      <c r="Y26" s="6" t="s">
        <v>71</v>
      </c>
      <c r="Z26" s="6" t="s">
        <v>72</v>
      </c>
      <c r="AA26" s="6" t="s">
        <v>71</v>
      </c>
      <c r="AB26" s="6" t="s">
        <v>71</v>
      </c>
      <c r="AC26" s="6" t="s">
        <v>71</v>
      </c>
      <c r="AD26" s="6" t="s">
        <v>71</v>
      </c>
      <c r="AE26" s="6" t="s">
        <v>71</v>
      </c>
      <c r="AF26" s="6" t="s">
        <v>72</v>
      </c>
      <c r="AG26" s="6" t="s">
        <v>71</v>
      </c>
      <c r="AH26" s="6" t="s">
        <v>71</v>
      </c>
      <c r="AI26" s="6" t="s">
        <v>71</v>
      </c>
      <c r="AJ26" s="6" t="s">
        <v>71</v>
      </c>
      <c r="AK26" s="6" t="s">
        <v>72</v>
      </c>
      <c r="AL26" s="6" t="s">
        <v>71</v>
      </c>
      <c r="AM26" s="6" t="s">
        <v>71</v>
      </c>
      <c r="AN26" s="6" t="s">
        <v>72</v>
      </c>
      <c r="AO26" s="6" t="s">
        <v>72</v>
      </c>
    </row>
    <row r="27" spans="1:42">
      <c r="A27" s="5">
        <v>45364.024851504626</v>
      </c>
      <c r="B27" s="6" t="s">
        <v>657</v>
      </c>
      <c r="C27" s="6" t="s">
        <v>658</v>
      </c>
      <c r="D27" s="7" t="s">
        <v>659</v>
      </c>
      <c r="E27" s="6" t="s">
        <v>62</v>
      </c>
      <c r="F27" s="6" t="s">
        <v>660</v>
      </c>
      <c r="G27" s="6" t="s">
        <v>105</v>
      </c>
      <c r="H27" s="6" t="s">
        <v>221</v>
      </c>
      <c r="I27" s="6" t="s">
        <v>661</v>
      </c>
      <c r="J27" s="6" t="s">
        <v>662</v>
      </c>
      <c r="K27" s="6" t="s">
        <v>663</v>
      </c>
      <c r="L27" s="6" t="s">
        <v>89</v>
      </c>
      <c r="M27" s="6" t="s">
        <v>664</v>
      </c>
      <c r="N27" s="6">
        <v>35</v>
      </c>
      <c r="O27" s="6" t="s">
        <v>70</v>
      </c>
      <c r="P27" s="6">
        <v>3</v>
      </c>
      <c r="Q27" s="6">
        <v>3</v>
      </c>
      <c r="R27" s="6">
        <v>80</v>
      </c>
      <c r="S27" s="6" t="s">
        <v>665</v>
      </c>
      <c r="T27" s="6" t="s">
        <v>71</v>
      </c>
      <c r="U27" s="6" t="s">
        <v>72</v>
      </c>
      <c r="V27" s="7" t="s">
        <v>520</v>
      </c>
      <c r="W27" s="6" t="s">
        <v>72</v>
      </c>
      <c r="X27" s="6" t="s">
        <v>72</v>
      </c>
      <c r="Y27" s="6" t="s">
        <v>71</v>
      </c>
      <c r="Z27" s="6" t="s">
        <v>72</v>
      </c>
      <c r="AA27" s="6" t="s">
        <v>72</v>
      </c>
      <c r="AB27" s="6" t="s">
        <v>72</v>
      </c>
      <c r="AC27" s="6" t="s">
        <v>72</v>
      </c>
      <c r="AD27" s="6" t="s">
        <v>72</v>
      </c>
      <c r="AE27" s="6" t="s">
        <v>72</v>
      </c>
      <c r="AF27" s="6" t="s">
        <v>72</v>
      </c>
      <c r="AG27" s="6" t="s">
        <v>71</v>
      </c>
      <c r="AH27" s="6" t="s">
        <v>72</v>
      </c>
      <c r="AI27" s="6" t="s">
        <v>72</v>
      </c>
      <c r="AJ27" s="6" t="s">
        <v>72</v>
      </c>
      <c r="AK27" s="6" t="s">
        <v>72</v>
      </c>
      <c r="AL27" s="6" t="s">
        <v>71</v>
      </c>
      <c r="AM27" s="6" t="s">
        <v>72</v>
      </c>
      <c r="AN27" s="6" t="s">
        <v>72</v>
      </c>
      <c r="AO27" s="6" t="s">
        <v>72</v>
      </c>
    </row>
    <row r="28" spans="1:42">
      <c r="A28" s="5">
        <v>45364.025561747687</v>
      </c>
      <c r="B28" s="6" t="s">
        <v>666</v>
      </c>
      <c r="C28" s="6" t="s">
        <v>667</v>
      </c>
      <c r="D28" s="7" t="s">
        <v>634</v>
      </c>
      <c r="E28" s="6" t="s">
        <v>62</v>
      </c>
      <c r="F28" s="6" t="s">
        <v>198</v>
      </c>
      <c r="G28" s="6" t="s">
        <v>105</v>
      </c>
      <c r="H28" s="6" t="s">
        <v>637</v>
      </c>
      <c r="I28" s="6" t="s">
        <v>668</v>
      </c>
      <c r="J28" s="6" t="s">
        <v>669</v>
      </c>
      <c r="K28" s="6" t="s">
        <v>666</v>
      </c>
      <c r="L28" s="6" t="s">
        <v>245</v>
      </c>
      <c r="M28" s="6" t="s">
        <v>670</v>
      </c>
      <c r="N28" s="6">
        <v>35</v>
      </c>
      <c r="O28" s="6" t="s">
        <v>70</v>
      </c>
      <c r="P28" s="6">
        <v>3</v>
      </c>
      <c r="Q28" s="6">
        <v>4</v>
      </c>
      <c r="R28" s="6">
        <v>40</v>
      </c>
      <c r="T28" s="6" t="s">
        <v>71</v>
      </c>
      <c r="U28" s="6" t="s">
        <v>71</v>
      </c>
      <c r="V28" s="7" t="s">
        <v>520</v>
      </c>
      <c r="W28" s="6" t="s">
        <v>72</v>
      </c>
      <c r="X28" s="6" t="s">
        <v>71</v>
      </c>
      <c r="Y28" s="6" t="s">
        <v>71</v>
      </c>
      <c r="Z28" s="6" t="s">
        <v>71</v>
      </c>
      <c r="AA28" s="6" t="s">
        <v>72</v>
      </c>
      <c r="AB28" s="6" t="s">
        <v>71</v>
      </c>
      <c r="AC28" s="6" t="s">
        <v>71</v>
      </c>
      <c r="AD28" s="6" t="s">
        <v>71</v>
      </c>
      <c r="AE28" s="6" t="s">
        <v>71</v>
      </c>
      <c r="AF28" s="6" t="s">
        <v>71</v>
      </c>
      <c r="AG28" s="6" t="s">
        <v>72</v>
      </c>
      <c r="AH28" s="6" t="s">
        <v>71</v>
      </c>
      <c r="AI28" s="6" t="s">
        <v>71</v>
      </c>
      <c r="AJ28" s="6" t="s">
        <v>71</v>
      </c>
      <c r="AK28" s="6" t="s">
        <v>71</v>
      </c>
      <c r="AL28" s="6" t="s">
        <v>71</v>
      </c>
      <c r="AM28" s="6" t="s">
        <v>71</v>
      </c>
      <c r="AN28" s="6" t="s">
        <v>71</v>
      </c>
      <c r="AO28" s="6" t="s">
        <v>71</v>
      </c>
    </row>
    <row r="29" spans="1:42">
      <c r="A29" s="5">
        <v>45364.037362789357</v>
      </c>
      <c r="B29" s="6" t="s">
        <v>657</v>
      </c>
      <c r="C29" s="6" t="s">
        <v>671</v>
      </c>
      <c r="D29" s="6">
        <v>201177</v>
      </c>
      <c r="E29" s="6" t="s">
        <v>62</v>
      </c>
      <c r="F29" s="6" t="s">
        <v>672</v>
      </c>
      <c r="G29" s="6" t="s">
        <v>105</v>
      </c>
      <c r="H29" s="6" t="s">
        <v>221</v>
      </c>
      <c r="I29" s="6" t="s">
        <v>673</v>
      </c>
      <c r="J29" s="6" t="s">
        <v>662</v>
      </c>
      <c r="K29" s="6" t="s">
        <v>657</v>
      </c>
      <c r="L29" s="6" t="s">
        <v>89</v>
      </c>
      <c r="M29" s="6" t="s">
        <v>664</v>
      </c>
      <c r="N29" s="6">
        <v>35</v>
      </c>
      <c r="O29" s="6" t="s">
        <v>70</v>
      </c>
      <c r="P29" s="6">
        <v>3</v>
      </c>
      <c r="Q29" s="6">
        <v>3</v>
      </c>
      <c r="R29" s="6">
        <v>85</v>
      </c>
      <c r="T29" s="6" t="s">
        <v>71</v>
      </c>
      <c r="U29" s="6" t="s">
        <v>72</v>
      </c>
      <c r="V29" s="7" t="s">
        <v>520</v>
      </c>
      <c r="W29" s="6" t="s">
        <v>72</v>
      </c>
      <c r="X29" s="6" t="s">
        <v>72</v>
      </c>
      <c r="Y29" s="6" t="s">
        <v>71</v>
      </c>
      <c r="Z29" s="6" t="s">
        <v>72</v>
      </c>
      <c r="AA29" s="6" t="s">
        <v>72</v>
      </c>
      <c r="AB29" s="6" t="s">
        <v>72</v>
      </c>
      <c r="AC29" s="6" t="s">
        <v>72</v>
      </c>
      <c r="AD29" s="6" t="s">
        <v>72</v>
      </c>
      <c r="AE29" s="6" t="s">
        <v>72</v>
      </c>
      <c r="AF29" s="6" t="s">
        <v>72</v>
      </c>
      <c r="AG29" s="6" t="s">
        <v>71</v>
      </c>
      <c r="AH29" s="6" t="s">
        <v>72</v>
      </c>
      <c r="AI29" s="6" t="s">
        <v>72</v>
      </c>
      <c r="AJ29" s="6" t="s">
        <v>72</v>
      </c>
      <c r="AK29" s="6" t="s">
        <v>72</v>
      </c>
      <c r="AL29" s="6" t="s">
        <v>72</v>
      </c>
      <c r="AM29" s="6" t="s">
        <v>71</v>
      </c>
      <c r="AN29" s="6" t="s">
        <v>72</v>
      </c>
      <c r="AO29" s="6" t="s">
        <v>72</v>
      </c>
    </row>
    <row r="30" spans="1:42">
      <c r="A30" s="5">
        <v>45364.391120439817</v>
      </c>
      <c r="B30" s="6" t="s">
        <v>674</v>
      </c>
      <c r="C30" s="6" t="s">
        <v>675</v>
      </c>
      <c r="D30" s="6">
        <v>61</v>
      </c>
      <c r="E30" s="6" t="s">
        <v>133</v>
      </c>
      <c r="F30" s="6" t="s">
        <v>676</v>
      </c>
      <c r="G30" s="6" t="s">
        <v>64</v>
      </c>
      <c r="H30" s="6" t="s">
        <v>677</v>
      </c>
      <c r="I30" s="6" t="s">
        <v>678</v>
      </c>
      <c r="J30" s="6" t="s">
        <v>679</v>
      </c>
      <c r="K30" s="6" t="s">
        <v>680</v>
      </c>
      <c r="L30" s="6" t="s">
        <v>89</v>
      </c>
      <c r="M30" s="6" t="s">
        <v>681</v>
      </c>
      <c r="N30" s="6">
        <v>35</v>
      </c>
      <c r="O30" s="6" t="s">
        <v>70</v>
      </c>
      <c r="P30" s="6">
        <v>4</v>
      </c>
      <c r="Q30" s="6">
        <v>4</v>
      </c>
      <c r="R30" s="6">
        <v>10</v>
      </c>
      <c r="T30" s="6" t="s">
        <v>71</v>
      </c>
      <c r="U30" s="6" t="s">
        <v>72</v>
      </c>
      <c r="V30" s="7" t="s">
        <v>520</v>
      </c>
      <c r="W30" s="6" t="s">
        <v>71</v>
      </c>
      <c r="X30" s="6" t="s">
        <v>71</v>
      </c>
      <c r="Y30" s="6" t="s">
        <v>72</v>
      </c>
      <c r="Z30" s="6" t="s">
        <v>72</v>
      </c>
      <c r="AA30" s="6" t="s">
        <v>71</v>
      </c>
      <c r="AB30" s="6" t="s">
        <v>71</v>
      </c>
      <c r="AC30" s="6" t="s">
        <v>71</v>
      </c>
      <c r="AD30" s="6" t="s">
        <v>71</v>
      </c>
      <c r="AE30" s="6" t="s">
        <v>72</v>
      </c>
      <c r="AF30" s="6" t="s">
        <v>72</v>
      </c>
      <c r="AG30" s="6" t="s">
        <v>71</v>
      </c>
      <c r="AH30" s="6" t="s">
        <v>71</v>
      </c>
      <c r="AI30" s="6" t="s">
        <v>71</v>
      </c>
      <c r="AJ30" s="6" t="s">
        <v>72</v>
      </c>
      <c r="AK30" s="6" t="s">
        <v>72</v>
      </c>
      <c r="AL30" s="6" t="s">
        <v>71</v>
      </c>
      <c r="AM30" s="6" t="s">
        <v>71</v>
      </c>
      <c r="AN30" s="6" t="s">
        <v>72</v>
      </c>
      <c r="AO30" s="6" t="s">
        <v>72</v>
      </c>
    </row>
    <row r="31" spans="1:42">
      <c r="A31" s="5">
        <v>45364.40170357639</v>
      </c>
      <c r="B31" s="6" t="s">
        <v>680</v>
      </c>
      <c r="C31" s="6" t="s">
        <v>682</v>
      </c>
      <c r="D31" s="6">
        <v>61</v>
      </c>
      <c r="E31" s="6" t="s">
        <v>133</v>
      </c>
      <c r="F31" s="6" t="s">
        <v>345</v>
      </c>
      <c r="G31" s="6" t="s">
        <v>64</v>
      </c>
      <c r="H31" s="6" t="s">
        <v>683</v>
      </c>
      <c r="I31" s="6" t="s">
        <v>684</v>
      </c>
      <c r="J31" s="6" t="s">
        <v>685</v>
      </c>
      <c r="K31" s="6" t="s">
        <v>680</v>
      </c>
      <c r="L31" s="6" t="s">
        <v>89</v>
      </c>
      <c r="M31" s="6" t="s">
        <v>686</v>
      </c>
      <c r="N31" s="6">
        <v>35</v>
      </c>
      <c r="O31" s="6" t="s">
        <v>70</v>
      </c>
      <c r="P31" s="6">
        <v>4</v>
      </c>
      <c r="Q31" s="6">
        <v>4</v>
      </c>
      <c r="R31" s="6">
        <v>10</v>
      </c>
      <c r="T31" s="6" t="s">
        <v>71</v>
      </c>
      <c r="U31" s="6" t="s">
        <v>72</v>
      </c>
      <c r="V31" s="7" t="s">
        <v>520</v>
      </c>
      <c r="W31" s="6" t="s">
        <v>71</v>
      </c>
      <c r="X31" s="6" t="s">
        <v>71</v>
      </c>
      <c r="Y31" s="6" t="s">
        <v>71</v>
      </c>
      <c r="Z31" s="6" t="s">
        <v>72</v>
      </c>
      <c r="AA31" s="6" t="s">
        <v>71</v>
      </c>
      <c r="AB31" s="6" t="s">
        <v>71</v>
      </c>
      <c r="AC31" s="6" t="s">
        <v>71</v>
      </c>
      <c r="AD31" s="6" t="s">
        <v>72</v>
      </c>
      <c r="AE31" s="6" t="s">
        <v>72</v>
      </c>
      <c r="AF31" s="6" t="s">
        <v>72</v>
      </c>
      <c r="AG31" s="6" t="s">
        <v>71</v>
      </c>
      <c r="AH31" s="6" t="s">
        <v>71</v>
      </c>
      <c r="AI31" s="6" t="s">
        <v>71</v>
      </c>
      <c r="AJ31" s="6" t="s">
        <v>72</v>
      </c>
      <c r="AK31" s="6" t="s">
        <v>72</v>
      </c>
      <c r="AL31" s="6" t="s">
        <v>71</v>
      </c>
      <c r="AM31" s="6" t="s">
        <v>71</v>
      </c>
      <c r="AN31" s="6" t="s">
        <v>72</v>
      </c>
      <c r="AO31" s="6" t="s">
        <v>72</v>
      </c>
      <c r="AP31" s="6" t="s">
        <v>687</v>
      </c>
    </row>
    <row r="32" spans="1:42">
      <c r="A32" s="5">
        <v>45364.428571932869</v>
      </c>
      <c r="B32" s="6" t="s">
        <v>688</v>
      </c>
      <c r="C32" s="6" t="s">
        <v>689</v>
      </c>
      <c r="D32" s="7" t="s">
        <v>690</v>
      </c>
      <c r="E32" s="6" t="s">
        <v>62</v>
      </c>
      <c r="F32" s="6" t="s">
        <v>691</v>
      </c>
      <c r="G32" s="6" t="s">
        <v>64</v>
      </c>
      <c r="H32" s="6" t="s">
        <v>692</v>
      </c>
      <c r="I32" s="6" t="s">
        <v>693</v>
      </c>
      <c r="J32" s="6" t="s">
        <v>694</v>
      </c>
      <c r="K32" s="6" t="s">
        <v>688</v>
      </c>
      <c r="L32" s="6" t="s">
        <v>138</v>
      </c>
      <c r="M32" s="6" t="s">
        <v>695</v>
      </c>
      <c r="N32" s="6">
        <v>32</v>
      </c>
      <c r="O32" s="6" t="s">
        <v>70</v>
      </c>
      <c r="P32" s="6">
        <v>5</v>
      </c>
      <c r="Q32" s="6">
        <v>3</v>
      </c>
      <c r="R32" s="6">
        <v>0</v>
      </c>
      <c r="T32" s="6" t="s">
        <v>71</v>
      </c>
      <c r="U32" s="6" t="s">
        <v>72</v>
      </c>
      <c r="V32" s="7" t="s">
        <v>520</v>
      </c>
      <c r="W32" s="6" t="s">
        <v>71</v>
      </c>
      <c r="X32" s="6" t="s">
        <v>71</v>
      </c>
      <c r="Y32" s="6" t="s">
        <v>71</v>
      </c>
      <c r="Z32" s="6" t="s">
        <v>72</v>
      </c>
      <c r="AA32" s="6" t="s">
        <v>71</v>
      </c>
      <c r="AB32" s="6" t="s">
        <v>71</v>
      </c>
      <c r="AC32" s="6" t="s">
        <v>71</v>
      </c>
      <c r="AD32" s="6" t="s">
        <v>72</v>
      </c>
      <c r="AE32" s="6" t="s">
        <v>72</v>
      </c>
      <c r="AF32" s="6" t="s">
        <v>72</v>
      </c>
      <c r="AG32" s="6" t="s">
        <v>71</v>
      </c>
      <c r="AH32" s="6" t="s">
        <v>71</v>
      </c>
      <c r="AI32" s="6" t="s">
        <v>71</v>
      </c>
      <c r="AJ32" s="6" t="s">
        <v>72</v>
      </c>
      <c r="AK32" s="6" t="s">
        <v>72</v>
      </c>
      <c r="AL32" s="6" t="s">
        <v>71</v>
      </c>
      <c r="AM32" s="6" t="s">
        <v>71</v>
      </c>
      <c r="AN32" s="6" t="s">
        <v>72</v>
      </c>
      <c r="AO32" s="6" t="s">
        <v>72</v>
      </c>
    </row>
    <row r="33" spans="1:42">
      <c r="A33" s="5">
        <v>45364.428584062502</v>
      </c>
      <c r="B33" s="6" t="s">
        <v>696</v>
      </c>
      <c r="C33" s="6" t="s">
        <v>697</v>
      </c>
      <c r="D33" s="7" t="s">
        <v>690</v>
      </c>
      <c r="E33" s="6" t="s">
        <v>84</v>
      </c>
      <c r="F33" s="6" t="s">
        <v>698</v>
      </c>
      <c r="G33" s="6" t="s">
        <v>64</v>
      </c>
      <c r="H33" s="6" t="s">
        <v>699</v>
      </c>
      <c r="I33" s="6" t="s">
        <v>700</v>
      </c>
      <c r="J33" s="6" t="s">
        <v>701</v>
      </c>
      <c r="K33" s="6" t="s">
        <v>696</v>
      </c>
      <c r="L33" s="6" t="s">
        <v>138</v>
      </c>
      <c r="M33" s="6" t="s">
        <v>695</v>
      </c>
      <c r="N33" s="6">
        <v>35</v>
      </c>
      <c r="O33" s="6" t="s">
        <v>70</v>
      </c>
      <c r="P33" s="6">
        <v>5</v>
      </c>
      <c r="Q33" s="6">
        <v>3</v>
      </c>
      <c r="R33" s="6">
        <v>0</v>
      </c>
      <c r="T33" s="6" t="s">
        <v>71</v>
      </c>
      <c r="U33" s="6" t="s">
        <v>72</v>
      </c>
      <c r="V33" s="7" t="s">
        <v>520</v>
      </c>
      <c r="W33" s="6" t="s">
        <v>71</v>
      </c>
      <c r="X33" s="6" t="s">
        <v>71</v>
      </c>
      <c r="Y33" s="6" t="s">
        <v>71</v>
      </c>
      <c r="Z33" s="6" t="s">
        <v>72</v>
      </c>
      <c r="AA33" s="6" t="s">
        <v>71</v>
      </c>
      <c r="AB33" s="6" t="s">
        <v>71</v>
      </c>
      <c r="AC33" s="6" t="s">
        <v>71</v>
      </c>
      <c r="AD33" s="6" t="s">
        <v>72</v>
      </c>
      <c r="AE33" s="6" t="s">
        <v>72</v>
      </c>
      <c r="AF33" s="6" t="s">
        <v>72</v>
      </c>
      <c r="AG33" s="6" t="s">
        <v>71</v>
      </c>
      <c r="AH33" s="6" t="s">
        <v>71</v>
      </c>
      <c r="AI33" s="6" t="s">
        <v>71</v>
      </c>
      <c r="AJ33" s="6" t="s">
        <v>72</v>
      </c>
      <c r="AK33" s="6" t="s">
        <v>72</v>
      </c>
      <c r="AL33" s="6" t="s">
        <v>71</v>
      </c>
      <c r="AM33" s="6" t="s">
        <v>71</v>
      </c>
      <c r="AN33" s="6" t="s">
        <v>72</v>
      </c>
      <c r="AO33" s="6" t="s">
        <v>72</v>
      </c>
    </row>
    <row r="34" spans="1:42">
      <c r="A34" s="5">
        <v>45364.760178344906</v>
      </c>
      <c r="B34" s="6" t="s">
        <v>702</v>
      </c>
      <c r="C34" s="6" t="s">
        <v>703</v>
      </c>
      <c r="D34" s="6">
        <v>641</v>
      </c>
      <c r="E34" s="6" t="s">
        <v>84</v>
      </c>
      <c r="F34" s="6" t="s">
        <v>249</v>
      </c>
      <c r="G34" s="6" t="s">
        <v>64</v>
      </c>
      <c r="H34" s="6" t="s">
        <v>704</v>
      </c>
      <c r="I34" s="6" t="s">
        <v>705</v>
      </c>
      <c r="J34" s="6" t="s">
        <v>706</v>
      </c>
      <c r="K34" s="6" t="s">
        <v>702</v>
      </c>
      <c r="L34" s="6" t="s">
        <v>89</v>
      </c>
      <c r="M34" s="6" t="s">
        <v>707</v>
      </c>
      <c r="N34" s="6">
        <v>31</v>
      </c>
      <c r="O34" s="6" t="s">
        <v>148</v>
      </c>
      <c r="P34" s="6">
        <v>5</v>
      </c>
      <c r="Q34" s="6">
        <v>4</v>
      </c>
      <c r="R34" s="6">
        <v>10</v>
      </c>
      <c r="T34" s="6" t="s">
        <v>71</v>
      </c>
      <c r="U34" s="6" t="s">
        <v>72</v>
      </c>
      <c r="V34" s="7" t="s">
        <v>520</v>
      </c>
      <c r="W34" s="6" t="s">
        <v>71</v>
      </c>
      <c r="X34" s="6" t="s">
        <v>71</v>
      </c>
      <c r="Y34" s="6" t="s">
        <v>71</v>
      </c>
      <c r="Z34" s="6" t="s">
        <v>72</v>
      </c>
      <c r="AA34" s="6" t="s">
        <v>71</v>
      </c>
      <c r="AB34" s="6" t="s">
        <v>71</v>
      </c>
      <c r="AC34" s="6" t="s">
        <v>71</v>
      </c>
      <c r="AD34" s="6" t="s">
        <v>72</v>
      </c>
      <c r="AE34" s="6" t="s">
        <v>72</v>
      </c>
      <c r="AF34" s="6" t="s">
        <v>72</v>
      </c>
      <c r="AG34" s="6" t="s">
        <v>71</v>
      </c>
      <c r="AH34" s="6" t="s">
        <v>71</v>
      </c>
      <c r="AI34" s="6" t="s">
        <v>71</v>
      </c>
      <c r="AJ34" s="6" t="s">
        <v>72</v>
      </c>
      <c r="AK34" s="6" t="s">
        <v>72</v>
      </c>
      <c r="AL34" s="6" t="s">
        <v>71</v>
      </c>
      <c r="AM34" s="6" t="s">
        <v>71</v>
      </c>
      <c r="AN34" s="6" t="s">
        <v>72</v>
      </c>
      <c r="AO34" s="6" t="s">
        <v>72</v>
      </c>
    </row>
    <row r="35" spans="1:42">
      <c r="A35" s="5">
        <v>45364.763364618055</v>
      </c>
      <c r="B35" s="6" t="s">
        <v>702</v>
      </c>
      <c r="C35" s="6" t="s">
        <v>703</v>
      </c>
      <c r="D35" s="6">
        <v>641</v>
      </c>
      <c r="E35" s="6" t="s">
        <v>84</v>
      </c>
      <c r="F35" s="6" t="s">
        <v>249</v>
      </c>
      <c r="G35" s="6" t="s">
        <v>64</v>
      </c>
      <c r="H35" s="6" t="s">
        <v>704</v>
      </c>
      <c r="I35" s="6" t="s">
        <v>705</v>
      </c>
      <c r="J35" s="6" t="s">
        <v>706</v>
      </c>
      <c r="K35" s="6" t="s">
        <v>702</v>
      </c>
      <c r="L35" s="6" t="s">
        <v>89</v>
      </c>
      <c r="M35" s="6" t="s">
        <v>708</v>
      </c>
      <c r="N35" s="6">
        <v>30</v>
      </c>
      <c r="O35" s="6" t="s">
        <v>148</v>
      </c>
      <c r="P35" s="6">
        <v>5</v>
      </c>
      <c r="Q35" s="6">
        <v>4</v>
      </c>
      <c r="R35" s="6">
        <v>10</v>
      </c>
      <c r="T35" s="6" t="s">
        <v>71</v>
      </c>
      <c r="U35" s="6" t="s">
        <v>72</v>
      </c>
      <c r="V35" s="7" t="s">
        <v>520</v>
      </c>
      <c r="W35" s="6" t="s">
        <v>71</v>
      </c>
      <c r="X35" s="6" t="s">
        <v>71</v>
      </c>
      <c r="Y35" s="6" t="s">
        <v>71</v>
      </c>
      <c r="Z35" s="6" t="s">
        <v>72</v>
      </c>
      <c r="AA35" s="6" t="s">
        <v>71</v>
      </c>
      <c r="AB35" s="6" t="s">
        <v>71</v>
      </c>
      <c r="AC35" s="6" t="s">
        <v>71</v>
      </c>
      <c r="AD35" s="6" t="s">
        <v>72</v>
      </c>
      <c r="AE35" s="6" t="s">
        <v>72</v>
      </c>
      <c r="AF35" s="6" t="s">
        <v>72</v>
      </c>
      <c r="AG35" s="6" t="s">
        <v>71</v>
      </c>
      <c r="AH35" s="6" t="s">
        <v>71</v>
      </c>
      <c r="AI35" s="6" t="s">
        <v>71</v>
      </c>
      <c r="AJ35" s="6" t="s">
        <v>72</v>
      </c>
      <c r="AK35" s="6" t="s">
        <v>72</v>
      </c>
      <c r="AL35" s="6" t="s">
        <v>71</v>
      </c>
      <c r="AM35" s="6" t="s">
        <v>71</v>
      </c>
      <c r="AN35" s="6" t="s">
        <v>72</v>
      </c>
      <c r="AO35" s="6" t="s">
        <v>72</v>
      </c>
    </row>
    <row r="36" spans="1:42">
      <c r="A36" s="5">
        <v>45364.795378831019</v>
      </c>
      <c r="B36" s="6" t="s">
        <v>709</v>
      </c>
      <c r="C36" s="6" t="s">
        <v>710</v>
      </c>
      <c r="D36" s="7" t="s">
        <v>711</v>
      </c>
      <c r="E36" s="6" t="s">
        <v>133</v>
      </c>
      <c r="F36" s="6" t="s">
        <v>220</v>
      </c>
      <c r="G36" s="6" t="s">
        <v>105</v>
      </c>
      <c r="H36" s="6" t="s">
        <v>712</v>
      </c>
      <c r="I36" s="6" t="s">
        <v>713</v>
      </c>
      <c r="J36" s="6" t="s">
        <v>714</v>
      </c>
      <c r="K36" s="6" t="s">
        <v>709</v>
      </c>
      <c r="L36" s="6" t="s">
        <v>68</v>
      </c>
      <c r="M36" s="6" t="s">
        <v>715</v>
      </c>
      <c r="N36" s="6">
        <v>30</v>
      </c>
      <c r="O36" s="6" t="s">
        <v>70</v>
      </c>
      <c r="P36" s="6">
        <v>3</v>
      </c>
      <c r="Q36" s="6">
        <v>2</v>
      </c>
      <c r="R36" s="6">
        <v>90</v>
      </c>
      <c r="S36" s="6" t="s">
        <v>716</v>
      </c>
      <c r="T36" s="6" t="s">
        <v>71</v>
      </c>
      <c r="U36" s="6" t="s">
        <v>71</v>
      </c>
      <c r="V36" s="7" t="s">
        <v>520</v>
      </c>
      <c r="W36" s="6" t="s">
        <v>71</v>
      </c>
      <c r="X36" s="6" t="s">
        <v>71</v>
      </c>
      <c r="Y36" s="6" t="s">
        <v>71</v>
      </c>
      <c r="Z36" s="6" t="s">
        <v>71</v>
      </c>
      <c r="AA36" s="6" t="s">
        <v>71</v>
      </c>
      <c r="AB36" s="6" t="s">
        <v>71</v>
      </c>
      <c r="AC36" s="6" t="s">
        <v>71</v>
      </c>
      <c r="AD36" s="6" t="s">
        <v>71</v>
      </c>
      <c r="AE36" s="6" t="s">
        <v>71</v>
      </c>
      <c r="AF36" s="6" t="s">
        <v>71</v>
      </c>
      <c r="AG36" s="6" t="s">
        <v>71</v>
      </c>
      <c r="AH36" s="6" t="s">
        <v>71</v>
      </c>
      <c r="AI36" s="6" t="s">
        <v>71</v>
      </c>
      <c r="AJ36" s="6" t="s">
        <v>71</v>
      </c>
      <c r="AK36" s="6" t="s">
        <v>71</v>
      </c>
      <c r="AL36" s="6" t="s">
        <v>71</v>
      </c>
      <c r="AM36" s="6" t="s">
        <v>71</v>
      </c>
      <c r="AN36" s="6" t="s">
        <v>71</v>
      </c>
      <c r="AO36" s="6" t="s">
        <v>71</v>
      </c>
      <c r="AP36" s="6" t="s">
        <v>717</v>
      </c>
    </row>
    <row r="37" spans="1:42">
      <c r="A37" s="5">
        <v>45365.483354594908</v>
      </c>
      <c r="B37" s="6" t="s">
        <v>725</v>
      </c>
      <c r="C37" s="6" t="s">
        <v>726</v>
      </c>
      <c r="D37" s="7" t="s">
        <v>727</v>
      </c>
      <c r="E37" s="6" t="s">
        <v>62</v>
      </c>
      <c r="F37" s="6" t="s">
        <v>134</v>
      </c>
      <c r="G37" s="6" t="s">
        <v>64</v>
      </c>
      <c r="H37" s="6" t="s">
        <v>728</v>
      </c>
      <c r="I37" s="6" t="s">
        <v>729</v>
      </c>
      <c r="K37" s="6" t="s">
        <v>725</v>
      </c>
      <c r="L37" s="6" t="s">
        <v>138</v>
      </c>
      <c r="M37" s="6" t="s">
        <v>655</v>
      </c>
      <c r="N37" s="6">
        <v>25</v>
      </c>
      <c r="O37" s="6" t="s">
        <v>70</v>
      </c>
      <c r="P37" s="6">
        <v>4</v>
      </c>
      <c r="Q37" s="6">
        <v>2</v>
      </c>
      <c r="R37" s="6">
        <v>0</v>
      </c>
      <c r="T37" s="6" t="s">
        <v>71</v>
      </c>
      <c r="U37" s="6" t="s">
        <v>72</v>
      </c>
      <c r="V37" s="7" t="s">
        <v>520</v>
      </c>
      <c r="W37" s="6" t="s">
        <v>71</v>
      </c>
      <c r="X37" s="6" t="s">
        <v>71</v>
      </c>
      <c r="Y37" s="6" t="s">
        <v>72</v>
      </c>
      <c r="Z37" s="6" t="s">
        <v>72</v>
      </c>
      <c r="AA37" s="6" t="s">
        <v>71</v>
      </c>
      <c r="AB37" s="6" t="s">
        <v>71</v>
      </c>
      <c r="AC37" s="6" t="s">
        <v>71</v>
      </c>
      <c r="AD37" s="6" t="s">
        <v>72</v>
      </c>
      <c r="AE37" s="6" t="s">
        <v>72</v>
      </c>
      <c r="AF37" s="6" t="s">
        <v>72</v>
      </c>
      <c r="AG37" s="6" t="s">
        <v>71</v>
      </c>
      <c r="AH37" s="6" t="s">
        <v>71</v>
      </c>
      <c r="AI37" s="6" t="s">
        <v>72</v>
      </c>
      <c r="AJ37" s="6" t="s">
        <v>72</v>
      </c>
      <c r="AK37" s="6" t="s">
        <v>72</v>
      </c>
      <c r="AL37" s="6" t="s">
        <v>72</v>
      </c>
      <c r="AM37" s="6" t="s">
        <v>72</v>
      </c>
      <c r="AN37" s="6" t="s">
        <v>72</v>
      </c>
      <c r="AO37" s="6" t="s">
        <v>72</v>
      </c>
    </row>
    <row r="38" spans="1:42">
      <c r="A38" s="5">
        <v>45365.486939745373</v>
      </c>
      <c r="B38" s="6" t="s">
        <v>725</v>
      </c>
      <c r="C38" s="6" t="s">
        <v>726</v>
      </c>
      <c r="D38" s="7" t="s">
        <v>727</v>
      </c>
      <c r="E38" s="6" t="s">
        <v>84</v>
      </c>
      <c r="F38" s="6" t="s">
        <v>730</v>
      </c>
      <c r="G38" s="6" t="s">
        <v>64</v>
      </c>
      <c r="H38" s="6" t="s">
        <v>728</v>
      </c>
      <c r="I38" s="6" t="s">
        <v>729</v>
      </c>
      <c r="K38" s="6" t="s">
        <v>725</v>
      </c>
      <c r="L38" s="6" t="s">
        <v>138</v>
      </c>
      <c r="M38" s="6" t="s">
        <v>731</v>
      </c>
      <c r="N38" s="6">
        <v>15</v>
      </c>
      <c r="O38" s="6" t="s">
        <v>70</v>
      </c>
      <c r="P38" s="6">
        <v>4</v>
      </c>
      <c r="Q38" s="6">
        <v>2</v>
      </c>
      <c r="R38" s="6">
        <v>0</v>
      </c>
      <c r="T38" s="6" t="s">
        <v>71</v>
      </c>
      <c r="U38" s="6" t="s">
        <v>72</v>
      </c>
      <c r="V38" s="7" t="s">
        <v>520</v>
      </c>
      <c r="W38" s="6" t="s">
        <v>71</v>
      </c>
      <c r="X38" s="6" t="s">
        <v>71</v>
      </c>
      <c r="Y38" s="6" t="s">
        <v>72</v>
      </c>
      <c r="Z38" s="6" t="s">
        <v>72</v>
      </c>
      <c r="AA38" s="6" t="s">
        <v>71</v>
      </c>
      <c r="AB38" s="6" t="s">
        <v>71</v>
      </c>
      <c r="AC38" s="6" t="s">
        <v>71</v>
      </c>
      <c r="AD38" s="6" t="s">
        <v>72</v>
      </c>
      <c r="AE38" s="6" t="s">
        <v>72</v>
      </c>
      <c r="AF38" s="6" t="s">
        <v>72</v>
      </c>
      <c r="AG38" s="6" t="s">
        <v>71</v>
      </c>
      <c r="AH38" s="6" t="s">
        <v>71</v>
      </c>
      <c r="AI38" s="6" t="s">
        <v>72</v>
      </c>
      <c r="AJ38" s="6" t="s">
        <v>72</v>
      </c>
      <c r="AK38" s="6" t="s">
        <v>72</v>
      </c>
      <c r="AL38" s="6" t="s">
        <v>72</v>
      </c>
      <c r="AM38" s="6" t="s">
        <v>72</v>
      </c>
      <c r="AN38" s="6" t="s">
        <v>72</v>
      </c>
      <c r="AO38" s="6" t="s">
        <v>72</v>
      </c>
    </row>
    <row r="39" spans="1:42">
      <c r="A39" s="5">
        <v>45365.495644722221</v>
      </c>
      <c r="B39" s="6" t="s">
        <v>732</v>
      </c>
      <c r="C39" s="6" t="s">
        <v>733</v>
      </c>
      <c r="D39" s="6">
        <v>20068000</v>
      </c>
      <c r="E39" s="6" t="s">
        <v>133</v>
      </c>
      <c r="F39" s="6" t="s">
        <v>254</v>
      </c>
      <c r="G39" s="6" t="s">
        <v>105</v>
      </c>
      <c r="H39" s="6" t="s">
        <v>734</v>
      </c>
      <c r="I39" s="6" t="s">
        <v>735</v>
      </c>
      <c r="J39" s="6" t="s">
        <v>736</v>
      </c>
      <c r="K39" s="6" t="s">
        <v>732</v>
      </c>
      <c r="L39" s="6" t="s">
        <v>89</v>
      </c>
      <c r="M39" s="6" t="s">
        <v>737</v>
      </c>
      <c r="N39" s="6">
        <v>35</v>
      </c>
      <c r="O39" s="6" t="s">
        <v>70</v>
      </c>
      <c r="P39" s="6">
        <v>4</v>
      </c>
      <c r="Q39" s="6">
        <v>4</v>
      </c>
      <c r="R39" s="6">
        <v>50</v>
      </c>
      <c r="T39" s="6" t="s">
        <v>72</v>
      </c>
      <c r="U39" s="6" t="s">
        <v>71</v>
      </c>
      <c r="V39" s="7" t="s">
        <v>520</v>
      </c>
      <c r="W39" s="6" t="s">
        <v>72</v>
      </c>
      <c r="X39" s="6" t="s">
        <v>72</v>
      </c>
      <c r="Y39" s="6" t="s">
        <v>72</v>
      </c>
      <c r="Z39" s="6" t="s">
        <v>71</v>
      </c>
      <c r="AA39" s="6" t="s">
        <v>72</v>
      </c>
      <c r="AB39" s="6" t="s">
        <v>72</v>
      </c>
      <c r="AC39" s="6" t="s">
        <v>72</v>
      </c>
      <c r="AD39" s="6" t="s">
        <v>72</v>
      </c>
      <c r="AE39" s="6" t="s">
        <v>72</v>
      </c>
      <c r="AF39" s="6" t="s">
        <v>71</v>
      </c>
      <c r="AG39" s="6" t="s">
        <v>72</v>
      </c>
      <c r="AH39" s="6" t="s">
        <v>72</v>
      </c>
      <c r="AI39" s="6" t="s">
        <v>72</v>
      </c>
      <c r="AJ39" s="6" t="s">
        <v>72</v>
      </c>
      <c r="AK39" s="6" t="s">
        <v>71</v>
      </c>
      <c r="AL39" s="6" t="s">
        <v>72</v>
      </c>
      <c r="AM39" s="6" t="s">
        <v>72</v>
      </c>
      <c r="AN39" s="6" t="s">
        <v>72</v>
      </c>
      <c r="AO39" s="6" t="s">
        <v>72</v>
      </c>
    </row>
    <row r="40" spans="1:42">
      <c r="A40" s="5">
        <v>45365.538917025464</v>
      </c>
      <c r="B40" s="6" t="s">
        <v>738</v>
      </c>
      <c r="C40" s="6" t="s">
        <v>739</v>
      </c>
      <c r="D40" s="7" t="s">
        <v>740</v>
      </c>
      <c r="E40" s="6" t="s">
        <v>84</v>
      </c>
      <c r="F40" s="6" t="s">
        <v>741</v>
      </c>
      <c r="G40" s="6" t="s">
        <v>64</v>
      </c>
      <c r="H40" s="6" t="s">
        <v>742</v>
      </c>
      <c r="I40" s="6" t="s">
        <v>743</v>
      </c>
      <c r="K40" s="6" t="s">
        <v>744</v>
      </c>
      <c r="L40" s="6" t="s">
        <v>89</v>
      </c>
      <c r="M40" s="6" t="s">
        <v>536</v>
      </c>
      <c r="N40" s="6">
        <v>35</v>
      </c>
      <c r="O40" s="6" t="s">
        <v>70</v>
      </c>
      <c r="P40" s="6">
        <v>3</v>
      </c>
      <c r="Q40" s="6">
        <v>1</v>
      </c>
      <c r="R40" s="6">
        <v>30</v>
      </c>
      <c r="T40" s="6" t="s">
        <v>71</v>
      </c>
      <c r="U40" s="6" t="s">
        <v>72</v>
      </c>
      <c r="V40" s="7" t="s">
        <v>520</v>
      </c>
      <c r="W40" s="6" t="s">
        <v>71</v>
      </c>
      <c r="X40" s="6" t="s">
        <v>72</v>
      </c>
      <c r="Y40" s="6" t="s">
        <v>71</v>
      </c>
      <c r="Z40" s="6" t="s">
        <v>72</v>
      </c>
      <c r="AA40" s="6" t="s">
        <v>72</v>
      </c>
      <c r="AB40" s="6" t="s">
        <v>71</v>
      </c>
      <c r="AC40" s="6" t="s">
        <v>72</v>
      </c>
      <c r="AD40" s="6" t="s">
        <v>72</v>
      </c>
      <c r="AE40" s="6" t="s">
        <v>72</v>
      </c>
      <c r="AF40" s="6" t="s">
        <v>72</v>
      </c>
      <c r="AI40" s="6" t="s">
        <v>72</v>
      </c>
      <c r="AJ40" s="6" t="s">
        <v>71</v>
      </c>
      <c r="AL40" s="6" t="s">
        <v>72</v>
      </c>
      <c r="AM40" s="6" t="s">
        <v>72</v>
      </c>
      <c r="AN40" s="6" t="s">
        <v>72</v>
      </c>
      <c r="AO40" s="6" t="s">
        <v>71</v>
      </c>
    </row>
    <row r="41" spans="1:42">
      <c r="A41" s="5">
        <v>45365.564028564811</v>
      </c>
      <c r="B41" s="6" t="s">
        <v>738</v>
      </c>
      <c r="C41" s="6" t="s">
        <v>739</v>
      </c>
      <c r="D41" s="7" t="s">
        <v>740</v>
      </c>
      <c r="E41" s="6" t="s">
        <v>84</v>
      </c>
      <c r="F41" s="6" t="s">
        <v>745</v>
      </c>
      <c r="G41" s="6" t="s">
        <v>64</v>
      </c>
      <c r="H41" s="6" t="s">
        <v>746</v>
      </c>
      <c r="I41" s="6" t="s">
        <v>747</v>
      </c>
      <c r="K41" s="6" t="s">
        <v>738</v>
      </c>
      <c r="L41" s="6" t="s">
        <v>89</v>
      </c>
      <c r="M41" s="6" t="s">
        <v>536</v>
      </c>
      <c r="N41" s="6">
        <v>30</v>
      </c>
      <c r="O41" s="6" t="s">
        <v>70</v>
      </c>
      <c r="P41" s="6">
        <v>3</v>
      </c>
      <c r="Q41" s="6">
        <v>3</v>
      </c>
      <c r="R41" s="6">
        <v>30</v>
      </c>
      <c r="T41" s="6" t="s">
        <v>71</v>
      </c>
      <c r="U41" s="6" t="s">
        <v>72</v>
      </c>
      <c r="V41" s="7" t="s">
        <v>520</v>
      </c>
      <c r="W41" s="6" t="s">
        <v>71</v>
      </c>
      <c r="X41" s="6" t="s">
        <v>72</v>
      </c>
      <c r="Y41" s="6" t="s">
        <v>72</v>
      </c>
      <c r="Z41" s="6" t="s">
        <v>72</v>
      </c>
      <c r="AA41" s="6" t="s">
        <v>72</v>
      </c>
      <c r="AB41" s="6" t="s">
        <v>71</v>
      </c>
      <c r="AC41" s="6" t="s">
        <v>72</v>
      </c>
      <c r="AD41" s="6" t="s">
        <v>72</v>
      </c>
      <c r="AE41" s="6" t="s">
        <v>72</v>
      </c>
      <c r="AF41" s="6" t="s">
        <v>71</v>
      </c>
      <c r="AG41" s="6" t="s">
        <v>72</v>
      </c>
      <c r="AH41" s="6" t="s">
        <v>72</v>
      </c>
      <c r="AI41" s="6" t="s">
        <v>71</v>
      </c>
      <c r="AJ41" s="6" t="s">
        <v>72</v>
      </c>
      <c r="AK41" s="6" t="s">
        <v>72</v>
      </c>
      <c r="AN41" s="6" t="s">
        <v>71</v>
      </c>
    </row>
    <row r="42" spans="1:42">
      <c r="A42" s="5">
        <v>45365.572495393513</v>
      </c>
      <c r="B42" s="6" t="s">
        <v>315</v>
      </c>
      <c r="C42" s="6" t="s">
        <v>748</v>
      </c>
      <c r="D42" s="6">
        <v>60627100</v>
      </c>
      <c r="E42" s="6" t="s">
        <v>84</v>
      </c>
      <c r="F42" s="6" t="s">
        <v>589</v>
      </c>
      <c r="G42" s="6" t="s">
        <v>64</v>
      </c>
      <c r="H42" s="6" t="s">
        <v>319</v>
      </c>
      <c r="I42" s="6" t="s">
        <v>749</v>
      </c>
      <c r="J42" s="6" t="s">
        <v>750</v>
      </c>
      <c r="K42" s="6" t="s">
        <v>315</v>
      </c>
      <c r="L42" s="6" t="s">
        <v>245</v>
      </c>
      <c r="M42" s="6" t="s">
        <v>321</v>
      </c>
      <c r="N42" s="6">
        <v>35</v>
      </c>
      <c r="O42" s="6" t="s">
        <v>70</v>
      </c>
      <c r="P42" s="6">
        <v>5</v>
      </c>
      <c r="Q42" s="6">
        <v>3</v>
      </c>
      <c r="R42" s="6">
        <v>15</v>
      </c>
      <c r="T42" s="6" t="s">
        <v>71</v>
      </c>
      <c r="U42" s="6" t="s">
        <v>72</v>
      </c>
      <c r="V42" s="7" t="s">
        <v>520</v>
      </c>
      <c r="W42" s="6" t="s">
        <v>71</v>
      </c>
      <c r="X42" s="6" t="s">
        <v>72</v>
      </c>
      <c r="Y42" s="6" t="s">
        <v>72</v>
      </c>
      <c r="Z42" s="6" t="s">
        <v>72</v>
      </c>
      <c r="AA42" s="6" t="s">
        <v>72</v>
      </c>
      <c r="AB42" s="6" t="s">
        <v>71</v>
      </c>
      <c r="AC42" s="6" t="s">
        <v>72</v>
      </c>
      <c r="AD42" s="6" t="s">
        <v>72</v>
      </c>
      <c r="AE42" s="6" t="s">
        <v>72</v>
      </c>
      <c r="AF42" s="6" t="s">
        <v>72</v>
      </c>
      <c r="AJ42" s="6" t="s">
        <v>71</v>
      </c>
      <c r="AL42" s="6" t="s">
        <v>72</v>
      </c>
      <c r="AM42" s="6" t="s">
        <v>71</v>
      </c>
      <c r="AN42" s="6" t="s">
        <v>72</v>
      </c>
      <c r="AO42" s="6" t="s">
        <v>72</v>
      </c>
    </row>
    <row r="43" spans="1:42">
      <c r="A43" s="5">
        <v>45365.63207655093</v>
      </c>
      <c r="B43" s="6" t="s">
        <v>574</v>
      </c>
      <c r="C43" s="6" t="s">
        <v>751</v>
      </c>
      <c r="D43" s="6">
        <v>20059400</v>
      </c>
      <c r="E43" s="6" t="s">
        <v>276</v>
      </c>
      <c r="F43" s="6" t="s">
        <v>752</v>
      </c>
      <c r="G43" s="6" t="s">
        <v>64</v>
      </c>
      <c r="H43" s="6" t="s">
        <v>753</v>
      </c>
      <c r="I43" s="6" t="s">
        <v>754</v>
      </c>
      <c r="J43" s="6" t="s">
        <v>679</v>
      </c>
      <c r="K43" s="6" t="s">
        <v>574</v>
      </c>
      <c r="L43" s="6" t="s">
        <v>89</v>
      </c>
      <c r="M43" s="6" t="s">
        <v>755</v>
      </c>
      <c r="N43" s="6">
        <v>30</v>
      </c>
      <c r="O43" s="6" t="s">
        <v>70</v>
      </c>
      <c r="P43" s="6">
        <v>4</v>
      </c>
      <c r="Q43" s="6">
        <v>5</v>
      </c>
      <c r="R43" s="6">
        <v>50</v>
      </c>
      <c r="T43" s="6" t="s">
        <v>71</v>
      </c>
      <c r="U43" s="6" t="s">
        <v>72</v>
      </c>
      <c r="V43" s="7" t="s">
        <v>520</v>
      </c>
      <c r="W43" s="6" t="s">
        <v>71</v>
      </c>
      <c r="X43" s="6" t="s">
        <v>71</v>
      </c>
      <c r="Y43" s="6" t="s">
        <v>71</v>
      </c>
      <c r="Z43" s="6" t="s">
        <v>72</v>
      </c>
      <c r="AA43" s="6" t="s">
        <v>71</v>
      </c>
      <c r="AB43" s="6" t="s">
        <v>71</v>
      </c>
      <c r="AC43" s="6" t="s">
        <v>71</v>
      </c>
      <c r="AD43" s="6" t="s">
        <v>71</v>
      </c>
      <c r="AE43" s="6" t="s">
        <v>72</v>
      </c>
      <c r="AF43" s="6" t="s">
        <v>72</v>
      </c>
      <c r="AG43" s="6" t="s">
        <v>71</v>
      </c>
      <c r="AH43" s="6" t="s">
        <v>71</v>
      </c>
      <c r="AI43" s="6" t="s">
        <v>71</v>
      </c>
      <c r="AJ43" s="6" t="s">
        <v>72</v>
      </c>
      <c r="AK43" s="6" t="s">
        <v>72</v>
      </c>
      <c r="AL43" s="6" t="s">
        <v>71</v>
      </c>
      <c r="AM43" s="6" t="s">
        <v>71</v>
      </c>
      <c r="AN43" s="6" t="s">
        <v>72</v>
      </c>
      <c r="AO43" s="6" t="s">
        <v>72</v>
      </c>
      <c r="AP43" s="6" t="s">
        <v>756</v>
      </c>
    </row>
    <row r="44" spans="1:42">
      <c r="A44" s="5">
        <v>45365.635810624997</v>
      </c>
      <c r="B44" s="6" t="s">
        <v>574</v>
      </c>
      <c r="C44" s="6" t="s">
        <v>757</v>
      </c>
      <c r="D44" s="6">
        <v>20059400</v>
      </c>
      <c r="E44" s="6" t="s">
        <v>133</v>
      </c>
      <c r="F44" s="6" t="s">
        <v>730</v>
      </c>
      <c r="G44" s="6" t="s">
        <v>64</v>
      </c>
      <c r="H44" s="6" t="s">
        <v>753</v>
      </c>
      <c r="I44" s="6" t="s">
        <v>754</v>
      </c>
      <c r="J44" s="6" t="s">
        <v>758</v>
      </c>
      <c r="K44" s="6" t="s">
        <v>574</v>
      </c>
      <c r="L44" s="6" t="s">
        <v>89</v>
      </c>
      <c r="M44" s="6" t="s">
        <v>755</v>
      </c>
      <c r="N44" s="6">
        <v>30</v>
      </c>
      <c r="O44" s="6" t="s">
        <v>70</v>
      </c>
      <c r="P44" s="6">
        <v>4</v>
      </c>
      <c r="Q44" s="6">
        <v>5</v>
      </c>
      <c r="R44" s="6">
        <v>50</v>
      </c>
      <c r="T44" s="6" t="s">
        <v>71</v>
      </c>
      <c r="U44" s="6" t="s">
        <v>72</v>
      </c>
      <c r="V44" s="7" t="s">
        <v>520</v>
      </c>
      <c r="W44" s="6" t="s">
        <v>71</v>
      </c>
      <c r="X44" s="6" t="s">
        <v>71</v>
      </c>
      <c r="Y44" s="6" t="s">
        <v>71</v>
      </c>
      <c r="Z44" s="6" t="s">
        <v>72</v>
      </c>
      <c r="AA44" s="6" t="s">
        <v>71</v>
      </c>
      <c r="AB44" s="6" t="s">
        <v>71</v>
      </c>
      <c r="AC44" s="6" t="s">
        <v>71</v>
      </c>
      <c r="AD44" s="6" t="s">
        <v>71</v>
      </c>
      <c r="AE44" s="6" t="s">
        <v>72</v>
      </c>
      <c r="AF44" s="6" t="s">
        <v>72</v>
      </c>
      <c r="AG44" s="6" t="s">
        <v>71</v>
      </c>
      <c r="AH44" s="6" t="s">
        <v>71</v>
      </c>
      <c r="AI44" s="6" t="s">
        <v>71</v>
      </c>
      <c r="AJ44" s="6" t="s">
        <v>72</v>
      </c>
      <c r="AK44" s="6" t="s">
        <v>72</v>
      </c>
      <c r="AL44" s="6" t="s">
        <v>71</v>
      </c>
      <c r="AM44" s="6" t="s">
        <v>71</v>
      </c>
      <c r="AN44" s="6" t="s">
        <v>71</v>
      </c>
      <c r="AO44" s="6" t="s">
        <v>72</v>
      </c>
    </row>
    <row r="45" spans="1:42">
      <c r="A45" s="5">
        <v>45365.664200740735</v>
      </c>
      <c r="B45" s="6" t="s">
        <v>759</v>
      </c>
      <c r="C45" s="6" t="s">
        <v>760</v>
      </c>
      <c r="D45" s="7" t="s">
        <v>761</v>
      </c>
      <c r="E45" s="6" t="s">
        <v>387</v>
      </c>
      <c r="F45" s="6" t="s">
        <v>762</v>
      </c>
      <c r="G45" s="6" t="s">
        <v>64</v>
      </c>
      <c r="H45" s="6" t="s">
        <v>763</v>
      </c>
      <c r="I45" s="6" t="s">
        <v>764</v>
      </c>
      <c r="J45" s="6" t="s">
        <v>765</v>
      </c>
      <c r="K45" s="6" t="s">
        <v>759</v>
      </c>
      <c r="L45" s="6" t="s">
        <v>138</v>
      </c>
      <c r="M45" s="6" t="s">
        <v>766</v>
      </c>
      <c r="N45" s="6">
        <v>34</v>
      </c>
      <c r="O45" s="6" t="s">
        <v>70</v>
      </c>
      <c r="P45" s="6">
        <v>5</v>
      </c>
      <c r="Q45" s="6">
        <v>5</v>
      </c>
      <c r="R45" s="6">
        <v>10</v>
      </c>
      <c r="T45" s="6" t="s">
        <v>71</v>
      </c>
      <c r="U45" s="6" t="s">
        <v>72</v>
      </c>
      <c r="V45" s="7" t="s">
        <v>520</v>
      </c>
      <c r="W45" s="6" t="s">
        <v>72</v>
      </c>
      <c r="X45" s="6" t="s">
        <v>71</v>
      </c>
      <c r="Y45" s="6" t="s">
        <v>71</v>
      </c>
      <c r="Z45" s="6" t="s">
        <v>71</v>
      </c>
      <c r="AA45" s="6" t="s">
        <v>72</v>
      </c>
      <c r="AB45" s="6" t="s">
        <v>71</v>
      </c>
      <c r="AC45" s="6" t="s">
        <v>71</v>
      </c>
      <c r="AD45" s="6" t="s">
        <v>72</v>
      </c>
      <c r="AE45" s="6" t="s">
        <v>72</v>
      </c>
      <c r="AF45" s="6" t="s">
        <v>72</v>
      </c>
      <c r="AG45" s="6" t="s">
        <v>71</v>
      </c>
      <c r="AH45" s="6" t="s">
        <v>71</v>
      </c>
      <c r="AI45" s="6" t="s">
        <v>71</v>
      </c>
      <c r="AJ45" s="6" t="s">
        <v>72</v>
      </c>
      <c r="AK45" s="6" t="s">
        <v>72</v>
      </c>
      <c r="AL45" s="6" t="s">
        <v>71</v>
      </c>
      <c r="AM45" s="6" t="s">
        <v>71</v>
      </c>
      <c r="AN45" s="6" t="s">
        <v>72</v>
      </c>
      <c r="AO45" s="6" t="s">
        <v>72</v>
      </c>
    </row>
    <row r="46" spans="1:42">
      <c r="A46" s="5">
        <v>45365.81678079861</v>
      </c>
      <c r="B46" s="6" t="s">
        <v>767</v>
      </c>
      <c r="C46" s="6" t="s">
        <v>768</v>
      </c>
      <c r="D46" s="7" t="s">
        <v>442</v>
      </c>
      <c r="E46" s="6" t="s">
        <v>62</v>
      </c>
      <c r="F46" s="6" t="s">
        <v>769</v>
      </c>
      <c r="G46" s="6" t="s">
        <v>64</v>
      </c>
      <c r="H46" s="6" t="s">
        <v>770</v>
      </c>
      <c r="I46" s="6" t="s">
        <v>771</v>
      </c>
      <c r="K46" s="6" t="s">
        <v>772</v>
      </c>
      <c r="L46" s="6" t="s">
        <v>89</v>
      </c>
      <c r="M46" s="6" t="s">
        <v>773</v>
      </c>
      <c r="N46" s="6">
        <v>32</v>
      </c>
      <c r="O46" s="6" t="s">
        <v>70</v>
      </c>
      <c r="P46" s="6">
        <v>5</v>
      </c>
      <c r="Q46" s="6">
        <v>5</v>
      </c>
      <c r="R46" s="6">
        <v>5</v>
      </c>
      <c r="S46" s="6" t="s">
        <v>774</v>
      </c>
      <c r="T46" s="6" t="s">
        <v>71</v>
      </c>
      <c r="U46" s="6" t="s">
        <v>72</v>
      </c>
      <c r="V46" s="7" t="s">
        <v>520</v>
      </c>
      <c r="W46" s="6" t="s">
        <v>71</v>
      </c>
      <c r="X46" s="6" t="s">
        <v>71</v>
      </c>
      <c r="Y46" s="6" t="s">
        <v>72</v>
      </c>
      <c r="Z46" s="6" t="s">
        <v>72</v>
      </c>
      <c r="AA46" s="6" t="s">
        <v>71</v>
      </c>
      <c r="AB46" s="6" t="s">
        <v>71</v>
      </c>
      <c r="AC46" s="6" t="s">
        <v>71</v>
      </c>
      <c r="AD46" s="6" t="s">
        <v>72</v>
      </c>
      <c r="AE46" s="6" t="s">
        <v>72</v>
      </c>
      <c r="AF46" s="6" t="s">
        <v>72</v>
      </c>
      <c r="AG46" s="6" t="s">
        <v>71</v>
      </c>
      <c r="AH46" s="6" t="s">
        <v>71</v>
      </c>
      <c r="AI46" s="6" t="s">
        <v>71</v>
      </c>
      <c r="AJ46" s="6" t="s">
        <v>72</v>
      </c>
      <c r="AK46" s="6" t="s">
        <v>72</v>
      </c>
      <c r="AL46" s="6" t="s">
        <v>71</v>
      </c>
      <c r="AM46" s="6" t="s">
        <v>71</v>
      </c>
      <c r="AN46" s="6" t="s">
        <v>72</v>
      </c>
      <c r="AO46" s="6" t="s">
        <v>72</v>
      </c>
    </row>
    <row r="47" spans="1:42">
      <c r="A47" s="5">
        <v>45365.882291770831</v>
      </c>
      <c r="B47" s="6" t="s">
        <v>647</v>
      </c>
      <c r="C47" s="6" t="s">
        <v>648</v>
      </c>
      <c r="D47" s="7" t="s">
        <v>649</v>
      </c>
      <c r="E47" s="6" t="s">
        <v>133</v>
      </c>
      <c r="F47" s="6" t="s">
        <v>775</v>
      </c>
      <c r="G47" s="6" t="s">
        <v>64</v>
      </c>
      <c r="H47" s="6" t="s">
        <v>651</v>
      </c>
      <c r="I47" s="6" t="s">
        <v>652</v>
      </c>
      <c r="J47" s="6" t="s">
        <v>776</v>
      </c>
      <c r="K47" s="6" t="s">
        <v>654</v>
      </c>
      <c r="L47" s="6" t="s">
        <v>138</v>
      </c>
      <c r="M47" s="6" t="s">
        <v>655</v>
      </c>
      <c r="N47" s="6">
        <v>31</v>
      </c>
      <c r="O47" s="6" t="s">
        <v>70</v>
      </c>
      <c r="P47" s="6">
        <v>5</v>
      </c>
      <c r="Q47" s="6">
        <v>3</v>
      </c>
      <c r="R47" s="6">
        <v>0</v>
      </c>
      <c r="S47" s="6" t="s">
        <v>777</v>
      </c>
      <c r="T47" s="6" t="s">
        <v>71</v>
      </c>
      <c r="U47" s="6" t="s">
        <v>71</v>
      </c>
      <c r="V47" s="7" t="s">
        <v>520</v>
      </c>
      <c r="W47" s="6" t="s">
        <v>71</v>
      </c>
      <c r="X47" s="6" t="s">
        <v>71</v>
      </c>
      <c r="Y47" s="6" t="s">
        <v>71</v>
      </c>
      <c r="Z47" s="6" t="s">
        <v>72</v>
      </c>
      <c r="AA47" s="6" t="s">
        <v>71</v>
      </c>
      <c r="AB47" s="6" t="s">
        <v>71</v>
      </c>
      <c r="AC47" s="6" t="s">
        <v>71</v>
      </c>
      <c r="AD47" s="6" t="s">
        <v>71</v>
      </c>
      <c r="AE47" s="6" t="s">
        <v>71</v>
      </c>
      <c r="AF47" s="6" t="s">
        <v>72</v>
      </c>
      <c r="AG47" s="6" t="s">
        <v>71</v>
      </c>
      <c r="AH47" s="6" t="s">
        <v>71</v>
      </c>
      <c r="AI47" s="6" t="s">
        <v>71</v>
      </c>
      <c r="AJ47" s="6" t="s">
        <v>71</v>
      </c>
      <c r="AK47" s="6" t="s">
        <v>72</v>
      </c>
      <c r="AL47" s="6" t="s">
        <v>71</v>
      </c>
      <c r="AM47" s="6" t="s">
        <v>71</v>
      </c>
      <c r="AN47" s="6" t="s">
        <v>72</v>
      </c>
      <c r="AO47" s="6" t="s">
        <v>72</v>
      </c>
    </row>
    <row r="48" spans="1:42">
      <c r="A48" s="5">
        <v>45366.487628009258</v>
      </c>
      <c r="B48" s="6" t="s">
        <v>778</v>
      </c>
      <c r="C48" s="6" t="s">
        <v>779</v>
      </c>
      <c r="D48" s="7" t="s">
        <v>780</v>
      </c>
      <c r="E48" s="6" t="s">
        <v>62</v>
      </c>
      <c r="F48" s="6" t="s">
        <v>781</v>
      </c>
      <c r="G48" s="6" t="s">
        <v>105</v>
      </c>
      <c r="H48" s="6" t="s">
        <v>782</v>
      </c>
      <c r="I48" s="6" t="s">
        <v>783</v>
      </c>
      <c r="J48" s="6" t="s">
        <v>784</v>
      </c>
      <c r="K48" s="6" t="s">
        <v>778</v>
      </c>
      <c r="L48" s="6" t="s">
        <v>89</v>
      </c>
      <c r="M48" s="6" t="s">
        <v>785</v>
      </c>
      <c r="N48" s="6">
        <v>20</v>
      </c>
      <c r="O48" s="6" t="s">
        <v>282</v>
      </c>
      <c r="P48" s="6">
        <v>5</v>
      </c>
      <c r="Q48" s="6">
        <v>4</v>
      </c>
      <c r="R48" s="6">
        <v>60</v>
      </c>
      <c r="T48" s="6" t="s">
        <v>71</v>
      </c>
      <c r="U48" s="6" t="s">
        <v>72</v>
      </c>
      <c r="V48" s="7" t="s">
        <v>520</v>
      </c>
      <c r="W48" s="6" t="s">
        <v>71</v>
      </c>
      <c r="X48" s="6" t="s">
        <v>72</v>
      </c>
      <c r="Y48" s="6" t="s">
        <v>72</v>
      </c>
      <c r="Z48" s="6" t="s">
        <v>72</v>
      </c>
      <c r="AA48" s="6" t="s">
        <v>72</v>
      </c>
      <c r="AB48" s="6" t="s">
        <v>71</v>
      </c>
      <c r="AC48" s="6" t="s">
        <v>72</v>
      </c>
      <c r="AD48" s="6" t="s">
        <v>72</v>
      </c>
      <c r="AE48" s="6" t="s">
        <v>72</v>
      </c>
      <c r="AF48" s="6" t="s">
        <v>72</v>
      </c>
      <c r="AG48" s="6" t="s">
        <v>72</v>
      </c>
      <c r="AH48" s="6" t="s">
        <v>72</v>
      </c>
      <c r="AI48" s="6" t="s">
        <v>72</v>
      </c>
      <c r="AJ48" s="6" t="s">
        <v>72</v>
      </c>
      <c r="AK48" s="6" t="s">
        <v>72</v>
      </c>
      <c r="AL48" s="6" t="s">
        <v>72</v>
      </c>
      <c r="AM48" s="6" t="s">
        <v>72</v>
      </c>
      <c r="AN48" s="6" t="s">
        <v>72</v>
      </c>
      <c r="AO48" s="6" t="s">
        <v>72</v>
      </c>
    </row>
    <row r="49" spans="1:42">
      <c r="A49" s="5">
        <v>45366.611727268522</v>
      </c>
      <c r="B49" s="6" t="s">
        <v>786</v>
      </c>
      <c r="C49" s="6" t="s">
        <v>787</v>
      </c>
      <c r="D49" s="6">
        <v>20063700</v>
      </c>
      <c r="E49" s="6" t="s">
        <v>387</v>
      </c>
      <c r="F49" s="6" t="s">
        <v>788</v>
      </c>
      <c r="G49" s="6" t="s">
        <v>105</v>
      </c>
      <c r="H49" s="6" t="s">
        <v>789</v>
      </c>
      <c r="I49" s="6" t="s">
        <v>790</v>
      </c>
      <c r="J49" s="6" t="s">
        <v>791</v>
      </c>
      <c r="K49" s="6" t="s">
        <v>792</v>
      </c>
      <c r="L49" s="6" t="s">
        <v>89</v>
      </c>
      <c r="M49" s="6" t="s">
        <v>392</v>
      </c>
      <c r="N49" s="6">
        <v>35</v>
      </c>
      <c r="O49" s="6" t="s">
        <v>70</v>
      </c>
      <c r="P49" s="6">
        <v>4</v>
      </c>
      <c r="Q49" s="6">
        <v>4</v>
      </c>
      <c r="R49" s="6">
        <v>70</v>
      </c>
      <c r="S49" s="6" t="s">
        <v>793</v>
      </c>
      <c r="T49" s="6" t="s">
        <v>71</v>
      </c>
      <c r="U49" s="6" t="s">
        <v>72</v>
      </c>
      <c r="V49" s="7" t="s">
        <v>520</v>
      </c>
      <c r="W49" s="6" t="s">
        <v>71</v>
      </c>
      <c r="X49" s="6" t="s">
        <v>72</v>
      </c>
      <c r="Y49" s="6" t="s">
        <v>72</v>
      </c>
      <c r="Z49" s="6" t="s">
        <v>72</v>
      </c>
      <c r="AA49" s="6" t="s">
        <v>72</v>
      </c>
      <c r="AB49" s="6" t="s">
        <v>71</v>
      </c>
      <c r="AC49" s="6" t="s">
        <v>72</v>
      </c>
      <c r="AD49" s="6" t="s">
        <v>72</v>
      </c>
      <c r="AE49" s="6" t="s">
        <v>72</v>
      </c>
      <c r="AF49" s="6" t="s">
        <v>72</v>
      </c>
      <c r="AG49" s="6" t="s">
        <v>72</v>
      </c>
      <c r="AH49" s="6" t="s">
        <v>72</v>
      </c>
      <c r="AI49" s="6" t="s">
        <v>71</v>
      </c>
      <c r="AJ49" s="6" t="s">
        <v>72</v>
      </c>
      <c r="AK49" s="6" t="s">
        <v>72</v>
      </c>
      <c r="AL49" s="6" t="s">
        <v>72</v>
      </c>
      <c r="AM49" s="6" t="s">
        <v>72</v>
      </c>
      <c r="AN49" s="6" t="s">
        <v>72</v>
      </c>
      <c r="AO49" s="6" t="s">
        <v>72</v>
      </c>
      <c r="AP49" s="6" t="s">
        <v>794</v>
      </c>
    </row>
    <row r="50" spans="1:42">
      <c r="A50" s="5">
        <v>45366.64229427083</v>
      </c>
      <c r="B50" s="6" t="s">
        <v>795</v>
      </c>
      <c r="C50" s="6" t="s">
        <v>796</v>
      </c>
      <c r="D50" s="6">
        <v>20063700</v>
      </c>
      <c r="E50" s="6" t="s">
        <v>387</v>
      </c>
      <c r="F50" s="6" t="s">
        <v>797</v>
      </c>
      <c r="G50" s="6" t="s">
        <v>105</v>
      </c>
      <c r="H50" s="6" t="s">
        <v>798</v>
      </c>
      <c r="I50" s="6" t="s">
        <v>799</v>
      </c>
      <c r="J50" s="6" t="s">
        <v>800</v>
      </c>
      <c r="K50" s="6" t="s">
        <v>795</v>
      </c>
      <c r="L50" s="6" t="s">
        <v>89</v>
      </c>
      <c r="M50" s="6" t="s">
        <v>392</v>
      </c>
      <c r="N50" s="6">
        <v>35</v>
      </c>
      <c r="O50" s="6" t="s">
        <v>70</v>
      </c>
      <c r="P50" s="6">
        <v>5</v>
      </c>
      <c r="Q50" s="6">
        <v>4</v>
      </c>
      <c r="R50" s="6">
        <v>80</v>
      </c>
      <c r="S50" s="6" t="s">
        <v>801</v>
      </c>
      <c r="T50" s="6" t="s">
        <v>72</v>
      </c>
      <c r="U50" s="6" t="s">
        <v>71</v>
      </c>
      <c r="V50" s="7" t="s">
        <v>520</v>
      </c>
      <c r="W50" s="6" t="s">
        <v>72</v>
      </c>
      <c r="X50" s="6" t="s">
        <v>72</v>
      </c>
      <c r="Y50" s="6" t="s">
        <v>72</v>
      </c>
      <c r="Z50" s="6" t="s">
        <v>71</v>
      </c>
      <c r="AA50" s="6" t="s">
        <v>72</v>
      </c>
      <c r="AB50" s="6" t="s">
        <v>72</v>
      </c>
      <c r="AC50" s="6" t="s">
        <v>72</v>
      </c>
      <c r="AD50" s="6" t="s">
        <v>72</v>
      </c>
      <c r="AE50" s="6" t="s">
        <v>72</v>
      </c>
      <c r="AF50" s="6" t="s">
        <v>71</v>
      </c>
      <c r="AG50" s="6" t="s">
        <v>72</v>
      </c>
      <c r="AH50" s="6" t="s">
        <v>72</v>
      </c>
      <c r="AI50" s="6" t="s">
        <v>72</v>
      </c>
      <c r="AJ50" s="6" t="s">
        <v>72</v>
      </c>
      <c r="AK50" s="6" t="s">
        <v>72</v>
      </c>
      <c r="AL50" s="6" t="s">
        <v>72</v>
      </c>
      <c r="AM50" s="6" t="s">
        <v>72</v>
      </c>
      <c r="AN50" s="6" t="s">
        <v>72</v>
      </c>
      <c r="AO50" s="6" t="s">
        <v>71</v>
      </c>
      <c r="AP50" s="6" t="s">
        <v>802</v>
      </c>
    </row>
    <row r="51" spans="1:42">
      <c r="A51" s="5">
        <v>45366.64803232639</v>
      </c>
      <c r="B51" s="6" t="s">
        <v>795</v>
      </c>
      <c r="C51" s="6" t="s">
        <v>803</v>
      </c>
      <c r="D51" s="6">
        <v>20063700</v>
      </c>
      <c r="E51" s="6" t="s">
        <v>387</v>
      </c>
      <c r="F51" s="6" t="s">
        <v>804</v>
      </c>
      <c r="G51" s="6" t="s">
        <v>105</v>
      </c>
      <c r="H51" s="6" t="s">
        <v>805</v>
      </c>
      <c r="I51" s="6" t="s">
        <v>798</v>
      </c>
      <c r="J51" s="6" t="s">
        <v>800</v>
      </c>
      <c r="K51" s="6" t="s">
        <v>795</v>
      </c>
      <c r="L51" s="6" t="s">
        <v>89</v>
      </c>
      <c r="M51" s="6" t="s">
        <v>392</v>
      </c>
      <c r="N51" s="6">
        <v>35</v>
      </c>
      <c r="O51" s="6" t="s">
        <v>70</v>
      </c>
      <c r="P51" s="6">
        <v>5</v>
      </c>
      <c r="Q51" s="6">
        <v>4</v>
      </c>
      <c r="R51" s="6">
        <v>80</v>
      </c>
      <c r="S51" s="6" t="s">
        <v>806</v>
      </c>
      <c r="T51" s="6" t="s">
        <v>72</v>
      </c>
      <c r="U51" s="6" t="s">
        <v>71</v>
      </c>
      <c r="V51" s="7" t="s">
        <v>520</v>
      </c>
      <c r="W51" s="6" t="s">
        <v>72</v>
      </c>
      <c r="X51" s="6" t="s">
        <v>72</v>
      </c>
      <c r="Y51" s="6" t="s">
        <v>72</v>
      </c>
      <c r="Z51" s="6" t="s">
        <v>71</v>
      </c>
      <c r="AA51" s="6" t="s">
        <v>72</v>
      </c>
      <c r="AB51" s="6" t="s">
        <v>72</v>
      </c>
      <c r="AC51" s="6" t="s">
        <v>72</v>
      </c>
      <c r="AD51" s="6" t="s">
        <v>72</v>
      </c>
      <c r="AE51" s="6" t="s">
        <v>72</v>
      </c>
      <c r="AF51" s="6" t="s">
        <v>71</v>
      </c>
      <c r="AG51" s="6" t="s">
        <v>72</v>
      </c>
      <c r="AH51" s="6" t="s">
        <v>72</v>
      </c>
      <c r="AI51" s="6" t="s">
        <v>72</v>
      </c>
      <c r="AJ51" s="6" t="s">
        <v>72</v>
      </c>
      <c r="AK51" s="6" t="s">
        <v>71</v>
      </c>
      <c r="AL51" s="6" t="s">
        <v>72</v>
      </c>
      <c r="AM51" s="6" t="s">
        <v>72</v>
      </c>
      <c r="AN51" s="6" t="s">
        <v>72</v>
      </c>
      <c r="AO51" s="6" t="s">
        <v>71</v>
      </c>
      <c r="AP51" s="6" t="s">
        <v>807</v>
      </c>
    </row>
    <row r="52" spans="1:42">
      <c r="A52" s="5">
        <v>45367.535389722223</v>
      </c>
      <c r="B52" s="6" t="s">
        <v>808</v>
      </c>
      <c r="C52" s="6" t="s">
        <v>421</v>
      </c>
      <c r="D52" s="6">
        <v>20116900</v>
      </c>
      <c r="E52" s="6" t="s">
        <v>286</v>
      </c>
      <c r="F52" s="6" t="s">
        <v>810</v>
      </c>
      <c r="G52" s="6" t="s">
        <v>105</v>
      </c>
      <c r="H52" s="6" t="s">
        <v>811</v>
      </c>
      <c r="I52" s="6" t="s">
        <v>812</v>
      </c>
      <c r="J52" s="6" t="s">
        <v>809</v>
      </c>
      <c r="K52" s="6" t="s">
        <v>808</v>
      </c>
      <c r="L52" s="6" t="s">
        <v>89</v>
      </c>
      <c r="M52" s="6" t="s">
        <v>425</v>
      </c>
      <c r="N52" s="6">
        <v>35</v>
      </c>
      <c r="O52" s="6" t="s">
        <v>282</v>
      </c>
      <c r="P52" s="6">
        <v>5</v>
      </c>
      <c r="Q52" s="6">
        <v>4</v>
      </c>
      <c r="R52" s="6">
        <v>50</v>
      </c>
      <c r="T52" s="6" t="s">
        <v>72</v>
      </c>
      <c r="U52" s="6" t="s">
        <v>71</v>
      </c>
      <c r="V52" s="7" t="s">
        <v>520</v>
      </c>
      <c r="W52" s="6" t="s">
        <v>72</v>
      </c>
      <c r="X52" s="6" t="s">
        <v>72</v>
      </c>
      <c r="Y52" s="6" t="s">
        <v>72</v>
      </c>
      <c r="Z52" s="6" t="s">
        <v>71</v>
      </c>
      <c r="AA52" s="6" t="s">
        <v>72</v>
      </c>
      <c r="AB52" s="6" t="s">
        <v>72</v>
      </c>
      <c r="AC52" s="6" t="s">
        <v>72</v>
      </c>
      <c r="AD52" s="6" t="s">
        <v>72</v>
      </c>
      <c r="AE52" s="6" t="s">
        <v>71</v>
      </c>
      <c r="AF52" s="6" t="s">
        <v>71</v>
      </c>
      <c r="AG52" s="6" t="s">
        <v>72</v>
      </c>
      <c r="AH52" s="6" t="s">
        <v>72</v>
      </c>
      <c r="AI52" s="6" t="s">
        <v>72</v>
      </c>
      <c r="AJ52" s="6" t="s">
        <v>71</v>
      </c>
      <c r="AK52" s="6" t="s">
        <v>71</v>
      </c>
      <c r="AL52" s="6" t="s">
        <v>72</v>
      </c>
      <c r="AM52" s="6" t="s">
        <v>72</v>
      </c>
      <c r="AN52" s="6" t="s">
        <v>71</v>
      </c>
      <c r="AO52" s="6" t="s">
        <v>71</v>
      </c>
    </row>
    <row r="53" spans="1:42">
      <c r="A53" s="5">
        <v>45367.586076747684</v>
      </c>
      <c r="B53" s="6" t="s">
        <v>813</v>
      </c>
      <c r="C53" s="6" t="s">
        <v>814</v>
      </c>
      <c r="D53" s="6">
        <v>30640241698</v>
      </c>
      <c r="E53" s="6" t="s">
        <v>815</v>
      </c>
      <c r="F53" s="6" t="s">
        <v>676</v>
      </c>
      <c r="G53" s="6" t="s">
        <v>64</v>
      </c>
      <c r="H53" s="6" t="s">
        <v>816</v>
      </c>
      <c r="I53" s="6" t="s">
        <v>817</v>
      </c>
      <c r="K53" s="6" t="s">
        <v>818</v>
      </c>
      <c r="L53" s="6" t="s">
        <v>89</v>
      </c>
      <c r="M53" s="6" t="s">
        <v>819</v>
      </c>
      <c r="N53" s="6">
        <v>20</v>
      </c>
      <c r="O53" s="6" t="s">
        <v>70</v>
      </c>
      <c r="P53" s="6">
        <v>4</v>
      </c>
      <c r="Q53" s="6">
        <v>3</v>
      </c>
      <c r="R53" s="6">
        <v>70</v>
      </c>
      <c r="T53" s="6" t="s">
        <v>72</v>
      </c>
      <c r="U53" s="6" t="s">
        <v>71</v>
      </c>
      <c r="V53" s="7" t="s">
        <v>520</v>
      </c>
      <c r="W53" s="6" t="s">
        <v>72</v>
      </c>
      <c r="X53" s="6" t="s">
        <v>72</v>
      </c>
      <c r="Y53" s="6" t="s">
        <v>72</v>
      </c>
      <c r="Z53" s="6" t="s">
        <v>71</v>
      </c>
      <c r="AA53" s="6" t="s">
        <v>72</v>
      </c>
      <c r="AB53" s="6" t="s">
        <v>72</v>
      </c>
      <c r="AC53" s="6" t="s">
        <v>72</v>
      </c>
      <c r="AD53" s="6" t="s">
        <v>72</v>
      </c>
      <c r="AE53" s="6" t="s">
        <v>71</v>
      </c>
      <c r="AF53" s="6" t="s">
        <v>71</v>
      </c>
      <c r="AG53" s="6" t="s">
        <v>72</v>
      </c>
      <c r="AH53" s="6" t="s">
        <v>72</v>
      </c>
      <c r="AI53" s="6" t="s">
        <v>72</v>
      </c>
      <c r="AJ53" s="6" t="s">
        <v>71</v>
      </c>
      <c r="AK53" s="6" t="s">
        <v>71</v>
      </c>
      <c r="AL53" s="6" t="s">
        <v>72</v>
      </c>
      <c r="AM53" s="6" t="s">
        <v>72</v>
      </c>
      <c r="AN53" s="6" t="s">
        <v>71</v>
      </c>
      <c r="AO53" s="6" t="s">
        <v>71</v>
      </c>
    </row>
    <row r="54" spans="1:42">
      <c r="A54" s="5">
        <v>45367.586436516205</v>
      </c>
      <c r="B54" s="6" t="s">
        <v>820</v>
      </c>
      <c r="C54" s="6" t="s">
        <v>821</v>
      </c>
      <c r="D54" s="6">
        <v>605413</v>
      </c>
      <c r="E54" s="6" t="s">
        <v>84</v>
      </c>
      <c r="F54" s="6" t="s">
        <v>249</v>
      </c>
      <c r="G54" s="6" t="s">
        <v>64</v>
      </c>
      <c r="H54" s="6" t="s">
        <v>822</v>
      </c>
      <c r="I54" s="6" t="s">
        <v>823</v>
      </c>
      <c r="J54" s="6" t="s">
        <v>824</v>
      </c>
      <c r="K54" s="6" t="s">
        <v>820</v>
      </c>
      <c r="L54" s="6" t="s">
        <v>68</v>
      </c>
      <c r="M54" s="6" t="s">
        <v>825</v>
      </c>
      <c r="N54" s="6">
        <v>32</v>
      </c>
      <c r="O54" s="6" t="s">
        <v>148</v>
      </c>
      <c r="P54" s="6">
        <v>2</v>
      </c>
      <c r="Q54" s="6">
        <v>2</v>
      </c>
      <c r="R54" s="6">
        <v>10</v>
      </c>
      <c r="S54" s="6" t="s">
        <v>826</v>
      </c>
      <c r="T54" s="6" t="s">
        <v>71</v>
      </c>
      <c r="U54" s="6" t="s">
        <v>72</v>
      </c>
      <c r="V54" s="7" t="s">
        <v>520</v>
      </c>
      <c r="W54" s="6" t="s">
        <v>71</v>
      </c>
      <c r="X54" s="6" t="s">
        <v>71</v>
      </c>
      <c r="Y54" s="6" t="s">
        <v>71</v>
      </c>
      <c r="Z54" s="6" t="s">
        <v>72</v>
      </c>
      <c r="AA54" s="6" t="s">
        <v>71</v>
      </c>
      <c r="AB54" s="6" t="s">
        <v>71</v>
      </c>
      <c r="AC54" s="6" t="s">
        <v>71</v>
      </c>
      <c r="AD54" s="6" t="s">
        <v>72</v>
      </c>
      <c r="AE54" s="6" t="s">
        <v>72</v>
      </c>
      <c r="AF54" s="6" t="s">
        <v>72</v>
      </c>
      <c r="AG54" s="6" t="s">
        <v>71</v>
      </c>
      <c r="AH54" s="6" t="s">
        <v>71</v>
      </c>
      <c r="AI54" s="6" t="s">
        <v>71</v>
      </c>
      <c r="AJ54" s="6" t="s">
        <v>72</v>
      </c>
      <c r="AK54" s="6" t="s">
        <v>72</v>
      </c>
      <c r="AL54" s="6" t="s">
        <v>71</v>
      </c>
      <c r="AM54" s="6" t="s">
        <v>71</v>
      </c>
      <c r="AN54" s="6" t="s">
        <v>72</v>
      </c>
      <c r="AO54" s="6" t="s">
        <v>72</v>
      </c>
      <c r="AP54" s="6" t="s">
        <v>827</v>
      </c>
    </row>
    <row r="55" spans="1:42">
      <c r="A55" s="5">
        <v>45367.590295416667</v>
      </c>
      <c r="B55" s="6" t="s">
        <v>820</v>
      </c>
      <c r="C55" s="6" t="s">
        <v>828</v>
      </c>
      <c r="D55" s="6">
        <v>605413</v>
      </c>
      <c r="E55" s="6" t="s">
        <v>506</v>
      </c>
      <c r="F55" s="6" t="s">
        <v>630</v>
      </c>
      <c r="G55" s="6" t="s">
        <v>64</v>
      </c>
      <c r="H55" s="6" t="s">
        <v>822</v>
      </c>
      <c r="I55" s="6" t="s">
        <v>823</v>
      </c>
      <c r="J55" s="6" t="s">
        <v>824</v>
      </c>
      <c r="K55" s="6" t="s">
        <v>820</v>
      </c>
      <c r="L55" s="6" t="s">
        <v>68</v>
      </c>
      <c r="M55" s="6" t="s">
        <v>825</v>
      </c>
      <c r="N55" s="6">
        <v>32</v>
      </c>
      <c r="O55" s="6" t="s">
        <v>148</v>
      </c>
      <c r="P55" s="6">
        <v>2</v>
      </c>
      <c r="Q55" s="6">
        <v>2</v>
      </c>
      <c r="R55" s="6">
        <v>10</v>
      </c>
      <c r="S55" s="6" t="s">
        <v>829</v>
      </c>
      <c r="T55" s="6" t="s">
        <v>71</v>
      </c>
      <c r="U55" s="6" t="s">
        <v>72</v>
      </c>
      <c r="V55" s="7" t="s">
        <v>520</v>
      </c>
      <c r="W55" s="6" t="s">
        <v>71</v>
      </c>
      <c r="X55" s="6" t="s">
        <v>71</v>
      </c>
      <c r="Y55" s="6" t="s">
        <v>71</v>
      </c>
      <c r="Z55" s="6" t="s">
        <v>72</v>
      </c>
      <c r="AA55" s="6" t="s">
        <v>71</v>
      </c>
      <c r="AB55" s="6" t="s">
        <v>71</v>
      </c>
      <c r="AC55" s="6" t="s">
        <v>71</v>
      </c>
      <c r="AD55" s="6" t="s">
        <v>72</v>
      </c>
      <c r="AE55" s="6" t="s">
        <v>72</v>
      </c>
      <c r="AF55" s="6" t="s">
        <v>72</v>
      </c>
      <c r="AG55" s="6" t="s">
        <v>71</v>
      </c>
      <c r="AH55" s="6" t="s">
        <v>71</v>
      </c>
      <c r="AI55" s="6" t="s">
        <v>71</v>
      </c>
      <c r="AJ55" s="6" t="s">
        <v>72</v>
      </c>
      <c r="AK55" s="6" t="s">
        <v>72</v>
      </c>
      <c r="AL55" s="6" t="s">
        <v>71</v>
      </c>
      <c r="AM55" s="6" t="s">
        <v>71</v>
      </c>
      <c r="AN55" s="6" t="s">
        <v>72</v>
      </c>
      <c r="AO55" s="6" t="s">
        <v>72</v>
      </c>
      <c r="AP55" s="6" t="s">
        <v>827</v>
      </c>
    </row>
    <row r="56" spans="1:42">
      <c r="A56" s="5">
        <v>45368.450414085644</v>
      </c>
      <c r="B56" s="6" t="s">
        <v>830</v>
      </c>
      <c r="C56" s="6" t="s">
        <v>496</v>
      </c>
      <c r="D56" s="7" t="s">
        <v>831</v>
      </c>
      <c r="E56" s="6" t="s">
        <v>276</v>
      </c>
      <c r="F56" s="6" t="s">
        <v>832</v>
      </c>
      <c r="G56" s="6" t="s">
        <v>64</v>
      </c>
      <c r="H56" s="6" t="s">
        <v>833</v>
      </c>
      <c r="I56" s="6" t="s">
        <v>834</v>
      </c>
      <c r="J56" s="6" t="s">
        <v>835</v>
      </c>
      <c r="K56" s="6" t="s">
        <v>830</v>
      </c>
      <c r="L56" s="6" t="s">
        <v>89</v>
      </c>
      <c r="M56" s="6" t="s">
        <v>217</v>
      </c>
      <c r="N56" s="6">
        <v>35</v>
      </c>
      <c r="O56" s="6" t="s">
        <v>70</v>
      </c>
      <c r="P56" s="6">
        <v>5</v>
      </c>
      <c r="Q56" s="6">
        <v>5</v>
      </c>
      <c r="R56" s="6">
        <v>30</v>
      </c>
      <c r="T56" s="6" t="s">
        <v>71</v>
      </c>
      <c r="U56" s="6" t="s">
        <v>72</v>
      </c>
      <c r="V56" s="7" t="s">
        <v>520</v>
      </c>
      <c r="W56" s="6" t="s">
        <v>71</v>
      </c>
      <c r="X56" s="6" t="s">
        <v>71</v>
      </c>
      <c r="Y56" s="6" t="s">
        <v>71</v>
      </c>
      <c r="Z56" s="6" t="s">
        <v>72</v>
      </c>
      <c r="AA56" s="6" t="s">
        <v>71</v>
      </c>
      <c r="AB56" s="6" t="s">
        <v>71</v>
      </c>
      <c r="AC56" s="6" t="s">
        <v>71</v>
      </c>
      <c r="AD56" s="6" t="s">
        <v>72</v>
      </c>
      <c r="AE56" s="6" t="s">
        <v>72</v>
      </c>
      <c r="AF56" s="6" t="s">
        <v>72</v>
      </c>
      <c r="AG56" s="6" t="s">
        <v>71</v>
      </c>
      <c r="AH56" s="6" t="s">
        <v>71</v>
      </c>
      <c r="AI56" s="6" t="s">
        <v>71</v>
      </c>
      <c r="AJ56" s="6" t="s">
        <v>72</v>
      </c>
      <c r="AK56" s="6" t="s">
        <v>72</v>
      </c>
      <c r="AL56" s="6" t="s">
        <v>71</v>
      </c>
      <c r="AM56" s="6" t="s">
        <v>71</v>
      </c>
      <c r="AN56" s="6" t="s">
        <v>72</v>
      </c>
      <c r="AO56" s="6" t="s">
        <v>72</v>
      </c>
    </row>
    <row r="57" spans="1:42">
      <c r="A57" s="5">
        <v>45368.466132592592</v>
      </c>
      <c r="B57" s="6" t="s">
        <v>830</v>
      </c>
      <c r="C57" s="6" t="s">
        <v>836</v>
      </c>
      <c r="D57" s="6">
        <v>20036400</v>
      </c>
      <c r="E57" s="6" t="s">
        <v>133</v>
      </c>
      <c r="F57" s="6" t="s">
        <v>837</v>
      </c>
      <c r="G57" s="6" t="s">
        <v>105</v>
      </c>
      <c r="H57" s="6" t="s">
        <v>833</v>
      </c>
      <c r="I57" s="6" t="s">
        <v>838</v>
      </c>
      <c r="J57" s="6" t="s">
        <v>839</v>
      </c>
      <c r="K57" s="6" t="s">
        <v>830</v>
      </c>
      <c r="L57" s="6" t="s">
        <v>89</v>
      </c>
      <c r="M57" s="6" t="s">
        <v>840</v>
      </c>
      <c r="N57" s="6">
        <v>35</v>
      </c>
      <c r="O57" s="6" t="s">
        <v>70</v>
      </c>
      <c r="P57" s="6">
        <v>5</v>
      </c>
      <c r="Q57" s="6">
        <v>4</v>
      </c>
      <c r="R57" s="6">
        <v>80</v>
      </c>
      <c r="S57" s="6" t="s">
        <v>841</v>
      </c>
      <c r="T57" s="6" t="s">
        <v>72</v>
      </c>
      <c r="U57" s="6" t="s">
        <v>71</v>
      </c>
      <c r="V57" s="7" t="s">
        <v>520</v>
      </c>
      <c r="W57" s="6" t="s">
        <v>72</v>
      </c>
      <c r="X57" s="6" t="s">
        <v>72</v>
      </c>
      <c r="Y57" s="6" t="s">
        <v>72</v>
      </c>
      <c r="Z57" s="6" t="s">
        <v>71</v>
      </c>
      <c r="AA57" s="6" t="s">
        <v>72</v>
      </c>
      <c r="AB57" s="6" t="s">
        <v>72</v>
      </c>
      <c r="AC57" s="6" t="s">
        <v>72</v>
      </c>
      <c r="AD57" s="6" t="s">
        <v>71</v>
      </c>
      <c r="AE57" s="6" t="s">
        <v>71</v>
      </c>
      <c r="AF57" s="6" t="s">
        <v>71</v>
      </c>
      <c r="AG57" s="6" t="s">
        <v>72</v>
      </c>
      <c r="AH57" s="6" t="s">
        <v>72</v>
      </c>
      <c r="AI57" s="6" t="s">
        <v>72</v>
      </c>
      <c r="AJ57" s="6" t="s">
        <v>71</v>
      </c>
      <c r="AK57" s="6" t="s">
        <v>71</v>
      </c>
      <c r="AL57" s="6" t="s">
        <v>72</v>
      </c>
      <c r="AM57" s="6" t="s">
        <v>72</v>
      </c>
      <c r="AN57" s="6" t="s">
        <v>71</v>
      </c>
      <c r="AO57" s="6" t="s">
        <v>71</v>
      </c>
    </row>
    <row r="58" spans="1:42">
      <c r="A58" s="5">
        <v>45368.6555041088</v>
      </c>
      <c r="B58" s="6" t="s">
        <v>842</v>
      </c>
      <c r="C58" s="6" t="s">
        <v>843</v>
      </c>
      <c r="D58" s="6">
        <v>20097800</v>
      </c>
      <c r="E58" s="6" t="s">
        <v>133</v>
      </c>
      <c r="F58" s="6" t="s">
        <v>844</v>
      </c>
      <c r="G58" s="6" t="s">
        <v>64</v>
      </c>
      <c r="H58" s="6" t="s">
        <v>845</v>
      </c>
      <c r="I58" s="6" t="s">
        <v>845</v>
      </c>
      <c r="K58" s="6" t="s">
        <v>842</v>
      </c>
      <c r="L58" s="6" t="s">
        <v>89</v>
      </c>
      <c r="M58" s="6" t="s">
        <v>846</v>
      </c>
      <c r="N58" s="6">
        <v>11</v>
      </c>
      <c r="O58" s="6" t="s">
        <v>70</v>
      </c>
      <c r="P58" s="6">
        <v>4</v>
      </c>
      <c r="Q58" s="6">
        <v>4</v>
      </c>
      <c r="R58" s="6">
        <v>0</v>
      </c>
      <c r="T58" s="6" t="s">
        <v>72</v>
      </c>
      <c r="U58" s="6" t="s">
        <v>71</v>
      </c>
      <c r="V58" s="7" t="s">
        <v>520</v>
      </c>
      <c r="W58" s="6" t="s">
        <v>72</v>
      </c>
      <c r="X58" s="6" t="s">
        <v>72</v>
      </c>
      <c r="Y58" s="6" t="s">
        <v>72</v>
      </c>
      <c r="Z58" s="6" t="s">
        <v>71</v>
      </c>
      <c r="AA58" s="6" t="s">
        <v>72</v>
      </c>
      <c r="AB58" s="6" t="s">
        <v>72</v>
      </c>
      <c r="AC58" s="6" t="s">
        <v>72</v>
      </c>
      <c r="AD58" s="6" t="s">
        <v>71</v>
      </c>
      <c r="AE58" s="6" t="s">
        <v>71</v>
      </c>
      <c r="AF58" s="6" t="s">
        <v>71</v>
      </c>
      <c r="AG58" s="6" t="s">
        <v>72</v>
      </c>
      <c r="AH58" s="6" t="s">
        <v>72</v>
      </c>
      <c r="AI58" s="6" t="s">
        <v>72</v>
      </c>
      <c r="AJ58" s="6" t="s">
        <v>71</v>
      </c>
      <c r="AK58" s="6" t="s">
        <v>71</v>
      </c>
      <c r="AL58" s="6" t="s">
        <v>72</v>
      </c>
      <c r="AM58" s="6" t="s">
        <v>72</v>
      </c>
      <c r="AN58" s="6" t="s">
        <v>71</v>
      </c>
      <c r="AO58" s="6" t="s">
        <v>71</v>
      </c>
    </row>
    <row r="59" spans="1:42">
      <c r="A59" s="5">
        <v>45368.832537881943</v>
      </c>
      <c r="B59" s="6" t="s">
        <v>847</v>
      </c>
      <c r="C59" s="6" t="s">
        <v>848</v>
      </c>
      <c r="D59" s="7" t="s">
        <v>849</v>
      </c>
      <c r="E59" s="6" t="s">
        <v>62</v>
      </c>
      <c r="F59" s="6" t="s">
        <v>235</v>
      </c>
      <c r="G59" s="6" t="s">
        <v>64</v>
      </c>
      <c r="H59" s="6" t="s">
        <v>460</v>
      </c>
      <c r="I59" s="6" t="s">
        <v>850</v>
      </c>
      <c r="J59" s="6" t="s">
        <v>851</v>
      </c>
      <c r="K59" s="6" t="s">
        <v>847</v>
      </c>
      <c r="L59" s="6" t="s">
        <v>68</v>
      </c>
      <c r="M59" s="6" t="s">
        <v>852</v>
      </c>
      <c r="N59" s="6">
        <v>31</v>
      </c>
      <c r="O59" s="6" t="s">
        <v>70</v>
      </c>
      <c r="P59" s="6">
        <v>3</v>
      </c>
      <c r="Q59" s="6">
        <v>3</v>
      </c>
      <c r="R59" s="6">
        <v>50</v>
      </c>
      <c r="T59" s="6" t="s">
        <v>71</v>
      </c>
      <c r="U59" s="6" t="s">
        <v>71</v>
      </c>
      <c r="V59" s="7" t="s">
        <v>520</v>
      </c>
      <c r="W59" s="6" t="s">
        <v>72</v>
      </c>
      <c r="X59" s="6" t="s">
        <v>72</v>
      </c>
      <c r="Y59" s="6" t="s">
        <v>71</v>
      </c>
      <c r="Z59" s="6" t="s">
        <v>71</v>
      </c>
      <c r="AA59" s="6" t="s">
        <v>72</v>
      </c>
      <c r="AB59" s="6" t="s">
        <v>72</v>
      </c>
      <c r="AC59" s="6" t="s">
        <v>72</v>
      </c>
      <c r="AD59" s="6" t="s">
        <v>71</v>
      </c>
      <c r="AE59" s="6" t="s">
        <v>71</v>
      </c>
      <c r="AF59" s="6" t="s">
        <v>71</v>
      </c>
      <c r="AG59" s="6" t="s">
        <v>72</v>
      </c>
      <c r="AH59" s="6" t="s">
        <v>72</v>
      </c>
      <c r="AI59" s="6" t="s">
        <v>71</v>
      </c>
      <c r="AJ59" s="6" t="s">
        <v>71</v>
      </c>
      <c r="AK59" s="6" t="s">
        <v>71</v>
      </c>
      <c r="AL59" s="6" t="s">
        <v>72</v>
      </c>
      <c r="AM59" s="6" t="s">
        <v>71</v>
      </c>
      <c r="AN59" s="6" t="s">
        <v>71</v>
      </c>
      <c r="AO59" s="6" t="s">
        <v>71</v>
      </c>
    </row>
    <row r="60" spans="1:42">
      <c r="A60" s="5">
        <v>45369.501063009258</v>
      </c>
      <c r="B60" s="6" t="s">
        <v>861</v>
      </c>
      <c r="C60" s="6" t="s">
        <v>862</v>
      </c>
      <c r="D60" s="6">
        <v>20086000</v>
      </c>
      <c r="E60" s="6" t="s">
        <v>84</v>
      </c>
      <c r="F60" s="6" t="s">
        <v>269</v>
      </c>
      <c r="G60" s="6" t="s">
        <v>64</v>
      </c>
      <c r="H60" s="6" t="s">
        <v>863</v>
      </c>
      <c r="I60" s="6" t="s">
        <v>864</v>
      </c>
      <c r="J60" s="6" t="s">
        <v>865</v>
      </c>
      <c r="K60" s="6" t="s">
        <v>861</v>
      </c>
      <c r="L60" s="6" t="s">
        <v>89</v>
      </c>
      <c r="M60" s="6" t="s">
        <v>313</v>
      </c>
      <c r="N60" s="6">
        <v>10</v>
      </c>
      <c r="O60" s="6" t="s">
        <v>70</v>
      </c>
      <c r="P60" s="6">
        <v>5</v>
      </c>
      <c r="Q60" s="6">
        <v>5</v>
      </c>
      <c r="R60" s="6">
        <v>0</v>
      </c>
      <c r="T60" s="6" t="s">
        <v>71</v>
      </c>
      <c r="U60" s="6" t="s">
        <v>72</v>
      </c>
      <c r="V60" s="7" t="s">
        <v>520</v>
      </c>
      <c r="W60" s="6" t="s">
        <v>72</v>
      </c>
      <c r="X60" s="6" t="s">
        <v>72</v>
      </c>
      <c r="Y60" s="6" t="s">
        <v>72</v>
      </c>
      <c r="Z60" s="6" t="s">
        <v>72</v>
      </c>
      <c r="AA60" s="6" t="s">
        <v>71</v>
      </c>
      <c r="AB60" s="6" t="s">
        <v>72</v>
      </c>
      <c r="AC60" s="6" t="s">
        <v>72</v>
      </c>
      <c r="AD60" s="6" t="s">
        <v>72</v>
      </c>
      <c r="AE60" s="6" t="s">
        <v>72</v>
      </c>
      <c r="AF60" s="6" t="s">
        <v>72</v>
      </c>
      <c r="AI60" s="6" t="s">
        <v>71</v>
      </c>
      <c r="AL60" s="6" t="s">
        <v>71</v>
      </c>
    </row>
    <row r="61" spans="1:42">
      <c r="A61" s="5">
        <v>45369.567177847217</v>
      </c>
      <c r="B61" s="6" t="s">
        <v>813</v>
      </c>
      <c r="C61" s="6" t="s">
        <v>866</v>
      </c>
      <c r="D61" s="7" t="s">
        <v>867</v>
      </c>
      <c r="E61" s="6" t="s">
        <v>815</v>
      </c>
      <c r="F61" s="6" t="s">
        <v>676</v>
      </c>
      <c r="G61" s="6" t="s">
        <v>64</v>
      </c>
      <c r="H61" s="6" t="s">
        <v>816</v>
      </c>
      <c r="I61" s="6" t="s">
        <v>868</v>
      </c>
      <c r="K61" s="6" t="s">
        <v>813</v>
      </c>
      <c r="L61" s="6" t="s">
        <v>89</v>
      </c>
      <c r="M61" s="6" t="s">
        <v>819</v>
      </c>
      <c r="N61" s="6">
        <v>18</v>
      </c>
      <c r="O61" s="6" t="s">
        <v>70</v>
      </c>
      <c r="P61" s="6">
        <v>3</v>
      </c>
      <c r="Q61" s="6">
        <v>3</v>
      </c>
      <c r="R61" s="6">
        <v>70</v>
      </c>
      <c r="T61" s="6" t="s">
        <v>72</v>
      </c>
      <c r="U61" s="6" t="s">
        <v>71</v>
      </c>
      <c r="V61" s="7" t="s">
        <v>520</v>
      </c>
      <c r="W61" s="6" t="s">
        <v>72</v>
      </c>
      <c r="X61" s="6" t="s">
        <v>72</v>
      </c>
      <c r="Y61" s="6" t="s">
        <v>72</v>
      </c>
      <c r="Z61" s="6" t="s">
        <v>71</v>
      </c>
      <c r="AA61" s="6" t="s">
        <v>72</v>
      </c>
      <c r="AB61" s="6" t="s">
        <v>72</v>
      </c>
      <c r="AC61" s="6" t="s">
        <v>72</v>
      </c>
      <c r="AD61" s="6" t="s">
        <v>71</v>
      </c>
      <c r="AE61" s="6" t="s">
        <v>71</v>
      </c>
      <c r="AF61" s="6" t="s">
        <v>71</v>
      </c>
      <c r="AG61" s="6" t="s">
        <v>72</v>
      </c>
      <c r="AH61" s="6" t="s">
        <v>72</v>
      </c>
      <c r="AI61" s="6" t="s">
        <v>72</v>
      </c>
      <c r="AJ61" s="6" t="s">
        <v>71</v>
      </c>
      <c r="AK61" s="6" t="s">
        <v>71</v>
      </c>
      <c r="AL61" s="6" t="s">
        <v>72</v>
      </c>
      <c r="AM61" s="6" t="s">
        <v>72</v>
      </c>
      <c r="AN61" s="6" t="s">
        <v>71</v>
      </c>
      <c r="AO61" s="6" t="s">
        <v>71</v>
      </c>
    </row>
    <row r="62" spans="1:42">
      <c r="A62" s="5">
        <v>45369.583257303238</v>
      </c>
      <c r="B62" s="6" t="s">
        <v>869</v>
      </c>
      <c r="C62" s="6" t="s">
        <v>870</v>
      </c>
      <c r="D62" s="7" t="s">
        <v>871</v>
      </c>
      <c r="E62" s="6" t="s">
        <v>62</v>
      </c>
      <c r="F62" s="6" t="s">
        <v>872</v>
      </c>
      <c r="G62" s="6" t="s">
        <v>64</v>
      </c>
      <c r="H62" s="6" t="s">
        <v>873</v>
      </c>
      <c r="I62" s="6" t="s">
        <v>874</v>
      </c>
      <c r="J62" s="6" t="s">
        <v>875</v>
      </c>
      <c r="K62" s="6" t="s">
        <v>869</v>
      </c>
      <c r="L62" s="6" t="s">
        <v>138</v>
      </c>
      <c r="M62" s="6" t="s">
        <v>876</v>
      </c>
      <c r="N62" s="6">
        <v>35</v>
      </c>
      <c r="O62" s="6" t="s">
        <v>70</v>
      </c>
      <c r="P62" s="6">
        <v>5</v>
      </c>
      <c r="Q62" s="6">
        <v>5</v>
      </c>
      <c r="R62" s="6">
        <v>0</v>
      </c>
      <c r="T62" s="6" t="s">
        <v>71</v>
      </c>
      <c r="U62" s="6" t="s">
        <v>72</v>
      </c>
      <c r="V62" s="7" t="s">
        <v>520</v>
      </c>
      <c r="W62" s="6" t="s">
        <v>71</v>
      </c>
      <c r="X62" s="6" t="s">
        <v>71</v>
      </c>
      <c r="Y62" s="6" t="s">
        <v>71</v>
      </c>
      <c r="Z62" s="6" t="s">
        <v>72</v>
      </c>
      <c r="AA62" s="6" t="s">
        <v>71</v>
      </c>
      <c r="AB62" s="6" t="s">
        <v>71</v>
      </c>
      <c r="AC62" s="6" t="s">
        <v>71</v>
      </c>
      <c r="AD62" s="6" t="s">
        <v>72</v>
      </c>
      <c r="AE62" s="6" t="s">
        <v>72</v>
      </c>
      <c r="AF62" s="6" t="s">
        <v>72</v>
      </c>
      <c r="AG62" s="6" t="s">
        <v>71</v>
      </c>
      <c r="AH62" s="6" t="s">
        <v>71</v>
      </c>
      <c r="AI62" s="6" t="s">
        <v>71</v>
      </c>
      <c r="AJ62" s="6" t="s">
        <v>72</v>
      </c>
      <c r="AK62" s="6" t="s">
        <v>72</v>
      </c>
      <c r="AL62" s="6" t="s">
        <v>71</v>
      </c>
      <c r="AM62" s="6" t="s">
        <v>71</v>
      </c>
      <c r="AN62" s="6" t="s">
        <v>72</v>
      </c>
      <c r="AO62" s="6" t="s">
        <v>72</v>
      </c>
    </row>
    <row r="63" spans="1:42">
      <c r="A63" s="5">
        <v>45369.684196400463</v>
      </c>
      <c r="B63" s="6" t="s">
        <v>877</v>
      </c>
      <c r="C63" s="6" t="s">
        <v>878</v>
      </c>
      <c r="D63" s="6">
        <v>2001920</v>
      </c>
      <c r="E63" s="6" t="s">
        <v>387</v>
      </c>
      <c r="F63" s="6" t="s">
        <v>879</v>
      </c>
      <c r="G63" s="6" t="s">
        <v>105</v>
      </c>
      <c r="H63" s="6" t="s">
        <v>880</v>
      </c>
      <c r="I63" s="6" t="s">
        <v>881</v>
      </c>
      <c r="J63" s="6" t="s">
        <v>882</v>
      </c>
      <c r="K63" s="6" t="s">
        <v>877</v>
      </c>
      <c r="L63" s="6" t="s">
        <v>89</v>
      </c>
      <c r="M63" s="6" t="s">
        <v>883</v>
      </c>
      <c r="N63" s="6">
        <v>35</v>
      </c>
      <c r="O63" s="6" t="s">
        <v>148</v>
      </c>
      <c r="P63" s="6">
        <v>4</v>
      </c>
      <c r="Q63" s="6">
        <v>4</v>
      </c>
      <c r="R63" s="6">
        <v>40</v>
      </c>
      <c r="T63" s="6" t="s">
        <v>72</v>
      </c>
      <c r="U63" s="6" t="s">
        <v>71</v>
      </c>
      <c r="V63" s="7" t="s">
        <v>520</v>
      </c>
      <c r="W63" s="6" t="s">
        <v>72</v>
      </c>
      <c r="X63" s="6" t="s">
        <v>72</v>
      </c>
      <c r="Y63" s="6" t="s">
        <v>72</v>
      </c>
      <c r="Z63" s="6" t="s">
        <v>72</v>
      </c>
      <c r="AA63" s="6" t="s">
        <v>72</v>
      </c>
      <c r="AB63" s="6" t="s">
        <v>72</v>
      </c>
      <c r="AC63" s="6" t="s">
        <v>72</v>
      </c>
      <c r="AD63" s="6" t="s">
        <v>72</v>
      </c>
      <c r="AE63" s="6" t="s">
        <v>72</v>
      </c>
      <c r="AF63" s="6" t="s">
        <v>71</v>
      </c>
      <c r="AG63" s="6" t="s">
        <v>72</v>
      </c>
      <c r="AH63" s="6" t="s">
        <v>72</v>
      </c>
      <c r="AI63" s="6" t="s">
        <v>72</v>
      </c>
      <c r="AJ63" s="6" t="s">
        <v>71</v>
      </c>
      <c r="AK63" s="6" t="s">
        <v>72</v>
      </c>
      <c r="AL63" s="6" t="s">
        <v>72</v>
      </c>
      <c r="AM63" s="6" t="s">
        <v>72</v>
      </c>
      <c r="AN63" s="6" t="s">
        <v>72</v>
      </c>
      <c r="AO63" s="6" t="s">
        <v>72</v>
      </c>
      <c r="AP63" s="6" t="s">
        <v>884</v>
      </c>
    </row>
    <row r="64" spans="1:42">
      <c r="A64" s="5">
        <v>45369.806593969908</v>
      </c>
      <c r="B64" s="6" t="s">
        <v>885</v>
      </c>
      <c r="C64" s="6" t="s">
        <v>886</v>
      </c>
      <c r="D64" s="7" t="s">
        <v>887</v>
      </c>
      <c r="E64" s="6" t="s">
        <v>84</v>
      </c>
      <c r="F64" s="6" t="s">
        <v>888</v>
      </c>
      <c r="G64" s="6" t="s">
        <v>64</v>
      </c>
      <c r="H64" s="6" t="s">
        <v>889</v>
      </c>
      <c r="I64" s="6" t="s">
        <v>890</v>
      </c>
      <c r="K64" s="6" t="s">
        <v>885</v>
      </c>
      <c r="L64" s="6" t="s">
        <v>89</v>
      </c>
      <c r="M64" s="6" t="s">
        <v>846</v>
      </c>
      <c r="N64" s="6">
        <v>20</v>
      </c>
      <c r="O64" s="6" t="s">
        <v>70</v>
      </c>
      <c r="P64" s="6">
        <v>5</v>
      </c>
      <c r="Q64" s="6">
        <v>4</v>
      </c>
      <c r="R64" s="6">
        <v>0</v>
      </c>
      <c r="T64" s="6" t="s">
        <v>71</v>
      </c>
      <c r="U64" s="6" t="s">
        <v>72</v>
      </c>
      <c r="V64" s="7" t="s">
        <v>520</v>
      </c>
      <c r="W64" s="6" t="s">
        <v>71</v>
      </c>
      <c r="X64" s="6" t="s">
        <v>71</v>
      </c>
      <c r="Y64" s="6" t="s">
        <v>71</v>
      </c>
      <c r="Z64" s="6" t="s">
        <v>72</v>
      </c>
      <c r="AA64" s="6" t="s">
        <v>71</v>
      </c>
      <c r="AB64" s="6" t="s">
        <v>71</v>
      </c>
      <c r="AC64" s="6" t="s">
        <v>71</v>
      </c>
      <c r="AD64" s="6" t="s">
        <v>71</v>
      </c>
      <c r="AE64" s="6" t="s">
        <v>72</v>
      </c>
      <c r="AF64" s="6" t="s">
        <v>72</v>
      </c>
      <c r="AG64" s="6" t="s">
        <v>71</v>
      </c>
      <c r="AH64" s="6" t="s">
        <v>71</v>
      </c>
      <c r="AI64" s="6" t="s">
        <v>71</v>
      </c>
      <c r="AJ64" s="6" t="s">
        <v>72</v>
      </c>
      <c r="AK64" s="6" t="s">
        <v>72</v>
      </c>
      <c r="AL64" s="6" t="s">
        <v>71</v>
      </c>
      <c r="AM64" s="6" t="s">
        <v>71</v>
      </c>
      <c r="AN64" s="6" t="s">
        <v>72</v>
      </c>
      <c r="AO64" s="6" t="s">
        <v>72</v>
      </c>
      <c r="AP64" s="6" t="s">
        <v>891</v>
      </c>
    </row>
    <row r="65" spans="1:88">
      <c r="A65" s="5">
        <v>45369.811967349538</v>
      </c>
      <c r="B65" s="6" t="s">
        <v>892</v>
      </c>
      <c r="C65" s="6" t="s">
        <v>893</v>
      </c>
      <c r="D65" s="6">
        <v>20000100</v>
      </c>
      <c r="E65" s="6" t="s">
        <v>133</v>
      </c>
      <c r="F65" s="6" t="s">
        <v>894</v>
      </c>
      <c r="G65" s="6" t="s">
        <v>64</v>
      </c>
      <c r="H65" s="6" t="s">
        <v>895</v>
      </c>
      <c r="I65" s="6" t="s">
        <v>896</v>
      </c>
      <c r="J65" s="6" t="s">
        <v>897</v>
      </c>
      <c r="K65" s="6" t="s">
        <v>892</v>
      </c>
      <c r="L65" s="6" t="s">
        <v>89</v>
      </c>
      <c r="M65" s="6" t="s">
        <v>898</v>
      </c>
      <c r="N65" s="6">
        <v>30</v>
      </c>
      <c r="O65" s="6" t="s">
        <v>70</v>
      </c>
      <c r="P65" s="6">
        <v>3</v>
      </c>
      <c r="Q65" s="6">
        <v>2</v>
      </c>
      <c r="R65" s="6">
        <v>15</v>
      </c>
      <c r="T65" s="6" t="s">
        <v>71</v>
      </c>
      <c r="U65" s="6" t="s">
        <v>72</v>
      </c>
      <c r="V65" s="7" t="s">
        <v>520</v>
      </c>
      <c r="W65" s="6" t="s">
        <v>71</v>
      </c>
      <c r="X65" s="6" t="s">
        <v>72</v>
      </c>
      <c r="Y65" s="6" t="s">
        <v>71</v>
      </c>
      <c r="Z65" s="6" t="s">
        <v>72</v>
      </c>
      <c r="AA65" s="6" t="s">
        <v>72</v>
      </c>
      <c r="AB65" s="6" t="s">
        <v>71</v>
      </c>
      <c r="AC65" s="6" t="s">
        <v>72</v>
      </c>
      <c r="AD65" s="6" t="s">
        <v>72</v>
      </c>
      <c r="AE65" s="6" t="s">
        <v>72</v>
      </c>
      <c r="AF65" s="6" t="s">
        <v>72</v>
      </c>
      <c r="AG65" s="6" t="s">
        <v>72</v>
      </c>
      <c r="AH65" s="6" t="s">
        <v>72</v>
      </c>
      <c r="AI65" s="6" t="s">
        <v>72</v>
      </c>
      <c r="AJ65" s="6" t="s">
        <v>72</v>
      </c>
      <c r="AK65" s="6" t="s">
        <v>72</v>
      </c>
      <c r="AL65" s="6" t="s">
        <v>72</v>
      </c>
      <c r="AM65" s="6" t="s">
        <v>72</v>
      </c>
      <c r="AN65" s="6" t="s">
        <v>72</v>
      </c>
      <c r="AO65" s="6" t="s">
        <v>72</v>
      </c>
    </row>
    <row r="66" spans="1:88">
      <c r="A66" s="5">
        <v>45369.949660613427</v>
      </c>
      <c r="B66" s="6" t="s">
        <v>899</v>
      </c>
      <c r="C66" s="6" t="s">
        <v>900</v>
      </c>
      <c r="D66" s="6">
        <v>200740</v>
      </c>
      <c r="E66" s="6" t="s">
        <v>133</v>
      </c>
      <c r="F66" s="6" t="s">
        <v>901</v>
      </c>
      <c r="G66" s="6" t="s">
        <v>64</v>
      </c>
      <c r="H66" s="6" t="s">
        <v>902</v>
      </c>
      <c r="I66" s="6" t="s">
        <v>903</v>
      </c>
      <c r="K66" s="6" t="s">
        <v>899</v>
      </c>
      <c r="L66" s="6" t="s">
        <v>89</v>
      </c>
      <c r="M66" s="6" t="s">
        <v>446</v>
      </c>
      <c r="N66" s="6">
        <v>22</v>
      </c>
      <c r="O66" s="6" t="s">
        <v>70</v>
      </c>
      <c r="P66" s="6">
        <v>4</v>
      </c>
      <c r="Q66" s="6">
        <v>4</v>
      </c>
      <c r="R66" s="6">
        <v>10</v>
      </c>
      <c r="T66" s="6" t="s">
        <v>71</v>
      </c>
      <c r="U66" s="6" t="s">
        <v>72</v>
      </c>
      <c r="V66" s="7" t="s">
        <v>520</v>
      </c>
      <c r="W66" s="6" t="s">
        <v>71</v>
      </c>
      <c r="X66" s="6" t="s">
        <v>72</v>
      </c>
      <c r="Y66" s="6" t="s">
        <v>72</v>
      </c>
      <c r="Z66" s="6" t="s">
        <v>72</v>
      </c>
      <c r="AA66" s="6" t="s">
        <v>72</v>
      </c>
      <c r="AB66" s="6" t="s">
        <v>72</v>
      </c>
      <c r="AC66" s="6" t="s">
        <v>71</v>
      </c>
      <c r="AD66" s="6" t="s">
        <v>72</v>
      </c>
      <c r="AE66" s="6" t="s">
        <v>72</v>
      </c>
      <c r="AF66" s="6" t="s">
        <v>72</v>
      </c>
      <c r="AH66" s="6" t="s">
        <v>71</v>
      </c>
      <c r="AL66" s="6" t="s">
        <v>72</v>
      </c>
      <c r="AM66" s="6" t="s">
        <v>71</v>
      </c>
      <c r="AN66" s="6" t="s">
        <v>72</v>
      </c>
      <c r="AO66" s="6" t="s">
        <v>72</v>
      </c>
    </row>
    <row r="67" spans="1:88">
      <c r="A67" s="5">
        <v>45369.970670740746</v>
      </c>
      <c r="B67" s="6" t="s">
        <v>904</v>
      </c>
      <c r="C67" s="6" t="s">
        <v>905</v>
      </c>
      <c r="D67" s="6">
        <v>201690</v>
      </c>
      <c r="E67" s="6" t="s">
        <v>84</v>
      </c>
      <c r="F67" s="6" t="s">
        <v>304</v>
      </c>
      <c r="G67" s="6" t="s">
        <v>105</v>
      </c>
      <c r="H67" s="6" t="s">
        <v>906</v>
      </c>
      <c r="I67" s="6" t="s">
        <v>907</v>
      </c>
      <c r="J67" s="6" t="s">
        <v>908</v>
      </c>
      <c r="K67" s="6" t="s">
        <v>904</v>
      </c>
      <c r="L67" s="6" t="s">
        <v>89</v>
      </c>
      <c r="M67" s="6" t="s">
        <v>446</v>
      </c>
      <c r="N67" s="6">
        <v>21</v>
      </c>
      <c r="O67" s="6" t="s">
        <v>70</v>
      </c>
      <c r="P67" s="6">
        <v>5</v>
      </c>
      <c r="Q67" s="6">
        <v>5</v>
      </c>
      <c r="R67" s="6">
        <v>0</v>
      </c>
      <c r="T67" s="6" t="s">
        <v>71</v>
      </c>
      <c r="U67" s="6" t="s">
        <v>72</v>
      </c>
      <c r="V67" s="7" t="s">
        <v>520</v>
      </c>
      <c r="W67" s="6" t="s">
        <v>71</v>
      </c>
      <c r="X67" s="6" t="s">
        <v>71</v>
      </c>
      <c r="Y67" s="6" t="s">
        <v>71</v>
      </c>
      <c r="Z67" s="6" t="s">
        <v>72</v>
      </c>
      <c r="AA67" s="6" t="s">
        <v>71</v>
      </c>
      <c r="AB67" s="6" t="s">
        <v>71</v>
      </c>
      <c r="AC67" s="6" t="s">
        <v>71</v>
      </c>
      <c r="AD67" s="6" t="s">
        <v>72</v>
      </c>
      <c r="AE67" s="6" t="s">
        <v>72</v>
      </c>
      <c r="AF67" s="6" t="s">
        <v>72</v>
      </c>
      <c r="AG67" s="6" t="s">
        <v>71</v>
      </c>
      <c r="AH67" s="6" t="s">
        <v>71</v>
      </c>
      <c r="AI67" s="6" t="s">
        <v>71</v>
      </c>
      <c r="AJ67" s="6" t="s">
        <v>72</v>
      </c>
      <c r="AK67" s="6" t="s">
        <v>72</v>
      </c>
      <c r="AL67" s="6" t="s">
        <v>71</v>
      </c>
      <c r="AM67" s="6" t="s">
        <v>71</v>
      </c>
      <c r="AN67" s="6" t="s">
        <v>72</v>
      </c>
      <c r="AO67" s="6" t="s">
        <v>72</v>
      </c>
      <c r="AP67" s="6" t="s">
        <v>909</v>
      </c>
    </row>
    <row r="68" spans="1:88">
      <c r="A68" s="5">
        <v>45369.973896504627</v>
      </c>
      <c r="B68" s="6" t="s">
        <v>904</v>
      </c>
      <c r="C68" s="6" t="s">
        <v>910</v>
      </c>
      <c r="D68" s="6">
        <v>201690</v>
      </c>
      <c r="E68" s="6" t="s">
        <v>84</v>
      </c>
      <c r="F68" s="6" t="s">
        <v>304</v>
      </c>
      <c r="G68" s="6" t="s">
        <v>64</v>
      </c>
      <c r="H68" s="6" t="s">
        <v>906</v>
      </c>
      <c r="I68" s="6" t="s">
        <v>911</v>
      </c>
      <c r="J68" s="6" t="s">
        <v>908</v>
      </c>
      <c r="K68" s="6" t="s">
        <v>904</v>
      </c>
      <c r="L68" s="6" t="s">
        <v>89</v>
      </c>
      <c r="M68" s="6" t="s">
        <v>446</v>
      </c>
      <c r="N68" s="6">
        <v>22</v>
      </c>
      <c r="O68" s="6" t="s">
        <v>70</v>
      </c>
      <c r="P68" s="6">
        <v>5</v>
      </c>
      <c r="Q68" s="6">
        <v>5</v>
      </c>
      <c r="R68" s="6">
        <v>0</v>
      </c>
      <c r="T68" s="6" t="s">
        <v>71</v>
      </c>
      <c r="U68" s="6" t="s">
        <v>72</v>
      </c>
      <c r="V68" s="7" t="s">
        <v>520</v>
      </c>
      <c r="W68" s="6" t="s">
        <v>71</v>
      </c>
      <c r="X68" s="6" t="s">
        <v>71</v>
      </c>
      <c r="Y68" s="6" t="s">
        <v>71</v>
      </c>
      <c r="Z68" s="6" t="s">
        <v>72</v>
      </c>
      <c r="AA68" s="6" t="s">
        <v>71</v>
      </c>
      <c r="AB68" s="6" t="s">
        <v>71</v>
      </c>
      <c r="AC68" s="6" t="s">
        <v>71</v>
      </c>
      <c r="AD68" s="6" t="s">
        <v>72</v>
      </c>
      <c r="AE68" s="6" t="s">
        <v>72</v>
      </c>
      <c r="AF68" s="6" t="s">
        <v>72</v>
      </c>
      <c r="AG68" s="6" t="s">
        <v>71</v>
      </c>
      <c r="AH68" s="6" t="s">
        <v>71</v>
      </c>
      <c r="AI68" s="6" t="s">
        <v>71</v>
      </c>
      <c r="AJ68" s="6" t="s">
        <v>72</v>
      </c>
      <c r="AK68" s="6" t="s">
        <v>72</v>
      </c>
      <c r="AL68" s="6" t="s">
        <v>71</v>
      </c>
      <c r="AM68" s="6" t="s">
        <v>71</v>
      </c>
      <c r="AN68" s="6" t="s">
        <v>72</v>
      </c>
      <c r="AO68" s="6" t="s">
        <v>72</v>
      </c>
      <c r="AP68" s="6" t="s">
        <v>909</v>
      </c>
    </row>
    <row r="69" spans="1:88">
      <c r="A69" s="5">
        <v>45369.976511724541</v>
      </c>
      <c r="B69" s="6" t="s">
        <v>904</v>
      </c>
      <c r="C69" s="6" t="s">
        <v>910</v>
      </c>
      <c r="D69" s="6">
        <v>201690</v>
      </c>
      <c r="E69" s="6" t="s">
        <v>84</v>
      </c>
      <c r="F69" s="6" t="s">
        <v>304</v>
      </c>
      <c r="G69" s="6" t="s">
        <v>64</v>
      </c>
      <c r="H69" s="6" t="s">
        <v>906</v>
      </c>
      <c r="I69" s="6" t="s">
        <v>911</v>
      </c>
      <c r="J69" s="6" t="s">
        <v>908</v>
      </c>
      <c r="K69" s="6" t="s">
        <v>904</v>
      </c>
      <c r="L69" s="6" t="s">
        <v>89</v>
      </c>
      <c r="M69" s="6" t="s">
        <v>446</v>
      </c>
      <c r="N69" s="6">
        <v>24</v>
      </c>
      <c r="O69" s="6" t="s">
        <v>148</v>
      </c>
      <c r="P69" s="6">
        <v>5</v>
      </c>
      <c r="Q69" s="6">
        <v>5</v>
      </c>
      <c r="R69" s="6">
        <v>0</v>
      </c>
      <c r="T69" s="6" t="s">
        <v>71</v>
      </c>
      <c r="U69" s="6" t="s">
        <v>72</v>
      </c>
      <c r="V69" s="7" t="s">
        <v>520</v>
      </c>
      <c r="W69" s="6" t="s">
        <v>71</v>
      </c>
      <c r="X69" s="6" t="s">
        <v>71</v>
      </c>
      <c r="Y69" s="6" t="s">
        <v>71</v>
      </c>
      <c r="Z69" s="6" t="s">
        <v>72</v>
      </c>
      <c r="AA69" s="6" t="s">
        <v>71</v>
      </c>
      <c r="AB69" s="6" t="s">
        <v>71</v>
      </c>
      <c r="AC69" s="6" t="s">
        <v>71</v>
      </c>
      <c r="AD69" s="6" t="s">
        <v>72</v>
      </c>
      <c r="AE69" s="6" t="s">
        <v>72</v>
      </c>
      <c r="AF69" s="6" t="s">
        <v>72</v>
      </c>
      <c r="AG69" s="6" t="s">
        <v>71</v>
      </c>
      <c r="AH69" s="6" t="s">
        <v>71</v>
      </c>
      <c r="AI69" s="6" t="s">
        <v>71</v>
      </c>
      <c r="AJ69" s="6" t="s">
        <v>72</v>
      </c>
      <c r="AK69" s="6" t="s">
        <v>72</v>
      </c>
      <c r="AL69" s="6" t="s">
        <v>71</v>
      </c>
      <c r="AM69" s="6" t="s">
        <v>71</v>
      </c>
      <c r="AN69" s="6" t="s">
        <v>72</v>
      </c>
      <c r="AO69" s="6" t="s">
        <v>72</v>
      </c>
      <c r="AP69" s="6" t="s">
        <v>909</v>
      </c>
    </row>
    <row r="70" spans="1:88">
      <c r="A70" s="5">
        <v>45369.978644664356</v>
      </c>
      <c r="B70" s="6" t="s">
        <v>904</v>
      </c>
      <c r="C70" s="6" t="s">
        <v>910</v>
      </c>
      <c r="D70" s="6">
        <v>201690</v>
      </c>
      <c r="E70" s="6" t="s">
        <v>84</v>
      </c>
      <c r="F70" s="6" t="s">
        <v>304</v>
      </c>
      <c r="G70" s="6" t="s">
        <v>64</v>
      </c>
      <c r="H70" s="6" t="s">
        <v>906</v>
      </c>
      <c r="I70" s="6" t="s">
        <v>911</v>
      </c>
      <c r="J70" s="6" t="s">
        <v>908</v>
      </c>
      <c r="K70" s="6" t="s">
        <v>904</v>
      </c>
      <c r="L70" s="6" t="s">
        <v>89</v>
      </c>
      <c r="M70" s="6" t="s">
        <v>446</v>
      </c>
      <c r="N70" s="6">
        <v>24</v>
      </c>
      <c r="O70" s="6" t="s">
        <v>148</v>
      </c>
      <c r="P70" s="6">
        <v>5</v>
      </c>
      <c r="Q70" s="6">
        <v>5</v>
      </c>
      <c r="R70" s="6">
        <v>0</v>
      </c>
      <c r="T70" s="6" t="s">
        <v>71</v>
      </c>
      <c r="U70" s="6" t="s">
        <v>72</v>
      </c>
      <c r="V70" s="7" t="s">
        <v>520</v>
      </c>
      <c r="W70" s="6" t="s">
        <v>71</v>
      </c>
      <c r="X70" s="6" t="s">
        <v>71</v>
      </c>
      <c r="Y70" s="6" t="s">
        <v>71</v>
      </c>
      <c r="Z70" s="6" t="s">
        <v>72</v>
      </c>
      <c r="AA70" s="6" t="s">
        <v>71</v>
      </c>
      <c r="AB70" s="6" t="s">
        <v>71</v>
      </c>
      <c r="AC70" s="6" t="s">
        <v>71</v>
      </c>
      <c r="AD70" s="6" t="s">
        <v>72</v>
      </c>
      <c r="AE70" s="6" t="s">
        <v>72</v>
      </c>
      <c r="AF70" s="6" t="s">
        <v>72</v>
      </c>
      <c r="AG70" s="6" t="s">
        <v>71</v>
      </c>
      <c r="AH70" s="6" t="s">
        <v>71</v>
      </c>
      <c r="AI70" s="6" t="s">
        <v>71</v>
      </c>
      <c r="AJ70" s="6" t="s">
        <v>72</v>
      </c>
      <c r="AK70" s="6" t="s">
        <v>72</v>
      </c>
      <c r="AL70" s="6" t="s">
        <v>71</v>
      </c>
      <c r="AM70" s="6" t="s">
        <v>71</v>
      </c>
      <c r="AN70" s="6" t="s">
        <v>72</v>
      </c>
      <c r="AO70" s="6" t="s">
        <v>72</v>
      </c>
      <c r="AP70" s="6" t="s">
        <v>909</v>
      </c>
    </row>
    <row r="71" spans="1:88">
      <c r="A71" s="5">
        <v>45369.989024675924</v>
      </c>
      <c r="B71" s="6" t="s">
        <v>912</v>
      </c>
      <c r="C71" s="6" t="s">
        <v>913</v>
      </c>
      <c r="D71" s="6">
        <v>61726900</v>
      </c>
      <c r="E71" s="6" t="s">
        <v>62</v>
      </c>
      <c r="F71" s="6" t="s">
        <v>914</v>
      </c>
      <c r="G71" s="6" t="s">
        <v>105</v>
      </c>
      <c r="H71" s="6" t="s">
        <v>915</v>
      </c>
      <c r="I71" s="6" t="s">
        <v>916</v>
      </c>
      <c r="K71" s="6" t="s">
        <v>912</v>
      </c>
      <c r="L71" s="6" t="s">
        <v>245</v>
      </c>
      <c r="M71" s="6" t="s">
        <v>246</v>
      </c>
      <c r="N71" s="6">
        <v>20</v>
      </c>
      <c r="O71" s="6" t="s">
        <v>70</v>
      </c>
      <c r="P71" s="6">
        <v>2</v>
      </c>
      <c r="Q71" s="6">
        <v>1</v>
      </c>
      <c r="R71" s="6">
        <v>15</v>
      </c>
      <c r="S71" s="6" t="s">
        <v>917</v>
      </c>
      <c r="T71" s="6" t="s">
        <v>71</v>
      </c>
      <c r="U71" s="6" t="s">
        <v>72</v>
      </c>
      <c r="V71" s="7" t="s">
        <v>520</v>
      </c>
      <c r="W71" s="6" t="s">
        <v>71</v>
      </c>
      <c r="X71" s="6" t="s">
        <v>71</v>
      </c>
      <c r="Y71" s="6" t="s">
        <v>72</v>
      </c>
      <c r="Z71" s="6" t="s">
        <v>72</v>
      </c>
      <c r="AA71" s="6" t="s">
        <v>71</v>
      </c>
      <c r="AB71" s="6" t="s">
        <v>71</v>
      </c>
      <c r="AC71" s="6" t="s">
        <v>71</v>
      </c>
      <c r="AD71" s="6" t="s">
        <v>72</v>
      </c>
      <c r="AE71" s="6" t="s">
        <v>72</v>
      </c>
      <c r="AF71" s="6" t="s">
        <v>72</v>
      </c>
      <c r="AG71" s="6" t="s">
        <v>71</v>
      </c>
      <c r="AH71" s="6" t="s">
        <v>71</v>
      </c>
      <c r="AI71" s="6" t="s">
        <v>71</v>
      </c>
      <c r="AJ71" s="6" t="s">
        <v>72</v>
      </c>
      <c r="AK71" s="6" t="s">
        <v>72</v>
      </c>
      <c r="AL71" s="6" t="s">
        <v>71</v>
      </c>
      <c r="AM71" s="6" t="s">
        <v>72</v>
      </c>
      <c r="AN71" s="6" t="s">
        <v>72</v>
      </c>
      <c r="AO71" s="6" t="s">
        <v>72</v>
      </c>
      <c r="AP71" s="6" t="s">
        <v>918</v>
      </c>
    </row>
    <row r="72" spans="1:88">
      <c r="A72" s="13">
        <v>45365.419531574073</v>
      </c>
      <c r="B72" s="14" t="s">
        <v>718</v>
      </c>
      <c r="C72" s="14" t="s">
        <v>719</v>
      </c>
      <c r="D72" s="15" t="s">
        <v>720</v>
      </c>
      <c r="E72" s="14" t="s">
        <v>286</v>
      </c>
      <c r="F72" s="14" t="s">
        <v>721</v>
      </c>
      <c r="G72" s="14" t="s">
        <v>105</v>
      </c>
      <c r="H72" s="14" t="s">
        <v>722</v>
      </c>
      <c r="I72" s="14" t="s">
        <v>723</v>
      </c>
      <c r="J72" s="16"/>
      <c r="K72" s="14" t="s">
        <v>718</v>
      </c>
      <c r="L72" s="14" t="s">
        <v>138</v>
      </c>
      <c r="M72" s="14" t="s">
        <v>281</v>
      </c>
      <c r="N72" s="14">
        <v>35</v>
      </c>
      <c r="O72" s="14" t="s">
        <v>282</v>
      </c>
      <c r="P72" s="14">
        <v>5</v>
      </c>
      <c r="Q72" s="14">
        <v>5</v>
      </c>
      <c r="R72" s="14">
        <v>45</v>
      </c>
      <c r="S72" s="14" t="s">
        <v>200</v>
      </c>
      <c r="T72" s="14" t="s">
        <v>71</v>
      </c>
      <c r="U72" s="14" t="s">
        <v>72</v>
      </c>
      <c r="V72" s="15" t="s">
        <v>520</v>
      </c>
      <c r="W72" s="14" t="s">
        <v>72</v>
      </c>
      <c r="X72" s="14" t="s">
        <v>71</v>
      </c>
      <c r="Y72" s="14" t="s">
        <v>72</v>
      </c>
      <c r="Z72" s="14" t="s">
        <v>72</v>
      </c>
      <c r="AA72" s="14" t="s">
        <v>71</v>
      </c>
      <c r="AB72" s="14" t="s">
        <v>72</v>
      </c>
      <c r="AC72" s="14" t="s">
        <v>72</v>
      </c>
      <c r="AD72" s="14" t="s">
        <v>72</v>
      </c>
      <c r="AE72" s="14" t="s">
        <v>72</v>
      </c>
      <c r="AF72" s="14" t="s">
        <v>72</v>
      </c>
      <c r="AG72" s="14" t="s">
        <v>72</v>
      </c>
      <c r="AH72" s="14" t="s">
        <v>72</v>
      </c>
      <c r="AI72" s="14" t="s">
        <v>71</v>
      </c>
      <c r="AJ72" s="14" t="s">
        <v>72</v>
      </c>
      <c r="AK72" s="14" t="s">
        <v>72</v>
      </c>
      <c r="AL72" s="14" t="s">
        <v>71</v>
      </c>
      <c r="AM72" s="14" t="s">
        <v>72</v>
      </c>
      <c r="AN72" s="14" t="s">
        <v>72</v>
      </c>
      <c r="AO72" s="14" t="s">
        <v>72</v>
      </c>
      <c r="AP72" s="14" t="s">
        <v>724</v>
      </c>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row>
    <row r="73" spans="1:88">
      <c r="A73" s="13">
        <v>45367.5013937037</v>
      </c>
      <c r="B73" s="14" t="s">
        <v>808</v>
      </c>
      <c r="C73" s="14" t="s">
        <v>421</v>
      </c>
      <c r="D73" s="14">
        <v>20116900</v>
      </c>
      <c r="E73" s="14" t="s">
        <v>286</v>
      </c>
      <c r="F73" s="14" t="s">
        <v>422</v>
      </c>
      <c r="G73" s="14" t="s">
        <v>105</v>
      </c>
      <c r="H73" s="14" t="s">
        <v>423</v>
      </c>
      <c r="I73" s="14" t="s">
        <v>423</v>
      </c>
      <c r="J73" s="14" t="s">
        <v>809</v>
      </c>
      <c r="K73" s="14" t="s">
        <v>808</v>
      </c>
      <c r="L73" s="14" t="s">
        <v>89</v>
      </c>
      <c r="M73" s="14" t="s">
        <v>425</v>
      </c>
      <c r="N73" s="14">
        <v>35</v>
      </c>
      <c r="O73" s="14" t="s">
        <v>282</v>
      </c>
      <c r="P73" s="14">
        <v>5</v>
      </c>
      <c r="Q73" s="14">
        <v>4</v>
      </c>
      <c r="R73" s="14">
        <v>60</v>
      </c>
      <c r="S73" s="16"/>
      <c r="T73" s="14" t="s">
        <v>71</v>
      </c>
      <c r="U73" s="14" t="s">
        <v>72</v>
      </c>
      <c r="V73" s="15" t="s">
        <v>520</v>
      </c>
      <c r="W73" s="14" t="s">
        <v>71</v>
      </c>
      <c r="X73" s="14" t="s">
        <v>71</v>
      </c>
      <c r="Y73" s="14" t="s">
        <v>71</v>
      </c>
      <c r="Z73" s="14" t="s">
        <v>72</v>
      </c>
      <c r="AA73" s="14" t="s">
        <v>71</v>
      </c>
      <c r="AB73" s="14" t="s">
        <v>71</v>
      </c>
      <c r="AC73" s="14" t="s">
        <v>71</v>
      </c>
      <c r="AD73" s="14" t="s">
        <v>72</v>
      </c>
      <c r="AE73" s="14" t="s">
        <v>72</v>
      </c>
      <c r="AF73" s="14" t="s">
        <v>72</v>
      </c>
      <c r="AG73" s="14" t="s">
        <v>71</v>
      </c>
      <c r="AH73" s="14" t="s">
        <v>71</v>
      </c>
      <c r="AI73" s="14" t="s">
        <v>71</v>
      </c>
      <c r="AJ73" s="16"/>
      <c r="AK73" s="16"/>
      <c r="AL73" s="14" t="s">
        <v>71</v>
      </c>
      <c r="AM73" s="14" t="s">
        <v>71</v>
      </c>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row>
    <row r="74" spans="1:88">
      <c r="A74" s="13">
        <v>45369.031134166667</v>
      </c>
      <c r="B74" s="14" t="s">
        <v>853</v>
      </c>
      <c r="C74" s="14" t="s">
        <v>854</v>
      </c>
      <c r="D74" s="14">
        <v>61114200</v>
      </c>
      <c r="E74" s="14" t="s">
        <v>62</v>
      </c>
      <c r="F74" s="14" t="s">
        <v>855</v>
      </c>
      <c r="G74" s="14" t="s">
        <v>105</v>
      </c>
      <c r="H74" s="14" t="s">
        <v>856</v>
      </c>
      <c r="I74" s="14" t="s">
        <v>857</v>
      </c>
      <c r="J74" s="16"/>
      <c r="K74" s="14" t="s">
        <v>853</v>
      </c>
      <c r="L74" s="14" t="s">
        <v>245</v>
      </c>
      <c r="M74" s="14" t="s">
        <v>858</v>
      </c>
      <c r="N74" s="14">
        <v>12</v>
      </c>
      <c r="O74" s="14" t="s">
        <v>282</v>
      </c>
      <c r="P74" s="14">
        <v>1</v>
      </c>
      <c r="Q74" s="14">
        <v>1</v>
      </c>
      <c r="R74" s="14">
        <v>50</v>
      </c>
      <c r="S74" s="14" t="s">
        <v>859</v>
      </c>
      <c r="T74" s="14" t="s">
        <v>71</v>
      </c>
      <c r="U74" s="14" t="s">
        <v>72</v>
      </c>
      <c r="V74" s="15" t="s">
        <v>520</v>
      </c>
      <c r="W74" s="14" t="s">
        <v>71</v>
      </c>
      <c r="X74" s="14" t="s">
        <v>72</v>
      </c>
      <c r="Y74" s="14" t="s">
        <v>72</v>
      </c>
      <c r="Z74" s="14" t="s">
        <v>72</v>
      </c>
      <c r="AA74" s="14" t="s">
        <v>72</v>
      </c>
      <c r="AB74" s="14" t="s">
        <v>72</v>
      </c>
      <c r="AC74" s="14" t="s">
        <v>71</v>
      </c>
      <c r="AD74" s="14" t="s">
        <v>72</v>
      </c>
      <c r="AE74" s="14" t="s">
        <v>72</v>
      </c>
      <c r="AF74" s="14" t="s">
        <v>72</v>
      </c>
      <c r="AG74" s="16"/>
      <c r="AH74" s="16"/>
      <c r="AI74" s="16"/>
      <c r="AJ74" s="14" t="s">
        <v>71</v>
      </c>
      <c r="AK74" s="16"/>
      <c r="AL74" s="16"/>
      <c r="AM74" s="16"/>
      <c r="AN74" s="16"/>
      <c r="AO74" s="14" t="s">
        <v>71</v>
      </c>
      <c r="AP74" s="14" t="s">
        <v>860</v>
      </c>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row>
    <row r="76" spans="1:88">
      <c r="N76" s="17">
        <f>SUM(N2:N71)</f>
        <v>2013</v>
      </c>
    </row>
  </sheetData>
  <autoFilter ref="A1:CJ7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J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3" max="3" width="41.88671875" customWidth="1"/>
    <col min="6" max="6" width="14.77734375" customWidth="1"/>
    <col min="38" max="38" width="14.109375" customWidth="1"/>
  </cols>
  <sheetData>
    <row r="1" spans="1:88" ht="93" customHeight="1">
      <c r="A1" s="19" t="s">
        <v>0</v>
      </c>
      <c r="B1" s="19" t="s">
        <v>1</v>
      </c>
      <c r="C1" s="19" t="s">
        <v>2</v>
      </c>
      <c r="D1" s="19" t="s">
        <v>1241</v>
      </c>
      <c r="E1" s="19" t="s">
        <v>1242</v>
      </c>
      <c r="F1" s="19" t="s">
        <v>5</v>
      </c>
      <c r="G1" s="19" t="s">
        <v>6</v>
      </c>
      <c r="H1" s="19" t="s">
        <v>7</v>
      </c>
      <c r="I1" s="19" t="s">
        <v>8</v>
      </c>
      <c r="J1" s="19" t="s">
        <v>9</v>
      </c>
      <c r="K1" s="19" t="s">
        <v>10</v>
      </c>
      <c r="L1" s="19" t="s">
        <v>1243</v>
      </c>
      <c r="M1" s="19" t="s">
        <v>12</v>
      </c>
      <c r="N1" s="19" t="s">
        <v>1244</v>
      </c>
      <c r="O1" s="20" t="s">
        <v>1252</v>
      </c>
      <c r="P1" s="19" t="s">
        <v>15</v>
      </c>
      <c r="Q1" s="19" t="s">
        <v>16</v>
      </c>
      <c r="R1" s="19" t="s">
        <v>1246</v>
      </c>
      <c r="S1" s="19" t="s">
        <v>18</v>
      </c>
      <c r="T1" s="19" t="s">
        <v>19</v>
      </c>
      <c r="U1" s="19" t="s">
        <v>20</v>
      </c>
      <c r="V1" s="19" t="s">
        <v>1247</v>
      </c>
      <c r="W1" s="19" t="s">
        <v>1248</v>
      </c>
      <c r="X1" s="19" t="s">
        <v>1249</v>
      </c>
      <c r="Y1" s="19" t="s">
        <v>1250</v>
      </c>
      <c r="Z1" s="19" t="s">
        <v>1251</v>
      </c>
      <c r="AA1" s="19" t="s">
        <v>26</v>
      </c>
      <c r="AB1" s="19" t="s">
        <v>27</v>
      </c>
      <c r="AC1" s="19" t="s">
        <v>28</v>
      </c>
      <c r="AD1" s="19" t="s">
        <v>29</v>
      </c>
      <c r="AE1" s="19" t="s">
        <v>30</v>
      </c>
      <c r="AF1" s="19" t="s">
        <v>31</v>
      </c>
      <c r="AG1" s="20" t="s">
        <v>32</v>
      </c>
      <c r="AH1" s="19" t="s">
        <v>33</v>
      </c>
      <c r="AI1" s="19" t="s">
        <v>34</v>
      </c>
      <c r="AJ1" s="19" t="s">
        <v>35</v>
      </c>
      <c r="AK1" s="19" t="s">
        <v>36</v>
      </c>
      <c r="AL1" s="19" t="s">
        <v>42</v>
      </c>
      <c r="AM1" s="19" t="s">
        <v>43</v>
      </c>
      <c r="AN1" s="19" t="s">
        <v>44</v>
      </c>
      <c r="AO1" s="19" t="s">
        <v>45</v>
      </c>
      <c r="AP1" s="19" t="s">
        <v>46</v>
      </c>
      <c r="AQ1" s="20" t="s">
        <v>1253</v>
      </c>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row>
    <row r="2" spans="1:88" ht="13.2">
      <c r="A2" s="21">
        <v>45363.438363159723</v>
      </c>
      <c r="B2" s="22" t="s">
        <v>513</v>
      </c>
      <c r="C2" s="23" t="s">
        <v>514</v>
      </c>
      <c r="D2" s="24" t="s">
        <v>515</v>
      </c>
      <c r="E2" s="22" t="s">
        <v>133</v>
      </c>
      <c r="F2" s="22" t="s">
        <v>516</v>
      </c>
      <c r="G2" s="22" t="s">
        <v>64</v>
      </c>
      <c r="H2" s="22" t="s">
        <v>517</v>
      </c>
      <c r="I2" s="22" t="s">
        <v>518</v>
      </c>
      <c r="J2" s="22" t="s">
        <v>518</v>
      </c>
      <c r="K2" s="22" t="s">
        <v>513</v>
      </c>
      <c r="L2" s="22" t="s">
        <v>245</v>
      </c>
      <c r="M2" s="22" t="s">
        <v>519</v>
      </c>
      <c r="N2" s="22">
        <v>0</v>
      </c>
      <c r="O2" s="22" t="s">
        <v>70</v>
      </c>
      <c r="P2" s="22">
        <v>2</v>
      </c>
      <c r="Q2" s="22">
        <v>4</v>
      </c>
      <c r="R2" s="22">
        <v>50</v>
      </c>
      <c r="S2" s="25"/>
      <c r="T2" s="22" t="s">
        <v>71</v>
      </c>
      <c r="U2" s="22" t="s">
        <v>72</v>
      </c>
      <c r="V2" s="24" t="s">
        <v>520</v>
      </c>
      <c r="W2" s="26">
        <f>IF('CRUDO MARTES'!W2="Si",$N2,)</f>
        <v>0</v>
      </c>
      <c r="X2" s="26">
        <f>IF('CRUDO MARTES'!X2="Si",$N2,)</f>
        <v>0</v>
      </c>
      <c r="Y2" s="26">
        <f>IF('CRUDO MARTES'!Y2="Si",$N2,)</f>
        <v>0</v>
      </c>
      <c r="Z2" s="26">
        <f>IF('CRUDO MARTES'!Z2="Si",$N2,)</f>
        <v>0</v>
      </c>
      <c r="AA2" s="26">
        <f>IF('CRUDO MARTES'!AA2="Si",$N2,)</f>
        <v>0</v>
      </c>
      <c r="AB2" s="26">
        <f>IF('CRUDO MARTES'!AB2="Si",$N2,)</f>
        <v>0</v>
      </c>
      <c r="AC2" s="26">
        <f>IF('CRUDO MARTES'!AC2="Si",$N2,)</f>
        <v>0</v>
      </c>
      <c r="AD2" s="26">
        <f>IF('CRUDO MARTES'!AD2="Si",$N2,)</f>
        <v>0</v>
      </c>
      <c r="AE2" s="26">
        <f>IF('CRUDO MARTES'!AE2="Si",$N2,)</f>
        <v>0</v>
      </c>
      <c r="AF2" s="26">
        <f>IF('CRUDO MARTES'!AF2="Si",$N2,)</f>
        <v>0</v>
      </c>
      <c r="AG2" s="26">
        <f>IF('CRUDO MARTES'!AG2="Si",$N2,)</f>
        <v>0</v>
      </c>
      <c r="AH2" s="26">
        <f>IF('CRUDO MARTES'!AH2="Si",$N2,)</f>
        <v>0</v>
      </c>
      <c r="AI2" s="27">
        <v>0</v>
      </c>
      <c r="AJ2" s="26">
        <f>IF('CRUDO MARTES'!AJ2="Si",$N2,)</f>
        <v>0</v>
      </c>
      <c r="AK2" s="26">
        <f>IF('CRUDO MARTES'!AK2="Si",$N2,)</f>
        <v>0</v>
      </c>
      <c r="AL2" s="26">
        <f>IF('CRUDO MARTES'!AL2="Si",$N2,)</f>
        <v>0</v>
      </c>
      <c r="AM2" s="26">
        <f>IF('CRUDO MARTES'!AM2="Si",$N2,)</f>
        <v>0</v>
      </c>
      <c r="AN2" s="26">
        <f>IF('CRUDO MARTES'!AN2="Si",$N2,)</f>
        <v>0</v>
      </c>
      <c r="AO2" s="26">
        <f>IF('CRUDO MARTES'!AO2="Si",$N2,)</f>
        <v>0</v>
      </c>
      <c r="AP2" s="25"/>
      <c r="AQ2" s="22" t="s">
        <v>1254</v>
      </c>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row>
    <row r="3" spans="1:88" ht="13.2">
      <c r="A3" s="21">
        <v>45363.440609155092</v>
      </c>
      <c r="B3" s="22" t="s">
        <v>513</v>
      </c>
      <c r="C3" s="23" t="s">
        <v>514</v>
      </c>
      <c r="D3" s="24" t="s">
        <v>515</v>
      </c>
      <c r="E3" s="22" t="s">
        <v>133</v>
      </c>
      <c r="F3" s="22" t="s">
        <v>521</v>
      </c>
      <c r="G3" s="22" t="s">
        <v>64</v>
      </c>
      <c r="H3" s="22" t="s">
        <v>517</v>
      </c>
      <c r="I3" s="22" t="s">
        <v>522</v>
      </c>
      <c r="J3" s="22" t="s">
        <v>522</v>
      </c>
      <c r="K3" s="22" t="s">
        <v>513</v>
      </c>
      <c r="L3" s="22" t="s">
        <v>245</v>
      </c>
      <c r="M3" s="22" t="s">
        <v>519</v>
      </c>
      <c r="N3" s="22">
        <v>0</v>
      </c>
      <c r="O3" s="22" t="s">
        <v>70</v>
      </c>
      <c r="P3" s="22">
        <v>2</v>
      </c>
      <c r="Q3" s="22">
        <v>4</v>
      </c>
      <c r="R3" s="22">
        <v>50</v>
      </c>
      <c r="S3" s="25"/>
      <c r="T3" s="22" t="s">
        <v>71</v>
      </c>
      <c r="U3" s="22" t="s">
        <v>72</v>
      </c>
      <c r="V3" s="24" t="s">
        <v>520</v>
      </c>
      <c r="W3" s="26">
        <f>IF('CRUDO MARTES'!W3="Si",$N3,)</f>
        <v>0</v>
      </c>
      <c r="X3" s="26">
        <f>IF('CRUDO MARTES'!X3="Si",$N3,)</f>
        <v>0</v>
      </c>
      <c r="Y3" s="26">
        <f>IF('CRUDO MARTES'!Y3="Si",$N3,)</f>
        <v>0</v>
      </c>
      <c r="Z3" s="26">
        <f>IF('CRUDO MARTES'!Z3="Si",$N3,)</f>
        <v>0</v>
      </c>
      <c r="AA3" s="26">
        <f>IF('CRUDO MARTES'!AA3="Si",$N3,)</f>
        <v>0</v>
      </c>
      <c r="AB3" s="26">
        <f>IF('CRUDO MARTES'!AB3="Si",$N3,)</f>
        <v>0</v>
      </c>
      <c r="AC3" s="26">
        <f>IF('CRUDO MARTES'!AC3="Si",$N3,)</f>
        <v>0</v>
      </c>
      <c r="AD3" s="26">
        <f>IF('CRUDO MARTES'!AD3="Si",$N3,)</f>
        <v>0</v>
      </c>
      <c r="AE3" s="26">
        <f>IF('CRUDO MARTES'!AE3="Si",$N3,)</f>
        <v>0</v>
      </c>
      <c r="AF3" s="26">
        <f>IF('CRUDO MARTES'!AF3="Si",$N3,)</f>
        <v>0</v>
      </c>
      <c r="AG3" s="26">
        <f>IF('CRUDO MARTES'!AG3="Si",$N3,)</f>
        <v>0</v>
      </c>
      <c r="AH3" s="26">
        <f>IF('CRUDO MARTES'!AH3="Si",$N3,)</f>
        <v>0</v>
      </c>
      <c r="AI3" s="27">
        <v>0</v>
      </c>
      <c r="AJ3" s="26">
        <f>IF('CRUDO MARTES'!AJ3="Si",$N3,)</f>
        <v>0</v>
      </c>
      <c r="AK3" s="26">
        <f>IF('CRUDO MARTES'!AK3="Si",$N3,)</f>
        <v>0</v>
      </c>
      <c r="AL3" s="26">
        <f>IF('CRUDO MARTES'!AL3="Si",$N3,)</f>
        <v>0</v>
      </c>
      <c r="AM3" s="26">
        <f>IF('CRUDO MARTES'!AM3="Si",$N3,)</f>
        <v>0</v>
      </c>
      <c r="AN3" s="26">
        <f>IF('CRUDO MARTES'!AN3="Si",$N3,)</f>
        <v>0</v>
      </c>
      <c r="AO3" s="26">
        <f>IF('CRUDO MARTES'!AO3="Si",$N3,)</f>
        <v>0</v>
      </c>
      <c r="AP3" s="25"/>
      <c r="AQ3" s="22" t="s">
        <v>1254</v>
      </c>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row>
    <row r="4" spans="1:88" ht="13.2">
      <c r="A4" s="21">
        <v>45363.442617592591</v>
      </c>
      <c r="B4" s="22" t="s">
        <v>513</v>
      </c>
      <c r="C4" s="22" t="s">
        <v>514</v>
      </c>
      <c r="D4" s="24" t="s">
        <v>515</v>
      </c>
      <c r="E4" s="22" t="s">
        <v>133</v>
      </c>
      <c r="F4" s="22" t="s">
        <v>523</v>
      </c>
      <c r="G4" s="22" t="s">
        <v>64</v>
      </c>
      <c r="H4" s="22" t="s">
        <v>517</v>
      </c>
      <c r="I4" s="22" t="s">
        <v>522</v>
      </c>
      <c r="J4" s="22" t="s">
        <v>522</v>
      </c>
      <c r="K4" s="22" t="s">
        <v>513</v>
      </c>
      <c r="L4" s="22" t="s">
        <v>245</v>
      </c>
      <c r="M4" s="22" t="s">
        <v>519</v>
      </c>
      <c r="N4" s="22">
        <v>0</v>
      </c>
      <c r="O4" s="22" t="s">
        <v>70</v>
      </c>
      <c r="P4" s="22">
        <v>2</v>
      </c>
      <c r="Q4" s="22">
        <v>4</v>
      </c>
      <c r="R4" s="22">
        <v>50</v>
      </c>
      <c r="S4" s="25"/>
      <c r="T4" s="22" t="s">
        <v>71</v>
      </c>
      <c r="U4" s="22" t="s">
        <v>72</v>
      </c>
      <c r="V4" s="24" t="s">
        <v>520</v>
      </c>
      <c r="W4" s="26">
        <f>IF('CRUDO MARTES'!W4="Si",$N4,)</f>
        <v>0</v>
      </c>
      <c r="X4" s="26">
        <f>IF('CRUDO MARTES'!X4="Si",$N4,)</f>
        <v>0</v>
      </c>
      <c r="Y4" s="26">
        <f>IF('CRUDO MARTES'!Y4="Si",$N4,)</f>
        <v>0</v>
      </c>
      <c r="Z4" s="26">
        <f>IF('CRUDO MARTES'!Z4="Si",$N4,)</f>
        <v>0</v>
      </c>
      <c r="AA4" s="26">
        <f>IF('CRUDO MARTES'!AA4="Si",$N4,)</f>
        <v>0</v>
      </c>
      <c r="AB4" s="26">
        <f>IF('CRUDO MARTES'!AB4="Si",$N4,)</f>
        <v>0</v>
      </c>
      <c r="AC4" s="26">
        <f>IF('CRUDO MARTES'!AC4="Si",$N4,)</f>
        <v>0</v>
      </c>
      <c r="AD4" s="26">
        <f>IF('CRUDO MARTES'!AD4="Si",$N4,)</f>
        <v>0</v>
      </c>
      <c r="AE4" s="26">
        <f>IF('CRUDO MARTES'!AE4="Si",$N4,)</f>
        <v>0</v>
      </c>
      <c r="AF4" s="26">
        <f>IF('CRUDO MARTES'!AF4="Si",$N4,)</f>
        <v>0</v>
      </c>
      <c r="AG4" s="26">
        <f>IF('CRUDO MARTES'!AG4="Si",$N4,)</f>
        <v>0</v>
      </c>
      <c r="AH4" s="26">
        <f>IF('CRUDO MARTES'!AH4="Si",$N4,)</f>
        <v>0</v>
      </c>
      <c r="AI4" s="26">
        <f>IF('CRUDO MARTES'!AI4="Si",$N4,)</f>
        <v>0</v>
      </c>
      <c r="AJ4" s="26">
        <f>IF('CRUDO MARTES'!AJ4="Si",$N4,)</f>
        <v>0</v>
      </c>
      <c r="AK4" s="26">
        <f>IF('CRUDO MARTES'!AK4="Si",$N4,)</f>
        <v>0</v>
      </c>
      <c r="AL4" s="26">
        <f>IF('CRUDO MARTES'!AL4="Si",$N4,)</f>
        <v>0</v>
      </c>
      <c r="AM4" s="26">
        <f>IF('CRUDO MARTES'!AM4="Si",$N4,)</f>
        <v>0</v>
      </c>
      <c r="AN4" s="26">
        <f>IF('CRUDO MARTES'!AN4="Si",$N4,)</f>
        <v>0</v>
      </c>
      <c r="AO4" s="26">
        <f>IF('CRUDO MARTES'!AO4="Si",$N4,)</f>
        <v>0</v>
      </c>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row>
    <row r="5" spans="1:88" ht="26.4">
      <c r="A5" s="13">
        <v>45363.474652395831</v>
      </c>
      <c r="B5" s="14" t="s">
        <v>524</v>
      </c>
      <c r="C5" s="28" t="s">
        <v>525</v>
      </c>
      <c r="D5" s="15" t="s">
        <v>526</v>
      </c>
      <c r="E5" s="14" t="s">
        <v>62</v>
      </c>
      <c r="F5" s="14" t="s">
        <v>235</v>
      </c>
      <c r="G5" s="14" t="s">
        <v>105</v>
      </c>
      <c r="H5" s="14" t="s">
        <v>527</v>
      </c>
      <c r="I5" s="14" t="s">
        <v>528</v>
      </c>
      <c r="J5" s="14" t="s">
        <v>529</v>
      </c>
      <c r="K5" s="14" t="s">
        <v>524</v>
      </c>
      <c r="L5" s="14" t="s">
        <v>68</v>
      </c>
      <c r="M5" s="14" t="s">
        <v>530</v>
      </c>
      <c r="N5" s="14">
        <v>35</v>
      </c>
      <c r="O5" s="14" t="s">
        <v>70</v>
      </c>
      <c r="P5" s="14">
        <v>2</v>
      </c>
      <c r="Q5" s="14">
        <v>2</v>
      </c>
      <c r="R5" s="14">
        <v>90</v>
      </c>
      <c r="S5" s="16"/>
      <c r="T5" s="14" t="s">
        <v>71</v>
      </c>
      <c r="U5" s="14" t="s">
        <v>71</v>
      </c>
      <c r="V5" s="15" t="s">
        <v>520</v>
      </c>
      <c r="W5" s="29">
        <v>0</v>
      </c>
      <c r="X5" s="29">
        <v>0</v>
      </c>
      <c r="Y5" s="29">
        <v>0</v>
      </c>
      <c r="Z5" s="30">
        <f>IF('CRUDO MARTES'!Z5="Si",$N5,)</f>
        <v>35</v>
      </c>
      <c r="AA5" s="30">
        <f>IF('CRUDO MARTES'!AA5="Si",$N5,)</f>
        <v>0</v>
      </c>
      <c r="AB5" s="30">
        <f>IF('CRUDO MARTES'!AB5="Si",$N5,)</f>
        <v>0</v>
      </c>
      <c r="AC5" s="29">
        <v>35</v>
      </c>
      <c r="AD5" s="30">
        <f>IF('CRUDO MARTES'!AD5="Si",$N5,)</f>
        <v>0</v>
      </c>
      <c r="AE5" s="30">
        <f>IF('CRUDO MARTES'!AE5="Si",$N5,)</f>
        <v>0</v>
      </c>
      <c r="AF5" s="29">
        <v>35</v>
      </c>
      <c r="AG5" s="30">
        <f>IF('CRUDO MARTES'!AG5="Si",$N5,)</f>
        <v>0</v>
      </c>
      <c r="AH5" s="29">
        <v>0</v>
      </c>
      <c r="AI5" s="30">
        <f>IF('CRUDO MARTES'!AI5="Si",$N5,)</f>
        <v>0</v>
      </c>
      <c r="AJ5" s="30">
        <f>IF('CRUDO MARTES'!AJ5="Si",$N5,)</f>
        <v>0</v>
      </c>
      <c r="AK5" s="30">
        <f>IF('CRUDO MARTES'!AK5="Si",$N5,)</f>
        <v>0</v>
      </c>
      <c r="AL5" s="30">
        <f>IF('CRUDO MARTES'!AL5="Si",$N5,)</f>
        <v>0</v>
      </c>
      <c r="AM5" s="30">
        <f>IF('CRUDO MARTES'!AM5="Si",$N5,)</f>
        <v>0</v>
      </c>
      <c r="AN5" s="30">
        <f>IF('CRUDO MARTES'!AN5="Si",$N5,)</f>
        <v>0</v>
      </c>
      <c r="AO5" s="29">
        <v>0</v>
      </c>
      <c r="AP5" s="16"/>
      <c r="AQ5" s="14" t="s">
        <v>1255</v>
      </c>
      <c r="AR5" s="14">
        <v>1</v>
      </c>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row>
    <row r="6" spans="1:88" ht="13.2">
      <c r="A6" s="21">
        <v>45363.491433344912</v>
      </c>
      <c r="B6" s="22" t="s">
        <v>531</v>
      </c>
      <c r="C6" s="22" t="s">
        <v>532</v>
      </c>
      <c r="D6" s="24" t="s">
        <v>533</v>
      </c>
      <c r="E6" s="22" t="s">
        <v>62</v>
      </c>
      <c r="F6" s="22" t="s">
        <v>104</v>
      </c>
      <c r="G6" s="22" t="s">
        <v>64</v>
      </c>
      <c r="H6" s="22" t="s">
        <v>534</v>
      </c>
      <c r="I6" s="22" t="s">
        <v>535</v>
      </c>
      <c r="J6" s="25"/>
      <c r="K6" s="22" t="s">
        <v>531</v>
      </c>
      <c r="L6" s="22" t="s">
        <v>89</v>
      </c>
      <c r="M6" s="22" t="s">
        <v>536</v>
      </c>
      <c r="N6" s="22">
        <v>0</v>
      </c>
      <c r="O6" s="22" t="s">
        <v>148</v>
      </c>
      <c r="P6" s="22">
        <v>5</v>
      </c>
      <c r="Q6" s="22">
        <v>4</v>
      </c>
      <c r="R6" s="22">
        <v>0</v>
      </c>
      <c r="S6" s="25"/>
      <c r="T6" s="22" t="s">
        <v>71</v>
      </c>
      <c r="U6" s="22" t="s">
        <v>72</v>
      </c>
      <c r="V6" s="24" t="s">
        <v>520</v>
      </c>
      <c r="W6" s="26">
        <f>IF('CRUDO MARTES'!W6="Si",$N6,)</f>
        <v>0</v>
      </c>
      <c r="X6" s="26">
        <f>IF('CRUDO MARTES'!X6="Si",$N6,)</f>
        <v>0</v>
      </c>
      <c r="Y6" s="26">
        <f>IF('CRUDO MARTES'!Y6="Si",$N6,)</f>
        <v>0</v>
      </c>
      <c r="Z6" s="26">
        <f>IF('CRUDO MARTES'!Z6="Si",$N6,)</f>
        <v>0</v>
      </c>
      <c r="AA6" s="26">
        <f>IF('CRUDO MARTES'!AA6="Si",$N6,)</f>
        <v>0</v>
      </c>
      <c r="AB6" s="26">
        <f>IF('CRUDO MARTES'!AB6="Si",$N6,)</f>
        <v>0</v>
      </c>
      <c r="AC6" s="26">
        <f>IF('CRUDO MARTES'!AC6="Si",$N6,)</f>
        <v>0</v>
      </c>
      <c r="AD6" s="26">
        <f>IF('CRUDO MARTES'!AD6="Si",$N6,)</f>
        <v>0</v>
      </c>
      <c r="AE6" s="26">
        <f>IF('CRUDO MARTES'!AE6="Si",$N6,)</f>
        <v>0</v>
      </c>
      <c r="AF6" s="26">
        <f>IF('CRUDO MARTES'!AF6="Si",$N6,)</f>
        <v>0</v>
      </c>
      <c r="AG6" s="26">
        <f>IF('CRUDO MARTES'!AG6="Si",$N6,)</f>
        <v>0</v>
      </c>
      <c r="AH6" s="26">
        <f>IF('CRUDO MARTES'!AH6="Si",$N6,)</f>
        <v>0</v>
      </c>
      <c r="AI6" s="26">
        <f>IF('CRUDO MARTES'!AI6="Si",$N6,)</f>
        <v>0</v>
      </c>
      <c r="AJ6" s="26">
        <f>IF('CRUDO MARTES'!AJ6="Si",$N6,)</f>
        <v>0</v>
      </c>
      <c r="AK6" s="26">
        <f>IF('CRUDO MARTES'!AK6="Si",$N6,)</f>
        <v>0</v>
      </c>
      <c r="AL6" s="26">
        <f>IF('CRUDO MARTES'!AL6="Si",$N6,)</f>
        <v>0</v>
      </c>
      <c r="AM6" s="26">
        <f>IF('CRUDO MARTES'!AM6="Si",$N6,)</f>
        <v>0</v>
      </c>
      <c r="AN6" s="26">
        <f>IF('CRUDO MARTES'!AN6="Si",$N6,)</f>
        <v>0</v>
      </c>
      <c r="AO6" s="26">
        <f>IF('CRUDO MARTES'!AO6="Si",$N6,)</f>
        <v>0</v>
      </c>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row>
    <row r="7" spans="1:88" ht="13.2">
      <c r="A7" s="21">
        <v>45363.518486504632</v>
      </c>
      <c r="B7" s="22" t="s">
        <v>537</v>
      </c>
      <c r="C7" s="22" t="s">
        <v>538</v>
      </c>
      <c r="D7" s="24" t="s">
        <v>539</v>
      </c>
      <c r="E7" s="22" t="s">
        <v>62</v>
      </c>
      <c r="F7" s="22" t="s">
        <v>540</v>
      </c>
      <c r="G7" s="22" t="s">
        <v>64</v>
      </c>
      <c r="H7" s="22" t="s">
        <v>541</v>
      </c>
      <c r="I7" s="22" t="s">
        <v>542</v>
      </c>
      <c r="J7" s="22" t="s">
        <v>543</v>
      </c>
      <c r="K7" s="22" t="s">
        <v>537</v>
      </c>
      <c r="L7" s="22" t="s">
        <v>68</v>
      </c>
      <c r="M7" s="22" t="s">
        <v>544</v>
      </c>
      <c r="N7" s="22">
        <v>0</v>
      </c>
      <c r="O7" s="22" t="s">
        <v>148</v>
      </c>
      <c r="P7" s="22">
        <v>4</v>
      </c>
      <c r="Q7" s="22">
        <v>2</v>
      </c>
      <c r="R7" s="22">
        <v>20</v>
      </c>
      <c r="S7" s="25"/>
      <c r="T7" s="22" t="s">
        <v>71</v>
      </c>
      <c r="U7" s="22" t="s">
        <v>72</v>
      </c>
      <c r="V7" s="24" t="s">
        <v>520</v>
      </c>
      <c r="W7" s="26">
        <f>IF('CRUDO MARTES'!W7="Si",$N7,)</f>
        <v>0</v>
      </c>
      <c r="X7" s="26">
        <f>IF('CRUDO MARTES'!X7="Si",$N7,)</f>
        <v>0</v>
      </c>
      <c r="Y7" s="26">
        <f>IF('CRUDO MARTES'!Y7="Si",$N7,)</f>
        <v>0</v>
      </c>
      <c r="Z7" s="26">
        <f>IF('CRUDO MARTES'!Z7="Si",$N7,)</f>
        <v>0</v>
      </c>
      <c r="AA7" s="26">
        <f>IF('CRUDO MARTES'!AA7="Si",$N7,)</f>
        <v>0</v>
      </c>
      <c r="AB7" s="26">
        <f>IF('CRUDO MARTES'!AB7="Si",$N7,)</f>
        <v>0</v>
      </c>
      <c r="AC7" s="26">
        <f>IF('CRUDO MARTES'!AC7="Si",$N7,)</f>
        <v>0</v>
      </c>
      <c r="AD7" s="26">
        <f>IF('CRUDO MARTES'!AD7="Si",$N7,)</f>
        <v>0</v>
      </c>
      <c r="AE7" s="26">
        <f>IF('CRUDO MARTES'!AE7="Si",$N7,)</f>
        <v>0</v>
      </c>
      <c r="AF7" s="26">
        <f>IF('CRUDO MARTES'!AF7="Si",$N7,)</f>
        <v>0</v>
      </c>
      <c r="AG7" s="26">
        <f>IF('CRUDO MARTES'!AG7="Si",$N7,)</f>
        <v>0</v>
      </c>
      <c r="AH7" s="26">
        <f>IF('CRUDO MARTES'!AH7="Si",$N7,)</f>
        <v>0</v>
      </c>
      <c r="AI7" s="26">
        <f>IF('CRUDO MARTES'!AI7="Si",$N7,)</f>
        <v>0</v>
      </c>
      <c r="AJ7" s="26">
        <f>IF('CRUDO MARTES'!AJ7="Si",$N7,)</f>
        <v>0</v>
      </c>
      <c r="AK7" s="26">
        <f>IF('CRUDO MARTES'!AK7="Si",$N7,)</f>
        <v>0</v>
      </c>
      <c r="AL7" s="26">
        <f>IF('CRUDO MARTES'!AL7="Si",$N7,)</f>
        <v>0</v>
      </c>
      <c r="AM7" s="26">
        <f>IF('CRUDO MARTES'!AM7="Si",$N7,)</f>
        <v>0</v>
      </c>
      <c r="AN7" s="26">
        <f>IF('CRUDO MARTES'!AN7="Si",$N7,)</f>
        <v>0</v>
      </c>
      <c r="AO7" s="26">
        <f>IF('CRUDO MARTES'!AO7="Si",$N7,)</f>
        <v>0</v>
      </c>
      <c r="AP7" s="22" t="s">
        <v>545</v>
      </c>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row>
    <row r="8" spans="1:88" ht="13.2">
      <c r="A8" s="13">
        <v>45363.520946273144</v>
      </c>
      <c r="B8" s="14" t="s">
        <v>546</v>
      </c>
      <c r="C8" s="28" t="s">
        <v>547</v>
      </c>
      <c r="D8" s="15" t="s">
        <v>548</v>
      </c>
      <c r="E8" s="14" t="s">
        <v>133</v>
      </c>
      <c r="F8" s="14" t="s">
        <v>549</v>
      </c>
      <c r="G8" s="14" t="s">
        <v>64</v>
      </c>
      <c r="H8" s="14" t="s">
        <v>550</v>
      </c>
      <c r="I8" s="14" t="s">
        <v>551</v>
      </c>
      <c r="J8" s="16"/>
      <c r="K8" s="14" t="s">
        <v>546</v>
      </c>
      <c r="L8" s="14" t="s">
        <v>89</v>
      </c>
      <c r="M8" s="14" t="s">
        <v>552</v>
      </c>
      <c r="N8" s="14">
        <v>23</v>
      </c>
      <c r="O8" s="14" t="s">
        <v>70</v>
      </c>
      <c r="P8" s="14">
        <v>4</v>
      </c>
      <c r="Q8" s="14">
        <v>3</v>
      </c>
      <c r="R8" s="14">
        <v>0</v>
      </c>
      <c r="S8" s="16"/>
      <c r="T8" s="14" t="s">
        <v>71</v>
      </c>
      <c r="U8" s="14" t="s">
        <v>72</v>
      </c>
      <c r="V8" s="15" t="s">
        <v>520</v>
      </c>
      <c r="W8" s="30">
        <f>IF('CRUDO MARTES'!W8="Si",$N8,)</f>
        <v>0</v>
      </c>
      <c r="X8" s="29">
        <v>0</v>
      </c>
      <c r="Y8" s="29">
        <v>23</v>
      </c>
      <c r="Z8" s="30">
        <f>IF('CRUDO MARTES'!Z8="Si",$N8,)</f>
        <v>0</v>
      </c>
      <c r="AA8" s="30">
        <f>IF('CRUDO MARTES'!AA8="Si",$N8,)</f>
        <v>23</v>
      </c>
      <c r="AB8" s="30">
        <f>IF('CRUDO MARTES'!AB8="Si",$N8,)</f>
        <v>0</v>
      </c>
      <c r="AC8" s="30">
        <f>IF('CRUDO MARTES'!AC8="Si",$N8,)</f>
        <v>0</v>
      </c>
      <c r="AD8" s="30">
        <f>IF('CRUDO MARTES'!AD8="Si",$N8,)</f>
        <v>0</v>
      </c>
      <c r="AE8" s="30">
        <f>IF('CRUDO MARTES'!AE8="Si",$N8,)</f>
        <v>0</v>
      </c>
      <c r="AF8" s="30">
        <f>IF('CRUDO MARTES'!AF8="Si",$N8,)</f>
        <v>23</v>
      </c>
      <c r="AG8" s="30">
        <f>IF('CRUDO MARTES'!AG8="Si",$N8,)</f>
        <v>0</v>
      </c>
      <c r="AH8" s="30">
        <f>IF('CRUDO MARTES'!AH8="Si",$N8,)</f>
        <v>0</v>
      </c>
      <c r="AI8" s="29">
        <v>0</v>
      </c>
      <c r="AJ8" s="30">
        <f>IF('CRUDO MARTES'!AJ8="Si",$N8,)</f>
        <v>0</v>
      </c>
      <c r="AK8" s="30">
        <f>IF('CRUDO MARTES'!AK8="Si",$N8,)</f>
        <v>0</v>
      </c>
      <c r="AL8" s="30">
        <f>IF('CRUDO MARTES'!AL8="Si",$N8,)</f>
        <v>0</v>
      </c>
      <c r="AM8" s="30">
        <f>IF('CRUDO MARTES'!AM8="Si",$N8,)</f>
        <v>0</v>
      </c>
      <c r="AN8" s="31">
        <f>IF('CRUDO MARTES'!AN8="Si",$N8,)</f>
        <v>23</v>
      </c>
      <c r="AO8" s="30">
        <f>IF('CRUDO MARTES'!AO8="Si",$N8,)</f>
        <v>0</v>
      </c>
      <c r="AP8" s="16"/>
      <c r="AQ8" s="14" t="s">
        <v>1256</v>
      </c>
      <c r="AR8" s="14">
        <v>1</v>
      </c>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row>
    <row r="9" spans="1:88" ht="13.2">
      <c r="A9" s="21">
        <v>45363.523194444446</v>
      </c>
      <c r="B9" s="22" t="s">
        <v>553</v>
      </c>
      <c r="C9" s="22" t="s">
        <v>547</v>
      </c>
      <c r="D9" s="24" t="s">
        <v>548</v>
      </c>
      <c r="E9" s="22" t="s">
        <v>84</v>
      </c>
      <c r="F9" s="22" t="s">
        <v>554</v>
      </c>
      <c r="G9" s="22" t="s">
        <v>64</v>
      </c>
      <c r="H9" s="22" t="s">
        <v>550</v>
      </c>
      <c r="I9" s="22" t="s">
        <v>555</v>
      </c>
      <c r="J9" s="22" t="s">
        <v>556</v>
      </c>
      <c r="K9" s="22" t="s">
        <v>546</v>
      </c>
      <c r="L9" s="22" t="s">
        <v>89</v>
      </c>
      <c r="M9" s="22" t="s">
        <v>557</v>
      </c>
      <c r="N9" s="22">
        <v>0</v>
      </c>
      <c r="O9" s="22" t="s">
        <v>148</v>
      </c>
      <c r="P9" s="22">
        <v>4</v>
      </c>
      <c r="Q9" s="22">
        <v>2</v>
      </c>
      <c r="R9" s="22">
        <v>0</v>
      </c>
      <c r="S9" s="22" t="s">
        <v>558</v>
      </c>
      <c r="T9" s="22" t="s">
        <v>71</v>
      </c>
      <c r="U9" s="22" t="s">
        <v>72</v>
      </c>
      <c r="V9" s="24" t="s">
        <v>520</v>
      </c>
      <c r="W9" s="26">
        <f>IF('CRUDO MARTES'!W9="Si",$N9,)</f>
        <v>0</v>
      </c>
      <c r="X9" s="26">
        <f>IF('CRUDO MARTES'!X9="Si",$N9,)</f>
        <v>0</v>
      </c>
      <c r="Y9" s="26">
        <f>IF('CRUDO MARTES'!Y9="Si",$N9,)</f>
        <v>0</v>
      </c>
      <c r="Z9" s="26">
        <f>IF('CRUDO MARTES'!Z9="Si",$N9,)</f>
        <v>0</v>
      </c>
      <c r="AA9" s="26">
        <f>IF('CRUDO MARTES'!AA9="Si",$N9,)</f>
        <v>0</v>
      </c>
      <c r="AB9" s="26">
        <f>IF('CRUDO MARTES'!AB9="Si",$N9,)</f>
        <v>0</v>
      </c>
      <c r="AC9" s="26">
        <f>IF('CRUDO MARTES'!AC9="Si",$N9,)</f>
        <v>0</v>
      </c>
      <c r="AD9" s="26">
        <f>IF('CRUDO MARTES'!AD9="Si",$N9,)</f>
        <v>0</v>
      </c>
      <c r="AE9" s="26">
        <f>IF('CRUDO MARTES'!AE9="Si",$N9,)</f>
        <v>0</v>
      </c>
      <c r="AF9" s="26">
        <f>IF('CRUDO MARTES'!AF9="Si",$N9,)</f>
        <v>0</v>
      </c>
      <c r="AG9" s="26">
        <f>IF('CRUDO MARTES'!AG9="Si",$N9,)</f>
        <v>0</v>
      </c>
      <c r="AH9" s="26">
        <f>IF('CRUDO MARTES'!AH9="Si",$N9,)</f>
        <v>0</v>
      </c>
      <c r="AI9" s="26">
        <f>IF('CRUDO MARTES'!AI9="Si",$N9,)</f>
        <v>0</v>
      </c>
      <c r="AJ9" s="26">
        <f>IF('CRUDO MARTES'!AJ9="Si",$N9,)</f>
        <v>0</v>
      </c>
      <c r="AK9" s="26">
        <f>IF('CRUDO MARTES'!AK9="Si",$N9,)</f>
        <v>0</v>
      </c>
      <c r="AL9" s="26">
        <f>IF('CRUDO MARTES'!AL9="Si",$N9,)</f>
        <v>0</v>
      </c>
      <c r="AM9" s="26">
        <f>IF('CRUDO MARTES'!AM9="Si",$N9,)</f>
        <v>0</v>
      </c>
      <c r="AN9" s="26">
        <f>IF('CRUDO MARTES'!AN9="Si",$N9,)</f>
        <v>0</v>
      </c>
      <c r="AO9" s="26">
        <f>IF('CRUDO MARTES'!AO9="Si",$N9,)</f>
        <v>0</v>
      </c>
      <c r="AP9" s="22" t="s">
        <v>559</v>
      </c>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row>
    <row r="10" spans="1:88" ht="13.2">
      <c r="A10" s="21">
        <v>45363.52479033565</v>
      </c>
      <c r="B10" s="22" t="s">
        <v>537</v>
      </c>
      <c r="C10" s="22" t="s">
        <v>538</v>
      </c>
      <c r="D10" s="24" t="s">
        <v>539</v>
      </c>
      <c r="E10" s="22" t="s">
        <v>62</v>
      </c>
      <c r="F10" s="22" t="s">
        <v>560</v>
      </c>
      <c r="G10" s="22" t="s">
        <v>64</v>
      </c>
      <c r="H10" s="22" t="s">
        <v>542</v>
      </c>
      <c r="I10" s="22" t="s">
        <v>541</v>
      </c>
      <c r="J10" s="22" t="s">
        <v>543</v>
      </c>
      <c r="K10" s="22" t="s">
        <v>537</v>
      </c>
      <c r="L10" s="22" t="s">
        <v>68</v>
      </c>
      <c r="M10" s="22" t="s">
        <v>544</v>
      </c>
      <c r="N10" s="22">
        <v>0</v>
      </c>
      <c r="O10" s="22" t="s">
        <v>148</v>
      </c>
      <c r="P10" s="22">
        <v>4</v>
      </c>
      <c r="Q10" s="22">
        <v>2</v>
      </c>
      <c r="R10" s="22">
        <v>20</v>
      </c>
      <c r="S10" s="25"/>
      <c r="T10" s="22" t="s">
        <v>71</v>
      </c>
      <c r="U10" s="22" t="s">
        <v>72</v>
      </c>
      <c r="V10" s="24" t="s">
        <v>520</v>
      </c>
      <c r="W10" s="26">
        <f>IF('CRUDO MARTES'!W10="Si",$N10,)</f>
        <v>0</v>
      </c>
      <c r="X10" s="26">
        <f>IF('CRUDO MARTES'!X10="Si",$N10,)</f>
        <v>0</v>
      </c>
      <c r="Y10" s="26">
        <f>IF('CRUDO MARTES'!Y10="Si",$N10,)</f>
        <v>0</v>
      </c>
      <c r="Z10" s="26">
        <f>IF('CRUDO MARTES'!Z10="Si",$N10,)</f>
        <v>0</v>
      </c>
      <c r="AA10" s="26">
        <f>IF('CRUDO MARTES'!AA10="Si",$N10,)</f>
        <v>0</v>
      </c>
      <c r="AB10" s="26">
        <f>IF('CRUDO MARTES'!AB10="Si",$N10,)</f>
        <v>0</v>
      </c>
      <c r="AC10" s="26">
        <f>IF('CRUDO MARTES'!AC10="Si",$N10,)</f>
        <v>0</v>
      </c>
      <c r="AD10" s="26">
        <f>IF('CRUDO MARTES'!AD10="Si",$N10,)</f>
        <v>0</v>
      </c>
      <c r="AE10" s="26">
        <f>IF('CRUDO MARTES'!AE10="Si",$N10,)</f>
        <v>0</v>
      </c>
      <c r="AF10" s="26">
        <f>IF('CRUDO MARTES'!AF10="Si",$N10,)</f>
        <v>0</v>
      </c>
      <c r="AG10" s="26">
        <f>IF('CRUDO MARTES'!AG10="Si",$N10,)</f>
        <v>0</v>
      </c>
      <c r="AH10" s="26">
        <f>IF('CRUDO MARTES'!AH10="Si",$N10,)</f>
        <v>0</v>
      </c>
      <c r="AI10" s="26">
        <f>IF('CRUDO MARTES'!AI10="Si",$N10,)</f>
        <v>0</v>
      </c>
      <c r="AJ10" s="26">
        <f>IF('CRUDO MARTES'!AJ10="Si",$N10,)</f>
        <v>0</v>
      </c>
      <c r="AK10" s="26">
        <f>IF('CRUDO MARTES'!AK10="Si",$N10,)</f>
        <v>0</v>
      </c>
      <c r="AL10" s="26">
        <f>IF('CRUDO MARTES'!AL10="Si",$N10,)</f>
        <v>0</v>
      </c>
      <c r="AM10" s="26">
        <f>IF('CRUDO MARTES'!AM10="Si",$N10,)</f>
        <v>0</v>
      </c>
      <c r="AN10" s="26">
        <f>IF('CRUDO MARTES'!AN10="Si",$N10,)</f>
        <v>0</v>
      </c>
      <c r="AO10" s="26">
        <f>IF('CRUDO MARTES'!AO10="Si",$N10,)</f>
        <v>0</v>
      </c>
      <c r="AP10" s="22" t="s">
        <v>561</v>
      </c>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row>
    <row r="11" spans="1:88" ht="13.2">
      <c r="A11" s="13">
        <v>45363.543467384261</v>
      </c>
      <c r="B11" s="14" t="s">
        <v>562</v>
      </c>
      <c r="C11" s="28" t="s">
        <v>563</v>
      </c>
      <c r="D11" s="15" t="s">
        <v>564</v>
      </c>
      <c r="E11" s="14" t="s">
        <v>84</v>
      </c>
      <c r="F11" s="14" t="s">
        <v>269</v>
      </c>
      <c r="G11" s="14" t="s">
        <v>64</v>
      </c>
      <c r="H11" s="14" t="s">
        <v>565</v>
      </c>
      <c r="I11" s="14" t="s">
        <v>566</v>
      </c>
      <c r="J11" s="16"/>
      <c r="K11" s="14" t="s">
        <v>562</v>
      </c>
      <c r="L11" s="14" t="s">
        <v>89</v>
      </c>
      <c r="M11" s="14" t="s">
        <v>473</v>
      </c>
      <c r="N11" s="14">
        <v>35</v>
      </c>
      <c r="O11" s="14" t="s">
        <v>70</v>
      </c>
      <c r="P11" s="14">
        <v>2</v>
      </c>
      <c r="Q11" s="14">
        <v>2</v>
      </c>
      <c r="R11" s="14">
        <v>5</v>
      </c>
      <c r="S11" s="16"/>
      <c r="T11" s="14" t="s">
        <v>72</v>
      </c>
      <c r="U11" s="14" t="s">
        <v>71</v>
      </c>
      <c r="V11" s="15" t="s">
        <v>520</v>
      </c>
      <c r="W11" s="30">
        <f>IF('CRUDO MARTES'!W11="Si",$N11,)</f>
        <v>0</v>
      </c>
      <c r="X11" s="30">
        <f>IF('CRUDO MARTES'!X11="Si",$N11,)</f>
        <v>0</v>
      </c>
      <c r="Y11" s="30">
        <f>IF('CRUDO MARTES'!Y11="Si",$N11,)</f>
        <v>0</v>
      </c>
      <c r="Z11" s="30">
        <f>IF('CRUDO MARTES'!Z11="Si",$N11,)</f>
        <v>35</v>
      </c>
      <c r="AA11" s="30">
        <f>IF('CRUDO MARTES'!AA11="Si",$N11,)</f>
        <v>0</v>
      </c>
      <c r="AB11" s="30">
        <f>IF('CRUDO MARTES'!AB11="Si",$N11,)</f>
        <v>0</v>
      </c>
      <c r="AC11" s="30">
        <f>IF('CRUDO MARTES'!AC11="Si",$N11,)</f>
        <v>0</v>
      </c>
      <c r="AD11" s="30">
        <f>IF('CRUDO MARTES'!AD11="Si",$N11,)</f>
        <v>0</v>
      </c>
      <c r="AE11" s="30">
        <f>IF('CRUDO MARTES'!AE11="Si",$N11,)</f>
        <v>0</v>
      </c>
      <c r="AF11" s="30">
        <f>IF('CRUDO MARTES'!AF11="Si",$N11,)</f>
        <v>35</v>
      </c>
      <c r="AG11" s="30">
        <f>IF('CRUDO MARTES'!AG11="Si",$N11,)</f>
        <v>0</v>
      </c>
      <c r="AH11" s="30">
        <f>IF('CRUDO MARTES'!AH11="Si",$N11,)</f>
        <v>0</v>
      </c>
      <c r="AI11" s="30">
        <f>IF('CRUDO MARTES'!AI11="Si",$N11,)</f>
        <v>0</v>
      </c>
      <c r="AJ11" s="29">
        <v>0</v>
      </c>
      <c r="AK11" s="29">
        <v>0</v>
      </c>
      <c r="AL11" s="30">
        <f>IF('CRUDO MARTES'!AL11="Si",$N11,)</f>
        <v>0</v>
      </c>
      <c r="AM11" s="30">
        <f>IF('CRUDO MARTES'!AM11="Si",$N11,)</f>
        <v>0</v>
      </c>
      <c r="AN11" s="29">
        <v>0</v>
      </c>
      <c r="AO11" s="29">
        <v>0</v>
      </c>
      <c r="AP11" s="14" t="s">
        <v>567</v>
      </c>
      <c r="AQ11" s="14" t="s">
        <v>1257</v>
      </c>
      <c r="AR11" s="14">
        <v>1</v>
      </c>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row>
    <row r="12" spans="1:88" ht="13.2">
      <c r="A12" s="13">
        <v>45363.554758252314</v>
      </c>
      <c r="B12" s="14" t="s">
        <v>568</v>
      </c>
      <c r="C12" s="28" t="s">
        <v>569</v>
      </c>
      <c r="D12" s="15" t="s">
        <v>570</v>
      </c>
      <c r="E12" s="14" t="s">
        <v>62</v>
      </c>
      <c r="F12" s="14" t="s">
        <v>269</v>
      </c>
      <c r="G12" s="14" t="s">
        <v>64</v>
      </c>
      <c r="H12" s="14" t="s">
        <v>571</v>
      </c>
      <c r="I12" s="14" t="s">
        <v>572</v>
      </c>
      <c r="J12" s="16"/>
      <c r="K12" s="14" t="s">
        <v>568</v>
      </c>
      <c r="L12" s="14" t="s">
        <v>138</v>
      </c>
      <c r="M12" s="14" t="s">
        <v>573</v>
      </c>
      <c r="N12" s="14">
        <v>25</v>
      </c>
      <c r="O12" s="14" t="s">
        <v>70</v>
      </c>
      <c r="P12" s="14">
        <v>5</v>
      </c>
      <c r="Q12" s="14">
        <v>5</v>
      </c>
      <c r="R12" s="14">
        <v>0</v>
      </c>
      <c r="S12" s="16"/>
      <c r="T12" s="14" t="s">
        <v>71</v>
      </c>
      <c r="U12" s="14" t="s">
        <v>71</v>
      </c>
      <c r="V12" s="15" t="s">
        <v>520</v>
      </c>
      <c r="W12" s="30">
        <f>IF('CRUDO MARTES'!W12="Si",$N12,)</f>
        <v>0</v>
      </c>
      <c r="X12" s="29">
        <v>0</v>
      </c>
      <c r="Y12" s="30">
        <f>IF('CRUDO MARTES'!Y12="Si",$N12,)</f>
        <v>25</v>
      </c>
      <c r="Z12" s="30">
        <f>IF('CRUDO MARTES'!Z12="Si",$N12,)</f>
        <v>0</v>
      </c>
      <c r="AA12" s="30">
        <f>IF('CRUDO MARTES'!AA12="Si",$N12,)</f>
        <v>25</v>
      </c>
      <c r="AB12" s="30">
        <f>IF('CRUDO MARTES'!AB12="Si",$N12,)</f>
        <v>0</v>
      </c>
      <c r="AC12" s="30">
        <f>IF('CRUDO MARTES'!AC12="Si",$N12,)</f>
        <v>0</v>
      </c>
      <c r="AD12" s="30">
        <f>IF('CRUDO MARTES'!AD12="Si",$N12,)</f>
        <v>0</v>
      </c>
      <c r="AE12" s="29">
        <v>25</v>
      </c>
      <c r="AF12" s="29">
        <v>0</v>
      </c>
      <c r="AG12" s="30">
        <f>IF('CRUDO MARTES'!AG12="Si",$N12,)</f>
        <v>0</v>
      </c>
      <c r="AH12" s="30">
        <f>IF('CRUDO MARTES'!AH12="Si",$N12,)</f>
        <v>0</v>
      </c>
      <c r="AI12" s="29">
        <v>0</v>
      </c>
      <c r="AJ12" s="29">
        <v>0</v>
      </c>
      <c r="AK12" s="31">
        <f>IF('CRUDO MARTES'!AK12="Si",$N12,)</f>
        <v>25</v>
      </c>
      <c r="AL12" s="30">
        <f>IF('CRUDO MARTES'!AL12="Si",$N12,)</f>
        <v>0</v>
      </c>
      <c r="AM12" s="30">
        <f>IF('CRUDO MARTES'!AM12="Si",$N12,)</f>
        <v>0</v>
      </c>
      <c r="AN12" s="30">
        <f>IF('CRUDO MARTES'!AN12="Si",$N12,)</f>
        <v>0</v>
      </c>
      <c r="AO12" s="30">
        <f>IF('CRUDO MARTES'!AO12="Si",$N12,)</f>
        <v>0</v>
      </c>
      <c r="AP12" s="16"/>
      <c r="AQ12" s="14" t="s">
        <v>1256</v>
      </c>
      <c r="AR12" s="14">
        <v>1</v>
      </c>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row>
    <row r="13" spans="1:88" ht="13.2">
      <c r="A13" s="21">
        <v>45363.631157094904</v>
      </c>
      <c r="B13" s="22" t="s">
        <v>574</v>
      </c>
      <c r="C13" s="22" t="s">
        <v>575</v>
      </c>
      <c r="D13" s="22">
        <v>20059400</v>
      </c>
      <c r="E13" s="22" t="s">
        <v>387</v>
      </c>
      <c r="F13" s="22" t="s">
        <v>111</v>
      </c>
      <c r="G13" s="22" t="s">
        <v>64</v>
      </c>
      <c r="H13" s="22" t="s">
        <v>576</v>
      </c>
      <c r="I13" s="22" t="s">
        <v>577</v>
      </c>
      <c r="J13" s="22" t="s">
        <v>578</v>
      </c>
      <c r="K13" s="22" t="s">
        <v>574</v>
      </c>
      <c r="L13" s="22" t="s">
        <v>89</v>
      </c>
      <c r="M13" s="22" t="s">
        <v>579</v>
      </c>
      <c r="N13" s="22">
        <v>0</v>
      </c>
      <c r="O13" s="22" t="s">
        <v>70</v>
      </c>
      <c r="P13" s="22">
        <v>4</v>
      </c>
      <c r="Q13" s="22">
        <v>5</v>
      </c>
      <c r="R13" s="22">
        <v>30</v>
      </c>
      <c r="S13" s="25"/>
      <c r="T13" s="22" t="s">
        <v>71</v>
      </c>
      <c r="U13" s="22" t="s">
        <v>72</v>
      </c>
      <c r="V13" s="24" t="s">
        <v>520</v>
      </c>
      <c r="W13" s="26">
        <f>IF('CRUDO MARTES'!W13="Si",$N13,)</f>
        <v>0</v>
      </c>
      <c r="X13" s="26">
        <f>IF('CRUDO MARTES'!X13="Si",$N13,)</f>
        <v>0</v>
      </c>
      <c r="Y13" s="26">
        <f>IF('CRUDO MARTES'!Y13="Si",$N13,)</f>
        <v>0</v>
      </c>
      <c r="Z13" s="26">
        <f>IF('CRUDO MARTES'!Z13="Si",$N13,)</f>
        <v>0</v>
      </c>
      <c r="AA13" s="26">
        <f>IF('CRUDO MARTES'!AA13="Si",$N13,)</f>
        <v>0</v>
      </c>
      <c r="AB13" s="26">
        <f>IF('CRUDO MARTES'!AB13="Si",$N13,)</f>
        <v>0</v>
      </c>
      <c r="AC13" s="26">
        <f>IF('CRUDO MARTES'!AC13="Si",$N13,)</f>
        <v>0</v>
      </c>
      <c r="AD13" s="26">
        <f>IF('CRUDO MARTES'!AD13="Si",$N13,)</f>
        <v>0</v>
      </c>
      <c r="AE13" s="26">
        <f>IF('CRUDO MARTES'!AE13="Si",$N13,)</f>
        <v>0</v>
      </c>
      <c r="AF13" s="26">
        <f>IF('CRUDO MARTES'!AF13="Si",$N13,)</f>
        <v>0</v>
      </c>
      <c r="AG13" s="26">
        <f>IF('CRUDO MARTES'!AG13="Si",$N13,)</f>
        <v>0</v>
      </c>
      <c r="AH13" s="26">
        <f>IF('CRUDO MARTES'!AH13="Si",$N13,)</f>
        <v>0</v>
      </c>
      <c r="AI13" s="26">
        <f>IF('CRUDO MARTES'!AI13="Si",$N13,)</f>
        <v>0</v>
      </c>
      <c r="AJ13" s="26">
        <f>IF('CRUDO MARTES'!AJ13="Si",$N13,)</f>
        <v>0</v>
      </c>
      <c r="AK13" s="26">
        <f>IF('CRUDO MARTES'!AK13="Si",$N13,)</f>
        <v>0</v>
      </c>
      <c r="AL13" s="26">
        <f>IF('CRUDO MARTES'!AL13="Si",$N13,)</f>
        <v>0</v>
      </c>
      <c r="AM13" s="26">
        <f>IF('CRUDO MARTES'!AM13="Si",$N13,)</f>
        <v>0</v>
      </c>
      <c r="AN13" s="26">
        <f>IF('CRUDO MARTES'!AN13="Si",$N13,)</f>
        <v>0</v>
      </c>
      <c r="AO13" s="26">
        <f>IF('CRUDO MARTES'!AO13="Si",$N13,)</f>
        <v>0</v>
      </c>
      <c r="AP13" s="25"/>
      <c r="AQ13" s="25"/>
      <c r="AR13" s="22"/>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row>
    <row r="14" spans="1:88" ht="13.2">
      <c r="A14" s="21">
        <v>45363.647077858797</v>
      </c>
      <c r="B14" s="22" t="s">
        <v>580</v>
      </c>
      <c r="C14" s="22" t="s">
        <v>581</v>
      </c>
      <c r="D14" s="22">
        <v>201342</v>
      </c>
      <c r="E14" s="22" t="s">
        <v>84</v>
      </c>
      <c r="F14" s="22" t="s">
        <v>582</v>
      </c>
      <c r="G14" s="22" t="s">
        <v>64</v>
      </c>
      <c r="H14" s="22" t="s">
        <v>583</v>
      </c>
      <c r="I14" s="22" t="s">
        <v>584</v>
      </c>
      <c r="J14" s="22" t="s">
        <v>585</v>
      </c>
      <c r="K14" s="22" t="s">
        <v>580</v>
      </c>
      <c r="L14" s="22" t="s">
        <v>89</v>
      </c>
      <c r="M14" s="22" t="s">
        <v>208</v>
      </c>
      <c r="N14" s="22">
        <v>0</v>
      </c>
      <c r="O14" s="22" t="s">
        <v>148</v>
      </c>
      <c r="P14" s="22">
        <v>4</v>
      </c>
      <c r="Q14" s="22">
        <v>1</v>
      </c>
      <c r="R14" s="22">
        <v>10</v>
      </c>
      <c r="S14" s="25"/>
      <c r="T14" s="22" t="s">
        <v>71</v>
      </c>
      <c r="U14" s="22" t="s">
        <v>72</v>
      </c>
      <c r="V14" s="24" t="s">
        <v>520</v>
      </c>
      <c r="W14" s="26">
        <f>IF('CRUDO MARTES'!W14="Si",$N14,)</f>
        <v>0</v>
      </c>
      <c r="X14" s="26">
        <f>IF('CRUDO MARTES'!X14="Si",$N14,)</f>
        <v>0</v>
      </c>
      <c r="Y14" s="26">
        <f>IF('CRUDO MARTES'!Y14="Si",$N14,)</f>
        <v>0</v>
      </c>
      <c r="Z14" s="26">
        <f>IF('CRUDO MARTES'!Z14="Si",$N14,)</f>
        <v>0</v>
      </c>
      <c r="AA14" s="26">
        <f>IF('CRUDO MARTES'!AA14="Si",$N14,)</f>
        <v>0</v>
      </c>
      <c r="AB14" s="26">
        <f>IF('CRUDO MARTES'!AB14="Si",$N14,)</f>
        <v>0</v>
      </c>
      <c r="AC14" s="26">
        <f>IF('CRUDO MARTES'!AC14="Si",$N14,)</f>
        <v>0</v>
      </c>
      <c r="AD14" s="26">
        <f>IF('CRUDO MARTES'!AD14="Si",$N14,)</f>
        <v>0</v>
      </c>
      <c r="AE14" s="26">
        <f>IF('CRUDO MARTES'!AE14="Si",$N14,)</f>
        <v>0</v>
      </c>
      <c r="AF14" s="26">
        <f>IF('CRUDO MARTES'!AF14="Si",$N14,)</f>
        <v>0</v>
      </c>
      <c r="AG14" s="26">
        <f>IF('CRUDO MARTES'!AG14="Si",$N14,)</f>
        <v>0</v>
      </c>
      <c r="AH14" s="26">
        <f>IF('CRUDO MARTES'!AH14="Si",$N14,)</f>
        <v>0</v>
      </c>
      <c r="AI14" s="26">
        <f>IF('CRUDO MARTES'!AI14="Si",$N14,)</f>
        <v>0</v>
      </c>
      <c r="AJ14" s="26">
        <f>IF('CRUDO MARTES'!AJ14="Si",$N14,)</f>
        <v>0</v>
      </c>
      <c r="AK14" s="26">
        <f>IF('CRUDO MARTES'!AK14="Si",$N14,)</f>
        <v>0</v>
      </c>
      <c r="AL14" s="26">
        <f>IF('CRUDO MARTES'!AL14="Si",$N14,)</f>
        <v>0</v>
      </c>
      <c r="AM14" s="26">
        <f>IF('CRUDO MARTES'!AM14="Si",$N14,)</f>
        <v>0</v>
      </c>
      <c r="AN14" s="26">
        <f>IF('CRUDO MARTES'!AN14="Si",$N14,)</f>
        <v>0</v>
      </c>
      <c r="AO14" s="26">
        <f>IF('CRUDO MARTES'!AO14="Si",$N14,)</f>
        <v>0</v>
      </c>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row>
    <row r="15" spans="1:88" ht="13.2">
      <c r="A15" s="13">
        <v>45363.647391956023</v>
      </c>
      <c r="B15" s="14" t="s">
        <v>586</v>
      </c>
      <c r="C15" s="28" t="s">
        <v>587</v>
      </c>
      <c r="D15" s="15" t="s">
        <v>588</v>
      </c>
      <c r="E15" s="14" t="s">
        <v>84</v>
      </c>
      <c r="F15" s="14" t="s">
        <v>589</v>
      </c>
      <c r="G15" s="14" t="s">
        <v>64</v>
      </c>
      <c r="H15" s="14" t="s">
        <v>590</v>
      </c>
      <c r="I15" s="14" t="s">
        <v>591</v>
      </c>
      <c r="J15" s="14" t="s">
        <v>592</v>
      </c>
      <c r="K15" s="14" t="s">
        <v>586</v>
      </c>
      <c r="L15" s="14" t="s">
        <v>245</v>
      </c>
      <c r="M15" s="14" t="s">
        <v>593</v>
      </c>
      <c r="N15" s="14">
        <v>25</v>
      </c>
      <c r="O15" s="14" t="s">
        <v>70</v>
      </c>
      <c r="P15" s="14">
        <v>3</v>
      </c>
      <c r="Q15" s="14">
        <v>3</v>
      </c>
      <c r="R15" s="14">
        <v>10</v>
      </c>
      <c r="S15" s="16"/>
      <c r="T15" s="14" t="s">
        <v>72</v>
      </c>
      <c r="U15" s="14" t="s">
        <v>71</v>
      </c>
      <c r="V15" s="15" t="s">
        <v>520</v>
      </c>
      <c r="W15" s="30">
        <f>IF('CRUDO MARTES'!W15="Si",$N15,)</f>
        <v>0</v>
      </c>
      <c r="X15" s="30">
        <f>IF('CRUDO MARTES'!X15="Si",$N15,)</f>
        <v>0</v>
      </c>
      <c r="Y15" s="30">
        <f>IF('CRUDO MARTES'!Y15="Si",$N15,)</f>
        <v>0</v>
      </c>
      <c r="Z15" s="30">
        <f>IF('CRUDO MARTES'!Z15="Si",$N15,)</f>
        <v>25</v>
      </c>
      <c r="AA15" s="30">
        <f>IF('CRUDO MARTES'!AA15="Si",$N15,)</f>
        <v>0</v>
      </c>
      <c r="AB15" s="30">
        <f>IF('CRUDO MARTES'!AB15="Si",$N15,)</f>
        <v>0</v>
      </c>
      <c r="AC15" s="30">
        <f>IF('CRUDO MARTES'!AC15="Si",$N15,)</f>
        <v>0</v>
      </c>
      <c r="AD15" s="30">
        <f>IF('CRUDO MARTES'!AD15="Si",$N15,)</f>
        <v>25</v>
      </c>
      <c r="AE15" s="29">
        <v>0</v>
      </c>
      <c r="AF15" s="30">
        <f>IF('CRUDO MARTES'!AF15="Si",$N15,)</f>
        <v>25</v>
      </c>
      <c r="AG15" s="30">
        <f>IF('CRUDO MARTES'!AG15="Si",$N15,)</f>
        <v>0</v>
      </c>
      <c r="AH15" s="30">
        <f>IF('CRUDO MARTES'!AH15="Si",$N15,)</f>
        <v>0</v>
      </c>
      <c r="AI15" s="30">
        <f>IF('CRUDO MARTES'!AI15="Si",$N15,)</f>
        <v>0</v>
      </c>
      <c r="AJ15" s="29">
        <v>0</v>
      </c>
      <c r="AK15" s="29">
        <v>0</v>
      </c>
      <c r="AL15" s="30">
        <f>IF('CRUDO MARTES'!AL15="Si",$N15,)</f>
        <v>0</v>
      </c>
      <c r="AM15" s="30">
        <f>IF('CRUDO MARTES'!AM15="Si",$N15,)</f>
        <v>0</v>
      </c>
      <c r="AN15" s="29">
        <v>0</v>
      </c>
      <c r="AO15" s="29">
        <v>0</v>
      </c>
      <c r="AP15" s="16"/>
      <c r="AQ15" s="14" t="s">
        <v>1258</v>
      </c>
      <c r="AR15" s="14">
        <v>1</v>
      </c>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row>
    <row r="16" spans="1:88" ht="13.2">
      <c r="A16" s="13">
        <v>45363.650400023151</v>
      </c>
      <c r="B16" s="14" t="s">
        <v>586</v>
      </c>
      <c r="C16" s="28" t="s">
        <v>587</v>
      </c>
      <c r="D16" s="15" t="s">
        <v>588</v>
      </c>
      <c r="E16" s="14" t="s">
        <v>133</v>
      </c>
      <c r="F16" s="14" t="s">
        <v>594</v>
      </c>
      <c r="G16" s="14" t="s">
        <v>64</v>
      </c>
      <c r="H16" s="14" t="s">
        <v>595</v>
      </c>
      <c r="I16" s="14" t="s">
        <v>596</v>
      </c>
      <c r="J16" s="14" t="s">
        <v>597</v>
      </c>
      <c r="K16" s="14" t="s">
        <v>586</v>
      </c>
      <c r="L16" s="14" t="s">
        <v>245</v>
      </c>
      <c r="M16" s="14" t="s">
        <v>598</v>
      </c>
      <c r="N16" s="14">
        <v>20</v>
      </c>
      <c r="O16" s="14" t="s">
        <v>70</v>
      </c>
      <c r="P16" s="14">
        <v>3</v>
      </c>
      <c r="Q16" s="14">
        <v>3</v>
      </c>
      <c r="R16" s="14">
        <v>10</v>
      </c>
      <c r="S16" s="16"/>
      <c r="T16" s="14" t="s">
        <v>72</v>
      </c>
      <c r="U16" s="14" t="s">
        <v>71</v>
      </c>
      <c r="V16" s="15" t="s">
        <v>520</v>
      </c>
      <c r="W16" s="30">
        <f>IF('CRUDO MARTES'!W16="Si",$N16,)</f>
        <v>0</v>
      </c>
      <c r="X16" s="30">
        <f>IF('CRUDO MARTES'!X16="Si",$N16,)</f>
        <v>0</v>
      </c>
      <c r="Y16" s="30">
        <f>IF('CRUDO MARTES'!Y16="Si",$N16,)</f>
        <v>0</v>
      </c>
      <c r="Z16" s="30">
        <f>IF('CRUDO MARTES'!Z16="Si",$N16,)</f>
        <v>20</v>
      </c>
      <c r="AA16" s="30">
        <f>IF('CRUDO MARTES'!AA16="Si",$N16,)</f>
        <v>0</v>
      </c>
      <c r="AB16" s="30">
        <f>IF('CRUDO MARTES'!AB16="Si",$N16,)</f>
        <v>0</v>
      </c>
      <c r="AC16" s="30">
        <f>IF('CRUDO MARTES'!AC16="Si",$N16,)</f>
        <v>0</v>
      </c>
      <c r="AD16" s="30">
        <f>IF('CRUDO MARTES'!AD16="Si",$N16,)</f>
        <v>20</v>
      </c>
      <c r="AE16" s="29">
        <v>0</v>
      </c>
      <c r="AF16" s="30">
        <f>IF('CRUDO MARTES'!AF16="Si",$N16,)</f>
        <v>20</v>
      </c>
      <c r="AG16" s="30">
        <f>IF('CRUDO MARTES'!AG16="Si",$N16,)</f>
        <v>0</v>
      </c>
      <c r="AH16" s="30">
        <f>IF('CRUDO MARTES'!AH16="Si",$N16,)</f>
        <v>0</v>
      </c>
      <c r="AI16" s="30">
        <f>IF('CRUDO MARTES'!AI16="Si",$N16,)</f>
        <v>0</v>
      </c>
      <c r="AJ16" s="29">
        <v>0</v>
      </c>
      <c r="AK16" s="29">
        <v>0</v>
      </c>
      <c r="AL16" s="30">
        <f>IF('CRUDO MARTES'!AL16="Si",$N16,)</f>
        <v>0</v>
      </c>
      <c r="AM16" s="30">
        <f>IF('CRUDO MARTES'!AM16="Si",$N16,)</f>
        <v>0</v>
      </c>
      <c r="AN16" s="29">
        <v>0</v>
      </c>
      <c r="AO16" s="29">
        <v>0</v>
      </c>
      <c r="AP16" s="16"/>
      <c r="AQ16" s="14" t="s">
        <v>1258</v>
      </c>
      <c r="AR16" s="14">
        <v>1</v>
      </c>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row>
    <row r="17" spans="1:88" ht="13.2">
      <c r="A17" s="13">
        <v>45363.683418576387</v>
      </c>
      <c r="B17" s="14" t="s">
        <v>209</v>
      </c>
      <c r="C17" s="28" t="s">
        <v>210</v>
      </c>
      <c r="D17" s="15" t="s">
        <v>211</v>
      </c>
      <c r="E17" s="14" t="s">
        <v>286</v>
      </c>
      <c r="F17" s="14" t="s">
        <v>599</v>
      </c>
      <c r="G17" s="14" t="s">
        <v>105</v>
      </c>
      <c r="H17" s="14" t="s">
        <v>600</v>
      </c>
      <c r="I17" s="14" t="s">
        <v>601</v>
      </c>
      <c r="J17" s="14" t="s">
        <v>602</v>
      </c>
      <c r="K17" s="14" t="s">
        <v>209</v>
      </c>
      <c r="L17" s="14" t="s">
        <v>89</v>
      </c>
      <c r="M17" s="14" t="s">
        <v>217</v>
      </c>
      <c r="N17" s="14">
        <v>22</v>
      </c>
      <c r="O17" s="14" t="s">
        <v>148</v>
      </c>
      <c r="P17" s="14">
        <v>5</v>
      </c>
      <c r="Q17" s="14">
        <v>5</v>
      </c>
      <c r="R17" s="14">
        <v>90</v>
      </c>
      <c r="S17" s="16"/>
      <c r="T17" s="14" t="s">
        <v>71</v>
      </c>
      <c r="U17" s="14" t="s">
        <v>72</v>
      </c>
      <c r="V17" s="15" t="s">
        <v>520</v>
      </c>
      <c r="W17" s="30">
        <f>IF('CRUDO MARTES'!W17="Si",$N17,)</f>
        <v>0</v>
      </c>
      <c r="X17" s="30">
        <f>IF('CRUDO MARTES'!X17="Si",$N17,)</f>
        <v>0</v>
      </c>
      <c r="Y17" s="29">
        <v>22</v>
      </c>
      <c r="Z17" s="30">
        <f>IF('CRUDO MARTES'!Z17="Si",$N17,)</f>
        <v>0</v>
      </c>
      <c r="AA17" s="30">
        <f>IF('CRUDO MARTES'!AA17="Si",$N17,)</f>
        <v>22</v>
      </c>
      <c r="AB17" s="30">
        <f>IF('CRUDO MARTES'!AB17="Si",$N17,)</f>
        <v>0</v>
      </c>
      <c r="AC17" s="30">
        <f>IF('CRUDO MARTES'!AC17="Si",$N17,)</f>
        <v>0</v>
      </c>
      <c r="AD17" s="30">
        <f>IF('CRUDO MARTES'!AD17="Si",$N17,)</f>
        <v>0</v>
      </c>
      <c r="AE17" s="30">
        <f>IF('CRUDO MARTES'!AE17="Si",$N17,)</f>
        <v>0</v>
      </c>
      <c r="AF17" s="30">
        <f>IF('CRUDO MARTES'!AF17="Si",$N17,)</f>
        <v>0</v>
      </c>
      <c r="AG17" s="30">
        <f>IF('CRUDO MARTES'!AG17="Si",$N17,)</f>
        <v>0</v>
      </c>
      <c r="AH17" s="31">
        <f>IF('CRUDO MARTES'!AH17="Si",$N17,)</f>
        <v>22</v>
      </c>
      <c r="AI17" s="30">
        <f>IF('CRUDO MARTES'!AI17="Si",$N17,)</f>
        <v>0</v>
      </c>
      <c r="AJ17" s="30">
        <f>IF('CRUDO MARTES'!AJ17="Si",$N17,)</f>
        <v>0</v>
      </c>
      <c r="AK17" s="30">
        <f>IF('CRUDO MARTES'!AK17="Si",$N17,)</f>
        <v>0</v>
      </c>
      <c r="AL17" s="30">
        <f>IF('CRUDO MARTES'!AL17="Si",$N17,)</f>
        <v>0</v>
      </c>
      <c r="AM17" s="29">
        <v>0</v>
      </c>
      <c r="AN17" s="30">
        <f>IF('CRUDO MARTES'!AN17="Si",$N17,)</f>
        <v>0</v>
      </c>
      <c r="AO17" s="30">
        <f>IF('CRUDO MARTES'!AO17="Si",$N17,)</f>
        <v>0</v>
      </c>
      <c r="AP17" s="16"/>
      <c r="AQ17" s="14" t="s">
        <v>1254</v>
      </c>
      <c r="AR17" s="14">
        <v>1</v>
      </c>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row>
    <row r="18" spans="1:88" ht="13.2">
      <c r="A18" s="13">
        <v>45363.707946979164</v>
      </c>
      <c r="B18" s="14" t="s">
        <v>603</v>
      </c>
      <c r="C18" s="28" t="s">
        <v>604</v>
      </c>
      <c r="D18" s="15" t="s">
        <v>605</v>
      </c>
      <c r="E18" s="14" t="s">
        <v>133</v>
      </c>
      <c r="F18" s="14" t="s">
        <v>192</v>
      </c>
      <c r="G18" s="14" t="s">
        <v>64</v>
      </c>
      <c r="H18" s="14" t="s">
        <v>606</v>
      </c>
      <c r="I18" s="14" t="s">
        <v>607</v>
      </c>
      <c r="J18" s="14" t="s">
        <v>608</v>
      </c>
      <c r="K18" s="14" t="s">
        <v>603</v>
      </c>
      <c r="L18" s="14" t="s">
        <v>89</v>
      </c>
      <c r="M18" s="14" t="s">
        <v>190</v>
      </c>
      <c r="N18" s="14">
        <v>35</v>
      </c>
      <c r="O18" s="14" t="s">
        <v>70</v>
      </c>
      <c r="P18" s="14">
        <v>2</v>
      </c>
      <c r="Q18" s="14">
        <v>3</v>
      </c>
      <c r="R18" s="14">
        <v>75</v>
      </c>
      <c r="S18" s="16"/>
      <c r="T18" s="14" t="s">
        <v>71</v>
      </c>
      <c r="U18" s="14" t="s">
        <v>72</v>
      </c>
      <c r="V18" s="15" t="s">
        <v>520</v>
      </c>
      <c r="W18" s="30">
        <f>IF('CRUDO MARTES'!W18="Si",$N18,)</f>
        <v>35</v>
      </c>
      <c r="X18" s="30">
        <f>IF('CRUDO MARTES'!X18="Si",$N18,)</f>
        <v>0</v>
      </c>
      <c r="Y18" s="30">
        <f>IF('CRUDO MARTES'!Y18="Si",$N18,)</f>
        <v>0</v>
      </c>
      <c r="Z18" s="30">
        <f>IF('CRUDO MARTES'!Z18="Si",$N18,)</f>
        <v>0</v>
      </c>
      <c r="AA18" s="30">
        <f>IF('CRUDO MARTES'!AA18="Si",$N18,)</f>
        <v>0</v>
      </c>
      <c r="AB18" s="29">
        <v>0</v>
      </c>
      <c r="AC18" s="29">
        <v>35</v>
      </c>
      <c r="AD18" s="30">
        <f>IF('CRUDO MARTES'!AD18="Si",$N18,)</f>
        <v>0</v>
      </c>
      <c r="AE18" s="30">
        <f>IF('CRUDO MARTES'!AE18="Si",$N18,)</f>
        <v>0</v>
      </c>
      <c r="AF18" s="30">
        <f>IF('CRUDO MARTES'!AF18="Si",$N18,)</f>
        <v>0</v>
      </c>
      <c r="AG18" s="30">
        <f>IF('CRUDO MARTES'!AG18="Si",$N18,)</f>
        <v>0</v>
      </c>
      <c r="AH18" s="30">
        <f>IF('CRUDO MARTES'!AH18="Si",$N18,)</f>
        <v>0</v>
      </c>
      <c r="AI18" s="29">
        <v>0</v>
      </c>
      <c r="AJ18" s="30">
        <f>IF('CRUDO MARTES'!AJ18="Si",$N18,)</f>
        <v>0</v>
      </c>
      <c r="AK18" s="30">
        <f>IF('CRUDO MARTES'!AK18="Si",$N18,)</f>
        <v>0</v>
      </c>
      <c r="AL18" s="31">
        <f>IF('CRUDO MARTES'!AL18="Si",$N18,)</f>
        <v>35</v>
      </c>
      <c r="AM18" s="30">
        <f>IF('CRUDO MARTES'!AM18="Si",$N18,)</f>
        <v>0</v>
      </c>
      <c r="AN18" s="30">
        <f>IF('CRUDO MARTES'!AN18="Si",$N18,)</f>
        <v>0</v>
      </c>
      <c r="AO18" s="30">
        <f>IF('CRUDO MARTES'!AO18="Si",$N18,)</f>
        <v>0</v>
      </c>
      <c r="AP18" s="14" t="s">
        <v>609</v>
      </c>
      <c r="AQ18" s="14" t="s">
        <v>1254</v>
      </c>
      <c r="AR18" s="14">
        <v>1</v>
      </c>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row>
    <row r="19" spans="1:88" ht="13.2">
      <c r="A19" s="21">
        <v>45363.710773865736</v>
      </c>
      <c r="B19" s="22" t="s">
        <v>603</v>
      </c>
      <c r="C19" s="22" t="s">
        <v>610</v>
      </c>
      <c r="D19" s="24" t="s">
        <v>605</v>
      </c>
      <c r="E19" s="22" t="s">
        <v>133</v>
      </c>
      <c r="F19" s="22" t="s">
        <v>192</v>
      </c>
      <c r="G19" s="22" t="s">
        <v>64</v>
      </c>
      <c r="H19" s="22" t="s">
        <v>187</v>
      </c>
      <c r="I19" s="22" t="s">
        <v>611</v>
      </c>
      <c r="J19" s="22" t="s">
        <v>612</v>
      </c>
      <c r="K19" s="22" t="s">
        <v>603</v>
      </c>
      <c r="L19" s="22" t="s">
        <v>89</v>
      </c>
      <c r="M19" s="22" t="s">
        <v>190</v>
      </c>
      <c r="N19" s="22">
        <v>0</v>
      </c>
      <c r="O19" s="22" t="s">
        <v>70</v>
      </c>
      <c r="P19" s="22">
        <v>2</v>
      </c>
      <c r="Q19" s="22">
        <v>3</v>
      </c>
      <c r="R19" s="22">
        <v>75</v>
      </c>
      <c r="S19" s="25"/>
      <c r="T19" s="22" t="s">
        <v>71</v>
      </c>
      <c r="U19" s="22" t="s">
        <v>72</v>
      </c>
      <c r="V19" s="24" t="s">
        <v>520</v>
      </c>
      <c r="W19" s="26">
        <f>IF('CRUDO MARTES'!W19="Si",$N19,)</f>
        <v>0</v>
      </c>
      <c r="X19" s="26">
        <f>IF('CRUDO MARTES'!X19="Si",$N19,)</f>
        <v>0</v>
      </c>
      <c r="Y19" s="26">
        <f>IF('CRUDO MARTES'!Y19="Si",$N19,)</f>
        <v>0</v>
      </c>
      <c r="Z19" s="26">
        <f>IF('CRUDO MARTES'!Z19="Si",$N19,)</f>
        <v>0</v>
      </c>
      <c r="AA19" s="26">
        <f>IF('CRUDO MARTES'!AA19="Si",$N19,)</f>
        <v>0</v>
      </c>
      <c r="AB19" s="26">
        <f>IF('CRUDO MARTES'!AB19="Si",$N19,)</f>
        <v>0</v>
      </c>
      <c r="AC19" s="26">
        <f>IF('CRUDO MARTES'!AC19="Si",$N19,)</f>
        <v>0</v>
      </c>
      <c r="AD19" s="26">
        <f>IF('CRUDO MARTES'!AD19="Si",$N19,)</f>
        <v>0</v>
      </c>
      <c r="AE19" s="26">
        <f>IF('CRUDO MARTES'!AE19="Si",$N19,)</f>
        <v>0</v>
      </c>
      <c r="AF19" s="26">
        <f>IF('CRUDO MARTES'!AF19="Si",$N19,)</f>
        <v>0</v>
      </c>
      <c r="AG19" s="26">
        <f>IF('CRUDO MARTES'!AG19="Si",$N19,)</f>
        <v>0</v>
      </c>
      <c r="AH19" s="26">
        <f>IF('CRUDO MARTES'!AH19="Si",$N19,)</f>
        <v>0</v>
      </c>
      <c r="AI19" s="26">
        <f>IF('CRUDO MARTES'!AI19="Si",$N19,)</f>
        <v>0</v>
      </c>
      <c r="AJ19" s="26">
        <f>IF('CRUDO MARTES'!AJ19="Si",$N19,)</f>
        <v>0</v>
      </c>
      <c r="AK19" s="26">
        <f>IF('CRUDO MARTES'!AK19="Si",$N19,)</f>
        <v>0</v>
      </c>
      <c r="AL19" s="26">
        <f>IF('CRUDO MARTES'!AL19="Si",$N19,)</f>
        <v>0</v>
      </c>
      <c r="AM19" s="26">
        <f>IF('CRUDO MARTES'!AM19="Si",$N19,)</f>
        <v>0</v>
      </c>
      <c r="AN19" s="26">
        <f>IF('CRUDO MARTES'!AN19="Si",$N19,)</f>
        <v>0</v>
      </c>
      <c r="AO19" s="26">
        <f>IF('CRUDO MARTES'!AO19="Si",$N19,)</f>
        <v>0</v>
      </c>
      <c r="AP19" s="22" t="s">
        <v>609</v>
      </c>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row>
    <row r="20" spans="1:88" ht="13.2">
      <c r="A20" s="13">
        <v>45363.723644571757</v>
      </c>
      <c r="B20" s="14" t="s">
        <v>195</v>
      </c>
      <c r="C20" s="28" t="s">
        <v>613</v>
      </c>
      <c r="D20" s="14">
        <v>61338200</v>
      </c>
      <c r="E20" s="14" t="s">
        <v>62</v>
      </c>
      <c r="F20" s="14" t="s">
        <v>104</v>
      </c>
      <c r="G20" s="14" t="s">
        <v>64</v>
      </c>
      <c r="H20" s="14" t="s">
        <v>614</v>
      </c>
      <c r="I20" s="14" t="s">
        <v>615</v>
      </c>
      <c r="J20" s="14" t="s">
        <v>616</v>
      </c>
      <c r="K20" s="14" t="s">
        <v>195</v>
      </c>
      <c r="L20" s="14" t="s">
        <v>68</v>
      </c>
      <c r="M20" s="14" t="s">
        <v>617</v>
      </c>
      <c r="N20" s="14">
        <v>30</v>
      </c>
      <c r="O20" s="14" t="s">
        <v>70</v>
      </c>
      <c r="P20" s="14">
        <v>5</v>
      </c>
      <c r="Q20" s="14">
        <v>5</v>
      </c>
      <c r="R20" s="14">
        <v>40</v>
      </c>
      <c r="S20" s="14" t="s">
        <v>200</v>
      </c>
      <c r="T20" s="14" t="s">
        <v>71</v>
      </c>
      <c r="U20" s="14" t="s">
        <v>72</v>
      </c>
      <c r="V20" s="15" t="s">
        <v>520</v>
      </c>
      <c r="W20" s="30">
        <f>IF('CRUDO MARTES'!W20="Si",$N20,)</f>
        <v>30</v>
      </c>
      <c r="X20" s="30">
        <f>IF('CRUDO MARTES'!X20="Si",$N20,)</f>
        <v>0</v>
      </c>
      <c r="Y20" s="30">
        <f>IF('CRUDO MARTES'!Y20="Si",$N20,)</f>
        <v>0</v>
      </c>
      <c r="Z20" s="30">
        <f>IF('CRUDO MARTES'!Z20="Si",$N20,)</f>
        <v>0</v>
      </c>
      <c r="AA20" s="30">
        <f>IF('CRUDO MARTES'!AA20="Si",$N20,)</f>
        <v>0</v>
      </c>
      <c r="AB20" s="29">
        <v>30</v>
      </c>
      <c r="AC20" s="30">
        <f>IF('CRUDO MARTES'!AC20="Si",$N20,)</f>
        <v>0</v>
      </c>
      <c r="AD20" s="30">
        <f>IF('CRUDO MARTES'!AD20="Si",$N20,)</f>
        <v>30</v>
      </c>
      <c r="AE20" s="30">
        <f>IF('CRUDO MARTES'!AE20="Si",$N20,)</f>
        <v>0</v>
      </c>
      <c r="AF20" s="30">
        <f>IF('CRUDO MARTES'!AF20="Si",$N20,)</f>
        <v>0</v>
      </c>
      <c r="AG20" s="30">
        <f>IF('CRUDO MARTES'!AG20="Si",$N20,)</f>
        <v>0</v>
      </c>
      <c r="AH20" s="29">
        <v>0</v>
      </c>
      <c r="AI20" s="30">
        <f>IF('CRUDO MARTES'!AI20="Si",$N20,)</f>
        <v>0</v>
      </c>
      <c r="AJ20" s="30">
        <f>IF('CRUDO MARTES'!AJ20="Si",$N20,)</f>
        <v>0</v>
      </c>
      <c r="AK20" s="30">
        <f>IF('CRUDO MARTES'!AK20="Si",$N20,)</f>
        <v>0</v>
      </c>
      <c r="AL20" s="30">
        <f>IF('CRUDO MARTES'!AL20="Si",$N20,)</f>
        <v>0</v>
      </c>
      <c r="AM20" s="29">
        <v>0</v>
      </c>
      <c r="AN20" s="30">
        <f>IF('CRUDO MARTES'!AN20="Si",$N20,)</f>
        <v>0</v>
      </c>
      <c r="AO20" s="30">
        <f>IF('CRUDO MARTES'!AO20="Si",$N20,)</f>
        <v>0</v>
      </c>
      <c r="AP20" s="16"/>
      <c r="AQ20" s="14" t="s">
        <v>1259</v>
      </c>
      <c r="AR20" s="14">
        <v>1</v>
      </c>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row>
    <row r="21" spans="1:88" ht="13.2">
      <c r="A21" s="13">
        <v>45363.726919548615</v>
      </c>
      <c r="B21" s="14" t="s">
        <v>195</v>
      </c>
      <c r="C21" s="28" t="s">
        <v>618</v>
      </c>
      <c r="D21" s="14">
        <v>61338200</v>
      </c>
      <c r="E21" s="14" t="s">
        <v>133</v>
      </c>
      <c r="F21" s="14" t="s">
        <v>619</v>
      </c>
      <c r="G21" s="14" t="s">
        <v>64</v>
      </c>
      <c r="H21" s="14" t="s">
        <v>620</v>
      </c>
      <c r="I21" s="14" t="s">
        <v>621</v>
      </c>
      <c r="J21" s="14" t="s">
        <v>622</v>
      </c>
      <c r="K21" s="14" t="s">
        <v>195</v>
      </c>
      <c r="L21" s="14" t="s">
        <v>68</v>
      </c>
      <c r="M21" s="14" t="s">
        <v>623</v>
      </c>
      <c r="N21" s="14">
        <v>30</v>
      </c>
      <c r="O21" s="14" t="s">
        <v>70</v>
      </c>
      <c r="P21" s="14">
        <v>5</v>
      </c>
      <c r="Q21" s="14">
        <v>5</v>
      </c>
      <c r="R21" s="14">
        <v>40</v>
      </c>
      <c r="S21" s="14" t="s">
        <v>200</v>
      </c>
      <c r="T21" s="14" t="s">
        <v>71</v>
      </c>
      <c r="U21" s="14" t="s">
        <v>71</v>
      </c>
      <c r="V21" s="15" t="s">
        <v>520</v>
      </c>
      <c r="W21" s="30">
        <f>IF('CRUDO MARTES'!W21="Si",$N21,)</f>
        <v>30</v>
      </c>
      <c r="X21" s="30">
        <f>IF('CRUDO MARTES'!X21="Si",$N21,)</f>
        <v>0</v>
      </c>
      <c r="Y21" s="30">
        <f>IF('CRUDO MARTES'!Y21="Si",$N21,)</f>
        <v>0</v>
      </c>
      <c r="Z21" s="30">
        <f>IF('CRUDO MARTES'!Z21="Si",$N21,)</f>
        <v>0</v>
      </c>
      <c r="AA21" s="30">
        <f>IF('CRUDO MARTES'!AA21="Si",$N21,)</f>
        <v>0</v>
      </c>
      <c r="AB21" s="29">
        <v>30</v>
      </c>
      <c r="AC21" s="30">
        <f>IF('CRUDO MARTES'!AC21="Si",$N21,)</f>
        <v>0</v>
      </c>
      <c r="AD21" s="30">
        <f>IF('CRUDO MARTES'!AD21="Si",$N21,)</f>
        <v>30</v>
      </c>
      <c r="AE21" s="30">
        <f>IF('CRUDO MARTES'!AE21="Si",$N21,)</f>
        <v>0</v>
      </c>
      <c r="AF21" s="30">
        <f>IF('CRUDO MARTES'!AF21="Si",$N21,)</f>
        <v>0</v>
      </c>
      <c r="AG21" s="30">
        <f>IF('CRUDO MARTES'!AG21="Si",$N21,)</f>
        <v>0</v>
      </c>
      <c r="AH21" s="29">
        <v>0</v>
      </c>
      <c r="AI21" s="30">
        <f>IF('CRUDO MARTES'!AI21="Si",$N21,)</f>
        <v>0</v>
      </c>
      <c r="AJ21" s="30">
        <f>IF('CRUDO MARTES'!AJ21="Si",$N21,)</f>
        <v>0</v>
      </c>
      <c r="AK21" s="30">
        <f>IF('CRUDO MARTES'!AK21="Si",$N21,)</f>
        <v>0</v>
      </c>
      <c r="AL21" s="30">
        <f>IF('CRUDO MARTES'!AL21="Si",$N21,)</f>
        <v>0</v>
      </c>
      <c r="AM21" s="29">
        <v>0</v>
      </c>
      <c r="AN21" s="30">
        <f>IF('CRUDO MARTES'!AN21="Si",$N21,)</f>
        <v>0</v>
      </c>
      <c r="AO21" s="30">
        <f>IF('CRUDO MARTES'!AO21="Si",$N21,)</f>
        <v>0</v>
      </c>
      <c r="AP21" s="16"/>
      <c r="AQ21" s="14" t="s">
        <v>1259</v>
      </c>
      <c r="AR21" s="14">
        <v>1</v>
      </c>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row>
    <row r="22" spans="1:88" ht="13.2">
      <c r="A22" s="13">
        <v>45363.726925532406</v>
      </c>
      <c r="B22" s="14" t="s">
        <v>624</v>
      </c>
      <c r="C22" s="28" t="s">
        <v>625</v>
      </c>
      <c r="D22" s="14">
        <v>1111111</v>
      </c>
      <c r="E22" s="14" t="s">
        <v>62</v>
      </c>
      <c r="F22" s="14" t="s">
        <v>198</v>
      </c>
      <c r="G22" s="14" t="s">
        <v>105</v>
      </c>
      <c r="H22" s="14" t="s">
        <v>626</v>
      </c>
      <c r="I22" s="14" t="s">
        <v>627</v>
      </c>
      <c r="J22" s="16"/>
      <c r="K22" s="14" t="s">
        <v>624</v>
      </c>
      <c r="L22" s="14" t="s">
        <v>138</v>
      </c>
      <c r="M22" s="14" t="s">
        <v>628</v>
      </c>
      <c r="N22" s="14">
        <v>35</v>
      </c>
      <c r="O22" s="14" t="s">
        <v>282</v>
      </c>
      <c r="P22" s="14">
        <v>5</v>
      </c>
      <c r="Q22" s="14">
        <v>5</v>
      </c>
      <c r="R22" s="14">
        <v>0</v>
      </c>
      <c r="S22" s="16"/>
      <c r="T22" s="14" t="s">
        <v>71</v>
      </c>
      <c r="U22" s="14" t="s">
        <v>71</v>
      </c>
      <c r="V22" s="15" t="s">
        <v>520</v>
      </c>
      <c r="W22" s="30">
        <f>IF('CRUDO MARTES'!W22="Si",$N22,)</f>
        <v>35</v>
      </c>
      <c r="X22" s="29">
        <v>0</v>
      </c>
      <c r="Y22" s="29">
        <v>0</v>
      </c>
      <c r="Z22" s="30">
        <f>IF('CRUDO MARTES'!Z22="Si",$N22,)</f>
        <v>35</v>
      </c>
      <c r="AA22" s="29">
        <v>0</v>
      </c>
      <c r="AB22" s="29">
        <v>0</v>
      </c>
      <c r="AC22" s="30">
        <f>IF('CRUDO MARTES'!AC22="Si",$N22,)</f>
        <v>35</v>
      </c>
      <c r="AD22" s="30">
        <f>IF('CRUDO MARTES'!AD22="Si",$N22,)</f>
        <v>35</v>
      </c>
      <c r="AE22" s="30">
        <f>IF('CRUDO MARTES'!AE22="Si",$N22,)</f>
        <v>0</v>
      </c>
      <c r="AF22" s="30">
        <f>IF('CRUDO MARTES'!AF22="Si",$N22,)</f>
        <v>0</v>
      </c>
      <c r="AG22" s="29">
        <v>0</v>
      </c>
      <c r="AH22" s="30">
        <f>IF('CRUDO MARTES'!AH22="Si",$N22,)</f>
        <v>0</v>
      </c>
      <c r="AI22" s="30">
        <f>IF('CRUDO MARTES'!AI22="Si",$N22,)</f>
        <v>0</v>
      </c>
      <c r="AJ22" s="30">
        <f>IF('CRUDO MARTES'!AJ22="Si",$N22,)</f>
        <v>0</v>
      </c>
      <c r="AK22" s="30">
        <f>IF('CRUDO MARTES'!AK22="Si",$N22,)</f>
        <v>0</v>
      </c>
      <c r="AL22" s="32">
        <v>0</v>
      </c>
      <c r="AM22" s="29">
        <v>0</v>
      </c>
      <c r="AN22" s="30">
        <f>IF('CRUDO MARTES'!AN22="Si",$N22,)</f>
        <v>0</v>
      </c>
      <c r="AO22" s="30">
        <f>IF('CRUDO MARTES'!AO22="Si",$N22,)</f>
        <v>0</v>
      </c>
      <c r="AP22" s="16"/>
      <c r="AQ22" s="14" t="s">
        <v>1260</v>
      </c>
      <c r="AR22" s="14">
        <v>1</v>
      </c>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row>
    <row r="23" spans="1:88" ht="13.2">
      <c r="A23" s="13">
        <v>45363.729623333333</v>
      </c>
      <c r="B23" s="14" t="s">
        <v>624</v>
      </c>
      <c r="C23" s="28" t="s">
        <v>629</v>
      </c>
      <c r="D23" s="14">
        <v>1111111</v>
      </c>
      <c r="E23" s="14" t="s">
        <v>62</v>
      </c>
      <c r="F23" s="14" t="s">
        <v>630</v>
      </c>
      <c r="G23" s="14" t="s">
        <v>105</v>
      </c>
      <c r="H23" s="14" t="s">
        <v>626</v>
      </c>
      <c r="I23" s="14" t="s">
        <v>631</v>
      </c>
      <c r="J23" s="16"/>
      <c r="K23" s="14" t="s">
        <v>624</v>
      </c>
      <c r="L23" s="14" t="s">
        <v>138</v>
      </c>
      <c r="M23" s="14" t="s">
        <v>628</v>
      </c>
      <c r="N23" s="14">
        <v>35</v>
      </c>
      <c r="O23" s="14" t="s">
        <v>282</v>
      </c>
      <c r="P23" s="14">
        <v>5</v>
      </c>
      <c r="Q23" s="14">
        <v>5</v>
      </c>
      <c r="R23" s="14">
        <v>0</v>
      </c>
      <c r="S23" s="16"/>
      <c r="T23" s="14" t="s">
        <v>71</v>
      </c>
      <c r="U23" s="14" t="s">
        <v>71</v>
      </c>
      <c r="V23" s="15" t="s">
        <v>520</v>
      </c>
      <c r="W23" s="30">
        <f>IF('CRUDO MARTES'!W23="Si",$N23,)</f>
        <v>35</v>
      </c>
      <c r="X23" s="29">
        <v>0</v>
      </c>
      <c r="Y23" s="29">
        <v>0</v>
      </c>
      <c r="Z23" s="30">
        <f>IF('CRUDO MARTES'!Z23="Si",$N23,)</f>
        <v>35</v>
      </c>
      <c r="AA23" s="29">
        <v>0</v>
      </c>
      <c r="AB23" s="29">
        <v>0</v>
      </c>
      <c r="AC23" s="29">
        <v>0</v>
      </c>
      <c r="AD23" s="30">
        <f>IF('CRUDO MARTES'!AD23="Si",$N23,)</f>
        <v>35</v>
      </c>
      <c r="AE23" s="29">
        <v>0</v>
      </c>
      <c r="AF23" s="29">
        <v>0</v>
      </c>
      <c r="AG23" s="29">
        <v>0</v>
      </c>
      <c r="AH23" s="29">
        <v>0</v>
      </c>
      <c r="AI23" s="31">
        <f>IF('CRUDO MARTES'!AI23="Si",$N23,)</f>
        <v>35</v>
      </c>
      <c r="AJ23" s="29">
        <v>0</v>
      </c>
      <c r="AK23" s="29">
        <v>0</v>
      </c>
      <c r="AL23" s="29">
        <v>0</v>
      </c>
      <c r="AM23" s="29">
        <v>0</v>
      </c>
      <c r="AN23" s="29">
        <v>0</v>
      </c>
      <c r="AO23" s="29">
        <v>0</v>
      </c>
      <c r="AP23" s="16"/>
      <c r="AQ23" s="14" t="s">
        <v>1260</v>
      </c>
      <c r="AR23" s="14">
        <v>1</v>
      </c>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row>
    <row r="24" spans="1:88" ht="26.4">
      <c r="A24" s="13">
        <v>45363.865755532403</v>
      </c>
      <c r="B24" s="14" t="s">
        <v>632</v>
      </c>
      <c r="C24" s="28" t="s">
        <v>633</v>
      </c>
      <c r="D24" s="15" t="s">
        <v>634</v>
      </c>
      <c r="E24" s="14" t="s">
        <v>62</v>
      </c>
      <c r="F24" s="14" t="s">
        <v>635</v>
      </c>
      <c r="G24" s="14" t="s">
        <v>105</v>
      </c>
      <c r="H24" s="14" t="s">
        <v>636</v>
      </c>
      <c r="I24" s="14" t="s">
        <v>637</v>
      </c>
      <c r="J24" s="14" t="s">
        <v>638</v>
      </c>
      <c r="K24" s="14" t="s">
        <v>632</v>
      </c>
      <c r="L24" s="14" t="s">
        <v>245</v>
      </c>
      <c r="M24" s="14" t="s">
        <v>639</v>
      </c>
      <c r="N24" s="14">
        <v>40</v>
      </c>
      <c r="O24" s="14" t="s">
        <v>70</v>
      </c>
      <c r="P24" s="14">
        <v>3</v>
      </c>
      <c r="Q24" s="14">
        <v>5</v>
      </c>
      <c r="R24" s="14">
        <v>40</v>
      </c>
      <c r="S24" s="16"/>
      <c r="T24" s="14" t="s">
        <v>72</v>
      </c>
      <c r="U24" s="14" t="s">
        <v>71</v>
      </c>
      <c r="V24" s="15" t="s">
        <v>520</v>
      </c>
      <c r="W24" s="30">
        <f>IF('CRUDO MARTES'!W24="Si",$N24,)</f>
        <v>0</v>
      </c>
      <c r="X24" s="30">
        <f>IF('CRUDO MARTES'!X24="Si",$N24,)</f>
        <v>0</v>
      </c>
      <c r="Y24" s="30">
        <f>IF('CRUDO MARTES'!Y24="Si",$N24,)</f>
        <v>0</v>
      </c>
      <c r="Z24" s="29">
        <v>35</v>
      </c>
      <c r="AA24" s="30">
        <f>IF('CRUDO MARTES'!AA24="Si",$N24,)</f>
        <v>0</v>
      </c>
      <c r="AB24" s="30">
        <f>IF('CRUDO MARTES'!AB24="Si",$N24,)</f>
        <v>0</v>
      </c>
      <c r="AC24" s="30">
        <f>IF('CRUDO MARTES'!AC24="Si",$N24,)</f>
        <v>0</v>
      </c>
      <c r="AD24" s="30">
        <f>IF('CRUDO MARTES'!AD24="Si",$N24,)</f>
        <v>40</v>
      </c>
      <c r="AE24" s="29">
        <v>0</v>
      </c>
      <c r="AF24" s="30">
        <f>IF('CRUDO MARTES'!AF24="Si",$N24,)</f>
        <v>0</v>
      </c>
      <c r="AG24" s="30">
        <f>IF('CRUDO MARTES'!AG24="Si",$N24,)</f>
        <v>0</v>
      </c>
      <c r="AH24" s="30">
        <f>IF('CRUDO MARTES'!AH24="Si",$N24,)</f>
        <v>0</v>
      </c>
      <c r="AI24" s="30">
        <f>IF('CRUDO MARTES'!AI24="Si",$N24,)</f>
        <v>0</v>
      </c>
      <c r="AJ24" s="29">
        <v>0</v>
      </c>
      <c r="AK24" s="29">
        <v>35</v>
      </c>
      <c r="AL24" s="30">
        <f>IF('CRUDO MARTES'!AL24="Si",$N24,)</f>
        <v>0</v>
      </c>
      <c r="AM24" s="30">
        <f>IF('CRUDO MARTES'!AM24="Si",$N24,)</f>
        <v>0</v>
      </c>
      <c r="AN24" s="30">
        <f>IF('CRUDO MARTES'!AN24="Si",$N24,)</f>
        <v>0</v>
      </c>
      <c r="AO24" s="29">
        <v>0</v>
      </c>
      <c r="AP24" s="14" t="s">
        <v>640</v>
      </c>
      <c r="AQ24" s="14" t="s">
        <v>1261</v>
      </c>
      <c r="AR24" s="14">
        <v>1</v>
      </c>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row>
    <row r="25" spans="1:88" ht="26.4">
      <c r="A25" s="13">
        <v>45363.86855363426</v>
      </c>
      <c r="B25" s="14" t="s">
        <v>641</v>
      </c>
      <c r="C25" s="28" t="s">
        <v>642</v>
      </c>
      <c r="D25" s="14">
        <v>20129700</v>
      </c>
      <c r="E25" s="14" t="s">
        <v>62</v>
      </c>
      <c r="F25" s="14" t="s">
        <v>643</v>
      </c>
      <c r="G25" s="14" t="s">
        <v>105</v>
      </c>
      <c r="H25" s="14" t="s">
        <v>644</v>
      </c>
      <c r="I25" s="14" t="s">
        <v>1262</v>
      </c>
      <c r="J25" s="14" t="s">
        <v>646</v>
      </c>
      <c r="K25" s="14" t="s">
        <v>641</v>
      </c>
      <c r="L25" s="14" t="s">
        <v>89</v>
      </c>
      <c r="M25" s="14" t="s">
        <v>208</v>
      </c>
      <c r="N25" s="14">
        <v>26</v>
      </c>
      <c r="O25" s="14" t="s">
        <v>70</v>
      </c>
      <c r="P25" s="14">
        <v>5</v>
      </c>
      <c r="Q25" s="14">
        <v>4</v>
      </c>
      <c r="R25" s="14">
        <v>10</v>
      </c>
      <c r="S25" s="16"/>
      <c r="T25" s="14" t="s">
        <v>71</v>
      </c>
      <c r="U25" s="14" t="s">
        <v>72</v>
      </c>
      <c r="V25" s="15" t="s">
        <v>520</v>
      </c>
      <c r="W25" s="30">
        <f>IF('CRUDO MARTES'!W25="Si",$N25,)</f>
        <v>26</v>
      </c>
      <c r="X25" s="30">
        <f>IF('CRUDO MARTES'!X25="Si",$N25,)</f>
        <v>0</v>
      </c>
      <c r="Y25" s="30">
        <f>IF('CRUDO MARTES'!Y25="Si",$N25,)</f>
        <v>0</v>
      </c>
      <c r="Z25" s="30">
        <f>IF('CRUDO MARTES'!Z25="Si",$N25,)</f>
        <v>0</v>
      </c>
      <c r="AA25" s="30">
        <f>IF('CRUDO MARTES'!AA25="Si",$N25,)</f>
        <v>0</v>
      </c>
      <c r="AB25" s="30">
        <f>IF('CRUDO MARTES'!AB25="Si",$N25,)</f>
        <v>26</v>
      </c>
      <c r="AC25" s="30">
        <f>IF('CRUDO MARTES'!AC25="Si",$N25,)</f>
        <v>0</v>
      </c>
      <c r="AD25" s="30">
        <f>IF('CRUDO MARTES'!AD25="Si",$N25,)</f>
        <v>0</v>
      </c>
      <c r="AE25" s="30">
        <f>IF('CRUDO MARTES'!AE25="Si",$N25,)</f>
        <v>0</v>
      </c>
      <c r="AF25" s="30">
        <f>IF('CRUDO MARTES'!AF25="Si",$N25,)</f>
        <v>0</v>
      </c>
      <c r="AG25" s="30">
        <f>IF('CRUDO MARTES'!AG25="Si",$N25,)</f>
        <v>0</v>
      </c>
      <c r="AH25" s="30">
        <f>IF('CRUDO MARTES'!AH25="Si",$N25,)</f>
        <v>0</v>
      </c>
      <c r="AI25" s="29">
        <v>0</v>
      </c>
      <c r="AJ25" s="30">
        <f>IF('CRUDO MARTES'!AJ25="Si",$N25,)</f>
        <v>0</v>
      </c>
      <c r="AK25" s="30">
        <f>IF('CRUDO MARTES'!AK25="Si",$N25,)</f>
        <v>0</v>
      </c>
      <c r="AL25" s="30">
        <f>IF('CRUDO MARTES'!AL25="Si",$N25,)</f>
        <v>0</v>
      </c>
      <c r="AM25" s="30">
        <f>IF('CRUDO MARTES'!AM25="Si",$N25,)</f>
        <v>0</v>
      </c>
      <c r="AN25" s="30">
        <f>IF('CRUDO MARTES'!AN25="Si",$N25,)</f>
        <v>0</v>
      </c>
      <c r="AO25" s="30">
        <f>IF('CRUDO MARTES'!AO25="Si",$N25,)</f>
        <v>0</v>
      </c>
      <c r="AP25" s="16"/>
      <c r="AQ25" s="14" t="s">
        <v>1254</v>
      </c>
      <c r="AR25" s="14">
        <v>1</v>
      </c>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row>
    <row r="26" spans="1:88" ht="13.2">
      <c r="A26" s="21">
        <v>45363.972373113429</v>
      </c>
      <c r="B26" s="22" t="s">
        <v>647</v>
      </c>
      <c r="C26" s="22" t="s">
        <v>648</v>
      </c>
      <c r="D26" s="24" t="s">
        <v>649</v>
      </c>
      <c r="E26" s="22" t="s">
        <v>506</v>
      </c>
      <c r="F26" s="22" t="s">
        <v>650</v>
      </c>
      <c r="G26" s="22" t="s">
        <v>64</v>
      </c>
      <c r="H26" s="22" t="s">
        <v>651</v>
      </c>
      <c r="I26" s="22" t="s">
        <v>652</v>
      </c>
      <c r="J26" s="22" t="s">
        <v>653</v>
      </c>
      <c r="K26" s="22" t="s">
        <v>654</v>
      </c>
      <c r="L26" s="22" t="s">
        <v>138</v>
      </c>
      <c r="M26" s="22" t="s">
        <v>655</v>
      </c>
      <c r="N26" s="22">
        <v>0</v>
      </c>
      <c r="O26" s="22" t="s">
        <v>148</v>
      </c>
      <c r="P26" s="22">
        <v>5</v>
      </c>
      <c r="Q26" s="22">
        <v>3</v>
      </c>
      <c r="R26" s="22">
        <v>0</v>
      </c>
      <c r="S26" s="22" t="s">
        <v>656</v>
      </c>
      <c r="T26" s="22" t="s">
        <v>71</v>
      </c>
      <c r="U26" s="22" t="s">
        <v>71</v>
      </c>
      <c r="V26" s="24" t="s">
        <v>520</v>
      </c>
      <c r="W26" s="26">
        <f>IF('CRUDO MARTES'!W26="Si",$N26,)</f>
        <v>0</v>
      </c>
      <c r="X26" s="26">
        <f>IF('CRUDO MARTES'!X26="Si",$N26,)</f>
        <v>0</v>
      </c>
      <c r="Y26" s="26">
        <f>IF('CRUDO MARTES'!Y26="Si",$N26,)</f>
        <v>0</v>
      </c>
      <c r="Z26" s="26">
        <f>IF('CRUDO MARTES'!Z26="Si",$N26,)</f>
        <v>0</v>
      </c>
      <c r="AA26" s="26">
        <f>IF('CRUDO MARTES'!AA26="Si",$N26,)</f>
        <v>0</v>
      </c>
      <c r="AB26" s="26">
        <f>IF('CRUDO MARTES'!AB26="Si",$N26,)</f>
        <v>0</v>
      </c>
      <c r="AC26" s="26">
        <f>IF('CRUDO MARTES'!AC26="Si",$N26,)</f>
        <v>0</v>
      </c>
      <c r="AD26" s="26">
        <f>IF('CRUDO MARTES'!AD26="Si",$N26,)</f>
        <v>0</v>
      </c>
      <c r="AE26" s="26">
        <f>IF('CRUDO MARTES'!AE26="Si",$N26,)</f>
        <v>0</v>
      </c>
      <c r="AF26" s="26">
        <f>IF('CRUDO MARTES'!AF26="Si",$N26,)</f>
        <v>0</v>
      </c>
      <c r="AG26" s="26">
        <f>IF('CRUDO MARTES'!AG26="Si",$N26,)</f>
        <v>0</v>
      </c>
      <c r="AH26" s="26">
        <f>IF('CRUDO MARTES'!AH26="Si",$N26,)</f>
        <v>0</v>
      </c>
      <c r="AI26" s="26">
        <f>IF('CRUDO MARTES'!AI26="Si",$N26,)</f>
        <v>0</v>
      </c>
      <c r="AJ26" s="26">
        <f>IF('CRUDO MARTES'!AJ26="Si",$N26,)</f>
        <v>0</v>
      </c>
      <c r="AK26" s="26">
        <f>IF('CRUDO MARTES'!AK26="Si",$N26,)</f>
        <v>0</v>
      </c>
      <c r="AL26" s="26">
        <f>IF('CRUDO MARTES'!AL26="Si",$N26,)</f>
        <v>0</v>
      </c>
      <c r="AM26" s="26">
        <f>IF('CRUDO MARTES'!AM26="Si",$N26,)</f>
        <v>0</v>
      </c>
      <c r="AN26" s="26">
        <f>IF('CRUDO MARTES'!AN26="Si",$N26,)</f>
        <v>0</v>
      </c>
      <c r="AO26" s="26">
        <f>IF('CRUDO MARTES'!AO26="Si",$N26,)</f>
        <v>0</v>
      </c>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row>
    <row r="27" spans="1:88" ht="13.2">
      <c r="A27" s="13">
        <v>45364.024851504626</v>
      </c>
      <c r="B27" s="14" t="s">
        <v>657</v>
      </c>
      <c r="C27" s="28" t="s">
        <v>658</v>
      </c>
      <c r="D27" s="15" t="s">
        <v>659</v>
      </c>
      <c r="E27" s="14" t="s">
        <v>62</v>
      </c>
      <c r="F27" s="14" t="s">
        <v>660</v>
      </c>
      <c r="G27" s="14" t="s">
        <v>105</v>
      </c>
      <c r="H27" s="14" t="s">
        <v>221</v>
      </c>
      <c r="I27" s="14" t="s">
        <v>661</v>
      </c>
      <c r="J27" s="14" t="s">
        <v>662</v>
      </c>
      <c r="K27" s="14" t="s">
        <v>663</v>
      </c>
      <c r="L27" s="14" t="s">
        <v>89</v>
      </c>
      <c r="M27" s="14" t="s">
        <v>664</v>
      </c>
      <c r="N27" s="14">
        <v>35</v>
      </c>
      <c r="O27" s="14" t="s">
        <v>70</v>
      </c>
      <c r="P27" s="14">
        <v>3</v>
      </c>
      <c r="Q27" s="14">
        <v>3</v>
      </c>
      <c r="R27" s="14">
        <v>80</v>
      </c>
      <c r="S27" s="14" t="s">
        <v>665</v>
      </c>
      <c r="T27" s="14" t="s">
        <v>71</v>
      </c>
      <c r="U27" s="14" t="s">
        <v>72</v>
      </c>
      <c r="V27" s="15" t="s">
        <v>520</v>
      </c>
      <c r="W27" s="30">
        <f>IF('CRUDO MARTES'!W27="Si",$N27,)</f>
        <v>0</v>
      </c>
      <c r="X27" s="30">
        <f>IF('CRUDO MARTES'!X27="Si",$N27,)</f>
        <v>0</v>
      </c>
      <c r="Y27" s="30">
        <f>IF('CRUDO MARTES'!Y27="Si",$N27,)</f>
        <v>35</v>
      </c>
      <c r="Z27" s="30">
        <f>IF('CRUDO MARTES'!Z27="Si",$N27,)</f>
        <v>0</v>
      </c>
      <c r="AA27" s="30">
        <f>IF('CRUDO MARTES'!AA27="Si",$N27,)</f>
        <v>0</v>
      </c>
      <c r="AB27" s="30">
        <f>IF('CRUDO MARTES'!AB27="Si",$N27,)</f>
        <v>0</v>
      </c>
      <c r="AC27" s="30">
        <f>IF('CRUDO MARTES'!AC27="Si",$N27,)</f>
        <v>0</v>
      </c>
      <c r="AD27" s="30">
        <f>IF('CRUDO MARTES'!AD27="Si",$N27,)</f>
        <v>0</v>
      </c>
      <c r="AE27" s="30">
        <f>IF('CRUDO MARTES'!AE27="Si",$N27,)</f>
        <v>0</v>
      </c>
      <c r="AF27" s="30">
        <f>IF('CRUDO MARTES'!AF27="Si",$N27,)</f>
        <v>0</v>
      </c>
      <c r="AG27" s="29">
        <v>0</v>
      </c>
      <c r="AH27" s="30">
        <f>IF('CRUDO MARTES'!AH27="Si",$N27,)</f>
        <v>0</v>
      </c>
      <c r="AI27" s="30">
        <f>IF('CRUDO MARTES'!AI27="Si",$N27,)</f>
        <v>0</v>
      </c>
      <c r="AJ27" s="30">
        <f>IF('CRUDO MARTES'!AJ27="Si",$N27,)</f>
        <v>0</v>
      </c>
      <c r="AK27" s="30">
        <f>IF('CRUDO MARTES'!AK27="Si",$N27,)</f>
        <v>0</v>
      </c>
      <c r="AL27" s="31">
        <f>IF('CRUDO MARTES'!AL27="Si",$N27,)</f>
        <v>35</v>
      </c>
      <c r="AM27" s="30">
        <f>IF('CRUDO MARTES'!AM27="Si",$N27,)</f>
        <v>0</v>
      </c>
      <c r="AN27" s="30">
        <f>IF('CRUDO MARTES'!AN27="Si",$N27,)</f>
        <v>0</v>
      </c>
      <c r="AO27" s="30">
        <f>IF('CRUDO MARTES'!AO27="Si",$N27,)</f>
        <v>0</v>
      </c>
      <c r="AP27" s="16"/>
      <c r="AQ27" s="14" t="s">
        <v>1263</v>
      </c>
      <c r="AR27" s="14">
        <v>1</v>
      </c>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row>
    <row r="28" spans="1:88" ht="13.2">
      <c r="A28" s="13">
        <v>45364.025561747687</v>
      </c>
      <c r="B28" s="14" t="s">
        <v>666</v>
      </c>
      <c r="C28" s="28" t="s">
        <v>667</v>
      </c>
      <c r="D28" s="15" t="s">
        <v>634</v>
      </c>
      <c r="E28" s="14" t="s">
        <v>62</v>
      </c>
      <c r="F28" s="14" t="s">
        <v>198</v>
      </c>
      <c r="G28" s="14" t="s">
        <v>105</v>
      </c>
      <c r="H28" s="14" t="s">
        <v>637</v>
      </c>
      <c r="I28" s="14" t="s">
        <v>668</v>
      </c>
      <c r="J28" s="14" t="s">
        <v>669</v>
      </c>
      <c r="K28" s="14" t="s">
        <v>666</v>
      </c>
      <c r="L28" s="14" t="s">
        <v>245</v>
      </c>
      <c r="M28" s="14" t="s">
        <v>670</v>
      </c>
      <c r="N28" s="14">
        <v>35</v>
      </c>
      <c r="O28" s="14" t="s">
        <v>70</v>
      </c>
      <c r="P28" s="14">
        <v>3</v>
      </c>
      <c r="Q28" s="14">
        <v>4</v>
      </c>
      <c r="R28" s="14">
        <v>40</v>
      </c>
      <c r="S28" s="16"/>
      <c r="T28" s="14" t="s">
        <v>71</v>
      </c>
      <c r="U28" s="14" t="s">
        <v>71</v>
      </c>
      <c r="V28" s="15" t="s">
        <v>520</v>
      </c>
      <c r="W28" s="30">
        <f>IF('CRUDO MARTES'!W28="Si",$N28,)</f>
        <v>0</v>
      </c>
      <c r="X28" s="30">
        <f>IF('CRUDO MARTES'!X28="Si",$N28,)</f>
        <v>35</v>
      </c>
      <c r="Y28" s="29">
        <v>0</v>
      </c>
      <c r="Z28" s="29">
        <v>0</v>
      </c>
      <c r="AA28" s="30">
        <f>IF('CRUDO MARTES'!AA28="Si",$N28,)</f>
        <v>0</v>
      </c>
      <c r="AB28" s="29">
        <v>0</v>
      </c>
      <c r="AC28" s="30">
        <f>IF('CRUDO MARTES'!AC28="Si",$N28,)</f>
        <v>35</v>
      </c>
      <c r="AD28" s="29">
        <v>0</v>
      </c>
      <c r="AE28" s="30">
        <f>IF('CRUDO MARTES'!AE28="Si",$N28,)</f>
        <v>35</v>
      </c>
      <c r="AF28" s="29">
        <v>0</v>
      </c>
      <c r="AG28" s="30">
        <f>IF('CRUDO MARTES'!AG28="Si",$N28,)</f>
        <v>0</v>
      </c>
      <c r="AH28" s="29">
        <v>0</v>
      </c>
      <c r="AI28" s="29">
        <v>0</v>
      </c>
      <c r="AJ28" s="29">
        <v>0</v>
      </c>
      <c r="AK28" s="29">
        <v>0</v>
      </c>
      <c r="AL28" s="29">
        <v>0</v>
      </c>
      <c r="AM28" s="29">
        <v>0</v>
      </c>
      <c r="AN28" s="29">
        <v>0</v>
      </c>
      <c r="AO28" s="29">
        <v>0</v>
      </c>
      <c r="AP28" s="16"/>
      <c r="AQ28" s="14" t="s">
        <v>1264</v>
      </c>
      <c r="AR28" s="14">
        <v>1</v>
      </c>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row>
    <row r="29" spans="1:88" ht="13.2">
      <c r="A29" s="13">
        <v>45364.037362789357</v>
      </c>
      <c r="B29" s="14" t="s">
        <v>657</v>
      </c>
      <c r="C29" s="28" t="s">
        <v>671</v>
      </c>
      <c r="D29" s="14">
        <v>201177</v>
      </c>
      <c r="E29" s="14" t="s">
        <v>62</v>
      </c>
      <c r="F29" s="14" t="s">
        <v>672</v>
      </c>
      <c r="G29" s="14" t="s">
        <v>105</v>
      </c>
      <c r="H29" s="14" t="s">
        <v>221</v>
      </c>
      <c r="I29" s="14" t="s">
        <v>673</v>
      </c>
      <c r="J29" s="14" t="s">
        <v>662</v>
      </c>
      <c r="K29" s="14" t="s">
        <v>657</v>
      </c>
      <c r="L29" s="14" t="s">
        <v>89</v>
      </c>
      <c r="M29" s="14" t="s">
        <v>664</v>
      </c>
      <c r="N29" s="14">
        <v>35</v>
      </c>
      <c r="O29" s="14" t="s">
        <v>70</v>
      </c>
      <c r="P29" s="14">
        <v>3</v>
      </c>
      <c r="Q29" s="14">
        <v>3</v>
      </c>
      <c r="R29" s="14">
        <v>85</v>
      </c>
      <c r="S29" s="16"/>
      <c r="T29" s="14" t="s">
        <v>71</v>
      </c>
      <c r="U29" s="14" t="s">
        <v>72</v>
      </c>
      <c r="V29" s="15" t="s">
        <v>520</v>
      </c>
      <c r="W29" s="30">
        <f>IF('CRUDO MARTES'!W29="Si",$N29,)</f>
        <v>0</v>
      </c>
      <c r="X29" s="30">
        <f>IF('CRUDO MARTES'!X29="Si",$N29,)</f>
        <v>0</v>
      </c>
      <c r="Y29" s="30">
        <f>IF('CRUDO MARTES'!Y29="Si",$N29,)</f>
        <v>35</v>
      </c>
      <c r="Z29" s="30">
        <f>IF('CRUDO MARTES'!Z29="Si",$N29,)</f>
        <v>0</v>
      </c>
      <c r="AA29" s="30">
        <f>IF('CRUDO MARTES'!AA29="Si",$N29,)</f>
        <v>0</v>
      </c>
      <c r="AB29" s="29">
        <v>35</v>
      </c>
      <c r="AC29" s="30">
        <f>IF('CRUDO MARTES'!AC29="Si",$N29,)</f>
        <v>0</v>
      </c>
      <c r="AD29" s="30">
        <f>IF('CRUDO MARTES'!AD29="Si",$N29,)</f>
        <v>0</v>
      </c>
      <c r="AE29" s="30">
        <f>IF('CRUDO MARTES'!AE29="Si",$N29,)</f>
        <v>0</v>
      </c>
      <c r="AF29" s="30">
        <f>IF('CRUDO MARTES'!AF29="Si",$N29,)</f>
        <v>0</v>
      </c>
      <c r="AG29" s="29">
        <v>0</v>
      </c>
      <c r="AH29" s="30">
        <f>IF('CRUDO MARTES'!AH29="Si",$N29,)</f>
        <v>0</v>
      </c>
      <c r="AI29" s="30">
        <f>IF('CRUDO MARTES'!AI29="Si",$N29,)</f>
        <v>0</v>
      </c>
      <c r="AJ29" s="30">
        <f>IF('CRUDO MARTES'!AJ29="Si",$N29,)</f>
        <v>0</v>
      </c>
      <c r="AK29" s="30">
        <f>IF('CRUDO MARTES'!AK29="Si",$N29,)</f>
        <v>0</v>
      </c>
      <c r="AL29" s="30">
        <f>IF('CRUDO MARTES'!AL29="Si",$N29,)</f>
        <v>0</v>
      </c>
      <c r="AM29" s="29">
        <v>0</v>
      </c>
      <c r="AN29" s="30">
        <f>IF('CRUDO MARTES'!AN29="Si",$N29,)</f>
        <v>0</v>
      </c>
      <c r="AO29" s="30">
        <f>IF('CRUDO MARTES'!AO29="Si",$N29,)</f>
        <v>0</v>
      </c>
      <c r="AP29" s="16"/>
      <c r="AQ29" s="14" t="s">
        <v>1265</v>
      </c>
      <c r="AR29" s="14">
        <v>1</v>
      </c>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row>
    <row r="30" spans="1:88" ht="26.4">
      <c r="A30" s="21">
        <v>45364.391120439817</v>
      </c>
      <c r="B30" s="22" t="s">
        <v>674</v>
      </c>
      <c r="C30" s="23" t="s">
        <v>675</v>
      </c>
      <c r="D30" s="22">
        <v>61</v>
      </c>
      <c r="E30" s="22" t="s">
        <v>133</v>
      </c>
      <c r="F30" s="22" t="s">
        <v>676</v>
      </c>
      <c r="G30" s="22" t="s">
        <v>64</v>
      </c>
      <c r="H30" s="22" t="s">
        <v>677</v>
      </c>
      <c r="I30" s="22" t="s">
        <v>678</v>
      </c>
      <c r="J30" s="22" t="s">
        <v>679</v>
      </c>
      <c r="K30" s="22" t="s">
        <v>680</v>
      </c>
      <c r="L30" s="22" t="s">
        <v>89</v>
      </c>
      <c r="M30" s="22" t="s">
        <v>681</v>
      </c>
      <c r="N30" s="22">
        <v>0</v>
      </c>
      <c r="O30" s="22" t="s">
        <v>70</v>
      </c>
      <c r="P30" s="22">
        <v>4</v>
      </c>
      <c r="Q30" s="22">
        <v>4</v>
      </c>
      <c r="R30" s="22">
        <v>10</v>
      </c>
      <c r="S30" s="25"/>
      <c r="T30" s="22" t="s">
        <v>71</v>
      </c>
      <c r="U30" s="22" t="s">
        <v>72</v>
      </c>
      <c r="V30" s="24" t="s">
        <v>520</v>
      </c>
      <c r="W30" s="27">
        <v>0</v>
      </c>
      <c r="X30" s="27">
        <v>0</v>
      </c>
      <c r="Y30" s="27">
        <v>35</v>
      </c>
      <c r="Z30" s="26">
        <f>IF('CRUDO MARTES'!Z30="Si",$N30,)</f>
        <v>0</v>
      </c>
      <c r="AA30" s="26">
        <f>IF('CRUDO MARTES'!AA30="Si",$N30,)</f>
        <v>0</v>
      </c>
      <c r="AB30" s="26">
        <f>IF('CRUDO MARTES'!AB30="Si",$N30,)</f>
        <v>0</v>
      </c>
      <c r="AC30" s="27">
        <v>0</v>
      </c>
      <c r="AD30" s="26">
        <f>IF('CRUDO MARTES'!AD30="Si",$N30,)</f>
        <v>0</v>
      </c>
      <c r="AE30" s="26">
        <f>IF('CRUDO MARTES'!AE30="Si",$N30,)</f>
        <v>0</v>
      </c>
      <c r="AF30" s="26">
        <f>IF('CRUDO MARTES'!AF30="Si",$N30,)</f>
        <v>0</v>
      </c>
      <c r="AG30" s="26">
        <f>IF('CRUDO MARTES'!AG30="Si",$N30,)</f>
        <v>0</v>
      </c>
      <c r="AH30" s="26">
        <f>IF('CRUDO MARTES'!AH30="Si",$N30,)</f>
        <v>0</v>
      </c>
      <c r="AI30" s="26">
        <f>IF('CRUDO MARTES'!AI30="Si",$N30,)</f>
        <v>0</v>
      </c>
      <c r="AJ30" s="26">
        <f>IF('CRUDO MARTES'!AJ30="Si",$N30,)</f>
        <v>0</v>
      </c>
      <c r="AK30" s="26">
        <f>IF('CRUDO MARTES'!AK30="Si",$N30,)</f>
        <v>0</v>
      </c>
      <c r="AL30" s="26">
        <f>IF('CRUDO MARTES'!AL30="Si",$N30,)</f>
        <v>0</v>
      </c>
      <c r="AM30" s="26">
        <f>IF('CRUDO MARTES'!AM30="Si",$N30,)</f>
        <v>0</v>
      </c>
      <c r="AN30" s="26">
        <f>IF('CRUDO MARTES'!AN30="Si",$N30,)</f>
        <v>0</v>
      </c>
      <c r="AO30" s="26">
        <f>IF('CRUDO MARTES'!AO30="Si",$N30,)</f>
        <v>0</v>
      </c>
      <c r="AP30" s="25"/>
      <c r="AQ30" s="25"/>
      <c r="AR30" s="22"/>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row>
    <row r="31" spans="1:88" ht="26.4">
      <c r="A31" s="13">
        <v>45364.40170357639</v>
      </c>
      <c r="B31" s="14" t="s">
        <v>680</v>
      </c>
      <c r="C31" s="28" t="s">
        <v>682</v>
      </c>
      <c r="D31" s="14">
        <v>61</v>
      </c>
      <c r="E31" s="14" t="s">
        <v>133</v>
      </c>
      <c r="F31" s="14" t="s">
        <v>345</v>
      </c>
      <c r="G31" s="14" t="s">
        <v>64</v>
      </c>
      <c r="H31" s="14" t="s">
        <v>683</v>
      </c>
      <c r="I31" s="14" t="s">
        <v>684</v>
      </c>
      <c r="J31" s="14" t="s">
        <v>685</v>
      </c>
      <c r="K31" s="14" t="s">
        <v>680</v>
      </c>
      <c r="L31" s="14" t="s">
        <v>89</v>
      </c>
      <c r="M31" s="14" t="s">
        <v>686</v>
      </c>
      <c r="N31" s="14">
        <v>35</v>
      </c>
      <c r="O31" s="14" t="s">
        <v>70</v>
      </c>
      <c r="P31" s="14">
        <v>4</v>
      </c>
      <c r="Q31" s="14">
        <v>4</v>
      </c>
      <c r="R31" s="14">
        <v>10</v>
      </c>
      <c r="S31" s="16"/>
      <c r="T31" s="14" t="s">
        <v>71</v>
      </c>
      <c r="U31" s="14" t="s">
        <v>72</v>
      </c>
      <c r="V31" s="15" t="s">
        <v>520</v>
      </c>
      <c r="W31" s="29">
        <v>0</v>
      </c>
      <c r="X31" s="29">
        <v>0</v>
      </c>
      <c r="Y31" s="30">
        <f>IF('CRUDO MARTES'!Y31="Si",$N31,)</f>
        <v>35</v>
      </c>
      <c r="Z31" s="30">
        <f>IF('CRUDO MARTES'!Z31="Si",$N31,)</f>
        <v>0</v>
      </c>
      <c r="AA31" s="29">
        <v>0</v>
      </c>
      <c r="AB31" s="30">
        <f>IF('CRUDO MARTES'!AB31="Si",$N31,)</f>
        <v>35</v>
      </c>
      <c r="AC31" s="29">
        <v>0</v>
      </c>
      <c r="AD31" s="30">
        <f>IF('CRUDO MARTES'!AD31="Si",$N31,)</f>
        <v>0</v>
      </c>
      <c r="AE31" s="30">
        <f>IF('CRUDO MARTES'!AE31="Si",$N31,)</f>
        <v>0</v>
      </c>
      <c r="AF31" s="30">
        <f>IF('CRUDO MARTES'!AF31="Si",$N31,)</f>
        <v>0</v>
      </c>
      <c r="AG31" s="29">
        <v>0</v>
      </c>
      <c r="AH31" s="29">
        <v>0</v>
      </c>
      <c r="AI31" s="29">
        <v>0</v>
      </c>
      <c r="AJ31" s="30">
        <f>IF('CRUDO MARTES'!AJ31="Si",$N31,)</f>
        <v>0</v>
      </c>
      <c r="AK31" s="30">
        <f>IF('CRUDO MARTES'!AK31="Si",$N31,)</f>
        <v>0</v>
      </c>
      <c r="AL31" s="29">
        <v>0</v>
      </c>
      <c r="AM31" s="29">
        <v>0</v>
      </c>
      <c r="AN31" s="30">
        <f>IF('CRUDO MARTES'!AN31="Si",$N31,)</f>
        <v>0</v>
      </c>
      <c r="AO31" s="30">
        <f>IF('CRUDO MARTES'!AO31="Si",$N31,)</f>
        <v>0</v>
      </c>
      <c r="AP31" s="14" t="s">
        <v>687</v>
      </c>
      <c r="AQ31" s="14" t="s">
        <v>1266</v>
      </c>
      <c r="AR31" s="14">
        <v>1</v>
      </c>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row>
    <row r="32" spans="1:88" ht="13.2">
      <c r="A32" s="13">
        <v>45364.428571932869</v>
      </c>
      <c r="B32" s="14" t="s">
        <v>688</v>
      </c>
      <c r="C32" s="28" t="s">
        <v>689</v>
      </c>
      <c r="D32" s="15" t="s">
        <v>690</v>
      </c>
      <c r="E32" s="14" t="s">
        <v>62</v>
      </c>
      <c r="F32" s="14" t="s">
        <v>691</v>
      </c>
      <c r="G32" s="14" t="s">
        <v>64</v>
      </c>
      <c r="H32" s="14" t="s">
        <v>692</v>
      </c>
      <c r="I32" s="14" t="s">
        <v>693</v>
      </c>
      <c r="J32" s="14" t="s">
        <v>694</v>
      </c>
      <c r="K32" s="14" t="s">
        <v>688</v>
      </c>
      <c r="L32" s="14" t="s">
        <v>138</v>
      </c>
      <c r="M32" s="14" t="s">
        <v>695</v>
      </c>
      <c r="N32" s="14">
        <v>32</v>
      </c>
      <c r="O32" s="14" t="s">
        <v>70</v>
      </c>
      <c r="P32" s="14">
        <v>5</v>
      </c>
      <c r="Q32" s="14">
        <v>3</v>
      </c>
      <c r="R32" s="14">
        <v>0</v>
      </c>
      <c r="S32" s="16"/>
      <c r="T32" s="14" t="s">
        <v>71</v>
      </c>
      <c r="U32" s="14" t="s">
        <v>72</v>
      </c>
      <c r="V32" s="15" t="s">
        <v>520</v>
      </c>
      <c r="W32" s="29">
        <v>0</v>
      </c>
      <c r="X32" s="29">
        <v>0</v>
      </c>
      <c r="Y32" s="30">
        <f>IF('CRUDO MARTES'!Y32="Si",$N32,)</f>
        <v>32</v>
      </c>
      <c r="Z32" s="30">
        <f>IF('CRUDO MARTES'!Z32="Si",$N32,)</f>
        <v>0</v>
      </c>
      <c r="AA32" s="29">
        <v>0</v>
      </c>
      <c r="AB32" s="30">
        <f>IF('CRUDO MARTES'!AB32="Si",$N32,)</f>
        <v>32</v>
      </c>
      <c r="AC32" s="29">
        <v>0</v>
      </c>
      <c r="AD32" s="30">
        <f>IF('CRUDO MARTES'!AD32="Si",$N32,)</f>
        <v>0</v>
      </c>
      <c r="AE32" s="30">
        <f>IF('CRUDO MARTES'!AE32="Si",$N32,)</f>
        <v>0</v>
      </c>
      <c r="AF32" s="30">
        <f>IF('CRUDO MARTES'!AF32="Si",$N32,)</f>
        <v>0</v>
      </c>
      <c r="AG32" s="29">
        <v>0</v>
      </c>
      <c r="AH32" s="29">
        <v>0</v>
      </c>
      <c r="AI32" s="29">
        <v>0</v>
      </c>
      <c r="AJ32" s="30">
        <f>IF('CRUDO MARTES'!AJ32="Si",$N32,)</f>
        <v>0</v>
      </c>
      <c r="AK32" s="30">
        <f>IF('CRUDO MARTES'!AK32="Si",$N32,)</f>
        <v>0</v>
      </c>
      <c r="AL32" s="29">
        <v>0</v>
      </c>
      <c r="AM32" s="29">
        <v>0</v>
      </c>
      <c r="AN32" s="30">
        <f>IF('CRUDO MARTES'!AN32="Si",$N32,)</f>
        <v>0</v>
      </c>
      <c r="AO32" s="30">
        <f>IF('CRUDO MARTES'!AO32="Si",$N32,)</f>
        <v>0</v>
      </c>
      <c r="AP32" s="16"/>
      <c r="AQ32" s="14" t="s">
        <v>1266</v>
      </c>
      <c r="AR32" s="14">
        <v>1</v>
      </c>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row>
    <row r="33" spans="1:88" ht="13.2">
      <c r="A33" s="13">
        <v>45364.428584062502</v>
      </c>
      <c r="B33" s="14" t="s">
        <v>696</v>
      </c>
      <c r="C33" s="28" t="s">
        <v>697</v>
      </c>
      <c r="D33" s="15" t="s">
        <v>690</v>
      </c>
      <c r="E33" s="14" t="s">
        <v>84</v>
      </c>
      <c r="F33" s="14" t="s">
        <v>698</v>
      </c>
      <c r="G33" s="14" t="s">
        <v>64</v>
      </c>
      <c r="H33" s="14" t="s">
        <v>699</v>
      </c>
      <c r="I33" s="14" t="s">
        <v>700</v>
      </c>
      <c r="J33" s="14" t="s">
        <v>701</v>
      </c>
      <c r="K33" s="14" t="s">
        <v>696</v>
      </c>
      <c r="L33" s="14" t="s">
        <v>138</v>
      </c>
      <c r="M33" s="14" t="s">
        <v>695</v>
      </c>
      <c r="N33" s="14">
        <v>35</v>
      </c>
      <c r="O33" s="14" t="s">
        <v>70</v>
      </c>
      <c r="P33" s="14">
        <v>5</v>
      </c>
      <c r="Q33" s="14">
        <v>3</v>
      </c>
      <c r="R33" s="14">
        <v>0</v>
      </c>
      <c r="S33" s="16"/>
      <c r="T33" s="14" t="s">
        <v>71</v>
      </c>
      <c r="U33" s="14" t="s">
        <v>72</v>
      </c>
      <c r="V33" s="15" t="s">
        <v>520</v>
      </c>
      <c r="W33" s="29">
        <v>0</v>
      </c>
      <c r="X33" s="29">
        <v>0</v>
      </c>
      <c r="Y33" s="30">
        <f>IF('CRUDO MARTES'!Y33="Si",$N33,)</f>
        <v>35</v>
      </c>
      <c r="Z33" s="30">
        <f>IF('CRUDO MARTES'!Z33="Si",$N33,)</f>
        <v>0</v>
      </c>
      <c r="AA33" s="29">
        <v>0</v>
      </c>
      <c r="AB33" s="30">
        <f>IF('CRUDO MARTES'!AB33="Si",$N33,)</f>
        <v>35</v>
      </c>
      <c r="AC33" s="29">
        <v>0</v>
      </c>
      <c r="AD33" s="30">
        <f>IF('CRUDO MARTES'!AD33="Si",$N33,)</f>
        <v>0</v>
      </c>
      <c r="AE33" s="30">
        <f>IF('CRUDO MARTES'!AE33="Si",$N33,)</f>
        <v>0</v>
      </c>
      <c r="AF33" s="30">
        <f>IF('CRUDO MARTES'!AF33="Si",$N33,)</f>
        <v>0</v>
      </c>
      <c r="AG33" s="29">
        <v>0</v>
      </c>
      <c r="AH33" s="29">
        <v>0</v>
      </c>
      <c r="AI33" s="29">
        <v>0</v>
      </c>
      <c r="AJ33" s="30">
        <f>IF('CRUDO MARTES'!AJ33="Si",$N33,)</f>
        <v>0</v>
      </c>
      <c r="AK33" s="30">
        <f>IF('CRUDO MARTES'!AK33="Si",$N33,)</f>
        <v>0</v>
      </c>
      <c r="AL33" s="29">
        <v>0</v>
      </c>
      <c r="AM33" s="29">
        <v>0</v>
      </c>
      <c r="AN33" s="30">
        <f>IF('CRUDO MARTES'!AN33="Si",$N33,)</f>
        <v>0</v>
      </c>
      <c r="AO33" s="30">
        <f>IF('CRUDO MARTES'!AO33="Si",$N33,)</f>
        <v>0</v>
      </c>
      <c r="AP33" s="16"/>
      <c r="AQ33" s="14" t="s">
        <v>1266</v>
      </c>
      <c r="AR33" s="14">
        <v>1</v>
      </c>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row>
    <row r="34" spans="1:88" ht="13.2">
      <c r="A34" s="21">
        <v>45364.760178344906</v>
      </c>
      <c r="B34" s="22" t="s">
        <v>702</v>
      </c>
      <c r="C34" s="22" t="s">
        <v>703</v>
      </c>
      <c r="D34" s="22">
        <v>641</v>
      </c>
      <c r="E34" s="22" t="s">
        <v>84</v>
      </c>
      <c r="F34" s="22" t="s">
        <v>249</v>
      </c>
      <c r="G34" s="22" t="s">
        <v>64</v>
      </c>
      <c r="H34" s="22" t="s">
        <v>704</v>
      </c>
      <c r="I34" s="22" t="s">
        <v>705</v>
      </c>
      <c r="J34" s="22" t="s">
        <v>706</v>
      </c>
      <c r="K34" s="22" t="s">
        <v>702</v>
      </c>
      <c r="L34" s="22" t="s">
        <v>89</v>
      </c>
      <c r="M34" s="22" t="s">
        <v>707</v>
      </c>
      <c r="N34" s="22">
        <v>0</v>
      </c>
      <c r="O34" s="22" t="s">
        <v>148</v>
      </c>
      <c r="P34" s="22">
        <v>5</v>
      </c>
      <c r="Q34" s="22">
        <v>4</v>
      </c>
      <c r="R34" s="22">
        <v>10</v>
      </c>
      <c r="S34" s="25"/>
      <c r="T34" s="22" t="s">
        <v>71</v>
      </c>
      <c r="U34" s="22" t="s">
        <v>72</v>
      </c>
      <c r="V34" s="24" t="s">
        <v>520</v>
      </c>
      <c r="W34" s="26">
        <f>IF('CRUDO MARTES'!W34="Si",$N34,)</f>
        <v>0</v>
      </c>
      <c r="X34" s="26">
        <f>IF('CRUDO MARTES'!X34="Si",$N34,)</f>
        <v>0</v>
      </c>
      <c r="Y34" s="26">
        <f>IF('CRUDO MARTES'!Y34="Si",$N34,)</f>
        <v>0</v>
      </c>
      <c r="Z34" s="26">
        <f>IF('CRUDO MARTES'!Z34="Si",$N34,)</f>
        <v>0</v>
      </c>
      <c r="AA34" s="26">
        <f>IF('CRUDO MARTES'!AA34="Si",$N34,)</f>
        <v>0</v>
      </c>
      <c r="AB34" s="26">
        <f>IF('CRUDO MARTES'!AB34="Si",$N34,)</f>
        <v>0</v>
      </c>
      <c r="AC34" s="26">
        <f>IF('CRUDO MARTES'!AC34="Si",$N34,)</f>
        <v>0</v>
      </c>
      <c r="AD34" s="26">
        <f>IF('CRUDO MARTES'!AD34="Si",$N34,)</f>
        <v>0</v>
      </c>
      <c r="AE34" s="26">
        <f>IF('CRUDO MARTES'!AE34="Si",$N34,)</f>
        <v>0</v>
      </c>
      <c r="AF34" s="26">
        <f>IF('CRUDO MARTES'!AF34="Si",$N34,)</f>
        <v>0</v>
      </c>
      <c r="AG34" s="26">
        <f>IF('CRUDO MARTES'!AG34="Si",$N34,)</f>
        <v>0</v>
      </c>
      <c r="AH34" s="26">
        <f>IF('CRUDO MARTES'!AH34="Si",$N34,)</f>
        <v>0</v>
      </c>
      <c r="AI34" s="26">
        <f>IF('CRUDO MARTES'!AI34="Si",$N34,)</f>
        <v>0</v>
      </c>
      <c r="AJ34" s="26">
        <f>IF('CRUDO MARTES'!AJ34="Si",$N34,)</f>
        <v>0</v>
      </c>
      <c r="AK34" s="26">
        <f>IF('CRUDO MARTES'!AK34="Si",$N34,)</f>
        <v>0</v>
      </c>
      <c r="AL34" s="26">
        <f>IF('CRUDO MARTES'!AL34="Si",$N34,)</f>
        <v>0</v>
      </c>
      <c r="AM34" s="26">
        <f>IF('CRUDO MARTES'!AM34="Si",$N34,)</f>
        <v>0</v>
      </c>
      <c r="AN34" s="26">
        <f>IF('CRUDO MARTES'!AN34="Si",$N34,)</f>
        <v>0</v>
      </c>
      <c r="AO34" s="26">
        <f>IF('CRUDO MARTES'!AO34="Si",$N34,)</f>
        <v>0</v>
      </c>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row>
    <row r="35" spans="1:88" ht="13.2">
      <c r="A35" s="21">
        <v>45364.763364618055</v>
      </c>
      <c r="B35" s="22" t="s">
        <v>702</v>
      </c>
      <c r="C35" s="22" t="s">
        <v>703</v>
      </c>
      <c r="D35" s="22">
        <v>641</v>
      </c>
      <c r="E35" s="22" t="s">
        <v>84</v>
      </c>
      <c r="F35" s="22" t="s">
        <v>249</v>
      </c>
      <c r="G35" s="22" t="s">
        <v>64</v>
      </c>
      <c r="H35" s="22" t="s">
        <v>704</v>
      </c>
      <c r="I35" s="22" t="s">
        <v>705</v>
      </c>
      <c r="J35" s="22" t="s">
        <v>706</v>
      </c>
      <c r="K35" s="22" t="s">
        <v>702</v>
      </c>
      <c r="L35" s="22" t="s">
        <v>89</v>
      </c>
      <c r="M35" s="22" t="s">
        <v>708</v>
      </c>
      <c r="N35" s="22">
        <v>0</v>
      </c>
      <c r="O35" s="22" t="s">
        <v>148</v>
      </c>
      <c r="P35" s="22">
        <v>5</v>
      </c>
      <c r="Q35" s="22">
        <v>4</v>
      </c>
      <c r="R35" s="22">
        <v>10</v>
      </c>
      <c r="S35" s="25"/>
      <c r="T35" s="22" t="s">
        <v>71</v>
      </c>
      <c r="U35" s="22" t="s">
        <v>72</v>
      </c>
      <c r="V35" s="24" t="s">
        <v>520</v>
      </c>
      <c r="W35" s="26">
        <f>IF('CRUDO MARTES'!W35="Si",$N35,)</f>
        <v>0</v>
      </c>
      <c r="X35" s="26">
        <f>IF('CRUDO MARTES'!X35="Si",$N35,)</f>
        <v>0</v>
      </c>
      <c r="Y35" s="26">
        <f>IF('CRUDO MARTES'!Y35="Si",$N35,)</f>
        <v>0</v>
      </c>
      <c r="Z35" s="26">
        <f>IF('CRUDO MARTES'!Z35="Si",$N35,)</f>
        <v>0</v>
      </c>
      <c r="AA35" s="26">
        <f>IF('CRUDO MARTES'!AA35="Si",$N35,)</f>
        <v>0</v>
      </c>
      <c r="AB35" s="26">
        <f>IF('CRUDO MARTES'!AB35="Si",$N35,)</f>
        <v>0</v>
      </c>
      <c r="AC35" s="26">
        <f>IF('CRUDO MARTES'!AC35="Si",$N35,)</f>
        <v>0</v>
      </c>
      <c r="AD35" s="26">
        <f>IF('CRUDO MARTES'!AD35="Si",$N35,)</f>
        <v>0</v>
      </c>
      <c r="AE35" s="26">
        <f>IF('CRUDO MARTES'!AE35="Si",$N35,)</f>
        <v>0</v>
      </c>
      <c r="AF35" s="26">
        <f>IF('CRUDO MARTES'!AF35="Si",$N35,)</f>
        <v>0</v>
      </c>
      <c r="AG35" s="26">
        <f>IF('CRUDO MARTES'!AG35="Si",$N35,)</f>
        <v>0</v>
      </c>
      <c r="AH35" s="26">
        <f>IF('CRUDO MARTES'!AH35="Si",$N35,)</f>
        <v>0</v>
      </c>
      <c r="AI35" s="26">
        <f>IF('CRUDO MARTES'!AI35="Si",$N35,)</f>
        <v>0</v>
      </c>
      <c r="AJ35" s="26">
        <f>IF('CRUDO MARTES'!AJ35="Si",$N35,)</f>
        <v>0</v>
      </c>
      <c r="AK35" s="26">
        <f>IF('CRUDO MARTES'!AK35="Si",$N35,)</f>
        <v>0</v>
      </c>
      <c r="AL35" s="26">
        <f>IF('CRUDO MARTES'!AL35="Si",$N35,)</f>
        <v>0</v>
      </c>
      <c r="AM35" s="26">
        <f>IF('CRUDO MARTES'!AM35="Si",$N35,)</f>
        <v>0</v>
      </c>
      <c r="AN35" s="26">
        <f>IF('CRUDO MARTES'!AN35="Si",$N35,)</f>
        <v>0</v>
      </c>
      <c r="AO35" s="26">
        <f>IF('CRUDO MARTES'!AO35="Si",$N35,)</f>
        <v>0</v>
      </c>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row>
    <row r="36" spans="1:88" ht="13.2">
      <c r="A36" s="13">
        <v>45364.795378831019</v>
      </c>
      <c r="B36" s="14" t="s">
        <v>709</v>
      </c>
      <c r="C36" s="28" t="s">
        <v>710</v>
      </c>
      <c r="D36" s="15" t="s">
        <v>711</v>
      </c>
      <c r="E36" s="14" t="s">
        <v>133</v>
      </c>
      <c r="F36" s="14" t="s">
        <v>220</v>
      </c>
      <c r="G36" s="14" t="s">
        <v>105</v>
      </c>
      <c r="H36" s="14" t="s">
        <v>712</v>
      </c>
      <c r="I36" s="14" t="s">
        <v>713</v>
      </c>
      <c r="J36" s="14" t="s">
        <v>714</v>
      </c>
      <c r="K36" s="14" t="s">
        <v>709</v>
      </c>
      <c r="L36" s="14" t="s">
        <v>68</v>
      </c>
      <c r="M36" s="14" t="s">
        <v>715</v>
      </c>
      <c r="N36" s="14">
        <v>30</v>
      </c>
      <c r="O36" s="14" t="s">
        <v>70</v>
      </c>
      <c r="P36" s="14">
        <v>3</v>
      </c>
      <c r="Q36" s="14">
        <v>2</v>
      </c>
      <c r="R36" s="14">
        <v>90</v>
      </c>
      <c r="S36" s="14" t="s">
        <v>716</v>
      </c>
      <c r="T36" s="14" t="s">
        <v>71</v>
      </c>
      <c r="U36" s="14" t="s">
        <v>71</v>
      </c>
      <c r="V36" s="15" t="s">
        <v>520</v>
      </c>
      <c r="W36" s="29">
        <v>0</v>
      </c>
      <c r="X36" s="29">
        <v>0</v>
      </c>
      <c r="Y36" s="29">
        <v>0</v>
      </c>
      <c r="Z36" s="30">
        <f>IF('CRUDO MARTES'!Z36="Si",$N36,)</f>
        <v>30</v>
      </c>
      <c r="AA36" s="29">
        <v>0</v>
      </c>
      <c r="AB36" s="29">
        <v>0</v>
      </c>
      <c r="AC36" s="30">
        <f>IF('CRUDO MARTES'!AC36="Si",$N36,)</f>
        <v>30</v>
      </c>
      <c r="AD36" s="29">
        <v>0</v>
      </c>
      <c r="AE36" s="29">
        <v>0</v>
      </c>
      <c r="AF36" s="30">
        <f>IF('CRUDO MARTES'!AF36="Si",$N36,)</f>
        <v>30</v>
      </c>
      <c r="AG36" s="29">
        <v>0</v>
      </c>
      <c r="AH36" s="31">
        <f>IF('CRUDO MARTES'!AH36="Si",$N36,)</f>
        <v>30</v>
      </c>
      <c r="AI36" s="29">
        <v>0</v>
      </c>
      <c r="AJ36" s="29">
        <v>0</v>
      </c>
      <c r="AK36" s="29">
        <v>0</v>
      </c>
      <c r="AL36" s="29">
        <v>0</v>
      </c>
      <c r="AM36" s="29">
        <v>0</v>
      </c>
      <c r="AN36" s="29">
        <v>0</v>
      </c>
      <c r="AO36" s="29">
        <v>0</v>
      </c>
      <c r="AP36" s="14" t="s">
        <v>717</v>
      </c>
      <c r="AQ36" s="14"/>
      <c r="AR36" s="14">
        <v>1</v>
      </c>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row>
    <row r="37" spans="1:88" ht="13.2">
      <c r="A37" s="13">
        <v>45365.483354594908</v>
      </c>
      <c r="B37" s="14" t="s">
        <v>725</v>
      </c>
      <c r="C37" s="28" t="s">
        <v>726</v>
      </c>
      <c r="D37" s="15" t="s">
        <v>727</v>
      </c>
      <c r="E37" s="14" t="s">
        <v>133</v>
      </c>
      <c r="F37" s="14" t="s">
        <v>134</v>
      </c>
      <c r="G37" s="14" t="s">
        <v>64</v>
      </c>
      <c r="H37" s="14" t="s">
        <v>728</v>
      </c>
      <c r="I37" s="14" t="s">
        <v>729</v>
      </c>
      <c r="J37" s="16"/>
      <c r="K37" s="14" t="s">
        <v>725</v>
      </c>
      <c r="L37" s="14" t="s">
        <v>138</v>
      </c>
      <c r="M37" s="14" t="s">
        <v>655</v>
      </c>
      <c r="N37" s="14">
        <v>25</v>
      </c>
      <c r="O37" s="14" t="s">
        <v>70</v>
      </c>
      <c r="P37" s="14">
        <v>4</v>
      </c>
      <c r="Q37" s="14">
        <v>2</v>
      </c>
      <c r="R37" s="14">
        <v>0</v>
      </c>
      <c r="S37" s="16"/>
      <c r="T37" s="14" t="s">
        <v>71</v>
      </c>
      <c r="U37" s="14" t="s">
        <v>72</v>
      </c>
      <c r="V37" s="15" t="s">
        <v>520</v>
      </c>
      <c r="W37" s="30">
        <f>IF('CRUDO MARTES'!W37="Si",$N37,)</f>
        <v>25</v>
      </c>
      <c r="X37" s="29">
        <v>0</v>
      </c>
      <c r="Y37" s="30">
        <f>IF('CRUDO MARTES'!Y37="Si",$N37,)</f>
        <v>0</v>
      </c>
      <c r="Z37" s="30">
        <f>IF('CRUDO MARTES'!Z37="Si",$N37,)</f>
        <v>0</v>
      </c>
      <c r="AA37" s="29">
        <v>0</v>
      </c>
      <c r="AB37" s="29">
        <v>0</v>
      </c>
      <c r="AC37" s="30">
        <f>IF('CRUDO MARTES'!AC37="Si",$N37,)</f>
        <v>25</v>
      </c>
      <c r="AD37" s="30">
        <f>IF('CRUDO MARTES'!AD37="Si",$N37,)</f>
        <v>0</v>
      </c>
      <c r="AE37" s="30">
        <f>IF('CRUDO MARTES'!AE37="Si",$N37,)</f>
        <v>0</v>
      </c>
      <c r="AF37" s="30">
        <f>IF('CRUDO MARTES'!AF37="Si",$N37,)</f>
        <v>0</v>
      </c>
      <c r="AG37" s="29">
        <v>0</v>
      </c>
      <c r="AH37" s="29">
        <v>0</v>
      </c>
      <c r="AI37" s="30">
        <f>IF('CRUDO MARTES'!AI37="Si",$N37,)</f>
        <v>0</v>
      </c>
      <c r="AJ37" s="30">
        <f>IF('CRUDO MARTES'!AJ37="Si",$N37,)</f>
        <v>0</v>
      </c>
      <c r="AK37" s="30">
        <f>IF('CRUDO MARTES'!AK37="Si",$N37,)</f>
        <v>0</v>
      </c>
      <c r="AL37" s="30">
        <f>IF('CRUDO MARTES'!AL37="Si",$N37,)</f>
        <v>0</v>
      </c>
      <c r="AM37" s="30">
        <f>IF('CRUDO MARTES'!AM37="Si",$N37,)</f>
        <v>0</v>
      </c>
      <c r="AN37" s="30">
        <f>IF('CRUDO MARTES'!AN37="Si",$N37,)</f>
        <v>0</v>
      </c>
      <c r="AO37" s="30">
        <f>IF('CRUDO MARTES'!AO37="Si",$N37,)</f>
        <v>0</v>
      </c>
      <c r="AP37" s="16"/>
      <c r="AQ37" s="16"/>
      <c r="AR37" s="14">
        <v>1</v>
      </c>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row>
    <row r="38" spans="1:88" ht="13.2">
      <c r="A38" s="13">
        <v>45365.486939745373</v>
      </c>
      <c r="B38" s="14" t="s">
        <v>725</v>
      </c>
      <c r="C38" s="28" t="s">
        <v>726</v>
      </c>
      <c r="D38" s="15" t="s">
        <v>727</v>
      </c>
      <c r="E38" s="14" t="s">
        <v>84</v>
      </c>
      <c r="F38" s="14" t="s">
        <v>730</v>
      </c>
      <c r="G38" s="14" t="s">
        <v>64</v>
      </c>
      <c r="H38" s="14" t="s">
        <v>728</v>
      </c>
      <c r="I38" s="14" t="s">
        <v>729</v>
      </c>
      <c r="J38" s="16"/>
      <c r="K38" s="14" t="s">
        <v>725</v>
      </c>
      <c r="L38" s="14" t="s">
        <v>138</v>
      </c>
      <c r="M38" s="14" t="s">
        <v>731</v>
      </c>
      <c r="N38" s="14">
        <v>15</v>
      </c>
      <c r="O38" s="14" t="s">
        <v>70</v>
      </c>
      <c r="P38" s="14">
        <v>4</v>
      </c>
      <c r="Q38" s="14">
        <v>2</v>
      </c>
      <c r="R38" s="14">
        <v>0</v>
      </c>
      <c r="S38" s="16"/>
      <c r="T38" s="14" t="s">
        <v>71</v>
      </c>
      <c r="U38" s="14" t="s">
        <v>72</v>
      </c>
      <c r="V38" s="15" t="s">
        <v>520</v>
      </c>
      <c r="W38" s="30">
        <f>IF('CRUDO MARTES'!W38="Si",$N38,)</f>
        <v>15</v>
      </c>
      <c r="X38" s="29">
        <v>0</v>
      </c>
      <c r="Y38" s="30">
        <f>IF('CRUDO MARTES'!Y38="Si",$N38,)</f>
        <v>0</v>
      </c>
      <c r="Z38" s="30">
        <f>IF('CRUDO MARTES'!Z38="Si",$N38,)</f>
        <v>0</v>
      </c>
      <c r="AA38" s="29">
        <v>0</v>
      </c>
      <c r="AB38" s="29">
        <v>0</v>
      </c>
      <c r="AC38" s="30">
        <f>IF('CRUDO MARTES'!AC38="Si",$N38,)</f>
        <v>15</v>
      </c>
      <c r="AD38" s="30">
        <f>IF('CRUDO MARTES'!AD38="Si",$N38,)</f>
        <v>0</v>
      </c>
      <c r="AE38" s="30">
        <f>IF('CRUDO MARTES'!AE38="Si",$N38,)</f>
        <v>0</v>
      </c>
      <c r="AF38" s="30">
        <f>IF('CRUDO MARTES'!AF38="Si",$N38,)</f>
        <v>0</v>
      </c>
      <c r="AG38" s="29">
        <v>0</v>
      </c>
      <c r="AH38" s="29">
        <v>0</v>
      </c>
      <c r="AI38" s="30">
        <f>IF('CRUDO MARTES'!AI38="Si",$N38,)</f>
        <v>0</v>
      </c>
      <c r="AJ38" s="30">
        <f>IF('CRUDO MARTES'!AJ38="Si",$N38,)</f>
        <v>0</v>
      </c>
      <c r="AK38" s="30">
        <f>IF('CRUDO MARTES'!AK38="Si",$N38,)</f>
        <v>0</v>
      </c>
      <c r="AL38" s="30">
        <f>IF('CRUDO MARTES'!AL38="Si",$N38,)</f>
        <v>0</v>
      </c>
      <c r="AM38" s="30">
        <f>IF('CRUDO MARTES'!AM38="Si",$N38,)</f>
        <v>0</v>
      </c>
      <c r="AN38" s="30">
        <f>IF('CRUDO MARTES'!AN38="Si",$N38,)</f>
        <v>0</v>
      </c>
      <c r="AO38" s="30">
        <f>IF('CRUDO MARTES'!AO38="Si",$N38,)</f>
        <v>0</v>
      </c>
      <c r="AP38" s="16"/>
      <c r="AQ38" s="16"/>
      <c r="AR38" s="14">
        <v>1</v>
      </c>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row>
    <row r="39" spans="1:88" ht="13.2">
      <c r="A39" s="13">
        <v>45365.495644722221</v>
      </c>
      <c r="B39" s="14" t="s">
        <v>732</v>
      </c>
      <c r="C39" s="28" t="s">
        <v>733</v>
      </c>
      <c r="D39" s="14">
        <v>20068000</v>
      </c>
      <c r="E39" s="14" t="s">
        <v>133</v>
      </c>
      <c r="F39" s="14" t="s">
        <v>254</v>
      </c>
      <c r="G39" s="14" t="s">
        <v>105</v>
      </c>
      <c r="H39" s="14" t="s">
        <v>734</v>
      </c>
      <c r="I39" s="14" t="s">
        <v>735</v>
      </c>
      <c r="J39" s="14" t="s">
        <v>736</v>
      </c>
      <c r="K39" s="14" t="s">
        <v>732</v>
      </c>
      <c r="L39" s="14" t="s">
        <v>89</v>
      </c>
      <c r="M39" s="14" t="s">
        <v>737</v>
      </c>
      <c r="N39" s="14">
        <v>35</v>
      </c>
      <c r="O39" s="14" t="s">
        <v>70</v>
      </c>
      <c r="P39" s="14">
        <v>4</v>
      </c>
      <c r="Q39" s="14">
        <v>4</v>
      </c>
      <c r="R39" s="14">
        <v>50</v>
      </c>
      <c r="S39" s="16"/>
      <c r="T39" s="14" t="s">
        <v>72</v>
      </c>
      <c r="U39" s="14" t="s">
        <v>71</v>
      </c>
      <c r="V39" s="15" t="s">
        <v>520</v>
      </c>
      <c r="W39" s="30">
        <f>IF('CRUDO MARTES'!W39="Si",$N39,)</f>
        <v>0</v>
      </c>
      <c r="X39" s="30">
        <f>IF('CRUDO MARTES'!X39="Si",$N39,)</f>
        <v>0</v>
      </c>
      <c r="Y39" s="30">
        <f>IF('CRUDO MARTES'!Y39="Si",$N39,)</f>
        <v>0</v>
      </c>
      <c r="Z39" s="30">
        <f>IF('CRUDO MARTES'!Z39="Si",$N39,)</f>
        <v>35</v>
      </c>
      <c r="AA39" s="30">
        <f>IF('CRUDO MARTES'!AA39="Si",$N39,)</f>
        <v>0</v>
      </c>
      <c r="AB39" s="30">
        <f>IF('CRUDO MARTES'!AB39="Si",$N39,)</f>
        <v>0</v>
      </c>
      <c r="AC39" s="30">
        <f>IF('CRUDO MARTES'!AC39="Si",$N39,)</f>
        <v>0</v>
      </c>
      <c r="AD39" s="30">
        <f>IF('CRUDO MARTES'!AD39="Si",$N39,)</f>
        <v>0</v>
      </c>
      <c r="AE39" s="30">
        <f>IF('CRUDO MARTES'!AE39="Si",$N39,)</f>
        <v>0</v>
      </c>
      <c r="AF39" s="30">
        <f>IF('CRUDO MARTES'!AF39="Si",$N39,)</f>
        <v>35</v>
      </c>
      <c r="AG39" s="30">
        <f>IF('CRUDO MARTES'!AG39="Si",$N39,)</f>
        <v>0</v>
      </c>
      <c r="AH39" s="30">
        <f>IF('CRUDO MARTES'!AH39="Si",$N39,)</f>
        <v>0</v>
      </c>
      <c r="AI39" s="30">
        <f>IF('CRUDO MARTES'!AI39="Si",$N39,)</f>
        <v>0</v>
      </c>
      <c r="AJ39" s="30">
        <f>IF('CRUDO MARTES'!AJ39="Si",$N39,)</f>
        <v>0</v>
      </c>
      <c r="AK39" s="29">
        <v>0</v>
      </c>
      <c r="AL39" s="30">
        <f>IF('CRUDO MARTES'!AL39="Si",$N39,)</f>
        <v>0</v>
      </c>
      <c r="AM39" s="30">
        <f>IF('CRUDO MARTES'!AM39="Si",$N39,)</f>
        <v>0</v>
      </c>
      <c r="AN39" s="30">
        <f>IF('CRUDO MARTES'!AN39="Si",$N39,)</f>
        <v>0</v>
      </c>
      <c r="AO39" s="30">
        <f>IF('CRUDO MARTES'!AO39="Si",$N39,)</f>
        <v>0</v>
      </c>
      <c r="AP39" s="16"/>
      <c r="AQ39" s="16"/>
      <c r="AR39" s="14">
        <v>1</v>
      </c>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row>
    <row r="40" spans="1:88" ht="13.2">
      <c r="A40" s="13">
        <v>45365.538917025464</v>
      </c>
      <c r="B40" s="14" t="s">
        <v>738</v>
      </c>
      <c r="C40" s="28" t="s">
        <v>739</v>
      </c>
      <c r="D40" s="15" t="s">
        <v>740</v>
      </c>
      <c r="E40" s="14" t="s">
        <v>84</v>
      </c>
      <c r="F40" s="14" t="s">
        <v>741</v>
      </c>
      <c r="G40" s="14" t="s">
        <v>64</v>
      </c>
      <c r="H40" s="14" t="s">
        <v>742</v>
      </c>
      <c r="I40" s="14" t="s">
        <v>743</v>
      </c>
      <c r="J40" s="16"/>
      <c r="K40" s="14" t="s">
        <v>744</v>
      </c>
      <c r="L40" s="14" t="s">
        <v>89</v>
      </c>
      <c r="M40" s="14" t="s">
        <v>536</v>
      </c>
      <c r="N40" s="14">
        <v>35</v>
      </c>
      <c r="O40" s="14" t="s">
        <v>70</v>
      </c>
      <c r="P40" s="14">
        <v>3</v>
      </c>
      <c r="Q40" s="14">
        <v>1</v>
      </c>
      <c r="R40" s="14">
        <v>30</v>
      </c>
      <c r="S40" s="16"/>
      <c r="T40" s="14" t="s">
        <v>71</v>
      </c>
      <c r="U40" s="14" t="s">
        <v>72</v>
      </c>
      <c r="V40" s="15" t="s">
        <v>520</v>
      </c>
      <c r="W40" s="30">
        <f>IF('CRUDO MARTES'!W40="Si",$N40,)</f>
        <v>35</v>
      </c>
      <c r="X40" s="30">
        <f>IF('CRUDO MARTES'!X40="Si",$N40,)</f>
        <v>0</v>
      </c>
      <c r="Y40" s="29">
        <v>0</v>
      </c>
      <c r="Z40" s="30">
        <f>IF('CRUDO MARTES'!Z40="Si",$N40,)</f>
        <v>0</v>
      </c>
      <c r="AA40" s="30">
        <f>IF('CRUDO MARTES'!AA40="Si",$N40,)</f>
        <v>0</v>
      </c>
      <c r="AB40" s="30">
        <f>IF('CRUDO MARTES'!AB40="Si",$N40,)</f>
        <v>35</v>
      </c>
      <c r="AC40" s="30">
        <f>IF('CRUDO MARTES'!AC40="Si",$N40,)</f>
        <v>0</v>
      </c>
      <c r="AD40" s="30">
        <f>IF('CRUDO MARTES'!AD40="Si",$N40,)</f>
        <v>0</v>
      </c>
      <c r="AE40" s="30">
        <f>IF('CRUDO MARTES'!AE40="Si",$N40,)</f>
        <v>0</v>
      </c>
      <c r="AF40" s="30">
        <f>IF('CRUDO MARTES'!AF40="Si",$N40,)</f>
        <v>0</v>
      </c>
      <c r="AG40" s="30">
        <f>IF('CRUDO MARTES'!AG40="Si",$N40,)</f>
        <v>0</v>
      </c>
      <c r="AH40" s="30">
        <f>IF('CRUDO MARTES'!AH40="Si",$N40,)</f>
        <v>0</v>
      </c>
      <c r="AI40" s="30">
        <f>IF('CRUDO MARTES'!AI40="Si",$N40,)</f>
        <v>0</v>
      </c>
      <c r="AJ40" s="29">
        <v>0</v>
      </c>
      <c r="AK40" s="30">
        <f>IF('CRUDO MARTES'!AK40="Si",$N40,)</f>
        <v>0</v>
      </c>
      <c r="AL40" s="30">
        <f>IF('CRUDO MARTES'!AL40="Si",$N40,)</f>
        <v>0</v>
      </c>
      <c r="AM40" s="30">
        <f>IF('CRUDO MARTES'!AM40="Si",$N40,)</f>
        <v>0</v>
      </c>
      <c r="AN40" s="30">
        <f>IF('CRUDO MARTES'!AN40="Si",$N40,)</f>
        <v>0</v>
      </c>
      <c r="AO40" s="29">
        <v>0</v>
      </c>
      <c r="AP40" s="16"/>
      <c r="AQ40" s="16"/>
      <c r="AR40" s="14">
        <v>1</v>
      </c>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row>
    <row r="41" spans="1:88" ht="13.2">
      <c r="A41" s="13">
        <v>45365.564028564811</v>
      </c>
      <c r="B41" s="14" t="s">
        <v>738</v>
      </c>
      <c r="C41" s="28" t="s">
        <v>739</v>
      </c>
      <c r="D41" s="15" t="s">
        <v>740</v>
      </c>
      <c r="E41" s="14" t="s">
        <v>84</v>
      </c>
      <c r="F41" s="14" t="s">
        <v>745</v>
      </c>
      <c r="G41" s="14" t="s">
        <v>64</v>
      </c>
      <c r="H41" s="14" t="s">
        <v>746</v>
      </c>
      <c r="I41" s="14" t="s">
        <v>747</v>
      </c>
      <c r="J41" s="16"/>
      <c r="K41" s="14" t="s">
        <v>738</v>
      </c>
      <c r="L41" s="14" t="s">
        <v>89</v>
      </c>
      <c r="M41" s="14" t="s">
        <v>536</v>
      </c>
      <c r="N41" s="14">
        <v>30</v>
      </c>
      <c r="O41" s="14" t="s">
        <v>70</v>
      </c>
      <c r="P41" s="14">
        <v>3</v>
      </c>
      <c r="Q41" s="14">
        <v>3</v>
      </c>
      <c r="R41" s="14">
        <v>30</v>
      </c>
      <c r="S41" s="16"/>
      <c r="T41" s="14" t="s">
        <v>71</v>
      </c>
      <c r="U41" s="14" t="s">
        <v>72</v>
      </c>
      <c r="V41" s="15" t="s">
        <v>520</v>
      </c>
      <c r="W41" s="30">
        <f>IF('CRUDO MARTES'!W41="Si",$N41,)</f>
        <v>30</v>
      </c>
      <c r="X41" s="30">
        <f>IF('CRUDO MARTES'!X41="Si",$N41,)</f>
        <v>0</v>
      </c>
      <c r="Y41" s="30">
        <f>IF('CRUDO MARTES'!Y41="Si",$N41,)</f>
        <v>0</v>
      </c>
      <c r="Z41" s="30">
        <f>IF('CRUDO MARTES'!Z41="Si",$N41,)</f>
        <v>0</v>
      </c>
      <c r="AA41" s="30">
        <f>IF('CRUDO MARTES'!AA41="Si",$N41,)</f>
        <v>0</v>
      </c>
      <c r="AB41" s="30">
        <f>IF('CRUDO MARTES'!AB41="Si",$N41,)</f>
        <v>30</v>
      </c>
      <c r="AC41" s="30">
        <f>IF('CRUDO MARTES'!AC41="Si",$N41,)</f>
        <v>0</v>
      </c>
      <c r="AD41" s="30">
        <f>IF('CRUDO MARTES'!AD41="Si",$N41,)</f>
        <v>0</v>
      </c>
      <c r="AE41" s="30">
        <f>IF('CRUDO MARTES'!AE41="Si",$N41,)</f>
        <v>0</v>
      </c>
      <c r="AF41" s="30">
        <f>IF('CRUDO MARTES'!AF41="Si",$N41,)</f>
        <v>30</v>
      </c>
      <c r="AG41" s="30">
        <f>IF('CRUDO MARTES'!AG41="Si",$N41,)</f>
        <v>0</v>
      </c>
      <c r="AH41" s="30">
        <f>IF('CRUDO MARTES'!AH41="Si",$N41,)</f>
        <v>0</v>
      </c>
      <c r="AI41" s="29">
        <v>0</v>
      </c>
      <c r="AJ41" s="30">
        <f>IF('CRUDO MARTES'!AJ41="Si",$N41,)</f>
        <v>0</v>
      </c>
      <c r="AK41" s="30">
        <f>IF('CRUDO MARTES'!AK41="Si",$N41,)</f>
        <v>0</v>
      </c>
      <c r="AL41" s="30">
        <f>IF('CRUDO MARTES'!AL41="Si",$N41,)</f>
        <v>0</v>
      </c>
      <c r="AM41" s="30">
        <f>IF('CRUDO MARTES'!AM41="Si",$N41,)</f>
        <v>0</v>
      </c>
      <c r="AN41" s="31">
        <f>IF('CRUDO MARTES'!AN41="Si",$N41,)</f>
        <v>30</v>
      </c>
      <c r="AO41" s="30">
        <f>IF('CRUDO MARTES'!AO41="Si",$N41,)</f>
        <v>0</v>
      </c>
      <c r="AP41" s="16"/>
      <c r="AQ41" s="16"/>
      <c r="AR41" s="14">
        <v>1</v>
      </c>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row>
    <row r="42" spans="1:88" ht="13.2">
      <c r="A42" s="13">
        <v>45365.572495393513</v>
      </c>
      <c r="B42" s="14" t="s">
        <v>315</v>
      </c>
      <c r="C42" s="28" t="s">
        <v>748</v>
      </c>
      <c r="D42" s="14">
        <v>60627100</v>
      </c>
      <c r="E42" s="14" t="s">
        <v>84</v>
      </c>
      <c r="F42" s="14" t="s">
        <v>589</v>
      </c>
      <c r="G42" s="14" t="s">
        <v>64</v>
      </c>
      <c r="H42" s="14" t="s">
        <v>319</v>
      </c>
      <c r="I42" s="14" t="s">
        <v>749</v>
      </c>
      <c r="J42" s="14" t="s">
        <v>750</v>
      </c>
      <c r="K42" s="14" t="s">
        <v>315</v>
      </c>
      <c r="L42" s="14" t="s">
        <v>245</v>
      </c>
      <c r="M42" s="14" t="s">
        <v>321</v>
      </c>
      <c r="N42" s="14">
        <v>35</v>
      </c>
      <c r="O42" s="14" t="s">
        <v>70</v>
      </c>
      <c r="P42" s="14">
        <v>5</v>
      </c>
      <c r="Q42" s="14">
        <v>3</v>
      </c>
      <c r="R42" s="14">
        <v>15</v>
      </c>
      <c r="S42" s="16"/>
      <c r="T42" s="14" t="s">
        <v>71</v>
      </c>
      <c r="U42" s="14" t="s">
        <v>72</v>
      </c>
      <c r="V42" s="15" t="s">
        <v>520</v>
      </c>
      <c r="W42" s="30">
        <f>IF('CRUDO MARTES'!W42="Si",$N42,)</f>
        <v>35</v>
      </c>
      <c r="X42" s="30">
        <f>IF('CRUDO MARTES'!X42="Si",$N42,)</f>
        <v>0</v>
      </c>
      <c r="Y42" s="30">
        <f>IF('CRUDO MARTES'!Y42="Si",$N42,)</f>
        <v>0</v>
      </c>
      <c r="Z42" s="30">
        <f>IF('CRUDO MARTES'!Z42="Si",$N42,)</f>
        <v>0</v>
      </c>
      <c r="AA42" s="30">
        <f>IF('CRUDO MARTES'!AA42="Si",$N42,)</f>
        <v>0</v>
      </c>
      <c r="AB42" s="29">
        <v>0</v>
      </c>
      <c r="AC42" s="30">
        <f>IF('CRUDO MARTES'!AC42="Si",$N42,)</f>
        <v>0</v>
      </c>
      <c r="AD42" s="30">
        <f>IF('CRUDO MARTES'!AD42="Si",$N42,)</f>
        <v>0</v>
      </c>
      <c r="AE42" s="30">
        <f>IF('CRUDO MARTES'!AE42="Si",$N42,)</f>
        <v>0</v>
      </c>
      <c r="AF42" s="30">
        <f>IF('CRUDO MARTES'!AF42="Si",$N42,)</f>
        <v>0</v>
      </c>
      <c r="AG42" s="30">
        <f>IF('CRUDO MARTES'!AG42="Si",$N42,)</f>
        <v>0</v>
      </c>
      <c r="AH42" s="30">
        <f>IF('CRUDO MARTES'!AH42="Si",$N42,)</f>
        <v>0</v>
      </c>
      <c r="AI42" s="30">
        <f>IF('CRUDO MARTES'!AI42="Si",$N42,)</f>
        <v>0</v>
      </c>
      <c r="AJ42" s="29">
        <v>0</v>
      </c>
      <c r="AK42" s="30">
        <f>IF('CRUDO MARTES'!AK42="Si",$N42,)</f>
        <v>0</v>
      </c>
      <c r="AL42" s="30">
        <f>IF('CRUDO MARTES'!AL42="Si",$N42,)</f>
        <v>0</v>
      </c>
      <c r="AM42" s="31">
        <f>IF('CRUDO MARTES'!AM42="Si",$N42,)</f>
        <v>35</v>
      </c>
      <c r="AN42" s="30">
        <f>IF('CRUDO MARTES'!AN42="Si",$N42,)</f>
        <v>0</v>
      </c>
      <c r="AO42" s="30">
        <f>IF('CRUDO MARTES'!AO42="Si",$N42,)</f>
        <v>0</v>
      </c>
      <c r="AP42" s="16"/>
      <c r="AQ42" s="16"/>
      <c r="AR42" s="14">
        <v>1</v>
      </c>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row>
    <row r="43" spans="1:88" ht="26.4">
      <c r="A43" s="13">
        <v>45365.63207655093</v>
      </c>
      <c r="B43" s="14" t="s">
        <v>574</v>
      </c>
      <c r="C43" s="28" t="s">
        <v>751</v>
      </c>
      <c r="D43" s="14">
        <v>20059400</v>
      </c>
      <c r="E43" s="14" t="s">
        <v>276</v>
      </c>
      <c r="F43" s="14" t="s">
        <v>752</v>
      </c>
      <c r="G43" s="14" t="s">
        <v>64</v>
      </c>
      <c r="H43" s="14" t="s">
        <v>753</v>
      </c>
      <c r="I43" s="14" t="s">
        <v>754</v>
      </c>
      <c r="J43" s="14" t="s">
        <v>679</v>
      </c>
      <c r="K43" s="14" t="s">
        <v>574</v>
      </c>
      <c r="L43" s="14" t="s">
        <v>89</v>
      </c>
      <c r="M43" s="14" t="s">
        <v>755</v>
      </c>
      <c r="N43" s="14">
        <v>30</v>
      </c>
      <c r="O43" s="14" t="s">
        <v>70</v>
      </c>
      <c r="P43" s="14">
        <v>4</v>
      </c>
      <c r="Q43" s="14">
        <v>5</v>
      </c>
      <c r="R43" s="14">
        <v>50</v>
      </c>
      <c r="S43" s="16"/>
      <c r="T43" s="14" t="s">
        <v>71</v>
      </c>
      <c r="U43" s="14" t="s">
        <v>72</v>
      </c>
      <c r="V43" s="15" t="s">
        <v>520</v>
      </c>
      <c r="W43" s="29">
        <v>0</v>
      </c>
      <c r="X43" s="29">
        <v>0</v>
      </c>
      <c r="Y43" s="30">
        <f>IF('CRUDO MARTES'!Y43="Si",$N43,)</f>
        <v>30</v>
      </c>
      <c r="Z43" s="30">
        <f>IF('CRUDO MARTES'!Z43="Si",$N43,)</f>
        <v>0</v>
      </c>
      <c r="AA43" s="29">
        <v>0</v>
      </c>
      <c r="AB43" s="30">
        <f>IF('CRUDO MARTES'!AB43="Si",$N43,)</f>
        <v>30</v>
      </c>
      <c r="AC43" s="29">
        <v>0</v>
      </c>
      <c r="AD43" s="29">
        <v>0</v>
      </c>
      <c r="AE43" s="30">
        <f>IF('CRUDO MARTES'!AE43="Si",$N43,)</f>
        <v>0</v>
      </c>
      <c r="AF43" s="30">
        <f>IF('CRUDO MARTES'!AF43="Si",$N43,)</f>
        <v>0</v>
      </c>
      <c r="AG43" s="29">
        <v>0</v>
      </c>
      <c r="AH43" s="29">
        <v>0</v>
      </c>
      <c r="AI43" s="29">
        <v>0</v>
      </c>
      <c r="AJ43" s="30">
        <f>IF('CRUDO MARTES'!AJ43="Si",$N43,)</f>
        <v>0</v>
      </c>
      <c r="AK43" s="30">
        <f>IF('CRUDO MARTES'!AK43="Si",$N43,)</f>
        <v>0</v>
      </c>
      <c r="AL43" s="29">
        <v>0</v>
      </c>
      <c r="AM43" s="29">
        <v>0</v>
      </c>
      <c r="AN43" s="30">
        <f>IF('CRUDO MARTES'!AN43="Si",$N43,)</f>
        <v>0</v>
      </c>
      <c r="AO43" s="30">
        <f>IF('CRUDO MARTES'!AO43="Si",$N43,)</f>
        <v>0</v>
      </c>
      <c r="AP43" s="14" t="s">
        <v>756</v>
      </c>
      <c r="AQ43" s="14"/>
      <c r="AR43" s="14">
        <v>1</v>
      </c>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row>
    <row r="44" spans="1:88" ht="13.2">
      <c r="A44" s="21">
        <v>45365.635810624997</v>
      </c>
      <c r="B44" s="22" t="s">
        <v>574</v>
      </c>
      <c r="C44" s="22" t="s">
        <v>757</v>
      </c>
      <c r="D44" s="22">
        <v>20059400</v>
      </c>
      <c r="E44" s="22" t="s">
        <v>133</v>
      </c>
      <c r="F44" s="22" t="s">
        <v>730</v>
      </c>
      <c r="G44" s="22" t="s">
        <v>64</v>
      </c>
      <c r="H44" s="22" t="s">
        <v>753</v>
      </c>
      <c r="I44" s="22" t="s">
        <v>754</v>
      </c>
      <c r="J44" s="22" t="s">
        <v>758</v>
      </c>
      <c r="K44" s="22" t="s">
        <v>574</v>
      </c>
      <c r="L44" s="22" t="s">
        <v>89</v>
      </c>
      <c r="M44" s="22" t="s">
        <v>755</v>
      </c>
      <c r="N44" s="22">
        <v>0</v>
      </c>
      <c r="O44" s="22" t="s">
        <v>70</v>
      </c>
      <c r="P44" s="22">
        <v>4</v>
      </c>
      <c r="Q44" s="22">
        <v>5</v>
      </c>
      <c r="R44" s="22">
        <v>50</v>
      </c>
      <c r="S44" s="25"/>
      <c r="T44" s="22" t="s">
        <v>71</v>
      </c>
      <c r="U44" s="22" t="s">
        <v>72</v>
      </c>
      <c r="V44" s="24" t="s">
        <v>520</v>
      </c>
      <c r="W44" s="26">
        <f>IF('CRUDO MARTES'!W44="Si",$N44,)</f>
        <v>0</v>
      </c>
      <c r="X44" s="26">
        <f>IF('CRUDO MARTES'!X44="Si",$N44,)</f>
        <v>0</v>
      </c>
      <c r="Y44" s="26">
        <f>IF('CRUDO MARTES'!Y44="Si",$N44,)</f>
        <v>0</v>
      </c>
      <c r="Z44" s="26">
        <f>IF('CRUDO MARTES'!Z44="Si",$N44,)</f>
        <v>0</v>
      </c>
      <c r="AA44" s="26">
        <f>IF('CRUDO MARTES'!AA44="Si",$N44,)</f>
        <v>0</v>
      </c>
      <c r="AB44" s="26">
        <f>IF('CRUDO MARTES'!AB44="Si",$N44,)</f>
        <v>0</v>
      </c>
      <c r="AC44" s="26">
        <f>IF('CRUDO MARTES'!AC44="Si",$N44,)</f>
        <v>0</v>
      </c>
      <c r="AD44" s="26">
        <f>IF('CRUDO MARTES'!AD44="Si",$N44,)</f>
        <v>0</v>
      </c>
      <c r="AE44" s="26">
        <f>IF('CRUDO MARTES'!AE44="Si",$N44,)</f>
        <v>0</v>
      </c>
      <c r="AF44" s="26">
        <f>IF('CRUDO MARTES'!AF44="Si",$N44,)</f>
        <v>0</v>
      </c>
      <c r="AG44" s="26">
        <f>IF('CRUDO MARTES'!AG44="Si",$N44,)</f>
        <v>0</v>
      </c>
      <c r="AH44" s="26">
        <f>IF('CRUDO MARTES'!AH44="Si",$N44,)</f>
        <v>0</v>
      </c>
      <c r="AI44" s="26">
        <f>IF('CRUDO MARTES'!AI44="Si",$N44,)</f>
        <v>0</v>
      </c>
      <c r="AJ44" s="26">
        <f>IF('CRUDO MARTES'!AJ44="Si",$N44,)</f>
        <v>0</v>
      </c>
      <c r="AK44" s="26">
        <f>IF('CRUDO MARTES'!AK44="Si",$N44,)</f>
        <v>0</v>
      </c>
      <c r="AL44" s="26">
        <f>IF('CRUDO MARTES'!AL44="Si",$N44,)</f>
        <v>0</v>
      </c>
      <c r="AM44" s="26">
        <f>IF('CRUDO MARTES'!AM44="Si",$N44,)</f>
        <v>0</v>
      </c>
      <c r="AN44" s="26">
        <f>IF('CRUDO MARTES'!AN44="Si",$N44,)</f>
        <v>0</v>
      </c>
      <c r="AO44" s="26">
        <f>IF('CRUDO MARTES'!AO44="Si",$N44,)</f>
        <v>0</v>
      </c>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row>
    <row r="45" spans="1:88" ht="13.2">
      <c r="A45" s="21">
        <v>45365.664200740735</v>
      </c>
      <c r="B45" s="22" t="s">
        <v>759</v>
      </c>
      <c r="C45" s="23" t="s">
        <v>760</v>
      </c>
      <c r="D45" s="24" t="s">
        <v>761</v>
      </c>
      <c r="E45" s="22" t="s">
        <v>133</v>
      </c>
      <c r="F45" s="22" t="s">
        <v>762</v>
      </c>
      <c r="G45" s="22" t="s">
        <v>64</v>
      </c>
      <c r="H45" s="22" t="s">
        <v>763</v>
      </c>
      <c r="I45" s="22" t="s">
        <v>764</v>
      </c>
      <c r="J45" s="22" t="s">
        <v>765</v>
      </c>
      <c r="K45" s="22" t="s">
        <v>759</v>
      </c>
      <c r="L45" s="22" t="s">
        <v>138</v>
      </c>
      <c r="M45" s="22" t="s">
        <v>766</v>
      </c>
      <c r="N45" s="22">
        <v>0</v>
      </c>
      <c r="O45" s="22" t="s">
        <v>70</v>
      </c>
      <c r="P45" s="22">
        <v>5</v>
      </c>
      <c r="Q45" s="22">
        <v>5</v>
      </c>
      <c r="R45" s="22">
        <v>10</v>
      </c>
      <c r="S45" s="25"/>
      <c r="T45" s="22" t="s">
        <v>71</v>
      </c>
      <c r="U45" s="22" t="s">
        <v>72</v>
      </c>
      <c r="V45" s="24" t="s">
        <v>520</v>
      </c>
      <c r="W45" s="26">
        <f>IF('CRUDO MARTES'!W45="Si",$N45,)</f>
        <v>0</v>
      </c>
      <c r="X45" s="26">
        <f>IF('CRUDO MARTES'!X45="Si",$N45,)</f>
        <v>0</v>
      </c>
      <c r="Y45" s="27">
        <v>0</v>
      </c>
      <c r="Z45" s="26">
        <f>IF('CRUDO MARTES'!Z45="Si",$N45,)</f>
        <v>0</v>
      </c>
      <c r="AA45" s="26">
        <f>IF('CRUDO MARTES'!AA45="Si",$N45,)</f>
        <v>0</v>
      </c>
      <c r="AB45" s="27">
        <v>0</v>
      </c>
      <c r="AC45" s="26">
        <f>IF('CRUDO MARTES'!AC45="Si",$N45,)</f>
        <v>0</v>
      </c>
      <c r="AD45" s="26">
        <f>IF('CRUDO MARTES'!AD45="Si",$N45,)</f>
        <v>0</v>
      </c>
      <c r="AE45" s="26">
        <f>IF('CRUDO MARTES'!AE45="Si",$N45,)</f>
        <v>0</v>
      </c>
      <c r="AF45" s="26">
        <f>IF('CRUDO MARTES'!AF45="Si",$N45,)</f>
        <v>0</v>
      </c>
      <c r="AG45" s="27">
        <v>0</v>
      </c>
      <c r="AH45" s="27">
        <v>0</v>
      </c>
      <c r="AI45" s="27">
        <v>0</v>
      </c>
      <c r="AJ45" s="26">
        <f>IF('CRUDO MARTES'!AJ45="Si",$N45,)</f>
        <v>0</v>
      </c>
      <c r="AK45" s="26">
        <f>IF('CRUDO MARTES'!AK45="Si",$N45,)</f>
        <v>0</v>
      </c>
      <c r="AL45" s="27">
        <v>0</v>
      </c>
      <c r="AM45" s="27">
        <v>0</v>
      </c>
      <c r="AN45" s="26">
        <f>IF('CRUDO MARTES'!AN45="Si",$N45,)</f>
        <v>0</v>
      </c>
      <c r="AO45" s="26">
        <f>IF('CRUDO MARTES'!AO45="Si",$N45,)</f>
        <v>0</v>
      </c>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row>
    <row r="46" spans="1:88" ht="13.2">
      <c r="A46" s="13">
        <v>45365.81678079861</v>
      </c>
      <c r="B46" s="14" t="s">
        <v>767</v>
      </c>
      <c r="C46" s="28" t="s">
        <v>768</v>
      </c>
      <c r="D46" s="15" t="s">
        <v>442</v>
      </c>
      <c r="E46" s="14" t="s">
        <v>62</v>
      </c>
      <c r="F46" s="14" t="s">
        <v>769</v>
      </c>
      <c r="G46" s="14" t="s">
        <v>64</v>
      </c>
      <c r="H46" s="14" t="s">
        <v>770</v>
      </c>
      <c r="I46" s="14" t="s">
        <v>771</v>
      </c>
      <c r="J46" s="16"/>
      <c r="K46" s="14" t="s">
        <v>772</v>
      </c>
      <c r="L46" s="14" t="s">
        <v>89</v>
      </c>
      <c r="M46" s="14" t="s">
        <v>773</v>
      </c>
      <c r="N46" s="14">
        <v>32</v>
      </c>
      <c r="O46" s="14" t="s">
        <v>70</v>
      </c>
      <c r="P46" s="14">
        <v>5</v>
      </c>
      <c r="Q46" s="14">
        <v>5</v>
      </c>
      <c r="R46" s="14">
        <v>5</v>
      </c>
      <c r="S46" s="14" t="s">
        <v>774</v>
      </c>
      <c r="T46" s="14" t="s">
        <v>71</v>
      </c>
      <c r="U46" s="14" t="s">
        <v>72</v>
      </c>
      <c r="V46" s="15" t="s">
        <v>520</v>
      </c>
      <c r="W46" s="30">
        <f>IF('CRUDO MARTES'!W46="Si",$N46,)</f>
        <v>32</v>
      </c>
      <c r="X46" s="29">
        <v>0</v>
      </c>
      <c r="Y46" s="30">
        <f>IF('CRUDO MARTES'!Y46="Si",$N46,)</f>
        <v>0</v>
      </c>
      <c r="Z46" s="30">
        <f>IF('CRUDO MARTES'!Z46="Si",$N46,)</f>
        <v>0</v>
      </c>
      <c r="AA46" s="29">
        <v>0</v>
      </c>
      <c r="AB46" s="29">
        <v>0</v>
      </c>
      <c r="AC46" s="30">
        <f>IF('CRUDO MARTES'!AC46="Si",$N46,)</f>
        <v>32</v>
      </c>
      <c r="AD46" s="30">
        <f>IF('CRUDO MARTES'!AD46="Si",$N46,)</f>
        <v>0</v>
      </c>
      <c r="AE46" s="30">
        <f>IF('CRUDO MARTES'!AE46="Si",$N46,)</f>
        <v>0</v>
      </c>
      <c r="AF46" s="30">
        <f>IF('CRUDO MARTES'!AF46="Si",$N46,)</f>
        <v>0</v>
      </c>
      <c r="AG46" s="29">
        <v>0</v>
      </c>
      <c r="AH46" s="29">
        <v>0</v>
      </c>
      <c r="AI46" s="29">
        <v>0</v>
      </c>
      <c r="AJ46" s="30">
        <f>IF('CRUDO MARTES'!AJ46="Si",$N46,)</f>
        <v>0</v>
      </c>
      <c r="AK46" s="30">
        <f>IF('CRUDO MARTES'!AK46="Si",$N46,)</f>
        <v>0</v>
      </c>
      <c r="AL46" s="29">
        <v>0</v>
      </c>
      <c r="AM46" s="29">
        <v>0</v>
      </c>
      <c r="AN46" s="30">
        <f>IF('CRUDO MARTES'!AN46="Si",$N46,)</f>
        <v>0</v>
      </c>
      <c r="AO46" s="30">
        <f>IF('CRUDO MARTES'!AO46="Si",$N46,)</f>
        <v>0</v>
      </c>
      <c r="AP46" s="16"/>
      <c r="AQ46" s="16"/>
      <c r="AR46" s="14">
        <v>1</v>
      </c>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row>
    <row r="47" spans="1:88" ht="13.2">
      <c r="A47" s="13">
        <v>45365.882291770831</v>
      </c>
      <c r="B47" s="14" t="s">
        <v>647</v>
      </c>
      <c r="C47" s="28" t="s">
        <v>648</v>
      </c>
      <c r="D47" s="15" t="s">
        <v>649</v>
      </c>
      <c r="E47" s="14" t="s">
        <v>133</v>
      </c>
      <c r="F47" s="14" t="s">
        <v>775</v>
      </c>
      <c r="G47" s="14" t="s">
        <v>64</v>
      </c>
      <c r="H47" s="14" t="s">
        <v>651</v>
      </c>
      <c r="I47" s="14" t="s">
        <v>652</v>
      </c>
      <c r="J47" s="14" t="s">
        <v>776</v>
      </c>
      <c r="K47" s="14" t="s">
        <v>654</v>
      </c>
      <c r="L47" s="14" t="s">
        <v>138</v>
      </c>
      <c r="M47" s="14" t="s">
        <v>655</v>
      </c>
      <c r="N47" s="14">
        <v>31</v>
      </c>
      <c r="O47" s="14" t="s">
        <v>70</v>
      </c>
      <c r="P47" s="14">
        <v>5</v>
      </c>
      <c r="Q47" s="14">
        <v>3</v>
      </c>
      <c r="R47" s="14">
        <v>0</v>
      </c>
      <c r="S47" s="14" t="s">
        <v>777</v>
      </c>
      <c r="T47" s="14" t="s">
        <v>71</v>
      </c>
      <c r="U47" s="14" t="s">
        <v>71</v>
      </c>
      <c r="V47" s="15" t="s">
        <v>520</v>
      </c>
      <c r="W47" s="29">
        <v>0</v>
      </c>
      <c r="X47" s="29">
        <v>0</v>
      </c>
      <c r="Y47" s="30">
        <f>IF('CRUDO MARTES'!Y47="Si",$N47,)</f>
        <v>31</v>
      </c>
      <c r="Z47" s="30">
        <f>IF('CRUDO MARTES'!Z47="Si",$N47,)</f>
        <v>0</v>
      </c>
      <c r="AA47" s="30">
        <f>IF('CRUDO MARTES'!AA47="Si",$N47,)</f>
        <v>31</v>
      </c>
      <c r="AB47" s="29">
        <v>0</v>
      </c>
      <c r="AC47" s="29">
        <v>0</v>
      </c>
      <c r="AD47" s="29">
        <v>0</v>
      </c>
      <c r="AE47" s="30">
        <f>IF('CRUDO MARTES'!AE47="Si",$N47,)</f>
        <v>31</v>
      </c>
      <c r="AF47" s="30">
        <f>IF('CRUDO MARTES'!AF47="Si",$N47,)</f>
        <v>0</v>
      </c>
      <c r="AG47" s="29">
        <v>0</v>
      </c>
      <c r="AH47" s="31">
        <f>IF('CRUDO MARTES'!AH47="Si",$N47,)</f>
        <v>31</v>
      </c>
      <c r="AI47" s="29">
        <v>0</v>
      </c>
      <c r="AJ47" s="29">
        <v>0</v>
      </c>
      <c r="AK47" s="30">
        <f>IF('CRUDO MARTES'!AK47="Si",$N47,)</f>
        <v>0</v>
      </c>
      <c r="AL47" s="29">
        <v>0</v>
      </c>
      <c r="AM47" s="29">
        <v>0</v>
      </c>
      <c r="AN47" s="30">
        <f>IF('CRUDO MARTES'!AN47="Si",$N47,)</f>
        <v>0</v>
      </c>
      <c r="AO47" s="30">
        <f>IF('CRUDO MARTES'!AO47="Si",$N47,)</f>
        <v>0</v>
      </c>
      <c r="AP47" s="16"/>
      <c r="AQ47" s="16"/>
      <c r="AR47" s="14">
        <v>1</v>
      </c>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row>
    <row r="48" spans="1:88" ht="13.2">
      <c r="A48" s="13">
        <v>45366.487628009258</v>
      </c>
      <c r="B48" s="14" t="s">
        <v>778</v>
      </c>
      <c r="C48" s="28" t="s">
        <v>779</v>
      </c>
      <c r="D48" s="15" t="s">
        <v>780</v>
      </c>
      <c r="E48" s="14" t="s">
        <v>62</v>
      </c>
      <c r="F48" s="14" t="s">
        <v>781</v>
      </c>
      <c r="G48" s="14" t="s">
        <v>105</v>
      </c>
      <c r="H48" s="14" t="s">
        <v>782</v>
      </c>
      <c r="I48" s="14" t="s">
        <v>783</v>
      </c>
      <c r="J48" s="14" t="s">
        <v>784</v>
      </c>
      <c r="K48" s="14" t="s">
        <v>778</v>
      </c>
      <c r="L48" s="14" t="s">
        <v>89</v>
      </c>
      <c r="M48" s="14" t="s">
        <v>785</v>
      </c>
      <c r="N48" s="14">
        <v>20</v>
      </c>
      <c r="O48" s="14" t="s">
        <v>282</v>
      </c>
      <c r="P48" s="14">
        <v>5</v>
      </c>
      <c r="Q48" s="14">
        <v>4</v>
      </c>
      <c r="R48" s="14">
        <v>60</v>
      </c>
      <c r="S48" s="16"/>
      <c r="T48" s="14" t="s">
        <v>71</v>
      </c>
      <c r="U48" s="14" t="s">
        <v>72</v>
      </c>
      <c r="V48" s="15" t="s">
        <v>520</v>
      </c>
      <c r="W48" s="30">
        <f>IF('CRUDO MARTES'!W48="Si",$N48,)</f>
        <v>20</v>
      </c>
      <c r="X48" s="30">
        <f>IF('CRUDO MARTES'!X48="Si",$N48,)</f>
        <v>0</v>
      </c>
      <c r="Y48" s="30">
        <f>IF('CRUDO MARTES'!Y48="Si",$N48,)</f>
        <v>0</v>
      </c>
      <c r="Z48" s="30">
        <f>IF('CRUDO MARTES'!Z48="Si",$N48,)</f>
        <v>0</v>
      </c>
      <c r="AA48" s="30">
        <f>IF('CRUDO MARTES'!AA48="Si",$N48,)</f>
        <v>0</v>
      </c>
      <c r="AB48" s="30">
        <f>IF('CRUDO MARTES'!AB48="Si",$N48,)</f>
        <v>20</v>
      </c>
      <c r="AC48" s="30">
        <f>IF('CRUDO MARTES'!AC48="Si",$N48,)</f>
        <v>0</v>
      </c>
      <c r="AD48" s="30">
        <f>IF('CRUDO MARTES'!AD48="Si",$N48,)</f>
        <v>0</v>
      </c>
      <c r="AE48" s="30">
        <f>IF('CRUDO MARTES'!AE48="Si",$N48,)</f>
        <v>0</v>
      </c>
      <c r="AF48" s="30">
        <f>IF('CRUDO MARTES'!AF48="Si",$N48,)</f>
        <v>0</v>
      </c>
      <c r="AG48" s="30">
        <f>IF('CRUDO MARTES'!AG48="Si",$N48,)</f>
        <v>0</v>
      </c>
      <c r="AH48" s="30">
        <f>IF('CRUDO MARTES'!AH48="Si",$N48,)</f>
        <v>0</v>
      </c>
      <c r="AI48" s="30">
        <f>IF('CRUDO MARTES'!AI48="Si",$N48,)</f>
        <v>0</v>
      </c>
      <c r="AJ48" s="30">
        <f>IF('CRUDO MARTES'!AJ48="Si",$N48,)</f>
        <v>0</v>
      </c>
      <c r="AK48" s="30">
        <f>IF('CRUDO MARTES'!AK48="Si",$N48,)</f>
        <v>0</v>
      </c>
      <c r="AL48" s="30">
        <f>IF('CRUDO MARTES'!AL48="Si",$N48,)</f>
        <v>0</v>
      </c>
      <c r="AM48" s="30">
        <f>IF('CRUDO MARTES'!AM48="Si",$N48,)</f>
        <v>0</v>
      </c>
      <c r="AN48" s="30">
        <f>IF('CRUDO MARTES'!AN48="Si",$N48,)</f>
        <v>0</v>
      </c>
      <c r="AO48" s="30">
        <f>IF('CRUDO MARTES'!AO48="Si",$N48,)</f>
        <v>0</v>
      </c>
      <c r="AP48" s="16"/>
      <c r="AQ48" s="16"/>
      <c r="AR48" s="14">
        <v>1</v>
      </c>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row>
    <row r="49" spans="1:88" ht="13.2">
      <c r="A49" s="13">
        <v>45366.611727268522</v>
      </c>
      <c r="B49" s="14" t="s">
        <v>786</v>
      </c>
      <c r="C49" s="28" t="s">
        <v>787</v>
      </c>
      <c r="D49" s="14">
        <v>20063700</v>
      </c>
      <c r="E49" s="14" t="s">
        <v>387</v>
      </c>
      <c r="F49" s="14" t="s">
        <v>788</v>
      </c>
      <c r="G49" s="14" t="s">
        <v>105</v>
      </c>
      <c r="H49" s="14" t="s">
        <v>789</v>
      </c>
      <c r="I49" s="14" t="s">
        <v>790</v>
      </c>
      <c r="J49" s="14" t="s">
        <v>791</v>
      </c>
      <c r="K49" s="14" t="s">
        <v>792</v>
      </c>
      <c r="L49" s="14" t="s">
        <v>89</v>
      </c>
      <c r="M49" s="14" t="s">
        <v>392</v>
      </c>
      <c r="N49" s="14">
        <v>35</v>
      </c>
      <c r="O49" s="14" t="s">
        <v>70</v>
      </c>
      <c r="P49" s="14">
        <v>4</v>
      </c>
      <c r="Q49" s="14">
        <v>4</v>
      </c>
      <c r="R49" s="14">
        <v>70</v>
      </c>
      <c r="S49" s="14" t="s">
        <v>793</v>
      </c>
      <c r="T49" s="14" t="s">
        <v>71</v>
      </c>
      <c r="U49" s="14" t="s">
        <v>72</v>
      </c>
      <c r="V49" s="15" t="s">
        <v>520</v>
      </c>
      <c r="W49" s="30">
        <f>IF('CRUDO MARTES'!W49="Si",$N49,)</f>
        <v>35</v>
      </c>
      <c r="X49" s="30">
        <f>IF('CRUDO MARTES'!X49="Si",$N49,)</f>
        <v>0</v>
      </c>
      <c r="Y49" s="30">
        <f>IF('CRUDO MARTES'!Y49="Si",$N49,)</f>
        <v>0</v>
      </c>
      <c r="Z49" s="30">
        <f>IF('CRUDO MARTES'!Z49="Si",$N49,)</f>
        <v>0</v>
      </c>
      <c r="AA49" s="30">
        <f>IF('CRUDO MARTES'!AA49="Si",$N49,)</f>
        <v>0</v>
      </c>
      <c r="AB49" s="30">
        <f>IF('CRUDO MARTES'!AB49="Si",$N49,)</f>
        <v>35</v>
      </c>
      <c r="AC49" s="30">
        <f>IF('CRUDO MARTES'!AC49="Si",$N49,)</f>
        <v>0</v>
      </c>
      <c r="AD49" s="30">
        <f>IF('CRUDO MARTES'!AD49="Si",$N49,)</f>
        <v>0</v>
      </c>
      <c r="AE49" s="30">
        <f>IF('CRUDO MARTES'!AE49="Si",$N49,)</f>
        <v>0</v>
      </c>
      <c r="AF49" s="30">
        <f>IF('CRUDO MARTES'!AF49="Si",$N49,)</f>
        <v>0</v>
      </c>
      <c r="AG49" s="30">
        <f>IF('CRUDO MARTES'!AG49="Si",$N49,)</f>
        <v>0</v>
      </c>
      <c r="AH49" s="30">
        <f>IF('CRUDO MARTES'!AH49="Si",$N49,)</f>
        <v>0</v>
      </c>
      <c r="AI49" s="31">
        <f>IF('CRUDO MARTES'!AI49="Si",$N49,)</f>
        <v>35</v>
      </c>
      <c r="AJ49" s="30">
        <f>IF('CRUDO MARTES'!AJ49="Si",$N49,)</f>
        <v>0</v>
      </c>
      <c r="AK49" s="30">
        <f>IF('CRUDO MARTES'!AK49="Si",$N49,)</f>
        <v>0</v>
      </c>
      <c r="AL49" s="30">
        <f>IF('CRUDO MARTES'!AL49="Si",$N49,)</f>
        <v>0</v>
      </c>
      <c r="AM49" s="30">
        <f>IF('CRUDO MARTES'!AM49="Si",$N49,)</f>
        <v>0</v>
      </c>
      <c r="AN49" s="30">
        <f>IF('CRUDO MARTES'!AN49="Si",$N49,)</f>
        <v>0</v>
      </c>
      <c r="AO49" s="30">
        <f>IF('CRUDO MARTES'!AO49="Si",$N49,)</f>
        <v>0</v>
      </c>
      <c r="AP49" s="14" t="s">
        <v>794</v>
      </c>
      <c r="AQ49" s="14"/>
      <c r="AR49" s="14">
        <v>1</v>
      </c>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row>
    <row r="50" spans="1:88" ht="13.2">
      <c r="A50" s="13">
        <v>45366.64229427083</v>
      </c>
      <c r="B50" s="14" t="s">
        <v>795</v>
      </c>
      <c r="C50" s="28" t="s">
        <v>796</v>
      </c>
      <c r="D50" s="14">
        <v>20063700</v>
      </c>
      <c r="E50" s="14" t="s">
        <v>387</v>
      </c>
      <c r="F50" s="14" t="s">
        <v>797</v>
      </c>
      <c r="G50" s="14" t="s">
        <v>105</v>
      </c>
      <c r="H50" s="14" t="s">
        <v>798</v>
      </c>
      <c r="I50" s="14" t="s">
        <v>799</v>
      </c>
      <c r="J50" s="14" t="s">
        <v>800</v>
      </c>
      <c r="K50" s="14" t="s">
        <v>795</v>
      </c>
      <c r="L50" s="14" t="s">
        <v>89</v>
      </c>
      <c r="M50" s="14" t="s">
        <v>392</v>
      </c>
      <c r="N50" s="14">
        <v>35</v>
      </c>
      <c r="O50" s="14" t="s">
        <v>70</v>
      </c>
      <c r="P50" s="14">
        <v>5</v>
      </c>
      <c r="Q50" s="14">
        <v>4</v>
      </c>
      <c r="R50" s="14">
        <v>80</v>
      </c>
      <c r="S50" s="14" t="s">
        <v>801</v>
      </c>
      <c r="T50" s="14" t="s">
        <v>72</v>
      </c>
      <c r="U50" s="14" t="s">
        <v>71</v>
      </c>
      <c r="V50" s="15" t="s">
        <v>520</v>
      </c>
      <c r="W50" s="30">
        <f>IF('CRUDO MARTES'!W50="Si",$N50,)</f>
        <v>0</v>
      </c>
      <c r="X50" s="30">
        <f>IF('CRUDO MARTES'!X50="Si",$N50,)</f>
        <v>0</v>
      </c>
      <c r="Y50" s="30">
        <f>IF('CRUDO MARTES'!Y50="Si",$N50,)</f>
        <v>0</v>
      </c>
      <c r="Z50" s="30">
        <f>IF('CRUDO MARTES'!Z50="Si",$N50,)</f>
        <v>35</v>
      </c>
      <c r="AA50" s="30">
        <f>IF('CRUDO MARTES'!AA50="Si",$N50,)</f>
        <v>0</v>
      </c>
      <c r="AB50" s="30">
        <f>IF('CRUDO MARTES'!AB50="Si",$N50,)</f>
        <v>0</v>
      </c>
      <c r="AC50" s="30">
        <f>IF('CRUDO MARTES'!AC50="Si",$N50,)</f>
        <v>0</v>
      </c>
      <c r="AD50" s="30">
        <f>IF('CRUDO MARTES'!AD50="Si",$N50,)</f>
        <v>0</v>
      </c>
      <c r="AE50" s="30">
        <f>IF('CRUDO MARTES'!AE50="Si",$N50,)</f>
        <v>0</v>
      </c>
      <c r="AF50" s="30">
        <f>IF('CRUDO MARTES'!AF50="Si",$N50,)</f>
        <v>35</v>
      </c>
      <c r="AG50" s="30">
        <f>IF('CRUDO MARTES'!AG50="Si",$N50,)</f>
        <v>0</v>
      </c>
      <c r="AH50" s="30">
        <f>IF('CRUDO MARTES'!AH50="Si",$N50,)</f>
        <v>0</v>
      </c>
      <c r="AI50" s="30">
        <f>IF('CRUDO MARTES'!AI50="Si",$N50,)</f>
        <v>0</v>
      </c>
      <c r="AJ50" s="30">
        <f>IF('CRUDO MARTES'!AJ50="Si",$N50,)</f>
        <v>0</v>
      </c>
      <c r="AK50" s="30">
        <f>IF('CRUDO MARTES'!AK50="Si",$N50,)</f>
        <v>0</v>
      </c>
      <c r="AL50" s="30">
        <f>IF('CRUDO MARTES'!AL50="Si",$N50,)</f>
        <v>0</v>
      </c>
      <c r="AM50" s="30">
        <f>IF('CRUDO MARTES'!AM50="Si",$N50,)</f>
        <v>0</v>
      </c>
      <c r="AN50" s="30">
        <f>IF('CRUDO MARTES'!AN50="Si",$N50,)</f>
        <v>0</v>
      </c>
      <c r="AO50" s="29">
        <v>0</v>
      </c>
      <c r="AP50" s="14" t="s">
        <v>802</v>
      </c>
      <c r="AQ50" s="14"/>
      <c r="AR50" s="14">
        <v>1</v>
      </c>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row>
    <row r="51" spans="1:88" ht="13.2">
      <c r="A51" s="13">
        <v>45366.64803232639</v>
      </c>
      <c r="B51" s="14" t="s">
        <v>795</v>
      </c>
      <c r="C51" s="28" t="s">
        <v>803</v>
      </c>
      <c r="D51" s="14">
        <v>20063700</v>
      </c>
      <c r="E51" s="14" t="s">
        <v>387</v>
      </c>
      <c r="F51" s="14" t="s">
        <v>804</v>
      </c>
      <c r="G51" s="14" t="s">
        <v>105</v>
      </c>
      <c r="H51" s="14" t="s">
        <v>805</v>
      </c>
      <c r="I51" s="14" t="s">
        <v>798</v>
      </c>
      <c r="J51" s="14" t="s">
        <v>800</v>
      </c>
      <c r="K51" s="14" t="s">
        <v>795</v>
      </c>
      <c r="L51" s="14" t="s">
        <v>89</v>
      </c>
      <c r="M51" s="14" t="s">
        <v>392</v>
      </c>
      <c r="N51" s="14">
        <v>35</v>
      </c>
      <c r="O51" s="14" t="s">
        <v>70</v>
      </c>
      <c r="P51" s="14">
        <v>5</v>
      </c>
      <c r="Q51" s="14">
        <v>4</v>
      </c>
      <c r="R51" s="14">
        <v>80</v>
      </c>
      <c r="S51" s="14" t="s">
        <v>806</v>
      </c>
      <c r="T51" s="14" t="s">
        <v>72</v>
      </c>
      <c r="U51" s="14" t="s">
        <v>71</v>
      </c>
      <c r="V51" s="15" t="s">
        <v>520</v>
      </c>
      <c r="W51" s="30">
        <f>IF('CRUDO MARTES'!W51="Si",$N51,)</f>
        <v>0</v>
      </c>
      <c r="X51" s="30">
        <f>IF('CRUDO MARTES'!X51="Si",$N51,)</f>
        <v>0</v>
      </c>
      <c r="Y51" s="30">
        <f>IF('CRUDO MARTES'!Y51="Si",$N51,)</f>
        <v>0</v>
      </c>
      <c r="Z51" s="30">
        <f>IF('CRUDO MARTES'!Z51="Si",$N51,)</f>
        <v>35</v>
      </c>
      <c r="AA51" s="30">
        <f>IF('CRUDO MARTES'!AA51="Si",$N51,)</f>
        <v>0</v>
      </c>
      <c r="AB51" s="30">
        <f>IF('CRUDO MARTES'!AB51="Si",$N51,)</f>
        <v>0</v>
      </c>
      <c r="AC51" s="30">
        <f>IF('CRUDO MARTES'!AC51="Si",$N51,)</f>
        <v>0</v>
      </c>
      <c r="AD51" s="30">
        <f>IF('CRUDO MARTES'!AD51="Si",$N51,)</f>
        <v>0</v>
      </c>
      <c r="AE51" s="30">
        <f>IF('CRUDO MARTES'!AE51="Si",$N51,)</f>
        <v>0</v>
      </c>
      <c r="AF51" s="30">
        <f>IF('CRUDO MARTES'!AF51="Si",$N51,)</f>
        <v>35</v>
      </c>
      <c r="AG51" s="30">
        <f>IF('CRUDO MARTES'!AG51="Si",$N51,)</f>
        <v>0</v>
      </c>
      <c r="AH51" s="30">
        <f>IF('CRUDO MARTES'!AH51="Si",$N51,)</f>
        <v>0</v>
      </c>
      <c r="AI51" s="30">
        <f>IF('CRUDO MARTES'!AI51="Si",$N51,)</f>
        <v>0</v>
      </c>
      <c r="AJ51" s="30">
        <f>IF('CRUDO MARTES'!AJ51="Si",$N51,)</f>
        <v>0</v>
      </c>
      <c r="AK51" s="29">
        <v>0</v>
      </c>
      <c r="AL51" s="30">
        <f>IF('CRUDO MARTES'!AL51="Si",$N51,)</f>
        <v>0</v>
      </c>
      <c r="AM51" s="30">
        <f>IF('CRUDO MARTES'!AM51="Si",$N51,)</f>
        <v>0</v>
      </c>
      <c r="AN51" s="30">
        <f>IF('CRUDO MARTES'!AN51="Si",$N51,)</f>
        <v>0</v>
      </c>
      <c r="AO51" s="29">
        <v>0</v>
      </c>
      <c r="AP51" s="14" t="s">
        <v>807</v>
      </c>
      <c r="AQ51" s="14"/>
      <c r="AR51" s="14">
        <v>1</v>
      </c>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row>
    <row r="52" spans="1:88" ht="26.4">
      <c r="A52" s="13">
        <v>45367.535389722223</v>
      </c>
      <c r="B52" s="14" t="s">
        <v>808</v>
      </c>
      <c r="C52" s="28" t="s">
        <v>421</v>
      </c>
      <c r="D52" s="14">
        <v>20116900</v>
      </c>
      <c r="E52" s="14" t="s">
        <v>286</v>
      </c>
      <c r="F52" s="14" t="s">
        <v>810</v>
      </c>
      <c r="G52" s="14" t="s">
        <v>105</v>
      </c>
      <c r="H52" s="14" t="s">
        <v>811</v>
      </c>
      <c r="I52" s="14" t="s">
        <v>812</v>
      </c>
      <c r="J52" s="14" t="s">
        <v>809</v>
      </c>
      <c r="K52" s="14" t="s">
        <v>808</v>
      </c>
      <c r="L52" s="14" t="s">
        <v>89</v>
      </c>
      <c r="M52" s="14" t="s">
        <v>425</v>
      </c>
      <c r="N52" s="14">
        <v>35</v>
      </c>
      <c r="O52" s="14" t="s">
        <v>282</v>
      </c>
      <c r="P52" s="14">
        <v>5</v>
      </c>
      <c r="Q52" s="14">
        <v>4</v>
      </c>
      <c r="R52" s="14">
        <v>50</v>
      </c>
      <c r="S52" s="16"/>
      <c r="T52" s="14" t="s">
        <v>72</v>
      </c>
      <c r="U52" s="14" t="s">
        <v>71</v>
      </c>
      <c r="V52" s="15" t="s">
        <v>520</v>
      </c>
      <c r="W52" s="30">
        <f>IF('CRUDO MARTES'!W52="Si",$N52,)</f>
        <v>0</v>
      </c>
      <c r="X52" s="30">
        <f>IF('CRUDO MARTES'!X52="Si",$N52,)</f>
        <v>0</v>
      </c>
      <c r="Y52" s="30">
        <f>IF('CRUDO MARTES'!Y52="Si",$N52,)</f>
        <v>0</v>
      </c>
      <c r="Z52" s="30">
        <f>IF('CRUDO MARTES'!Z52="Si",$N52,)</f>
        <v>35</v>
      </c>
      <c r="AA52" s="30">
        <f>IF('CRUDO MARTES'!AA52="Si",$N52,)</f>
        <v>0</v>
      </c>
      <c r="AB52" s="30">
        <f>IF('CRUDO MARTES'!AB52="Si",$N52,)</f>
        <v>0</v>
      </c>
      <c r="AC52" s="30">
        <f>IF('CRUDO MARTES'!AC52="Si",$N52,)</f>
        <v>0</v>
      </c>
      <c r="AD52" s="30">
        <f>IF('CRUDO MARTES'!AD52="Si",$N52,)</f>
        <v>0</v>
      </c>
      <c r="AE52" s="29">
        <v>0</v>
      </c>
      <c r="AF52" s="30">
        <f>IF('CRUDO MARTES'!AF52="Si",$N52,)</f>
        <v>35</v>
      </c>
      <c r="AG52" s="30">
        <f>IF('CRUDO MARTES'!AG52="Si",$N52,)</f>
        <v>0</v>
      </c>
      <c r="AH52" s="30">
        <f>IF('CRUDO MARTES'!AH52="Si",$N52,)</f>
        <v>0</v>
      </c>
      <c r="AI52" s="30">
        <f>IF('CRUDO MARTES'!AI52="Si",$N52,)</f>
        <v>0</v>
      </c>
      <c r="AJ52" s="29">
        <v>0</v>
      </c>
      <c r="AK52" s="29">
        <v>0</v>
      </c>
      <c r="AL52" s="30">
        <f>IF('CRUDO MARTES'!AL52="Si",$N52,)</f>
        <v>0</v>
      </c>
      <c r="AM52" s="30">
        <f>IF('CRUDO MARTES'!AM52="Si",$N52,)</f>
        <v>0</v>
      </c>
      <c r="AN52" s="29">
        <v>0</v>
      </c>
      <c r="AO52" s="29">
        <v>0</v>
      </c>
      <c r="AP52" s="16"/>
      <c r="AQ52" s="16"/>
      <c r="AR52" s="14">
        <v>1</v>
      </c>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row>
    <row r="53" spans="1:88" ht="13.2">
      <c r="A53" s="13">
        <v>45367.586076747684</v>
      </c>
      <c r="B53" s="14" t="s">
        <v>813</v>
      </c>
      <c r="C53" s="28" t="s">
        <v>814</v>
      </c>
      <c r="D53" s="14">
        <v>30640241698</v>
      </c>
      <c r="E53" s="14" t="s">
        <v>815</v>
      </c>
      <c r="F53" s="14" t="s">
        <v>676</v>
      </c>
      <c r="G53" s="14" t="s">
        <v>64</v>
      </c>
      <c r="H53" s="14" t="s">
        <v>816</v>
      </c>
      <c r="I53" s="14" t="s">
        <v>817</v>
      </c>
      <c r="J53" s="16"/>
      <c r="K53" s="14" t="s">
        <v>818</v>
      </c>
      <c r="L53" s="14" t="s">
        <v>89</v>
      </c>
      <c r="M53" s="14" t="s">
        <v>819</v>
      </c>
      <c r="N53" s="14">
        <v>20</v>
      </c>
      <c r="O53" s="14" t="s">
        <v>70</v>
      </c>
      <c r="P53" s="14">
        <v>4</v>
      </c>
      <c r="Q53" s="14">
        <v>3</v>
      </c>
      <c r="R53" s="14">
        <v>70</v>
      </c>
      <c r="S53" s="16"/>
      <c r="T53" s="14" t="s">
        <v>72</v>
      </c>
      <c r="U53" s="14" t="s">
        <v>71</v>
      </c>
      <c r="V53" s="15" t="s">
        <v>520</v>
      </c>
      <c r="W53" s="30">
        <f>IF('CRUDO MARTES'!W53="Si",$N53,)</f>
        <v>0</v>
      </c>
      <c r="X53" s="30">
        <f>IF('CRUDO MARTES'!X53="Si",$N53,)</f>
        <v>0</v>
      </c>
      <c r="Y53" s="30">
        <f>IF('CRUDO MARTES'!Y53="Si",$N53,)</f>
        <v>0</v>
      </c>
      <c r="Z53" s="30">
        <f>IF('CRUDO MARTES'!Z53="Si",$N53,)</f>
        <v>20</v>
      </c>
      <c r="AA53" s="30">
        <f>IF('CRUDO MARTES'!AA53="Si",$N53,)</f>
        <v>0</v>
      </c>
      <c r="AB53" s="30">
        <f>IF('CRUDO MARTES'!AB53="Si",$N53,)</f>
        <v>0</v>
      </c>
      <c r="AC53" s="30">
        <f>IF('CRUDO MARTES'!AC53="Si",$N53,)</f>
        <v>0</v>
      </c>
      <c r="AD53" s="29">
        <v>20</v>
      </c>
      <c r="AE53" s="29">
        <v>0</v>
      </c>
      <c r="AF53" s="29">
        <v>0</v>
      </c>
      <c r="AG53" s="30">
        <f>IF('CRUDO MARTES'!AG53="Si",$N53,)</f>
        <v>0</v>
      </c>
      <c r="AH53" s="30">
        <f>IF('CRUDO MARTES'!AH53="Si",$N53,)</f>
        <v>0</v>
      </c>
      <c r="AI53" s="30">
        <f>IF('CRUDO MARTES'!AI53="Si",$N53,)</f>
        <v>0</v>
      </c>
      <c r="AJ53" s="29">
        <v>0</v>
      </c>
      <c r="AK53" s="29">
        <v>0</v>
      </c>
      <c r="AL53" s="30">
        <f>IF('CRUDO MARTES'!AL53="Si",$N53,)</f>
        <v>0</v>
      </c>
      <c r="AM53" s="30">
        <f>IF('CRUDO MARTES'!AM53="Si",$N53,)</f>
        <v>0</v>
      </c>
      <c r="AN53" s="29">
        <v>0</v>
      </c>
      <c r="AO53" s="31">
        <f>IF('CRUDO MARTES'!AO53="Si",$N53,)</f>
        <v>20</v>
      </c>
      <c r="AP53" s="16"/>
      <c r="AQ53" s="16"/>
      <c r="AR53" s="14">
        <v>1</v>
      </c>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row>
    <row r="54" spans="1:88" ht="13.2">
      <c r="A54" s="21">
        <v>45367.586436516205</v>
      </c>
      <c r="B54" s="22" t="s">
        <v>820</v>
      </c>
      <c r="C54" s="22" t="s">
        <v>821</v>
      </c>
      <c r="D54" s="22">
        <v>605413</v>
      </c>
      <c r="E54" s="22" t="s">
        <v>84</v>
      </c>
      <c r="F54" s="22" t="s">
        <v>249</v>
      </c>
      <c r="G54" s="22" t="s">
        <v>64</v>
      </c>
      <c r="H54" s="22" t="s">
        <v>822</v>
      </c>
      <c r="I54" s="22" t="s">
        <v>823</v>
      </c>
      <c r="J54" s="22" t="s">
        <v>824</v>
      </c>
      <c r="K54" s="22" t="s">
        <v>820</v>
      </c>
      <c r="L54" s="22" t="s">
        <v>68</v>
      </c>
      <c r="M54" s="22" t="s">
        <v>825</v>
      </c>
      <c r="N54" s="22">
        <v>0</v>
      </c>
      <c r="O54" s="22" t="s">
        <v>148</v>
      </c>
      <c r="P54" s="22">
        <v>2</v>
      </c>
      <c r="Q54" s="22">
        <v>2</v>
      </c>
      <c r="R54" s="22">
        <v>10</v>
      </c>
      <c r="S54" s="22" t="s">
        <v>826</v>
      </c>
      <c r="T54" s="22" t="s">
        <v>71</v>
      </c>
      <c r="U54" s="22" t="s">
        <v>72</v>
      </c>
      <c r="V54" s="24" t="s">
        <v>520</v>
      </c>
      <c r="W54" s="26">
        <f>IF('CRUDO MARTES'!W54="Si",$N54,)</f>
        <v>0</v>
      </c>
      <c r="X54" s="26">
        <f>IF('CRUDO MARTES'!X54="Si",$N54,)</f>
        <v>0</v>
      </c>
      <c r="Y54" s="26">
        <f>IF('CRUDO MARTES'!Y54="Si",$N54,)</f>
        <v>0</v>
      </c>
      <c r="Z54" s="26">
        <f>IF('CRUDO MARTES'!Z54="Si",$N54,)</f>
        <v>0</v>
      </c>
      <c r="AA54" s="26">
        <f>IF('CRUDO MARTES'!AA54="Si",$N54,)</f>
        <v>0</v>
      </c>
      <c r="AB54" s="26">
        <f>IF('CRUDO MARTES'!AB54="Si",$N54,)</f>
        <v>0</v>
      </c>
      <c r="AC54" s="26">
        <f>IF('CRUDO MARTES'!AC54="Si",$N54,)</f>
        <v>0</v>
      </c>
      <c r="AD54" s="26">
        <f>IF('CRUDO MARTES'!AD54="Si",$N54,)</f>
        <v>0</v>
      </c>
      <c r="AE54" s="26">
        <f>IF('CRUDO MARTES'!AE54="Si",$N54,)</f>
        <v>0</v>
      </c>
      <c r="AF54" s="26">
        <f>IF('CRUDO MARTES'!AF54="Si",$N54,)</f>
        <v>0</v>
      </c>
      <c r="AG54" s="26">
        <f>IF('CRUDO MARTES'!AG54="Si",$N54,)</f>
        <v>0</v>
      </c>
      <c r="AH54" s="26">
        <f>IF('CRUDO MARTES'!AH54="Si",$N54,)</f>
        <v>0</v>
      </c>
      <c r="AI54" s="26">
        <f>IF('CRUDO MARTES'!AI54="Si",$N54,)</f>
        <v>0</v>
      </c>
      <c r="AJ54" s="26">
        <f>IF('CRUDO MARTES'!AJ54="Si",$N54,)</f>
        <v>0</v>
      </c>
      <c r="AK54" s="26">
        <f>IF('CRUDO MARTES'!AK54="Si",$N54,)</f>
        <v>0</v>
      </c>
      <c r="AL54" s="26">
        <f>IF('CRUDO MARTES'!AL54="Si",$N54,)</f>
        <v>0</v>
      </c>
      <c r="AM54" s="26">
        <f>IF('CRUDO MARTES'!AM54="Si",$N54,)</f>
        <v>0</v>
      </c>
      <c r="AN54" s="26">
        <f>IF('CRUDO MARTES'!AN54="Si",$N54,)</f>
        <v>0</v>
      </c>
      <c r="AO54" s="26">
        <f>IF('CRUDO MARTES'!AO54="Si",$N54,)</f>
        <v>0</v>
      </c>
      <c r="AP54" s="22" t="s">
        <v>827</v>
      </c>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row>
    <row r="55" spans="1:88" ht="13.2">
      <c r="A55" s="21">
        <v>45367.590295416667</v>
      </c>
      <c r="B55" s="22" t="s">
        <v>820</v>
      </c>
      <c r="C55" s="22" t="s">
        <v>828</v>
      </c>
      <c r="D55" s="22">
        <v>605413</v>
      </c>
      <c r="E55" s="22" t="s">
        <v>506</v>
      </c>
      <c r="F55" s="22" t="s">
        <v>630</v>
      </c>
      <c r="G55" s="22" t="s">
        <v>64</v>
      </c>
      <c r="H55" s="22" t="s">
        <v>822</v>
      </c>
      <c r="I55" s="22" t="s">
        <v>823</v>
      </c>
      <c r="J55" s="22" t="s">
        <v>824</v>
      </c>
      <c r="K55" s="22" t="s">
        <v>820</v>
      </c>
      <c r="L55" s="22" t="s">
        <v>68</v>
      </c>
      <c r="M55" s="22" t="s">
        <v>825</v>
      </c>
      <c r="N55" s="22">
        <v>0</v>
      </c>
      <c r="O55" s="22" t="s">
        <v>148</v>
      </c>
      <c r="P55" s="22">
        <v>2</v>
      </c>
      <c r="Q55" s="22">
        <v>2</v>
      </c>
      <c r="R55" s="22">
        <v>10</v>
      </c>
      <c r="S55" s="22" t="s">
        <v>829</v>
      </c>
      <c r="T55" s="22" t="s">
        <v>71</v>
      </c>
      <c r="U55" s="22" t="s">
        <v>72</v>
      </c>
      <c r="V55" s="24" t="s">
        <v>520</v>
      </c>
      <c r="W55" s="26">
        <f>IF('CRUDO MARTES'!W55="Si",$N55,)</f>
        <v>0</v>
      </c>
      <c r="X55" s="26">
        <f>IF('CRUDO MARTES'!X55="Si",$N55,)</f>
        <v>0</v>
      </c>
      <c r="Y55" s="26">
        <f>IF('CRUDO MARTES'!Y55="Si",$N55,)</f>
        <v>0</v>
      </c>
      <c r="Z55" s="26">
        <f>IF('CRUDO MARTES'!Z55="Si",$N55,)</f>
        <v>0</v>
      </c>
      <c r="AA55" s="26">
        <f>IF('CRUDO MARTES'!AA55="Si",$N55,)</f>
        <v>0</v>
      </c>
      <c r="AB55" s="26">
        <f>IF('CRUDO MARTES'!AB55="Si",$N55,)</f>
        <v>0</v>
      </c>
      <c r="AC55" s="26">
        <f>IF('CRUDO MARTES'!AC55="Si",$N55,)</f>
        <v>0</v>
      </c>
      <c r="AD55" s="26">
        <f>IF('CRUDO MARTES'!AD55="Si",$N55,)</f>
        <v>0</v>
      </c>
      <c r="AE55" s="26">
        <f>IF('CRUDO MARTES'!AE55="Si",$N55,)</f>
        <v>0</v>
      </c>
      <c r="AF55" s="26">
        <f>IF('CRUDO MARTES'!AF55="Si",$N55,)</f>
        <v>0</v>
      </c>
      <c r="AG55" s="26">
        <f>IF('CRUDO MARTES'!AG55="Si",$N55,)</f>
        <v>0</v>
      </c>
      <c r="AH55" s="26">
        <f>IF('CRUDO MARTES'!AH55="Si",$N55,)</f>
        <v>0</v>
      </c>
      <c r="AI55" s="26">
        <f>IF('CRUDO MARTES'!AI55="Si",$N55,)</f>
        <v>0</v>
      </c>
      <c r="AJ55" s="26">
        <f>IF('CRUDO MARTES'!AJ55="Si",$N55,)</f>
        <v>0</v>
      </c>
      <c r="AK55" s="26">
        <f>IF('CRUDO MARTES'!AK55="Si",$N55,)</f>
        <v>0</v>
      </c>
      <c r="AL55" s="26">
        <f>IF('CRUDO MARTES'!AL55="Si",$N55,)</f>
        <v>0</v>
      </c>
      <c r="AM55" s="26">
        <f>IF('CRUDO MARTES'!AM55="Si",$N55,)</f>
        <v>0</v>
      </c>
      <c r="AN55" s="26">
        <f>IF('CRUDO MARTES'!AN55="Si",$N55,)</f>
        <v>0</v>
      </c>
      <c r="AO55" s="26">
        <f>IF('CRUDO MARTES'!AO55="Si",$N55,)</f>
        <v>0</v>
      </c>
      <c r="AP55" s="22" t="s">
        <v>827</v>
      </c>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row>
    <row r="56" spans="1:88" ht="13.2">
      <c r="A56" s="13">
        <v>45368.450414085644</v>
      </c>
      <c r="B56" s="14" t="s">
        <v>830</v>
      </c>
      <c r="C56" s="28" t="s">
        <v>496</v>
      </c>
      <c r="D56" s="15" t="s">
        <v>831</v>
      </c>
      <c r="E56" s="14" t="s">
        <v>276</v>
      </c>
      <c r="F56" s="14" t="s">
        <v>832</v>
      </c>
      <c r="G56" s="14" t="s">
        <v>64</v>
      </c>
      <c r="H56" s="14" t="s">
        <v>833</v>
      </c>
      <c r="I56" s="14" t="s">
        <v>834</v>
      </c>
      <c r="J56" s="14" t="s">
        <v>835</v>
      </c>
      <c r="K56" s="14" t="s">
        <v>830</v>
      </c>
      <c r="L56" s="14" t="s">
        <v>89</v>
      </c>
      <c r="M56" s="14" t="s">
        <v>217</v>
      </c>
      <c r="N56" s="14">
        <v>35</v>
      </c>
      <c r="O56" s="14" t="s">
        <v>70</v>
      </c>
      <c r="P56" s="14">
        <v>5</v>
      </c>
      <c r="Q56" s="14">
        <v>5</v>
      </c>
      <c r="R56" s="14">
        <v>30</v>
      </c>
      <c r="S56" s="16"/>
      <c r="T56" s="14" t="s">
        <v>71</v>
      </c>
      <c r="U56" s="14" t="s">
        <v>72</v>
      </c>
      <c r="V56" s="15" t="s">
        <v>520</v>
      </c>
      <c r="W56" s="29">
        <v>0</v>
      </c>
      <c r="X56" s="29">
        <v>0</v>
      </c>
      <c r="Y56" s="30">
        <f>IF('CRUDO MARTES'!Y56="Si",$N56,)</f>
        <v>35</v>
      </c>
      <c r="Z56" s="30">
        <f>IF('CRUDO MARTES'!Z56="Si",$N56,)</f>
        <v>0</v>
      </c>
      <c r="AA56" s="29">
        <v>0</v>
      </c>
      <c r="AB56" s="30">
        <f>IF('CRUDO MARTES'!AB56="Si",$N56,)</f>
        <v>35</v>
      </c>
      <c r="AC56" s="29">
        <v>0</v>
      </c>
      <c r="AD56" s="30">
        <f>IF('CRUDO MARTES'!AD56="Si",$N56,)</f>
        <v>0</v>
      </c>
      <c r="AE56" s="30">
        <f>IF('CRUDO MARTES'!AE56="Si",$N56,)</f>
        <v>0</v>
      </c>
      <c r="AF56" s="30">
        <f>IF('CRUDO MARTES'!AF56="Si",$N56,)</f>
        <v>0</v>
      </c>
      <c r="AG56" s="29">
        <v>0</v>
      </c>
      <c r="AH56" s="29">
        <v>0</v>
      </c>
      <c r="AI56" s="29">
        <v>0</v>
      </c>
      <c r="AJ56" s="30">
        <f>IF('CRUDO MARTES'!AJ56="Si",$N56,)</f>
        <v>0</v>
      </c>
      <c r="AK56" s="30">
        <f>IF('CRUDO MARTES'!AK56="Si",$N56,)</f>
        <v>0</v>
      </c>
      <c r="AL56" s="29">
        <v>0</v>
      </c>
      <c r="AM56" s="29">
        <v>0</v>
      </c>
      <c r="AN56" s="30">
        <f>IF('CRUDO MARTES'!AN56="Si",$N56,)</f>
        <v>0</v>
      </c>
      <c r="AO56" s="30">
        <f>IF('CRUDO MARTES'!AO56="Si",$N56,)</f>
        <v>0</v>
      </c>
      <c r="AP56" s="16"/>
      <c r="AQ56" s="16"/>
      <c r="AR56" s="33">
        <v>1</v>
      </c>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row>
    <row r="57" spans="1:88" ht="26.4">
      <c r="A57" s="13">
        <v>45368.466132592592</v>
      </c>
      <c r="B57" s="14" t="s">
        <v>830</v>
      </c>
      <c r="C57" s="28" t="s">
        <v>836</v>
      </c>
      <c r="D57" s="14">
        <v>20036400</v>
      </c>
      <c r="E57" s="14" t="s">
        <v>133</v>
      </c>
      <c r="F57" s="14" t="s">
        <v>837</v>
      </c>
      <c r="G57" s="14" t="s">
        <v>105</v>
      </c>
      <c r="H57" s="14" t="s">
        <v>833</v>
      </c>
      <c r="I57" s="14" t="s">
        <v>838</v>
      </c>
      <c r="J57" s="14" t="s">
        <v>839</v>
      </c>
      <c r="K57" s="14" t="s">
        <v>830</v>
      </c>
      <c r="L57" s="14" t="s">
        <v>89</v>
      </c>
      <c r="M57" s="14" t="s">
        <v>840</v>
      </c>
      <c r="N57" s="14">
        <v>35</v>
      </c>
      <c r="O57" s="14" t="s">
        <v>70</v>
      </c>
      <c r="P57" s="14">
        <v>5</v>
      </c>
      <c r="Q57" s="14">
        <v>4</v>
      </c>
      <c r="R57" s="14">
        <v>80</v>
      </c>
      <c r="S57" s="14" t="s">
        <v>841</v>
      </c>
      <c r="T57" s="14" t="s">
        <v>72</v>
      </c>
      <c r="U57" s="14" t="s">
        <v>71</v>
      </c>
      <c r="V57" s="15" t="s">
        <v>520</v>
      </c>
      <c r="W57" s="30">
        <f>IF('CRUDO MARTES'!W57="Si",$N57,)</f>
        <v>0</v>
      </c>
      <c r="X57" s="30">
        <f>IF('CRUDO MARTES'!X57="Si",$N57,)</f>
        <v>0</v>
      </c>
      <c r="Y57" s="30">
        <f>IF('CRUDO MARTES'!Y57="Si",$N57,)</f>
        <v>0</v>
      </c>
      <c r="Z57" s="30">
        <f>IF('CRUDO MARTES'!Z57="Si",$N57,)</f>
        <v>35</v>
      </c>
      <c r="AA57" s="30">
        <f>IF('CRUDO MARTES'!AA57="Si",$N57,)</f>
        <v>0</v>
      </c>
      <c r="AB57" s="30">
        <f>IF('CRUDO MARTES'!AB57="Si",$N57,)</f>
        <v>0</v>
      </c>
      <c r="AC57" s="30">
        <f>IF('CRUDO MARTES'!AC57="Si",$N57,)</f>
        <v>0</v>
      </c>
      <c r="AD57" s="30">
        <f>IF('CRUDO MARTES'!AD57="Si",$N57,)</f>
        <v>35</v>
      </c>
      <c r="AE57" s="29">
        <v>0</v>
      </c>
      <c r="AF57" s="29">
        <v>0</v>
      </c>
      <c r="AG57" s="30">
        <f>IF('CRUDO MARTES'!AG57="Si",$N57,)</f>
        <v>0</v>
      </c>
      <c r="AH57" s="30">
        <f>IF('CRUDO MARTES'!AH57="Si",$N57,)</f>
        <v>0</v>
      </c>
      <c r="AI57" s="30">
        <f>IF('CRUDO MARTES'!AI57="Si",$N57,)</f>
        <v>0</v>
      </c>
      <c r="AJ57" s="29">
        <v>0</v>
      </c>
      <c r="AK57" s="29">
        <v>0</v>
      </c>
      <c r="AL57" s="30">
        <f>IF('CRUDO MARTES'!AL57="Si",$N57,)</f>
        <v>0</v>
      </c>
      <c r="AM57" s="30">
        <f>IF('CRUDO MARTES'!AM57="Si",$N57,)</f>
        <v>0</v>
      </c>
      <c r="AN57" s="29">
        <v>0</v>
      </c>
      <c r="AO57" s="31">
        <f>IF('CRUDO MARTES'!AO57="Si",$N57,)</f>
        <v>35</v>
      </c>
      <c r="AP57" s="16"/>
      <c r="AQ57" s="16"/>
      <c r="AR57" s="33">
        <v>1</v>
      </c>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row>
    <row r="58" spans="1:88" ht="13.2">
      <c r="A58" s="13">
        <v>45368.6555041088</v>
      </c>
      <c r="B58" s="14" t="s">
        <v>842</v>
      </c>
      <c r="C58" s="28" t="s">
        <v>843</v>
      </c>
      <c r="D58" s="14">
        <v>20097800</v>
      </c>
      <c r="E58" s="14" t="s">
        <v>133</v>
      </c>
      <c r="F58" s="14" t="s">
        <v>844</v>
      </c>
      <c r="G58" s="14" t="s">
        <v>64</v>
      </c>
      <c r="H58" s="14" t="s">
        <v>845</v>
      </c>
      <c r="I58" s="14" t="s">
        <v>845</v>
      </c>
      <c r="J58" s="16"/>
      <c r="K58" s="14" t="s">
        <v>842</v>
      </c>
      <c r="L58" s="14" t="s">
        <v>89</v>
      </c>
      <c r="M58" s="14" t="s">
        <v>846</v>
      </c>
      <c r="N58" s="14">
        <v>11</v>
      </c>
      <c r="O58" s="14" t="s">
        <v>70</v>
      </c>
      <c r="P58" s="14">
        <v>4</v>
      </c>
      <c r="Q58" s="14">
        <v>4</v>
      </c>
      <c r="R58" s="14">
        <v>0</v>
      </c>
      <c r="S58" s="16"/>
      <c r="T58" s="14" t="s">
        <v>72</v>
      </c>
      <c r="U58" s="14" t="s">
        <v>71</v>
      </c>
      <c r="V58" s="15" t="s">
        <v>520</v>
      </c>
      <c r="W58" s="30">
        <f>IF('CRUDO MARTES'!W58="Si",$N58,)</f>
        <v>0</v>
      </c>
      <c r="X58" s="30">
        <f>IF('CRUDO MARTES'!X58="Si",$N58,)</f>
        <v>0</v>
      </c>
      <c r="Y58" s="30">
        <f>IF('CRUDO MARTES'!Y58="Si",$N58,)</f>
        <v>0</v>
      </c>
      <c r="Z58" s="30">
        <f>IF('CRUDO MARTES'!Z58="Si",$N58,)</f>
        <v>11</v>
      </c>
      <c r="AA58" s="30">
        <f>IF('CRUDO MARTES'!AA58="Si",$N58,)</f>
        <v>0</v>
      </c>
      <c r="AB58" s="30">
        <f>IF('CRUDO MARTES'!AB58="Si",$N58,)</f>
        <v>0</v>
      </c>
      <c r="AC58" s="30">
        <f>IF('CRUDO MARTES'!AC58="Si",$N58,)</f>
        <v>0</v>
      </c>
      <c r="AD58" s="30">
        <f>IF('CRUDO MARTES'!AD58="Si",$N58,)</f>
        <v>11</v>
      </c>
      <c r="AE58" s="29">
        <v>0</v>
      </c>
      <c r="AF58" s="29">
        <v>0</v>
      </c>
      <c r="AG58" s="30">
        <f>IF('CRUDO MARTES'!AG58="Si",$N58,)</f>
        <v>0</v>
      </c>
      <c r="AH58" s="30">
        <f>IF('CRUDO MARTES'!AH58="Si",$N58,)</f>
        <v>0</v>
      </c>
      <c r="AI58" s="30">
        <f>IF('CRUDO MARTES'!AI58="Si",$N58,)</f>
        <v>0</v>
      </c>
      <c r="AJ58" s="29">
        <v>0</v>
      </c>
      <c r="AK58" s="29">
        <v>0</v>
      </c>
      <c r="AL58" s="30">
        <f>IF('CRUDO MARTES'!AL58="Si",$N58,)</f>
        <v>0</v>
      </c>
      <c r="AM58" s="30">
        <f>IF('CRUDO MARTES'!AM58="Si",$N58,)</f>
        <v>0</v>
      </c>
      <c r="AN58" s="29">
        <v>0</v>
      </c>
      <c r="AO58" s="31">
        <f>IF('CRUDO MARTES'!AO58="Si",$N58,)</f>
        <v>11</v>
      </c>
      <c r="AP58" s="16"/>
      <c r="AQ58" s="16"/>
      <c r="AR58" s="33">
        <v>1</v>
      </c>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row>
    <row r="59" spans="1:88" ht="13.2">
      <c r="A59" s="13">
        <v>45368.832537881943</v>
      </c>
      <c r="B59" s="14" t="s">
        <v>847</v>
      </c>
      <c r="C59" s="28" t="s">
        <v>848</v>
      </c>
      <c r="D59" s="15" t="s">
        <v>849</v>
      </c>
      <c r="E59" s="14" t="s">
        <v>62</v>
      </c>
      <c r="F59" s="14" t="s">
        <v>235</v>
      </c>
      <c r="G59" s="14" t="s">
        <v>64</v>
      </c>
      <c r="H59" s="14" t="s">
        <v>460</v>
      </c>
      <c r="I59" s="14" t="s">
        <v>850</v>
      </c>
      <c r="J59" s="14" t="s">
        <v>851</v>
      </c>
      <c r="K59" s="14" t="s">
        <v>847</v>
      </c>
      <c r="L59" s="14" t="s">
        <v>68</v>
      </c>
      <c r="M59" s="14" t="s">
        <v>852</v>
      </c>
      <c r="N59" s="14">
        <v>31</v>
      </c>
      <c r="O59" s="14" t="s">
        <v>70</v>
      </c>
      <c r="P59" s="14">
        <v>3</v>
      </c>
      <c r="Q59" s="14">
        <v>3</v>
      </c>
      <c r="R59" s="14">
        <v>50</v>
      </c>
      <c r="S59" s="16"/>
      <c r="T59" s="14" t="s">
        <v>71</v>
      </c>
      <c r="U59" s="14" t="s">
        <v>71</v>
      </c>
      <c r="V59" s="15" t="s">
        <v>520</v>
      </c>
      <c r="W59" s="30">
        <f>IF('CRUDO MARTES'!W59="Si",$N59,)</f>
        <v>0</v>
      </c>
      <c r="X59" s="30">
        <f>IF('CRUDO MARTES'!X59="Si",$N59,)</f>
        <v>0</v>
      </c>
      <c r="Y59" s="29">
        <v>0</v>
      </c>
      <c r="Z59" s="30">
        <f>IF('CRUDO MARTES'!Z59="Si",$N59,)</f>
        <v>31</v>
      </c>
      <c r="AA59" s="30">
        <f>IF('CRUDO MARTES'!AA59="Si",$N59,)</f>
        <v>0</v>
      </c>
      <c r="AB59" s="30">
        <f>IF('CRUDO MARTES'!AB59="Si",$N59,)</f>
        <v>0</v>
      </c>
      <c r="AC59" s="30">
        <f>IF('CRUDO MARTES'!AC59="Si",$N59,)</f>
        <v>0</v>
      </c>
      <c r="AD59" s="30">
        <f>IF('CRUDO MARTES'!AD59="Si",$N59,)</f>
        <v>31</v>
      </c>
      <c r="AE59" s="29">
        <v>0</v>
      </c>
      <c r="AF59" s="29">
        <v>31</v>
      </c>
      <c r="AG59" s="30">
        <f>IF('CRUDO MARTES'!AG59="Si",$N59,)</f>
        <v>0</v>
      </c>
      <c r="AH59" s="30">
        <f>IF('CRUDO MARTES'!AH59="Si",$N59,)</f>
        <v>0</v>
      </c>
      <c r="AI59" s="29">
        <v>0</v>
      </c>
      <c r="AJ59" s="29">
        <v>0</v>
      </c>
      <c r="AK59" s="32">
        <v>0</v>
      </c>
      <c r="AL59" s="30">
        <f>IF('CRUDO MARTES'!AL59="Si",$N59,)</f>
        <v>0</v>
      </c>
      <c r="AM59" s="31">
        <f>IF('CRUDO MARTES'!AM59="Si",$N59,)</f>
        <v>31</v>
      </c>
      <c r="AN59" s="29">
        <v>0</v>
      </c>
      <c r="AO59" s="29">
        <v>0</v>
      </c>
      <c r="AP59" s="16"/>
      <c r="AQ59" s="16"/>
      <c r="AR59" s="33">
        <v>1</v>
      </c>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row>
    <row r="60" spans="1:88" ht="13.2">
      <c r="A60" s="13">
        <v>45369.501063009258</v>
      </c>
      <c r="B60" s="14" t="s">
        <v>861</v>
      </c>
      <c r="C60" s="28" t="s">
        <v>862</v>
      </c>
      <c r="D60" s="14">
        <v>20086000</v>
      </c>
      <c r="E60" s="14" t="s">
        <v>84</v>
      </c>
      <c r="F60" s="14" t="s">
        <v>269</v>
      </c>
      <c r="G60" s="14" t="s">
        <v>64</v>
      </c>
      <c r="H60" s="14" t="s">
        <v>863</v>
      </c>
      <c r="I60" s="14" t="s">
        <v>864</v>
      </c>
      <c r="J60" s="14" t="s">
        <v>865</v>
      </c>
      <c r="K60" s="14" t="s">
        <v>861</v>
      </c>
      <c r="L60" s="14" t="s">
        <v>89</v>
      </c>
      <c r="M60" s="14" t="s">
        <v>313</v>
      </c>
      <c r="N60" s="14">
        <v>10</v>
      </c>
      <c r="O60" s="14" t="s">
        <v>70</v>
      </c>
      <c r="P60" s="14">
        <v>5</v>
      </c>
      <c r="Q60" s="14">
        <v>5</v>
      </c>
      <c r="R60" s="14">
        <v>0</v>
      </c>
      <c r="S60" s="16"/>
      <c r="T60" s="14" t="s">
        <v>71</v>
      </c>
      <c r="U60" s="14" t="s">
        <v>72</v>
      </c>
      <c r="V60" s="15" t="s">
        <v>520</v>
      </c>
      <c r="W60" s="30">
        <f>IF('CRUDO MARTES'!W60="Si",$N60,)</f>
        <v>0</v>
      </c>
      <c r="X60" s="30">
        <f>IF('CRUDO MARTES'!X60="Si",$N60,)</f>
        <v>0</v>
      </c>
      <c r="Y60" s="29">
        <v>10</v>
      </c>
      <c r="Z60" s="30">
        <f>IF('CRUDO MARTES'!Z60="Si",$N60,)</f>
        <v>0</v>
      </c>
      <c r="AA60" s="30">
        <f>IF('CRUDO MARTES'!AA60="Si",$N60,)</f>
        <v>10</v>
      </c>
      <c r="AB60" s="30">
        <f>IF('CRUDO MARTES'!AB60="Si",$N60,)</f>
        <v>0</v>
      </c>
      <c r="AC60" s="30">
        <f>IF('CRUDO MARTES'!AC60="Si",$N60,)</f>
        <v>0</v>
      </c>
      <c r="AD60" s="30">
        <f>IF('CRUDO MARTES'!AD60="Si",$N60,)</f>
        <v>0</v>
      </c>
      <c r="AE60" s="30">
        <f>IF('CRUDO MARTES'!AE60="Si",$N60,)</f>
        <v>0</v>
      </c>
      <c r="AF60" s="30">
        <f>IF('CRUDO MARTES'!AF60="Si",$N60,)</f>
        <v>0</v>
      </c>
      <c r="AG60" s="30">
        <f>IF('CRUDO MARTES'!AG60="Si",$N60,)</f>
        <v>0</v>
      </c>
      <c r="AH60" s="30">
        <f>IF('CRUDO MARTES'!AH60="Si",$N60,)</f>
        <v>0</v>
      </c>
      <c r="AI60" s="29">
        <v>0</v>
      </c>
      <c r="AJ60" s="30">
        <f>IF('CRUDO MARTES'!AJ60="Si",$N60,)</f>
        <v>0</v>
      </c>
      <c r="AK60" s="30">
        <f>IF('CRUDO MARTES'!AK60="Si",$N60,)</f>
        <v>0</v>
      </c>
      <c r="AL60" s="29">
        <v>0</v>
      </c>
      <c r="AM60" s="30">
        <f>IF('CRUDO MARTES'!AM60="Si",$N60,)</f>
        <v>0</v>
      </c>
      <c r="AN60" s="30">
        <f>IF('CRUDO MARTES'!AN60="Si",$N60,)</f>
        <v>0</v>
      </c>
      <c r="AO60" s="30">
        <f>IF('CRUDO MARTES'!AO60="Si",$N60,)</f>
        <v>0</v>
      </c>
      <c r="AP60" s="16"/>
      <c r="AQ60" s="16"/>
      <c r="AR60" s="33">
        <v>1</v>
      </c>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row>
    <row r="61" spans="1:88" ht="13.2">
      <c r="A61" s="13">
        <v>45369.567177847217</v>
      </c>
      <c r="B61" s="14" t="s">
        <v>813</v>
      </c>
      <c r="C61" s="28" t="s">
        <v>866</v>
      </c>
      <c r="D61" s="15" t="s">
        <v>867</v>
      </c>
      <c r="E61" s="14" t="s">
        <v>815</v>
      </c>
      <c r="F61" s="14" t="s">
        <v>676</v>
      </c>
      <c r="G61" s="14" t="s">
        <v>64</v>
      </c>
      <c r="H61" s="14" t="s">
        <v>816</v>
      </c>
      <c r="I61" s="14" t="s">
        <v>868</v>
      </c>
      <c r="J61" s="16"/>
      <c r="K61" s="14" t="s">
        <v>813</v>
      </c>
      <c r="L61" s="14" t="s">
        <v>89</v>
      </c>
      <c r="M61" s="14" t="s">
        <v>819</v>
      </c>
      <c r="N61" s="14">
        <v>18</v>
      </c>
      <c r="O61" s="14" t="s">
        <v>70</v>
      </c>
      <c r="P61" s="14">
        <v>3</v>
      </c>
      <c r="Q61" s="14">
        <v>3</v>
      </c>
      <c r="R61" s="14">
        <v>70</v>
      </c>
      <c r="S61" s="16"/>
      <c r="T61" s="14" t="s">
        <v>72</v>
      </c>
      <c r="U61" s="14" t="s">
        <v>71</v>
      </c>
      <c r="V61" s="15" t="s">
        <v>520</v>
      </c>
      <c r="W61" s="30">
        <f>IF('CRUDO MARTES'!W61="Si",$N61,)</f>
        <v>0</v>
      </c>
      <c r="X61" s="30">
        <f>IF('CRUDO MARTES'!X61="Si",$N61,)</f>
        <v>0</v>
      </c>
      <c r="Y61" s="30">
        <f>IF('CRUDO MARTES'!Y61="Si",$N61,)</f>
        <v>0</v>
      </c>
      <c r="Z61" s="30">
        <f>IF('CRUDO MARTES'!Z61="Si",$N61,)</f>
        <v>18</v>
      </c>
      <c r="AA61" s="30">
        <f>IF('CRUDO MARTES'!AA61="Si",$N61,)</f>
        <v>0</v>
      </c>
      <c r="AB61" s="30">
        <f>IF('CRUDO MARTES'!AB61="Si",$N61,)</f>
        <v>0</v>
      </c>
      <c r="AC61" s="30">
        <f>IF('CRUDO MARTES'!AC61="Si",$N61,)</f>
        <v>0</v>
      </c>
      <c r="AD61" s="30">
        <f>IF('CRUDO MARTES'!AD61="Si",$N61,)</f>
        <v>18</v>
      </c>
      <c r="AE61" s="29">
        <v>0</v>
      </c>
      <c r="AF61" s="29">
        <v>0</v>
      </c>
      <c r="AG61" s="30">
        <f>IF('CRUDO MARTES'!AG61="Si",$N61,)</f>
        <v>0</v>
      </c>
      <c r="AH61" s="30">
        <f>IF('CRUDO MARTES'!AH61="Si",$N61,)</f>
        <v>0</v>
      </c>
      <c r="AI61" s="30">
        <f>IF('CRUDO MARTES'!AI61="Si",$N61,)</f>
        <v>0</v>
      </c>
      <c r="AJ61" s="29">
        <v>0</v>
      </c>
      <c r="AK61" s="29">
        <v>0</v>
      </c>
      <c r="AL61" s="30">
        <f>IF('CRUDO MARTES'!AL61="Si",$N61,)</f>
        <v>0</v>
      </c>
      <c r="AM61" s="30">
        <f>IF('CRUDO MARTES'!AM61="Si",$N61,)</f>
        <v>0</v>
      </c>
      <c r="AN61" s="29">
        <v>0</v>
      </c>
      <c r="AO61" s="31">
        <f>IF('CRUDO MARTES'!AO61="Si",$N61,)</f>
        <v>18</v>
      </c>
      <c r="AP61" s="16"/>
      <c r="AQ61" s="16"/>
      <c r="AR61" s="33">
        <v>1</v>
      </c>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row>
    <row r="62" spans="1:88" ht="13.2">
      <c r="A62" s="13">
        <v>45369.583257303238</v>
      </c>
      <c r="B62" s="14" t="s">
        <v>869</v>
      </c>
      <c r="C62" s="28" t="s">
        <v>870</v>
      </c>
      <c r="D62" s="15" t="s">
        <v>871</v>
      </c>
      <c r="E62" s="14" t="s">
        <v>62</v>
      </c>
      <c r="F62" s="14" t="s">
        <v>872</v>
      </c>
      <c r="G62" s="14" t="s">
        <v>64</v>
      </c>
      <c r="H62" s="14" t="s">
        <v>873</v>
      </c>
      <c r="I62" s="14" t="s">
        <v>874</v>
      </c>
      <c r="J62" s="14" t="s">
        <v>875</v>
      </c>
      <c r="K62" s="14" t="s">
        <v>869</v>
      </c>
      <c r="L62" s="14" t="s">
        <v>138</v>
      </c>
      <c r="M62" s="14" t="s">
        <v>876</v>
      </c>
      <c r="N62" s="14">
        <v>35</v>
      </c>
      <c r="O62" s="14" t="s">
        <v>70</v>
      </c>
      <c r="P62" s="14">
        <v>5</v>
      </c>
      <c r="Q62" s="14">
        <v>5</v>
      </c>
      <c r="R62" s="14">
        <v>0</v>
      </c>
      <c r="S62" s="16"/>
      <c r="T62" s="14" t="s">
        <v>71</v>
      </c>
      <c r="U62" s="14" t="s">
        <v>72</v>
      </c>
      <c r="V62" s="15" t="s">
        <v>520</v>
      </c>
      <c r="W62" s="29">
        <v>0</v>
      </c>
      <c r="X62" s="30">
        <f>IF('CRUDO MARTES'!X62="Si",$N62,)</f>
        <v>35</v>
      </c>
      <c r="Y62" s="29">
        <v>0</v>
      </c>
      <c r="Z62" s="30">
        <f>IF('CRUDO MARTES'!Z62="Si",$N62,)</f>
        <v>0</v>
      </c>
      <c r="AA62" s="30">
        <f>IF('CRUDO MARTES'!AA62="Si",$N62,)</f>
        <v>35</v>
      </c>
      <c r="AB62" s="29">
        <v>0</v>
      </c>
      <c r="AC62" s="30">
        <f>IF('CRUDO MARTES'!AC62="Si",$N62,)</f>
        <v>35</v>
      </c>
      <c r="AD62" s="30">
        <f>IF('CRUDO MARTES'!AD62="Si",$N62,)</f>
        <v>0</v>
      </c>
      <c r="AE62" s="30">
        <f>IF('CRUDO MARTES'!AE62="Si",$N62,)</f>
        <v>0</v>
      </c>
      <c r="AF62" s="30">
        <f>IF('CRUDO MARTES'!AF62="Si",$N62,)</f>
        <v>0</v>
      </c>
      <c r="AG62" s="29">
        <v>0</v>
      </c>
      <c r="AH62" s="29">
        <v>0</v>
      </c>
      <c r="AI62" s="29">
        <v>0</v>
      </c>
      <c r="AJ62" s="30">
        <f>IF('CRUDO MARTES'!AJ62="Si",$N62,)</f>
        <v>0</v>
      </c>
      <c r="AK62" s="30">
        <f>IF('CRUDO MARTES'!AK62="Si",$N62,)</f>
        <v>0</v>
      </c>
      <c r="AL62" s="29">
        <v>0</v>
      </c>
      <c r="AM62" s="29">
        <v>0</v>
      </c>
      <c r="AN62" s="30">
        <f>IF('CRUDO MARTES'!AN62="Si",$N62,)</f>
        <v>0</v>
      </c>
      <c r="AO62" s="30">
        <f>IF('CRUDO MARTES'!AO62="Si",$N62,)</f>
        <v>0</v>
      </c>
      <c r="AP62" s="16"/>
      <c r="AQ62" s="16"/>
      <c r="AR62" s="33">
        <v>1</v>
      </c>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row>
    <row r="63" spans="1:88" ht="13.2">
      <c r="A63" s="13">
        <v>45369.684196400463</v>
      </c>
      <c r="B63" s="14" t="s">
        <v>877</v>
      </c>
      <c r="C63" s="28" t="s">
        <v>878</v>
      </c>
      <c r="D63" s="14">
        <v>2001920</v>
      </c>
      <c r="E63" s="14" t="s">
        <v>387</v>
      </c>
      <c r="F63" s="14" t="s">
        <v>879</v>
      </c>
      <c r="G63" s="14" t="s">
        <v>105</v>
      </c>
      <c r="H63" s="14" t="s">
        <v>880</v>
      </c>
      <c r="I63" s="14" t="s">
        <v>881</v>
      </c>
      <c r="J63" s="14" t="s">
        <v>882</v>
      </c>
      <c r="K63" s="14" t="s">
        <v>877</v>
      </c>
      <c r="L63" s="14" t="s">
        <v>89</v>
      </c>
      <c r="M63" s="14" t="s">
        <v>883</v>
      </c>
      <c r="N63" s="14">
        <v>35</v>
      </c>
      <c r="O63" s="14" t="s">
        <v>148</v>
      </c>
      <c r="P63" s="14">
        <v>4</v>
      </c>
      <c r="Q63" s="14">
        <v>4</v>
      </c>
      <c r="R63" s="14">
        <v>40</v>
      </c>
      <c r="S63" s="16"/>
      <c r="T63" s="14" t="s">
        <v>72</v>
      </c>
      <c r="U63" s="14" t="s">
        <v>71</v>
      </c>
      <c r="V63" s="15" t="s">
        <v>520</v>
      </c>
      <c r="W63" s="30">
        <f>IF('CRUDO MARTES'!W63="Si",$N63,)</f>
        <v>0</v>
      </c>
      <c r="X63" s="30">
        <f>IF('CRUDO MARTES'!X63="Si",$N63,)</f>
        <v>0</v>
      </c>
      <c r="Y63" s="30">
        <f>IF('CRUDO MARTES'!Y63="Si",$N63,)</f>
        <v>0</v>
      </c>
      <c r="Z63" s="30">
        <f>IF('CRUDO MARTES'!Z63="Si",$N63,)</f>
        <v>0</v>
      </c>
      <c r="AA63" s="30">
        <f>IF('CRUDO MARTES'!AA63="Si",$N63,)</f>
        <v>0</v>
      </c>
      <c r="AB63" s="30">
        <f>IF('CRUDO MARTES'!AB63="Si",$N63,)</f>
        <v>0</v>
      </c>
      <c r="AC63" s="30">
        <f>IF('CRUDO MARTES'!AC63="Si",$N63,)</f>
        <v>0</v>
      </c>
      <c r="AD63" s="30">
        <f>IF('CRUDO MARTES'!AD63="Si",$N63,)</f>
        <v>0</v>
      </c>
      <c r="AE63" s="30">
        <f>IF('CRUDO MARTES'!AE63="Si",$N63,)</f>
        <v>0</v>
      </c>
      <c r="AF63" s="30">
        <f>IF('CRUDO MARTES'!AF63="Si",$N63,)</f>
        <v>35</v>
      </c>
      <c r="AG63" s="30">
        <f>IF('CRUDO MARTES'!AG63="Si",$N63,)</f>
        <v>0</v>
      </c>
      <c r="AH63" s="30">
        <f>IF('CRUDO MARTES'!AH63="Si",$N63,)</f>
        <v>0</v>
      </c>
      <c r="AI63" s="30">
        <f>IF('CRUDO MARTES'!AI63="Si",$N63,)</f>
        <v>0</v>
      </c>
      <c r="AJ63" s="31">
        <f>IF('CRUDO MARTES'!AJ63="Si",$N63,)</f>
        <v>35</v>
      </c>
      <c r="AK63" s="30">
        <f>IF('CRUDO MARTES'!AK63="Si",$N63,)</f>
        <v>0</v>
      </c>
      <c r="AL63" s="30">
        <f>IF('CRUDO MARTES'!AL63="Si",$N63,)</f>
        <v>0</v>
      </c>
      <c r="AM63" s="30">
        <f>IF('CRUDO MARTES'!AM63="Si",$N63,)</f>
        <v>0</v>
      </c>
      <c r="AN63" s="30">
        <f>IF('CRUDO MARTES'!AN63="Si",$N63,)</f>
        <v>0</v>
      </c>
      <c r="AO63" s="30">
        <f>IF('CRUDO MARTES'!AO63="Si",$N63,)</f>
        <v>0</v>
      </c>
      <c r="AP63" s="14" t="s">
        <v>884</v>
      </c>
      <c r="AQ63" s="14"/>
      <c r="AR63" s="34">
        <v>1</v>
      </c>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row>
    <row r="64" spans="1:88" ht="13.2">
      <c r="A64" s="13">
        <v>45369.806593969908</v>
      </c>
      <c r="B64" s="14" t="s">
        <v>885</v>
      </c>
      <c r="C64" s="28" t="s">
        <v>886</v>
      </c>
      <c r="D64" s="15" t="s">
        <v>887</v>
      </c>
      <c r="E64" s="14" t="s">
        <v>84</v>
      </c>
      <c r="F64" s="14" t="s">
        <v>888</v>
      </c>
      <c r="G64" s="14" t="s">
        <v>64</v>
      </c>
      <c r="H64" s="14" t="s">
        <v>889</v>
      </c>
      <c r="I64" s="14" t="s">
        <v>890</v>
      </c>
      <c r="J64" s="16"/>
      <c r="K64" s="14" t="s">
        <v>885</v>
      </c>
      <c r="L64" s="14" t="s">
        <v>89</v>
      </c>
      <c r="M64" s="14" t="s">
        <v>846</v>
      </c>
      <c r="N64" s="14">
        <v>20</v>
      </c>
      <c r="O64" s="14" t="s">
        <v>70</v>
      </c>
      <c r="P64" s="14">
        <v>5</v>
      </c>
      <c r="Q64" s="14">
        <v>4</v>
      </c>
      <c r="R64" s="14">
        <v>0</v>
      </c>
      <c r="S64" s="16"/>
      <c r="T64" s="14" t="s">
        <v>71</v>
      </c>
      <c r="U64" s="14" t="s">
        <v>72</v>
      </c>
      <c r="V64" s="15" t="s">
        <v>520</v>
      </c>
      <c r="W64" s="29">
        <v>0</v>
      </c>
      <c r="X64" s="30">
        <f>IF('CRUDO MARTES'!X64="Si",$N64,)</f>
        <v>20</v>
      </c>
      <c r="Y64" s="29">
        <v>0</v>
      </c>
      <c r="Z64" s="30">
        <f>IF('CRUDO MARTES'!Z64="Si",$N64,)</f>
        <v>0</v>
      </c>
      <c r="AA64" s="30">
        <f>IF('CRUDO MARTES'!AA64="Si",$N64,)</f>
        <v>20</v>
      </c>
      <c r="AB64" s="29">
        <v>0</v>
      </c>
      <c r="AC64" s="30">
        <f>IF('CRUDO MARTES'!AC64="Si",$N64,)</f>
        <v>20</v>
      </c>
      <c r="AD64" s="29">
        <v>0</v>
      </c>
      <c r="AE64" s="30">
        <f>IF('CRUDO MARTES'!AE64="Si",$N64,)</f>
        <v>0</v>
      </c>
      <c r="AF64" s="30">
        <f>IF('CRUDO MARTES'!AF64="Si",$N64,)</f>
        <v>0</v>
      </c>
      <c r="AG64" s="29">
        <v>0</v>
      </c>
      <c r="AH64" s="29">
        <v>0</v>
      </c>
      <c r="AI64" s="29">
        <v>0</v>
      </c>
      <c r="AJ64" s="30">
        <f>IF('CRUDO MARTES'!AJ64="Si",$N64,)</f>
        <v>0</v>
      </c>
      <c r="AK64" s="30">
        <f>IF('CRUDO MARTES'!AK64="Si",$N64,)</f>
        <v>0</v>
      </c>
      <c r="AL64" s="29">
        <v>0</v>
      </c>
      <c r="AM64" s="29">
        <v>0</v>
      </c>
      <c r="AN64" s="30">
        <f>IF('CRUDO MARTES'!AN64="Si",$N64,)</f>
        <v>0</v>
      </c>
      <c r="AO64" s="30">
        <f>IF('CRUDO MARTES'!AO64="Si",$N64,)</f>
        <v>0</v>
      </c>
      <c r="AP64" s="14" t="s">
        <v>891</v>
      </c>
      <c r="AQ64" s="14"/>
      <c r="AR64" s="34">
        <v>1</v>
      </c>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row>
    <row r="65" spans="1:88" ht="13.2">
      <c r="A65" s="13">
        <v>45369.811967349538</v>
      </c>
      <c r="B65" s="14" t="s">
        <v>892</v>
      </c>
      <c r="C65" s="28" t="s">
        <v>893</v>
      </c>
      <c r="D65" s="14">
        <v>20000100</v>
      </c>
      <c r="E65" s="14" t="s">
        <v>133</v>
      </c>
      <c r="F65" s="14" t="s">
        <v>894</v>
      </c>
      <c r="G65" s="14" t="s">
        <v>64</v>
      </c>
      <c r="H65" s="14" t="s">
        <v>895</v>
      </c>
      <c r="I65" s="14" t="s">
        <v>896</v>
      </c>
      <c r="J65" s="14" t="s">
        <v>897</v>
      </c>
      <c r="K65" s="14" t="s">
        <v>892</v>
      </c>
      <c r="L65" s="14" t="s">
        <v>89</v>
      </c>
      <c r="M65" s="14" t="s">
        <v>898</v>
      </c>
      <c r="N65" s="14">
        <v>30</v>
      </c>
      <c r="O65" s="14" t="s">
        <v>70</v>
      </c>
      <c r="P65" s="14">
        <v>3</v>
      </c>
      <c r="Q65" s="14">
        <v>2</v>
      </c>
      <c r="R65" s="14">
        <v>15</v>
      </c>
      <c r="S65" s="16"/>
      <c r="T65" s="14" t="s">
        <v>71</v>
      </c>
      <c r="U65" s="14" t="s">
        <v>72</v>
      </c>
      <c r="V65" s="15" t="s">
        <v>520</v>
      </c>
      <c r="W65" s="29">
        <v>0</v>
      </c>
      <c r="X65" s="30">
        <f>IF('CRUDO MARTES'!X65="Si",$N65,)</f>
        <v>0</v>
      </c>
      <c r="Y65" s="30">
        <f>IF('CRUDO MARTES'!Y65="Si",$N65,)</f>
        <v>30</v>
      </c>
      <c r="Z65" s="30">
        <f>IF('CRUDO MARTES'!Z65="Si",$N65,)</f>
        <v>0</v>
      </c>
      <c r="AA65" s="30">
        <f>IF('CRUDO MARTES'!AA65="Si",$N65,)</f>
        <v>0</v>
      </c>
      <c r="AB65" s="30">
        <f>IF('CRUDO MARTES'!AB65="Si",$N65,)</f>
        <v>30</v>
      </c>
      <c r="AC65" s="30">
        <f>IF('CRUDO MARTES'!AC65="Si",$N65,)</f>
        <v>0</v>
      </c>
      <c r="AD65" s="30">
        <f>IF('CRUDO MARTES'!AD65="Si",$N65,)</f>
        <v>0</v>
      </c>
      <c r="AE65" s="30">
        <f>IF('CRUDO MARTES'!AE65="Si",$N65,)</f>
        <v>0</v>
      </c>
      <c r="AF65" s="30">
        <f>IF('CRUDO MARTES'!AF65="Si",$N65,)</f>
        <v>0</v>
      </c>
      <c r="AG65" s="30">
        <f>IF('CRUDO MARTES'!AG65="Si",$N65,)</f>
        <v>0</v>
      </c>
      <c r="AH65" s="30">
        <f>IF('CRUDO MARTES'!AH65="Si",$N65,)</f>
        <v>0</v>
      </c>
      <c r="AI65" s="30">
        <f>IF('CRUDO MARTES'!AI65="Si",$N65,)</f>
        <v>0</v>
      </c>
      <c r="AJ65" s="30">
        <f>IF('CRUDO MARTES'!AJ65="Si",$N65,)</f>
        <v>0</v>
      </c>
      <c r="AK65" s="30">
        <f>IF('CRUDO MARTES'!AK65="Si",$N65,)</f>
        <v>0</v>
      </c>
      <c r="AL65" s="30">
        <f>IF('CRUDO MARTES'!AL65="Si",$N65,)</f>
        <v>0</v>
      </c>
      <c r="AM65" s="30">
        <f>IF('CRUDO MARTES'!AM65="Si",$N65,)</f>
        <v>0</v>
      </c>
      <c r="AN65" s="30">
        <f>IF('CRUDO MARTES'!AN65="Si",$N65,)</f>
        <v>0</v>
      </c>
      <c r="AO65" s="30">
        <f>IF('CRUDO MARTES'!AO65="Si",$N65,)</f>
        <v>0</v>
      </c>
      <c r="AP65" s="16"/>
      <c r="AQ65" s="16"/>
      <c r="AR65" s="33">
        <v>1</v>
      </c>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row>
    <row r="66" spans="1:88" ht="13.2">
      <c r="A66" s="13">
        <v>45369.949660613427</v>
      </c>
      <c r="B66" s="14" t="s">
        <v>899</v>
      </c>
      <c r="C66" s="28" t="s">
        <v>900</v>
      </c>
      <c r="D66" s="14">
        <v>200740</v>
      </c>
      <c r="E66" s="14" t="s">
        <v>133</v>
      </c>
      <c r="F66" s="14" t="s">
        <v>901</v>
      </c>
      <c r="G66" s="14" t="s">
        <v>64</v>
      </c>
      <c r="H66" s="14" t="s">
        <v>902</v>
      </c>
      <c r="I66" s="14" t="s">
        <v>903</v>
      </c>
      <c r="J66" s="16"/>
      <c r="K66" s="14" t="s">
        <v>899</v>
      </c>
      <c r="L66" s="14" t="s">
        <v>89</v>
      </c>
      <c r="M66" s="14" t="s">
        <v>446</v>
      </c>
      <c r="N66" s="14">
        <v>22</v>
      </c>
      <c r="O66" s="14" t="s">
        <v>70</v>
      </c>
      <c r="P66" s="14">
        <v>4</v>
      </c>
      <c r="Q66" s="14">
        <v>4</v>
      </c>
      <c r="R66" s="14">
        <v>10</v>
      </c>
      <c r="S66" s="16"/>
      <c r="T66" s="14" t="s">
        <v>71</v>
      </c>
      <c r="U66" s="14" t="s">
        <v>72</v>
      </c>
      <c r="V66" s="15" t="s">
        <v>520</v>
      </c>
      <c r="W66" s="30">
        <f>IF('CRUDO MARTES'!W66="Si",$N66,)</f>
        <v>22</v>
      </c>
      <c r="X66" s="30">
        <f>IF('CRUDO MARTES'!X66="Si",$N66,)</f>
        <v>0</v>
      </c>
      <c r="Y66" s="30">
        <f>IF('CRUDO MARTES'!Y66="Si",$N66,)</f>
        <v>0</v>
      </c>
      <c r="Z66" s="30">
        <f>IF('CRUDO MARTES'!Z66="Si",$N66,)</f>
        <v>0</v>
      </c>
      <c r="AA66" s="30">
        <f>IF('CRUDO MARTES'!AA66="Si",$N66,)</f>
        <v>0</v>
      </c>
      <c r="AB66" s="30">
        <f>IF('CRUDO MARTES'!AB66="Si",$N66,)</f>
        <v>0</v>
      </c>
      <c r="AC66" s="30">
        <f>IF('CRUDO MARTES'!AC66="Si",$N66,)</f>
        <v>22</v>
      </c>
      <c r="AD66" s="30">
        <f>IF('CRUDO MARTES'!AD66="Si",$N66,)</f>
        <v>0</v>
      </c>
      <c r="AE66" s="30">
        <f>IF('CRUDO MARTES'!AE66="Si",$N66,)</f>
        <v>0</v>
      </c>
      <c r="AF66" s="30">
        <f>IF('CRUDO MARTES'!AF66="Si",$N66,)</f>
        <v>0</v>
      </c>
      <c r="AG66" s="30">
        <f>IF('CRUDO MARTES'!AG66="Si",$N66,)</f>
        <v>0</v>
      </c>
      <c r="AH66" s="29">
        <v>0</v>
      </c>
      <c r="AI66" s="30">
        <f>IF('CRUDO MARTES'!AI66="Si",$N66,)</f>
        <v>0</v>
      </c>
      <c r="AJ66" s="30">
        <f>IF('CRUDO MARTES'!AJ66="Si",$N66,)</f>
        <v>0</v>
      </c>
      <c r="AK66" s="30">
        <f>IF('CRUDO MARTES'!AK66="Si",$N66,)</f>
        <v>0</v>
      </c>
      <c r="AL66" s="30">
        <f>IF('CRUDO MARTES'!AL66="Si",$N66,)</f>
        <v>0</v>
      </c>
      <c r="AM66" s="29">
        <v>0</v>
      </c>
      <c r="AN66" s="30">
        <f>IF('CRUDO MARTES'!AN66="Si",$N66,)</f>
        <v>0</v>
      </c>
      <c r="AO66" s="30">
        <f>IF('CRUDO MARTES'!AO66="Si",$N66,)</f>
        <v>0</v>
      </c>
      <c r="AP66" s="16"/>
      <c r="AQ66" s="16"/>
      <c r="AR66" s="33">
        <v>1</v>
      </c>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row>
    <row r="67" spans="1:88" ht="13.2">
      <c r="A67" s="13">
        <v>45369.970670740746</v>
      </c>
      <c r="B67" s="14" t="s">
        <v>904</v>
      </c>
      <c r="C67" s="28" t="s">
        <v>905</v>
      </c>
      <c r="D67" s="14">
        <v>201690</v>
      </c>
      <c r="E67" s="14" t="s">
        <v>84</v>
      </c>
      <c r="F67" s="14" t="s">
        <v>304</v>
      </c>
      <c r="G67" s="14" t="s">
        <v>64</v>
      </c>
      <c r="H67" s="14" t="s">
        <v>906</v>
      </c>
      <c r="I67" s="14" t="s">
        <v>907</v>
      </c>
      <c r="J67" s="14" t="s">
        <v>908</v>
      </c>
      <c r="K67" s="14" t="s">
        <v>904</v>
      </c>
      <c r="L67" s="14" t="s">
        <v>89</v>
      </c>
      <c r="M67" s="14" t="s">
        <v>446</v>
      </c>
      <c r="N67" s="14">
        <v>21</v>
      </c>
      <c r="O67" s="14" t="s">
        <v>70</v>
      </c>
      <c r="P67" s="14">
        <v>5</v>
      </c>
      <c r="Q67" s="14">
        <v>5</v>
      </c>
      <c r="R67" s="14">
        <v>0</v>
      </c>
      <c r="S67" s="16"/>
      <c r="T67" s="14" t="s">
        <v>71</v>
      </c>
      <c r="U67" s="14" t="s">
        <v>72</v>
      </c>
      <c r="V67" s="15" t="s">
        <v>520</v>
      </c>
      <c r="W67" s="29">
        <v>0</v>
      </c>
      <c r="X67" s="29">
        <v>0</v>
      </c>
      <c r="Y67" s="30">
        <f>IF('CRUDO MARTES'!Y67="Si",$N67,)</f>
        <v>21</v>
      </c>
      <c r="Z67" s="30">
        <f>IF('CRUDO MARTES'!Z67="Si",$N67,)</f>
        <v>0</v>
      </c>
      <c r="AA67" s="30">
        <f>IF('CRUDO MARTES'!AA67="Si",$N67,)</f>
        <v>21</v>
      </c>
      <c r="AB67" s="29">
        <v>0</v>
      </c>
      <c r="AC67" s="29">
        <v>0</v>
      </c>
      <c r="AD67" s="30">
        <f>IF('CRUDO MARTES'!AD67="Si",$N67,)</f>
        <v>0</v>
      </c>
      <c r="AE67" s="30">
        <f>IF('CRUDO MARTES'!AE67="Si",$N67,)</f>
        <v>0</v>
      </c>
      <c r="AF67" s="30">
        <f>IF('CRUDO MARTES'!AF67="Si",$N67,)</f>
        <v>0</v>
      </c>
      <c r="AG67" s="29">
        <v>0</v>
      </c>
      <c r="AH67" s="29">
        <v>0</v>
      </c>
      <c r="AI67" s="29">
        <v>0</v>
      </c>
      <c r="AJ67" s="30">
        <f>IF('CRUDO MARTES'!AJ67="Si",$N67,)</f>
        <v>0</v>
      </c>
      <c r="AK67" s="30">
        <f>IF('CRUDO MARTES'!AK67="Si",$N67,)</f>
        <v>0</v>
      </c>
      <c r="AL67" s="31">
        <f>IF('CRUDO MARTES'!AL67="Si",$N67,)</f>
        <v>21</v>
      </c>
      <c r="AM67" s="29">
        <v>0</v>
      </c>
      <c r="AN67" s="30">
        <f>IF('CRUDO MARTES'!AN67="Si",$N67,)</f>
        <v>0</v>
      </c>
      <c r="AO67" s="30">
        <f>IF('CRUDO MARTES'!AO67="Si",$N67,)</f>
        <v>0</v>
      </c>
      <c r="AP67" s="14" t="s">
        <v>909</v>
      </c>
      <c r="AQ67" s="14"/>
      <c r="AR67" s="34">
        <v>1</v>
      </c>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row>
    <row r="68" spans="1:88" ht="13.2">
      <c r="A68" s="13">
        <v>45369.973896504627</v>
      </c>
      <c r="B68" s="14" t="s">
        <v>904</v>
      </c>
      <c r="C68" s="28" t="s">
        <v>910</v>
      </c>
      <c r="D68" s="14">
        <v>201690</v>
      </c>
      <c r="E68" s="14" t="s">
        <v>84</v>
      </c>
      <c r="F68" s="14" t="s">
        <v>304</v>
      </c>
      <c r="G68" s="14" t="s">
        <v>64</v>
      </c>
      <c r="H68" s="14" t="s">
        <v>906</v>
      </c>
      <c r="I68" s="14" t="s">
        <v>911</v>
      </c>
      <c r="J68" s="14" t="s">
        <v>908</v>
      </c>
      <c r="K68" s="14" t="s">
        <v>904</v>
      </c>
      <c r="L68" s="14" t="s">
        <v>89</v>
      </c>
      <c r="M68" s="14" t="s">
        <v>446</v>
      </c>
      <c r="N68" s="14">
        <v>22</v>
      </c>
      <c r="O68" s="14" t="s">
        <v>70</v>
      </c>
      <c r="P68" s="14">
        <v>5</v>
      </c>
      <c r="Q68" s="14">
        <v>5</v>
      </c>
      <c r="R68" s="14">
        <v>0</v>
      </c>
      <c r="S68" s="16"/>
      <c r="T68" s="14" t="s">
        <v>71</v>
      </c>
      <c r="U68" s="14" t="s">
        <v>72</v>
      </c>
      <c r="V68" s="15" t="s">
        <v>520</v>
      </c>
      <c r="W68" s="29">
        <v>0</v>
      </c>
      <c r="X68" s="29">
        <v>0</v>
      </c>
      <c r="Y68" s="30">
        <f>IF('CRUDO MARTES'!Y68="Si",$N68,)</f>
        <v>22</v>
      </c>
      <c r="Z68" s="30">
        <f>IF('CRUDO MARTES'!Z68="Si",$N68,)</f>
        <v>0</v>
      </c>
      <c r="AA68" s="30">
        <f>IF('CRUDO MARTES'!AA68="Si",$N68,)</f>
        <v>22</v>
      </c>
      <c r="AB68" s="29">
        <v>0</v>
      </c>
      <c r="AC68" s="29">
        <v>0</v>
      </c>
      <c r="AD68" s="30">
        <f>IF('CRUDO MARTES'!AD68="Si",$N68,)</f>
        <v>0</v>
      </c>
      <c r="AE68" s="30">
        <f>IF('CRUDO MARTES'!AE68="Si",$N68,)</f>
        <v>0</v>
      </c>
      <c r="AF68" s="30">
        <f>IF('CRUDO MARTES'!AF68="Si",$N68,)</f>
        <v>0</v>
      </c>
      <c r="AG68" s="29">
        <v>0</v>
      </c>
      <c r="AH68" s="29">
        <v>0</v>
      </c>
      <c r="AI68" s="29">
        <v>0</v>
      </c>
      <c r="AJ68" s="30">
        <f>IF('CRUDO MARTES'!AJ68="Si",$N68,)</f>
        <v>0</v>
      </c>
      <c r="AK68" s="30">
        <f>IF('CRUDO MARTES'!AK68="Si",$N68,)</f>
        <v>0</v>
      </c>
      <c r="AL68" s="31">
        <f>IF('CRUDO MARTES'!AL68="Si",$N68,)</f>
        <v>22</v>
      </c>
      <c r="AM68" s="29">
        <v>0</v>
      </c>
      <c r="AN68" s="30">
        <f>IF('CRUDO MARTES'!AN68="Si",$N68,)</f>
        <v>0</v>
      </c>
      <c r="AO68" s="30">
        <f>IF('CRUDO MARTES'!AO68="Si",$N68,)</f>
        <v>0</v>
      </c>
      <c r="AP68" s="14" t="s">
        <v>909</v>
      </c>
      <c r="AQ68" s="14"/>
      <c r="AR68" s="34">
        <v>1</v>
      </c>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row>
    <row r="69" spans="1:88" ht="13.2">
      <c r="A69" s="21">
        <v>45369.976511724541</v>
      </c>
      <c r="B69" s="22" t="s">
        <v>904</v>
      </c>
      <c r="C69" s="22" t="s">
        <v>910</v>
      </c>
      <c r="D69" s="22">
        <v>201690</v>
      </c>
      <c r="E69" s="22" t="s">
        <v>84</v>
      </c>
      <c r="F69" s="22" t="s">
        <v>304</v>
      </c>
      <c r="G69" s="22" t="s">
        <v>64</v>
      </c>
      <c r="H69" s="22" t="s">
        <v>906</v>
      </c>
      <c r="I69" s="22" t="s">
        <v>911</v>
      </c>
      <c r="J69" s="22" t="s">
        <v>908</v>
      </c>
      <c r="K69" s="22" t="s">
        <v>904</v>
      </c>
      <c r="L69" s="22" t="s">
        <v>89</v>
      </c>
      <c r="M69" s="22" t="s">
        <v>446</v>
      </c>
      <c r="N69" s="22">
        <v>0</v>
      </c>
      <c r="O69" s="22" t="s">
        <v>148</v>
      </c>
      <c r="P69" s="22">
        <v>5</v>
      </c>
      <c r="Q69" s="22">
        <v>5</v>
      </c>
      <c r="R69" s="22">
        <v>0</v>
      </c>
      <c r="S69" s="25"/>
      <c r="T69" s="22" t="s">
        <v>71</v>
      </c>
      <c r="U69" s="22" t="s">
        <v>72</v>
      </c>
      <c r="V69" s="24" t="s">
        <v>520</v>
      </c>
      <c r="W69" s="26">
        <f>IF('CRUDO MARTES'!W69="Si",$N69,)</f>
        <v>0</v>
      </c>
      <c r="X69" s="26">
        <f>IF('CRUDO MARTES'!X69="Si",$N69,)</f>
        <v>0</v>
      </c>
      <c r="Y69" s="26">
        <f>IF('CRUDO MARTES'!Y69="Si",$N69,)</f>
        <v>0</v>
      </c>
      <c r="Z69" s="26">
        <f>IF('CRUDO MARTES'!Z69="Si",$N69,)</f>
        <v>0</v>
      </c>
      <c r="AA69" s="26">
        <f>IF('CRUDO MARTES'!AA69="Si",$N69,)</f>
        <v>0</v>
      </c>
      <c r="AB69" s="26">
        <f>IF('CRUDO MARTES'!AB69="Si",$N69,)</f>
        <v>0</v>
      </c>
      <c r="AC69" s="26">
        <f>IF('CRUDO MARTES'!AC69="Si",$N69,)</f>
        <v>0</v>
      </c>
      <c r="AD69" s="26">
        <f>IF('CRUDO MARTES'!AD69="Si",$N69,)</f>
        <v>0</v>
      </c>
      <c r="AE69" s="26">
        <f>IF('CRUDO MARTES'!AE69="Si",$N69,)</f>
        <v>0</v>
      </c>
      <c r="AF69" s="26">
        <f>IF('CRUDO MARTES'!AF69="Si",$N69,)</f>
        <v>0</v>
      </c>
      <c r="AG69" s="26">
        <f>IF('CRUDO MARTES'!AG69="Si",$N69,)</f>
        <v>0</v>
      </c>
      <c r="AH69" s="26">
        <f>IF('CRUDO MARTES'!AH69="Si",$N69,)</f>
        <v>0</v>
      </c>
      <c r="AI69" s="26">
        <f>IF('CRUDO MARTES'!AI69="Si",$N69,)</f>
        <v>0</v>
      </c>
      <c r="AJ69" s="26">
        <f>IF('CRUDO MARTES'!AJ69="Si",$N69,)</f>
        <v>0</v>
      </c>
      <c r="AK69" s="26">
        <f>IF('CRUDO MARTES'!AK69="Si",$N69,)</f>
        <v>0</v>
      </c>
      <c r="AL69" s="26">
        <f>IF('CRUDO MARTES'!AL69="Si",$N69,)</f>
        <v>0</v>
      </c>
      <c r="AM69" s="26">
        <f>IF('CRUDO MARTES'!AM69="Si",$N69,)</f>
        <v>0</v>
      </c>
      <c r="AN69" s="26">
        <f>IF('CRUDO MARTES'!AN69="Si",$N69,)</f>
        <v>0</v>
      </c>
      <c r="AO69" s="26">
        <f>IF('CRUDO MARTES'!AO69="Si",$N69,)</f>
        <v>0</v>
      </c>
      <c r="AP69" s="22" t="s">
        <v>909</v>
      </c>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row>
    <row r="70" spans="1:88" ht="13.2">
      <c r="A70" s="21">
        <v>45369.978644664356</v>
      </c>
      <c r="B70" s="22" t="s">
        <v>904</v>
      </c>
      <c r="C70" s="22" t="s">
        <v>910</v>
      </c>
      <c r="D70" s="22">
        <v>201690</v>
      </c>
      <c r="E70" s="22" t="s">
        <v>84</v>
      </c>
      <c r="F70" s="22" t="s">
        <v>304</v>
      </c>
      <c r="G70" s="22" t="s">
        <v>64</v>
      </c>
      <c r="H70" s="22" t="s">
        <v>906</v>
      </c>
      <c r="I70" s="22" t="s">
        <v>911</v>
      </c>
      <c r="J70" s="22" t="s">
        <v>908</v>
      </c>
      <c r="K70" s="22" t="s">
        <v>904</v>
      </c>
      <c r="L70" s="22" t="s">
        <v>89</v>
      </c>
      <c r="M70" s="22" t="s">
        <v>446</v>
      </c>
      <c r="N70" s="22">
        <v>0</v>
      </c>
      <c r="O70" s="22" t="s">
        <v>148</v>
      </c>
      <c r="P70" s="22">
        <v>5</v>
      </c>
      <c r="Q70" s="22">
        <v>5</v>
      </c>
      <c r="R70" s="22">
        <v>0</v>
      </c>
      <c r="S70" s="25"/>
      <c r="T70" s="22" t="s">
        <v>71</v>
      </c>
      <c r="U70" s="22" t="s">
        <v>72</v>
      </c>
      <c r="V70" s="24" t="s">
        <v>520</v>
      </c>
      <c r="W70" s="26">
        <f>IF('CRUDO MARTES'!W70="Si",$N70,)</f>
        <v>0</v>
      </c>
      <c r="X70" s="26">
        <f>IF('CRUDO MARTES'!X70="Si",$N70,)</f>
        <v>0</v>
      </c>
      <c r="Y70" s="26">
        <f>IF('CRUDO MARTES'!Y70="Si",$N70,)</f>
        <v>0</v>
      </c>
      <c r="Z70" s="26">
        <f>IF('CRUDO MARTES'!Z70="Si",$N70,)</f>
        <v>0</v>
      </c>
      <c r="AA70" s="26">
        <f>IF('CRUDO MARTES'!AA70="Si",$N70,)</f>
        <v>0</v>
      </c>
      <c r="AB70" s="26">
        <f>IF('CRUDO MARTES'!AB70="Si",$N70,)</f>
        <v>0</v>
      </c>
      <c r="AC70" s="26">
        <f>IF('CRUDO MARTES'!AC70="Si",$N70,)</f>
        <v>0</v>
      </c>
      <c r="AD70" s="26">
        <f>IF('CRUDO MARTES'!AD70="Si",$N70,)</f>
        <v>0</v>
      </c>
      <c r="AE70" s="26">
        <f>IF('CRUDO MARTES'!AE70="Si",$N70,)</f>
        <v>0</v>
      </c>
      <c r="AF70" s="26">
        <f>IF('CRUDO MARTES'!AF70="Si",$N70,)</f>
        <v>0</v>
      </c>
      <c r="AG70" s="26">
        <f>IF('CRUDO MARTES'!AG70="Si",$N70,)</f>
        <v>0</v>
      </c>
      <c r="AH70" s="26">
        <f>IF('CRUDO MARTES'!AH70="Si",$N70,)</f>
        <v>0</v>
      </c>
      <c r="AI70" s="26">
        <f>IF('CRUDO MARTES'!AI70="Si",$N70,)</f>
        <v>0</v>
      </c>
      <c r="AJ70" s="26">
        <f>IF('CRUDO MARTES'!AJ70="Si",$N70,)</f>
        <v>0</v>
      </c>
      <c r="AK70" s="26">
        <f>IF('CRUDO MARTES'!AK70="Si",$N70,)</f>
        <v>0</v>
      </c>
      <c r="AL70" s="26">
        <f>IF('CRUDO MARTES'!AL70="Si",$N70,)</f>
        <v>0</v>
      </c>
      <c r="AM70" s="26">
        <f>IF('CRUDO MARTES'!AM70="Si",$N70,)</f>
        <v>0</v>
      </c>
      <c r="AN70" s="26">
        <f>IF('CRUDO MARTES'!AN70="Si",$N70,)</f>
        <v>0</v>
      </c>
      <c r="AO70" s="26">
        <f>IF('CRUDO MARTES'!AO70="Si",$N70,)</f>
        <v>0</v>
      </c>
      <c r="AP70" s="22" t="s">
        <v>909</v>
      </c>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row>
    <row r="71" spans="1:88" ht="13.2">
      <c r="A71" s="13">
        <v>45369.989024675924</v>
      </c>
      <c r="B71" s="14" t="s">
        <v>912</v>
      </c>
      <c r="C71" s="28" t="s">
        <v>913</v>
      </c>
      <c r="D71" s="14">
        <v>61726900</v>
      </c>
      <c r="E71" s="14" t="s">
        <v>62</v>
      </c>
      <c r="F71" s="14" t="s">
        <v>914</v>
      </c>
      <c r="G71" s="14" t="s">
        <v>105</v>
      </c>
      <c r="H71" s="14" t="s">
        <v>915</v>
      </c>
      <c r="I71" s="14" t="s">
        <v>916</v>
      </c>
      <c r="J71" s="16"/>
      <c r="K71" s="14" t="s">
        <v>912</v>
      </c>
      <c r="L71" s="14" t="s">
        <v>245</v>
      </c>
      <c r="M71" s="14" t="s">
        <v>246</v>
      </c>
      <c r="N71" s="14">
        <v>20</v>
      </c>
      <c r="O71" s="14" t="s">
        <v>70</v>
      </c>
      <c r="P71" s="14">
        <v>2</v>
      </c>
      <c r="Q71" s="14">
        <v>1</v>
      </c>
      <c r="R71" s="14">
        <v>15</v>
      </c>
      <c r="S71" s="14" t="s">
        <v>917</v>
      </c>
      <c r="T71" s="14" t="s">
        <v>71</v>
      </c>
      <c r="U71" s="14" t="s">
        <v>72</v>
      </c>
      <c r="V71" s="15" t="s">
        <v>520</v>
      </c>
      <c r="W71" s="29">
        <v>0</v>
      </c>
      <c r="X71" s="30">
        <f>IF('CRUDO MARTES'!X71="Si",$N71,)</f>
        <v>20</v>
      </c>
      <c r="Y71" s="30">
        <f>IF('CRUDO MARTES'!Y71="Si",$N71,)</f>
        <v>0</v>
      </c>
      <c r="Z71" s="30">
        <f>IF('CRUDO MARTES'!Z71="Si",$N71,)</f>
        <v>0</v>
      </c>
      <c r="AA71" s="30">
        <f>IF('CRUDO MARTES'!AA71="Si",$N71,)</f>
        <v>20</v>
      </c>
      <c r="AB71" s="29">
        <v>0</v>
      </c>
      <c r="AC71" s="30">
        <f>IF('CRUDO MARTES'!AC71="Si",$N71,)</f>
        <v>20</v>
      </c>
      <c r="AD71" s="30">
        <f>IF('CRUDO MARTES'!AD71="Si",$N71,)</f>
        <v>0</v>
      </c>
      <c r="AE71" s="30">
        <f>IF('CRUDO MARTES'!AE71="Si",$N71,)</f>
        <v>0</v>
      </c>
      <c r="AF71" s="30">
        <f>IF('CRUDO MARTES'!AF71="Si",$N71,)</f>
        <v>0</v>
      </c>
      <c r="AG71" s="29">
        <v>0</v>
      </c>
      <c r="AH71" s="29">
        <v>0</v>
      </c>
      <c r="AI71" s="29">
        <v>0</v>
      </c>
      <c r="AJ71" s="30">
        <f>IF('CRUDO MARTES'!AJ71="Si",$N71,)</f>
        <v>0</v>
      </c>
      <c r="AK71" s="30">
        <f>IF('CRUDO MARTES'!AK71="Si",$N71,)</f>
        <v>0</v>
      </c>
      <c r="AL71" s="29">
        <v>0</v>
      </c>
      <c r="AM71" s="30">
        <f>IF('CRUDO MARTES'!AM71="Si",$N71,)</f>
        <v>0</v>
      </c>
      <c r="AN71" s="30">
        <f>IF('CRUDO MARTES'!AN71="Si",$N71,)</f>
        <v>0</v>
      </c>
      <c r="AO71" s="30">
        <f>IF('CRUDO MARTES'!AO71="Si",$N71,)</f>
        <v>0</v>
      </c>
      <c r="AP71" s="14" t="s">
        <v>918</v>
      </c>
      <c r="AQ71" s="14"/>
      <c r="AR71" s="14">
        <v>1</v>
      </c>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row>
    <row r="72" spans="1:88" ht="13.2">
      <c r="A72" s="13">
        <v>45365.419531574073</v>
      </c>
      <c r="B72" s="14" t="s">
        <v>718</v>
      </c>
      <c r="C72" s="28" t="s">
        <v>719</v>
      </c>
      <c r="D72" s="15" t="s">
        <v>720</v>
      </c>
      <c r="E72" s="14" t="s">
        <v>286</v>
      </c>
      <c r="F72" s="14" t="s">
        <v>721</v>
      </c>
      <c r="G72" s="14" t="s">
        <v>105</v>
      </c>
      <c r="H72" s="14" t="s">
        <v>722</v>
      </c>
      <c r="I72" s="14" t="s">
        <v>723</v>
      </c>
      <c r="J72" s="16"/>
      <c r="K72" s="14" t="s">
        <v>718</v>
      </c>
      <c r="L72" s="14" t="s">
        <v>138</v>
      </c>
      <c r="M72" s="14" t="s">
        <v>281</v>
      </c>
      <c r="N72" s="14">
        <v>35</v>
      </c>
      <c r="O72" s="14" t="s">
        <v>282</v>
      </c>
      <c r="P72" s="14">
        <v>5</v>
      </c>
      <c r="Q72" s="14">
        <v>5</v>
      </c>
      <c r="R72" s="14">
        <v>45</v>
      </c>
      <c r="S72" s="14" t="s">
        <v>200</v>
      </c>
      <c r="T72" s="14" t="s">
        <v>71</v>
      </c>
      <c r="U72" s="14" t="s">
        <v>72</v>
      </c>
      <c r="V72" s="15" t="s">
        <v>520</v>
      </c>
      <c r="W72" s="30">
        <f>IF('CRUDO MARTES'!W72="Si",$N72,)</f>
        <v>0</v>
      </c>
      <c r="X72" s="30">
        <f>IF('CRUDO MARTES'!X72="Si",$N72,)</f>
        <v>35</v>
      </c>
      <c r="Y72" s="30">
        <f>IF('CRUDO MARTES'!Y72="Si",$N72,)</f>
        <v>0</v>
      </c>
      <c r="Z72" s="30">
        <f>IF('CRUDO MARTES'!Z72="Si",$N72,)</f>
        <v>0</v>
      </c>
      <c r="AA72" s="30">
        <f>IF('CRUDO MARTES'!AA72="Si",$N72,)</f>
        <v>35</v>
      </c>
      <c r="AB72" s="30">
        <f>IF('CRUDO MARTES'!AB72="Si",$N72,)</f>
        <v>0</v>
      </c>
      <c r="AC72" s="30">
        <f>IF('CRUDO MARTES'!AC72="Si",$N72,)</f>
        <v>0</v>
      </c>
      <c r="AD72" s="30">
        <f>IF('CRUDO MARTES'!AD72="Si",$N72,)</f>
        <v>0</v>
      </c>
      <c r="AE72" s="30">
        <f>IF('CRUDO MARTES'!AE72="Si",$N72,)</f>
        <v>0</v>
      </c>
      <c r="AF72" s="30">
        <f>IF('CRUDO MARTES'!AF72="Si",$N72,)</f>
        <v>0</v>
      </c>
      <c r="AG72" s="30">
        <f>IF('CRUDO MARTES'!AG72="Si",$N72,)</f>
        <v>0</v>
      </c>
      <c r="AH72" s="30">
        <f>IF('CRUDO MARTES'!AH72="Si",$N72,)</f>
        <v>0</v>
      </c>
      <c r="AI72" s="31">
        <f>IF('CRUDO MARTES'!AI72="Si",$N72,)</f>
        <v>35</v>
      </c>
      <c r="AJ72" s="30">
        <f>IF('CRUDO MARTES'!AJ72="Si",$N72,)</f>
        <v>0</v>
      </c>
      <c r="AK72" s="30">
        <f>IF('CRUDO MARTES'!AK72="Si",$N72,)</f>
        <v>0</v>
      </c>
      <c r="AL72" s="29">
        <v>0</v>
      </c>
      <c r="AM72" s="30">
        <f>IF('CRUDO MARTES'!AM72="Si",$N72,)</f>
        <v>0</v>
      </c>
      <c r="AN72" s="30">
        <f>IF('CRUDO MARTES'!AN72="Si",$N72,)</f>
        <v>0</v>
      </c>
      <c r="AO72" s="30">
        <f>IF('CRUDO MARTES'!AO72="Si",$N72,)</f>
        <v>0</v>
      </c>
      <c r="AP72" s="14" t="s">
        <v>724</v>
      </c>
      <c r="AR72" s="6">
        <v>1</v>
      </c>
    </row>
    <row r="73" spans="1:88" ht="26.4">
      <c r="A73" s="13">
        <v>45367.5013937037</v>
      </c>
      <c r="B73" s="14" t="s">
        <v>808</v>
      </c>
      <c r="C73" s="28" t="s">
        <v>421</v>
      </c>
      <c r="D73" s="14">
        <v>20116900</v>
      </c>
      <c r="E73" s="14" t="s">
        <v>286</v>
      </c>
      <c r="F73" s="14" t="s">
        <v>422</v>
      </c>
      <c r="G73" s="14" t="s">
        <v>105</v>
      </c>
      <c r="H73" s="14" t="s">
        <v>423</v>
      </c>
      <c r="I73" s="14" t="s">
        <v>423</v>
      </c>
      <c r="J73" s="14" t="s">
        <v>809</v>
      </c>
      <c r="K73" s="14" t="s">
        <v>808</v>
      </c>
      <c r="L73" s="14" t="s">
        <v>89</v>
      </c>
      <c r="M73" s="14" t="s">
        <v>425</v>
      </c>
      <c r="N73" s="14">
        <v>35</v>
      </c>
      <c r="O73" s="14" t="s">
        <v>282</v>
      </c>
      <c r="P73" s="14">
        <v>5</v>
      </c>
      <c r="Q73" s="14">
        <v>4</v>
      </c>
      <c r="R73" s="14">
        <v>60</v>
      </c>
      <c r="S73" s="16"/>
      <c r="T73" s="14" t="s">
        <v>71</v>
      </c>
      <c r="U73" s="14" t="s">
        <v>72</v>
      </c>
      <c r="V73" s="15" t="s">
        <v>520</v>
      </c>
      <c r="W73" s="30">
        <f>IF('CRUDO MARTES'!W73="Si",$N73,)</f>
        <v>35</v>
      </c>
      <c r="X73" s="29">
        <v>0</v>
      </c>
      <c r="Y73" s="29">
        <v>0</v>
      </c>
      <c r="Z73" s="30">
        <f>IF('CRUDO MARTES'!Z73="Si",$N73,)</f>
        <v>0</v>
      </c>
      <c r="AA73" s="29">
        <v>0</v>
      </c>
      <c r="AB73" s="29">
        <v>0</v>
      </c>
      <c r="AC73" s="30">
        <f>IF('CRUDO MARTES'!AC73="Si",$N73,)</f>
        <v>35</v>
      </c>
      <c r="AD73" s="30">
        <f>IF('CRUDO MARTES'!AD73="Si",$N73,)</f>
        <v>0</v>
      </c>
      <c r="AE73" s="30">
        <f>IF('CRUDO MARTES'!AE73="Si",$N73,)</f>
        <v>0</v>
      </c>
      <c r="AF73" s="30">
        <f>IF('CRUDO MARTES'!AF73="Si",$N73,)</f>
        <v>0</v>
      </c>
      <c r="AG73" s="29">
        <v>0</v>
      </c>
      <c r="AH73" s="31">
        <f>IF('CRUDO MARTES'!AH73="Si",$N73,)</f>
        <v>35</v>
      </c>
      <c r="AI73" s="29">
        <v>0</v>
      </c>
      <c r="AJ73" s="30">
        <f>IF('CRUDO MARTES'!AJ73="Si",$N73,)</f>
        <v>0</v>
      </c>
      <c r="AK73" s="30">
        <f>IF('CRUDO MARTES'!AK73="Si",$N73,)</f>
        <v>0</v>
      </c>
      <c r="AL73" s="29">
        <v>0</v>
      </c>
      <c r="AM73" s="29">
        <v>0</v>
      </c>
      <c r="AN73" s="30">
        <f>IF('CRUDO MARTES'!AN73="Si",$N73,)</f>
        <v>0</v>
      </c>
      <c r="AO73" s="30">
        <f>IF('CRUDO MARTES'!AO73="Si",$N73,)</f>
        <v>0</v>
      </c>
      <c r="AP73" s="16"/>
      <c r="AR73" s="6">
        <v>1</v>
      </c>
    </row>
    <row r="74" spans="1:88" ht="13.2">
      <c r="A74" s="13">
        <v>45369.031134166667</v>
      </c>
      <c r="B74" s="14" t="s">
        <v>853</v>
      </c>
      <c r="C74" s="28" t="s">
        <v>854</v>
      </c>
      <c r="D74" s="14">
        <v>61114200</v>
      </c>
      <c r="E74" s="14" t="s">
        <v>62</v>
      </c>
      <c r="F74" s="14" t="s">
        <v>855</v>
      </c>
      <c r="G74" s="14" t="s">
        <v>105</v>
      </c>
      <c r="H74" s="14" t="s">
        <v>856</v>
      </c>
      <c r="I74" s="14" t="s">
        <v>857</v>
      </c>
      <c r="J74" s="16"/>
      <c r="K74" s="14" t="s">
        <v>853</v>
      </c>
      <c r="L74" s="14" t="s">
        <v>245</v>
      </c>
      <c r="M74" s="14" t="s">
        <v>858</v>
      </c>
      <c r="N74" s="14">
        <v>12</v>
      </c>
      <c r="O74" s="14" t="s">
        <v>282</v>
      </c>
      <c r="P74" s="14">
        <v>1</v>
      </c>
      <c r="Q74" s="14">
        <v>1</v>
      </c>
      <c r="R74" s="14">
        <v>50</v>
      </c>
      <c r="S74" s="14" t="s">
        <v>859</v>
      </c>
      <c r="T74" s="14" t="s">
        <v>71</v>
      </c>
      <c r="U74" s="14" t="s">
        <v>72</v>
      </c>
      <c r="V74" s="15" t="s">
        <v>520</v>
      </c>
      <c r="W74" s="30">
        <f>IF('CRUDO MARTES'!W74="Si",$N74,)</f>
        <v>12</v>
      </c>
      <c r="X74" s="30">
        <f>IF('CRUDO MARTES'!X74="Si",$N74,)</f>
        <v>0</v>
      </c>
      <c r="Y74" s="30">
        <f>IF('CRUDO MARTES'!Y74="Si",$N74,)</f>
        <v>0</v>
      </c>
      <c r="Z74" s="30">
        <f>IF('CRUDO MARTES'!Z74="Si",$N74,)</f>
        <v>0</v>
      </c>
      <c r="AA74" s="30">
        <f>IF('CRUDO MARTES'!AA74="Si",$N74,)</f>
        <v>0</v>
      </c>
      <c r="AB74" s="30">
        <f>IF('CRUDO MARTES'!AB74="Si",$N74,)</f>
        <v>0</v>
      </c>
      <c r="AC74" s="30">
        <f>IF('CRUDO MARTES'!AC74="Si",$N74,)</f>
        <v>12</v>
      </c>
      <c r="AD74" s="30">
        <f>IF('CRUDO MARTES'!AD74="Si",$N74,)</f>
        <v>0</v>
      </c>
      <c r="AE74" s="29">
        <v>12</v>
      </c>
      <c r="AF74" s="30">
        <f>IF('CRUDO MARTES'!AF74="Si",$N74,)</f>
        <v>0</v>
      </c>
      <c r="AG74" s="30">
        <f>IF('CRUDO MARTES'!AG74="Si",$N74,)</f>
        <v>0</v>
      </c>
      <c r="AH74" s="30">
        <f>IF('CRUDO MARTES'!AH74="Si",$N74,)</f>
        <v>0</v>
      </c>
      <c r="AI74" s="30">
        <f>IF('CRUDO MARTES'!AI74="Si",$N74,)</f>
        <v>0</v>
      </c>
      <c r="AJ74" s="29">
        <v>0</v>
      </c>
      <c r="AK74" s="30">
        <f>IF('CRUDO MARTES'!AK74="Si",$N74,)</f>
        <v>0</v>
      </c>
      <c r="AL74" s="30">
        <f>IF('CRUDO MARTES'!AL74="Si",$N74,)</f>
        <v>0</v>
      </c>
      <c r="AM74" s="30">
        <f>IF('CRUDO MARTES'!AM74="Si",$N74,)</f>
        <v>0</v>
      </c>
      <c r="AN74" s="30">
        <f>IF('CRUDO MARTES'!AN74="Si",$N74,)</f>
        <v>0</v>
      </c>
      <c r="AO74" s="31">
        <f>IF('CRUDO MARTES'!AO74="Si",$N74,)</f>
        <v>12</v>
      </c>
      <c r="AP74" s="14" t="s">
        <v>860</v>
      </c>
      <c r="AR74" s="6">
        <v>1</v>
      </c>
    </row>
    <row r="75" spans="1:88" ht="13.2">
      <c r="C75" s="35"/>
    </row>
    <row r="76" spans="1:88" ht="13.2">
      <c r="C76" s="35"/>
      <c r="W76" s="12"/>
      <c r="X76" s="12"/>
      <c r="Y76" s="12"/>
      <c r="Z76" s="12"/>
      <c r="AA76" s="12"/>
      <c r="AB76" s="12"/>
      <c r="AC76" s="12"/>
      <c r="AD76" s="12"/>
      <c r="AE76" s="12"/>
      <c r="AF76" s="12"/>
      <c r="AG76" s="12"/>
      <c r="AH76" s="12"/>
      <c r="AI76" s="12"/>
      <c r="AJ76" s="12"/>
      <c r="AK76" s="12"/>
      <c r="AL76" s="12"/>
      <c r="AM76" s="12"/>
      <c r="AN76" s="12"/>
      <c r="AO76" s="12"/>
    </row>
    <row r="77" spans="1:88" ht="13.2">
      <c r="C77" s="35"/>
    </row>
    <row r="78" spans="1:88" ht="13.2">
      <c r="C78" s="35"/>
    </row>
    <row r="79" spans="1:88" ht="13.2">
      <c r="C79" s="35"/>
    </row>
    <row r="80" spans="1:88" ht="13.2">
      <c r="C80" s="35"/>
    </row>
    <row r="81" spans="3:3" ht="13.2">
      <c r="C81" s="35"/>
    </row>
    <row r="82" spans="3:3" ht="13.2">
      <c r="C82" s="35"/>
    </row>
    <row r="83" spans="3:3" ht="13.2">
      <c r="C83" s="35"/>
    </row>
    <row r="84" spans="3:3" ht="13.2">
      <c r="C84" s="35"/>
    </row>
    <row r="85" spans="3:3" ht="13.2">
      <c r="C85" s="35"/>
    </row>
    <row r="86" spans="3:3" ht="13.2">
      <c r="C86" s="35"/>
    </row>
    <row r="87" spans="3:3" ht="13.2">
      <c r="C87" s="35"/>
    </row>
    <row r="88" spans="3:3" ht="13.2">
      <c r="C88" s="35"/>
    </row>
    <row r="89" spans="3:3" ht="13.2">
      <c r="C89" s="35"/>
    </row>
    <row r="90" spans="3:3" ht="13.2">
      <c r="C90" s="35"/>
    </row>
    <row r="91" spans="3:3" ht="13.2">
      <c r="C91" s="35"/>
    </row>
    <row r="92" spans="3:3" ht="13.2">
      <c r="C92" s="35"/>
    </row>
    <row r="93" spans="3:3" ht="13.2">
      <c r="C93" s="35"/>
    </row>
    <row r="94" spans="3:3" ht="13.2">
      <c r="C94" s="35"/>
    </row>
    <row r="95" spans="3:3" ht="13.2">
      <c r="C95" s="35"/>
    </row>
    <row r="96" spans="3:3" ht="13.2">
      <c r="C96" s="35"/>
    </row>
    <row r="97" spans="3:3" ht="13.2">
      <c r="C97" s="35"/>
    </row>
    <row r="98" spans="3:3" ht="13.2">
      <c r="C98" s="35"/>
    </row>
    <row r="99" spans="3:3" ht="13.2">
      <c r="C99" s="35"/>
    </row>
    <row r="100" spans="3:3" ht="13.2">
      <c r="C100" s="35"/>
    </row>
    <row r="101" spans="3:3" ht="13.2">
      <c r="C101" s="35"/>
    </row>
    <row r="102" spans="3:3" ht="13.2">
      <c r="C102" s="35"/>
    </row>
    <row r="103" spans="3:3" ht="13.2">
      <c r="C103" s="35"/>
    </row>
    <row r="104" spans="3:3" ht="13.2">
      <c r="C104" s="35"/>
    </row>
    <row r="105" spans="3:3" ht="13.2">
      <c r="C105" s="35"/>
    </row>
    <row r="106" spans="3:3" ht="13.2">
      <c r="C106" s="35"/>
    </row>
    <row r="107" spans="3:3" ht="13.2">
      <c r="C107" s="35"/>
    </row>
    <row r="108" spans="3:3" ht="13.2">
      <c r="C108" s="35"/>
    </row>
    <row r="109" spans="3:3" ht="13.2">
      <c r="C109" s="35"/>
    </row>
    <row r="110" spans="3:3" ht="13.2">
      <c r="C110" s="35"/>
    </row>
    <row r="111" spans="3:3" ht="13.2">
      <c r="C111" s="35"/>
    </row>
    <row r="112" spans="3:3" ht="13.2">
      <c r="C112" s="35"/>
    </row>
    <row r="113" spans="3:3" ht="13.2">
      <c r="C113" s="35"/>
    </row>
    <row r="114" spans="3:3" ht="13.2">
      <c r="C114" s="35"/>
    </row>
    <row r="115" spans="3:3" ht="13.2">
      <c r="C115" s="35"/>
    </row>
    <row r="116" spans="3:3" ht="13.2">
      <c r="C116" s="35"/>
    </row>
    <row r="117" spans="3:3" ht="13.2">
      <c r="C117" s="35"/>
    </row>
    <row r="118" spans="3:3" ht="13.2">
      <c r="C118" s="35"/>
    </row>
    <row r="119" spans="3:3" ht="13.2">
      <c r="C119" s="35"/>
    </row>
    <row r="120" spans="3:3" ht="13.2">
      <c r="C120" s="35"/>
    </row>
    <row r="121" spans="3:3" ht="13.2">
      <c r="C121" s="35"/>
    </row>
    <row r="122" spans="3:3" ht="13.2">
      <c r="C122" s="35"/>
    </row>
    <row r="123" spans="3:3" ht="13.2">
      <c r="C123" s="35"/>
    </row>
    <row r="124" spans="3:3" ht="13.2">
      <c r="C124" s="35"/>
    </row>
    <row r="125" spans="3:3" ht="13.2">
      <c r="C125" s="35"/>
    </row>
    <row r="126" spans="3:3" ht="13.2">
      <c r="C126" s="35"/>
    </row>
    <row r="127" spans="3:3" ht="13.2">
      <c r="C127" s="35"/>
    </row>
    <row r="128" spans="3:3" ht="13.2">
      <c r="C128" s="35"/>
    </row>
    <row r="129" spans="3:3" ht="13.2">
      <c r="C129" s="35"/>
    </row>
    <row r="130" spans="3:3" ht="13.2">
      <c r="C130" s="35"/>
    </row>
    <row r="131" spans="3:3" ht="13.2">
      <c r="C131" s="35"/>
    </row>
    <row r="132" spans="3:3" ht="13.2">
      <c r="C132" s="35"/>
    </row>
    <row r="133" spans="3:3" ht="13.2">
      <c r="C133" s="35"/>
    </row>
    <row r="134" spans="3:3" ht="13.2">
      <c r="C134" s="35"/>
    </row>
    <row r="135" spans="3:3" ht="13.2">
      <c r="C135" s="35"/>
    </row>
    <row r="136" spans="3:3" ht="13.2">
      <c r="C136" s="35"/>
    </row>
    <row r="137" spans="3:3" ht="13.2">
      <c r="C137" s="35"/>
    </row>
    <row r="138" spans="3:3" ht="13.2">
      <c r="C138" s="35"/>
    </row>
    <row r="139" spans="3:3" ht="13.2">
      <c r="C139" s="35"/>
    </row>
    <row r="140" spans="3:3" ht="13.2">
      <c r="C140" s="35"/>
    </row>
    <row r="141" spans="3:3" ht="13.2">
      <c r="C141" s="35"/>
    </row>
    <row r="142" spans="3:3" ht="13.2">
      <c r="C142" s="35"/>
    </row>
    <row r="143" spans="3:3" ht="13.2">
      <c r="C143" s="35"/>
    </row>
    <row r="144" spans="3:3" ht="13.2">
      <c r="C144" s="35"/>
    </row>
    <row r="145" spans="3:3" ht="13.2">
      <c r="C145" s="35"/>
    </row>
    <row r="146" spans="3:3" ht="13.2">
      <c r="C146" s="35"/>
    </row>
    <row r="147" spans="3:3" ht="13.2">
      <c r="C147" s="35"/>
    </row>
    <row r="148" spans="3:3" ht="13.2">
      <c r="C148" s="35"/>
    </row>
    <row r="149" spans="3:3" ht="13.2">
      <c r="C149" s="35"/>
    </row>
    <row r="150" spans="3:3" ht="13.2">
      <c r="C150" s="35"/>
    </row>
    <row r="151" spans="3:3" ht="13.2">
      <c r="C151" s="35"/>
    </row>
    <row r="152" spans="3:3" ht="13.2">
      <c r="C152" s="35"/>
    </row>
    <row r="153" spans="3:3" ht="13.2">
      <c r="C153" s="35"/>
    </row>
    <row r="154" spans="3:3" ht="13.2">
      <c r="C154" s="35"/>
    </row>
    <row r="155" spans="3:3" ht="13.2">
      <c r="C155" s="35"/>
    </row>
    <row r="156" spans="3:3" ht="13.2">
      <c r="C156" s="35"/>
    </row>
    <row r="157" spans="3:3" ht="13.2">
      <c r="C157" s="35"/>
    </row>
    <row r="158" spans="3:3" ht="13.2">
      <c r="C158" s="35"/>
    </row>
    <row r="159" spans="3:3" ht="13.2">
      <c r="C159" s="35"/>
    </row>
    <row r="160" spans="3:3" ht="13.2">
      <c r="C160" s="35"/>
    </row>
    <row r="161" spans="3:3" ht="13.2">
      <c r="C161" s="35"/>
    </row>
    <row r="162" spans="3:3" ht="13.2">
      <c r="C162" s="35"/>
    </row>
    <row r="163" spans="3:3" ht="13.2">
      <c r="C163" s="35"/>
    </row>
    <row r="164" spans="3:3" ht="13.2">
      <c r="C164" s="35"/>
    </row>
    <row r="165" spans="3:3" ht="13.2">
      <c r="C165" s="35"/>
    </row>
    <row r="166" spans="3:3" ht="13.2">
      <c r="C166" s="35"/>
    </row>
    <row r="167" spans="3:3" ht="13.2">
      <c r="C167" s="35"/>
    </row>
    <row r="168" spans="3:3" ht="13.2">
      <c r="C168" s="35"/>
    </row>
    <row r="169" spans="3:3" ht="13.2">
      <c r="C169" s="35"/>
    </row>
    <row r="170" spans="3:3" ht="13.2">
      <c r="C170" s="35"/>
    </row>
    <row r="171" spans="3:3" ht="13.2">
      <c r="C171" s="35"/>
    </row>
    <row r="172" spans="3:3" ht="13.2">
      <c r="C172" s="35"/>
    </row>
    <row r="173" spans="3:3" ht="13.2">
      <c r="C173" s="35"/>
    </row>
    <row r="174" spans="3:3" ht="13.2">
      <c r="C174" s="35"/>
    </row>
    <row r="175" spans="3:3" ht="13.2">
      <c r="C175" s="35"/>
    </row>
    <row r="176" spans="3:3" ht="13.2">
      <c r="C176" s="35"/>
    </row>
    <row r="177" spans="3:3" ht="13.2">
      <c r="C177" s="35"/>
    </row>
    <row r="178" spans="3:3" ht="13.2">
      <c r="C178" s="35"/>
    </row>
    <row r="179" spans="3:3" ht="13.2">
      <c r="C179" s="35"/>
    </row>
    <row r="180" spans="3:3" ht="13.2">
      <c r="C180" s="35"/>
    </row>
    <row r="181" spans="3:3" ht="13.2">
      <c r="C181" s="35"/>
    </row>
    <row r="182" spans="3:3" ht="13.2">
      <c r="C182" s="35"/>
    </row>
    <row r="183" spans="3:3" ht="13.2">
      <c r="C183" s="35"/>
    </row>
    <row r="184" spans="3:3" ht="13.2">
      <c r="C184" s="35"/>
    </row>
    <row r="185" spans="3:3" ht="13.2">
      <c r="C185" s="35"/>
    </row>
    <row r="186" spans="3:3" ht="13.2">
      <c r="C186" s="35"/>
    </row>
    <row r="187" spans="3:3" ht="13.2">
      <c r="C187" s="35"/>
    </row>
    <row r="188" spans="3:3" ht="13.2">
      <c r="C188" s="35"/>
    </row>
    <row r="189" spans="3:3" ht="13.2">
      <c r="C189" s="35"/>
    </row>
    <row r="190" spans="3:3" ht="13.2">
      <c r="C190" s="35"/>
    </row>
    <row r="191" spans="3:3" ht="13.2">
      <c r="C191" s="35"/>
    </row>
    <row r="192" spans="3:3" ht="13.2">
      <c r="C192" s="35"/>
    </row>
    <row r="193" spans="3:3" ht="13.2">
      <c r="C193" s="35"/>
    </row>
    <row r="194" spans="3:3" ht="13.2">
      <c r="C194" s="35"/>
    </row>
    <row r="195" spans="3:3" ht="13.2">
      <c r="C195" s="35"/>
    </row>
    <row r="196" spans="3:3" ht="13.2">
      <c r="C196" s="35"/>
    </row>
    <row r="197" spans="3:3" ht="13.2">
      <c r="C197" s="35"/>
    </row>
    <row r="198" spans="3:3" ht="13.2">
      <c r="C198" s="35"/>
    </row>
    <row r="199" spans="3:3" ht="13.2">
      <c r="C199" s="35"/>
    </row>
    <row r="200" spans="3:3" ht="13.2">
      <c r="C200" s="35"/>
    </row>
    <row r="201" spans="3:3" ht="13.2">
      <c r="C201" s="35"/>
    </row>
    <row r="202" spans="3:3" ht="13.2">
      <c r="C202" s="35"/>
    </row>
    <row r="203" spans="3:3" ht="13.2">
      <c r="C203" s="35"/>
    </row>
    <row r="204" spans="3:3" ht="13.2">
      <c r="C204" s="35"/>
    </row>
    <row r="205" spans="3:3" ht="13.2">
      <c r="C205" s="35"/>
    </row>
    <row r="206" spans="3:3" ht="13.2">
      <c r="C206" s="35"/>
    </row>
    <row r="207" spans="3:3" ht="13.2">
      <c r="C207" s="35"/>
    </row>
    <row r="208" spans="3:3" ht="13.2">
      <c r="C208" s="35"/>
    </row>
    <row r="209" spans="3:3" ht="13.2">
      <c r="C209" s="35"/>
    </row>
    <row r="210" spans="3:3" ht="13.2">
      <c r="C210" s="35"/>
    </row>
    <row r="211" spans="3:3" ht="13.2">
      <c r="C211" s="35"/>
    </row>
    <row r="212" spans="3:3" ht="13.2">
      <c r="C212" s="35"/>
    </row>
    <row r="213" spans="3:3" ht="13.2">
      <c r="C213" s="35"/>
    </row>
    <row r="214" spans="3:3" ht="13.2">
      <c r="C214" s="35"/>
    </row>
    <row r="215" spans="3:3" ht="13.2">
      <c r="C215" s="35"/>
    </row>
    <row r="216" spans="3:3" ht="13.2">
      <c r="C216" s="35"/>
    </row>
    <row r="217" spans="3:3" ht="13.2">
      <c r="C217" s="35"/>
    </row>
    <row r="218" spans="3:3" ht="13.2">
      <c r="C218" s="35"/>
    </row>
    <row r="219" spans="3:3" ht="13.2">
      <c r="C219" s="35"/>
    </row>
    <row r="220" spans="3:3" ht="13.2">
      <c r="C220" s="35"/>
    </row>
    <row r="221" spans="3:3" ht="13.2">
      <c r="C221" s="35"/>
    </row>
    <row r="222" spans="3:3" ht="13.2">
      <c r="C222" s="35"/>
    </row>
    <row r="223" spans="3:3" ht="13.2">
      <c r="C223" s="35"/>
    </row>
    <row r="224" spans="3:3" ht="13.2">
      <c r="C224" s="35"/>
    </row>
    <row r="225" spans="3:3" ht="13.2">
      <c r="C225" s="35"/>
    </row>
    <row r="226" spans="3:3" ht="13.2">
      <c r="C226" s="35"/>
    </row>
    <row r="227" spans="3:3" ht="13.2">
      <c r="C227" s="35"/>
    </row>
    <row r="228" spans="3:3" ht="13.2">
      <c r="C228" s="35"/>
    </row>
    <row r="229" spans="3:3" ht="13.2">
      <c r="C229" s="35"/>
    </row>
    <row r="230" spans="3:3" ht="13.2">
      <c r="C230" s="35"/>
    </row>
    <row r="231" spans="3:3" ht="13.2">
      <c r="C231" s="35"/>
    </row>
    <row r="232" spans="3:3" ht="13.2">
      <c r="C232" s="35"/>
    </row>
    <row r="233" spans="3:3" ht="13.2">
      <c r="C233" s="35"/>
    </row>
    <row r="234" spans="3:3" ht="13.2">
      <c r="C234" s="35"/>
    </row>
    <row r="235" spans="3:3" ht="13.2">
      <c r="C235" s="35"/>
    </row>
    <row r="236" spans="3:3" ht="13.2">
      <c r="C236" s="35"/>
    </row>
    <row r="237" spans="3:3" ht="13.2">
      <c r="C237" s="35"/>
    </row>
    <row r="238" spans="3:3" ht="13.2">
      <c r="C238" s="35"/>
    </row>
    <row r="239" spans="3:3" ht="13.2">
      <c r="C239" s="35"/>
    </row>
    <row r="240" spans="3:3" ht="13.2">
      <c r="C240" s="35"/>
    </row>
    <row r="241" spans="3:3" ht="13.2">
      <c r="C241" s="35"/>
    </row>
    <row r="242" spans="3:3" ht="13.2">
      <c r="C242" s="35"/>
    </row>
    <row r="243" spans="3:3" ht="13.2">
      <c r="C243" s="35"/>
    </row>
    <row r="244" spans="3:3" ht="13.2">
      <c r="C244" s="35"/>
    </row>
    <row r="245" spans="3:3" ht="13.2">
      <c r="C245" s="35"/>
    </row>
    <row r="246" spans="3:3" ht="13.2">
      <c r="C246" s="35"/>
    </row>
    <row r="247" spans="3:3" ht="13.2">
      <c r="C247" s="35"/>
    </row>
    <row r="248" spans="3:3" ht="13.2">
      <c r="C248" s="35"/>
    </row>
    <row r="249" spans="3:3" ht="13.2">
      <c r="C249" s="35"/>
    </row>
    <row r="250" spans="3:3" ht="13.2">
      <c r="C250" s="35"/>
    </row>
    <row r="251" spans="3:3" ht="13.2">
      <c r="C251" s="35"/>
    </row>
    <row r="252" spans="3:3" ht="13.2">
      <c r="C252" s="35"/>
    </row>
    <row r="253" spans="3:3" ht="13.2">
      <c r="C253" s="35"/>
    </row>
    <row r="254" spans="3:3" ht="13.2">
      <c r="C254" s="35"/>
    </row>
    <row r="255" spans="3:3" ht="13.2">
      <c r="C255" s="35"/>
    </row>
    <row r="256" spans="3:3" ht="13.2">
      <c r="C256" s="35"/>
    </row>
    <row r="257" spans="3:3" ht="13.2">
      <c r="C257" s="35"/>
    </row>
    <row r="258" spans="3:3" ht="13.2">
      <c r="C258" s="35"/>
    </row>
    <row r="259" spans="3:3" ht="13.2">
      <c r="C259" s="35"/>
    </row>
    <row r="260" spans="3:3" ht="13.2">
      <c r="C260" s="35"/>
    </row>
    <row r="261" spans="3:3" ht="13.2">
      <c r="C261" s="35"/>
    </row>
    <row r="262" spans="3:3" ht="13.2">
      <c r="C262" s="35"/>
    </row>
    <row r="263" spans="3:3" ht="13.2">
      <c r="C263" s="35"/>
    </row>
    <row r="264" spans="3:3" ht="13.2">
      <c r="C264" s="35"/>
    </row>
    <row r="265" spans="3:3" ht="13.2">
      <c r="C265" s="35"/>
    </row>
    <row r="266" spans="3:3" ht="13.2">
      <c r="C266" s="35"/>
    </row>
    <row r="267" spans="3:3" ht="13.2">
      <c r="C267" s="35"/>
    </row>
    <row r="268" spans="3:3" ht="13.2">
      <c r="C268" s="35"/>
    </row>
    <row r="269" spans="3:3" ht="13.2">
      <c r="C269" s="35"/>
    </row>
    <row r="270" spans="3:3" ht="13.2">
      <c r="C270" s="35"/>
    </row>
    <row r="271" spans="3:3" ht="13.2">
      <c r="C271" s="35"/>
    </row>
    <row r="272" spans="3:3" ht="13.2">
      <c r="C272" s="35"/>
    </row>
    <row r="273" spans="3:3" ht="13.2">
      <c r="C273" s="35"/>
    </row>
    <row r="274" spans="3:3" ht="13.2">
      <c r="C274" s="35"/>
    </row>
    <row r="275" spans="3:3" ht="13.2">
      <c r="C275" s="35"/>
    </row>
    <row r="276" spans="3:3" ht="13.2">
      <c r="C276" s="35"/>
    </row>
    <row r="277" spans="3:3" ht="13.2">
      <c r="C277" s="35"/>
    </row>
    <row r="278" spans="3:3" ht="13.2">
      <c r="C278" s="35"/>
    </row>
    <row r="279" spans="3:3" ht="13.2">
      <c r="C279" s="35"/>
    </row>
    <row r="280" spans="3:3" ht="13.2">
      <c r="C280" s="35"/>
    </row>
    <row r="281" spans="3:3" ht="13.2">
      <c r="C281" s="35"/>
    </row>
    <row r="282" spans="3:3" ht="13.2">
      <c r="C282" s="35"/>
    </row>
    <row r="283" spans="3:3" ht="13.2">
      <c r="C283" s="35"/>
    </row>
    <row r="284" spans="3:3" ht="13.2">
      <c r="C284" s="35"/>
    </row>
    <row r="285" spans="3:3" ht="13.2">
      <c r="C285" s="35"/>
    </row>
    <row r="286" spans="3:3" ht="13.2">
      <c r="C286" s="35"/>
    </row>
    <row r="287" spans="3:3" ht="13.2">
      <c r="C287" s="35"/>
    </row>
    <row r="288" spans="3:3" ht="13.2">
      <c r="C288" s="35"/>
    </row>
    <row r="289" spans="3:3" ht="13.2">
      <c r="C289" s="35"/>
    </row>
    <row r="290" spans="3:3" ht="13.2">
      <c r="C290" s="35"/>
    </row>
    <row r="291" spans="3:3" ht="13.2">
      <c r="C291" s="35"/>
    </row>
    <row r="292" spans="3:3" ht="13.2">
      <c r="C292" s="35"/>
    </row>
    <row r="293" spans="3:3" ht="13.2">
      <c r="C293" s="35"/>
    </row>
    <row r="294" spans="3:3" ht="13.2">
      <c r="C294" s="35"/>
    </row>
    <row r="295" spans="3:3" ht="13.2">
      <c r="C295" s="35"/>
    </row>
    <row r="296" spans="3:3" ht="13.2">
      <c r="C296" s="35"/>
    </row>
    <row r="297" spans="3:3" ht="13.2">
      <c r="C297" s="35"/>
    </row>
    <row r="298" spans="3:3" ht="13.2">
      <c r="C298" s="35"/>
    </row>
    <row r="299" spans="3:3" ht="13.2">
      <c r="C299" s="35"/>
    </row>
    <row r="300" spans="3:3" ht="13.2">
      <c r="C300" s="35"/>
    </row>
    <row r="301" spans="3:3" ht="13.2">
      <c r="C301" s="35"/>
    </row>
    <row r="302" spans="3:3" ht="13.2">
      <c r="C302" s="35"/>
    </row>
    <row r="303" spans="3:3" ht="13.2">
      <c r="C303" s="35"/>
    </row>
    <row r="304" spans="3:3" ht="13.2">
      <c r="C304" s="35"/>
    </row>
    <row r="305" spans="3:3" ht="13.2">
      <c r="C305" s="35"/>
    </row>
    <row r="306" spans="3:3" ht="13.2">
      <c r="C306" s="35"/>
    </row>
    <row r="307" spans="3:3" ht="13.2">
      <c r="C307" s="35"/>
    </row>
    <row r="308" spans="3:3" ht="13.2">
      <c r="C308" s="35"/>
    </row>
    <row r="309" spans="3:3" ht="13.2">
      <c r="C309" s="35"/>
    </row>
    <row r="310" spans="3:3" ht="13.2">
      <c r="C310" s="35"/>
    </row>
    <row r="311" spans="3:3" ht="13.2">
      <c r="C311" s="35"/>
    </row>
    <row r="312" spans="3:3" ht="13.2">
      <c r="C312" s="35"/>
    </row>
    <row r="313" spans="3:3" ht="13.2">
      <c r="C313" s="35"/>
    </row>
    <row r="314" spans="3:3" ht="13.2">
      <c r="C314" s="35"/>
    </row>
    <row r="315" spans="3:3" ht="13.2">
      <c r="C315" s="35"/>
    </row>
    <row r="316" spans="3:3" ht="13.2">
      <c r="C316" s="35"/>
    </row>
    <row r="317" spans="3:3" ht="13.2">
      <c r="C317" s="35"/>
    </row>
    <row r="318" spans="3:3" ht="13.2">
      <c r="C318" s="35"/>
    </row>
    <row r="319" spans="3:3" ht="13.2">
      <c r="C319" s="35"/>
    </row>
    <row r="320" spans="3:3" ht="13.2">
      <c r="C320" s="35"/>
    </row>
    <row r="321" spans="3:3" ht="13.2">
      <c r="C321" s="35"/>
    </row>
    <row r="322" spans="3:3" ht="13.2">
      <c r="C322" s="35"/>
    </row>
    <row r="323" spans="3:3" ht="13.2">
      <c r="C323" s="35"/>
    </row>
    <row r="324" spans="3:3" ht="13.2">
      <c r="C324" s="35"/>
    </row>
    <row r="325" spans="3:3" ht="13.2">
      <c r="C325" s="35"/>
    </row>
    <row r="326" spans="3:3" ht="13.2">
      <c r="C326" s="35"/>
    </row>
    <row r="327" spans="3:3" ht="13.2">
      <c r="C327" s="35"/>
    </row>
    <row r="328" spans="3:3" ht="13.2">
      <c r="C328" s="35"/>
    </row>
    <row r="329" spans="3:3" ht="13.2">
      <c r="C329" s="35"/>
    </row>
    <row r="330" spans="3:3" ht="13.2">
      <c r="C330" s="35"/>
    </row>
    <row r="331" spans="3:3" ht="13.2">
      <c r="C331" s="35"/>
    </row>
    <row r="332" spans="3:3" ht="13.2">
      <c r="C332" s="35"/>
    </row>
    <row r="333" spans="3:3" ht="13.2">
      <c r="C333" s="35"/>
    </row>
    <row r="334" spans="3:3" ht="13.2">
      <c r="C334" s="35"/>
    </row>
    <row r="335" spans="3:3" ht="13.2">
      <c r="C335" s="35"/>
    </row>
    <row r="336" spans="3:3" ht="13.2">
      <c r="C336" s="35"/>
    </row>
    <row r="337" spans="3:3" ht="13.2">
      <c r="C337" s="35"/>
    </row>
    <row r="338" spans="3:3" ht="13.2">
      <c r="C338" s="35"/>
    </row>
    <row r="339" spans="3:3" ht="13.2">
      <c r="C339" s="35"/>
    </row>
    <row r="340" spans="3:3" ht="13.2">
      <c r="C340" s="35"/>
    </row>
    <row r="341" spans="3:3" ht="13.2">
      <c r="C341" s="35"/>
    </row>
    <row r="342" spans="3:3" ht="13.2">
      <c r="C342" s="35"/>
    </row>
    <row r="343" spans="3:3" ht="13.2">
      <c r="C343" s="35"/>
    </row>
    <row r="344" spans="3:3" ht="13.2">
      <c r="C344" s="35"/>
    </row>
    <row r="345" spans="3:3" ht="13.2">
      <c r="C345" s="35"/>
    </row>
    <row r="346" spans="3:3" ht="13.2">
      <c r="C346" s="35"/>
    </row>
    <row r="347" spans="3:3" ht="13.2">
      <c r="C347" s="35"/>
    </row>
    <row r="348" spans="3:3" ht="13.2">
      <c r="C348" s="35"/>
    </row>
    <row r="349" spans="3:3" ht="13.2">
      <c r="C349" s="35"/>
    </row>
    <row r="350" spans="3:3" ht="13.2">
      <c r="C350" s="35"/>
    </row>
    <row r="351" spans="3:3" ht="13.2">
      <c r="C351" s="35"/>
    </row>
    <row r="352" spans="3:3" ht="13.2">
      <c r="C352" s="35"/>
    </row>
    <row r="353" spans="3:3" ht="13.2">
      <c r="C353" s="35"/>
    </row>
    <row r="354" spans="3:3" ht="13.2">
      <c r="C354" s="35"/>
    </row>
    <row r="355" spans="3:3" ht="13.2">
      <c r="C355" s="35"/>
    </row>
    <row r="356" spans="3:3" ht="13.2">
      <c r="C356" s="35"/>
    </row>
    <row r="357" spans="3:3" ht="13.2">
      <c r="C357" s="35"/>
    </row>
    <row r="358" spans="3:3" ht="13.2">
      <c r="C358" s="35"/>
    </row>
    <row r="359" spans="3:3" ht="13.2">
      <c r="C359" s="35"/>
    </row>
    <row r="360" spans="3:3" ht="13.2">
      <c r="C360" s="35"/>
    </row>
    <row r="361" spans="3:3" ht="13.2">
      <c r="C361" s="35"/>
    </row>
    <row r="362" spans="3:3" ht="13.2">
      <c r="C362" s="35"/>
    </row>
    <row r="363" spans="3:3" ht="13.2">
      <c r="C363" s="35"/>
    </row>
    <row r="364" spans="3:3" ht="13.2">
      <c r="C364" s="35"/>
    </row>
    <row r="365" spans="3:3" ht="13.2">
      <c r="C365" s="35"/>
    </row>
    <row r="366" spans="3:3" ht="13.2">
      <c r="C366" s="35"/>
    </row>
    <row r="367" spans="3:3" ht="13.2">
      <c r="C367" s="35"/>
    </row>
    <row r="368" spans="3:3" ht="13.2">
      <c r="C368" s="35"/>
    </row>
    <row r="369" spans="3:3" ht="13.2">
      <c r="C369" s="35"/>
    </row>
    <row r="370" spans="3:3" ht="13.2">
      <c r="C370" s="35"/>
    </row>
    <row r="371" spans="3:3" ht="13.2">
      <c r="C371" s="35"/>
    </row>
    <row r="372" spans="3:3" ht="13.2">
      <c r="C372" s="35"/>
    </row>
    <row r="373" spans="3:3" ht="13.2">
      <c r="C373" s="35"/>
    </row>
    <row r="374" spans="3:3" ht="13.2">
      <c r="C374" s="35"/>
    </row>
    <row r="375" spans="3:3" ht="13.2">
      <c r="C375" s="35"/>
    </row>
    <row r="376" spans="3:3" ht="13.2">
      <c r="C376" s="35"/>
    </row>
    <row r="377" spans="3:3" ht="13.2">
      <c r="C377" s="35"/>
    </row>
    <row r="378" spans="3:3" ht="13.2">
      <c r="C378" s="35"/>
    </row>
    <row r="379" spans="3:3" ht="13.2">
      <c r="C379" s="35"/>
    </row>
    <row r="380" spans="3:3" ht="13.2">
      <c r="C380" s="35"/>
    </row>
    <row r="381" spans="3:3" ht="13.2">
      <c r="C381" s="35"/>
    </row>
    <row r="382" spans="3:3" ht="13.2">
      <c r="C382" s="35"/>
    </row>
    <row r="383" spans="3:3" ht="13.2">
      <c r="C383" s="35"/>
    </row>
    <row r="384" spans="3:3" ht="13.2">
      <c r="C384" s="35"/>
    </row>
    <row r="385" spans="3:3" ht="13.2">
      <c r="C385" s="35"/>
    </row>
    <row r="386" spans="3:3" ht="13.2">
      <c r="C386" s="35"/>
    </row>
    <row r="387" spans="3:3" ht="13.2">
      <c r="C387" s="35"/>
    </row>
    <row r="388" spans="3:3" ht="13.2">
      <c r="C388" s="35"/>
    </row>
    <row r="389" spans="3:3" ht="13.2">
      <c r="C389" s="35"/>
    </row>
    <row r="390" spans="3:3" ht="13.2">
      <c r="C390" s="35"/>
    </row>
    <row r="391" spans="3:3" ht="13.2">
      <c r="C391" s="35"/>
    </row>
    <row r="392" spans="3:3" ht="13.2">
      <c r="C392" s="35"/>
    </row>
    <row r="393" spans="3:3" ht="13.2">
      <c r="C393" s="35"/>
    </row>
    <row r="394" spans="3:3" ht="13.2">
      <c r="C394" s="35"/>
    </row>
    <row r="395" spans="3:3" ht="13.2">
      <c r="C395" s="35"/>
    </row>
    <row r="396" spans="3:3" ht="13.2">
      <c r="C396" s="35"/>
    </row>
    <row r="397" spans="3:3" ht="13.2">
      <c r="C397" s="35"/>
    </row>
    <row r="398" spans="3:3" ht="13.2">
      <c r="C398" s="35"/>
    </row>
    <row r="399" spans="3:3" ht="13.2">
      <c r="C399" s="35"/>
    </row>
    <row r="400" spans="3:3" ht="13.2">
      <c r="C400" s="35"/>
    </row>
    <row r="401" spans="3:3" ht="13.2">
      <c r="C401" s="35"/>
    </row>
    <row r="402" spans="3:3" ht="13.2">
      <c r="C402" s="35"/>
    </row>
    <row r="403" spans="3:3" ht="13.2">
      <c r="C403" s="35"/>
    </row>
    <row r="404" spans="3:3" ht="13.2">
      <c r="C404" s="35"/>
    </row>
    <row r="405" spans="3:3" ht="13.2">
      <c r="C405" s="35"/>
    </row>
    <row r="406" spans="3:3" ht="13.2">
      <c r="C406" s="35"/>
    </row>
    <row r="407" spans="3:3" ht="13.2">
      <c r="C407" s="35"/>
    </row>
    <row r="408" spans="3:3" ht="13.2">
      <c r="C408" s="35"/>
    </row>
    <row r="409" spans="3:3" ht="13.2">
      <c r="C409" s="35"/>
    </row>
    <row r="410" spans="3:3" ht="13.2">
      <c r="C410" s="35"/>
    </row>
    <row r="411" spans="3:3" ht="13.2">
      <c r="C411" s="35"/>
    </row>
    <row r="412" spans="3:3" ht="13.2">
      <c r="C412" s="35"/>
    </row>
    <row r="413" spans="3:3" ht="13.2">
      <c r="C413" s="35"/>
    </row>
    <row r="414" spans="3:3" ht="13.2">
      <c r="C414" s="35"/>
    </row>
    <row r="415" spans="3:3" ht="13.2">
      <c r="C415" s="35"/>
    </row>
    <row r="416" spans="3:3" ht="13.2">
      <c r="C416" s="35"/>
    </row>
    <row r="417" spans="3:3" ht="13.2">
      <c r="C417" s="35"/>
    </row>
    <row r="418" spans="3:3" ht="13.2">
      <c r="C418" s="35"/>
    </row>
    <row r="419" spans="3:3" ht="13.2">
      <c r="C419" s="35"/>
    </row>
    <row r="420" spans="3:3" ht="13.2">
      <c r="C420" s="35"/>
    </row>
    <row r="421" spans="3:3" ht="13.2">
      <c r="C421" s="35"/>
    </row>
    <row r="422" spans="3:3" ht="13.2">
      <c r="C422" s="35"/>
    </row>
    <row r="423" spans="3:3" ht="13.2">
      <c r="C423" s="35"/>
    </row>
    <row r="424" spans="3:3" ht="13.2">
      <c r="C424" s="35"/>
    </row>
    <row r="425" spans="3:3" ht="13.2">
      <c r="C425" s="35"/>
    </row>
    <row r="426" spans="3:3" ht="13.2">
      <c r="C426" s="35"/>
    </row>
    <row r="427" spans="3:3" ht="13.2">
      <c r="C427" s="35"/>
    </row>
    <row r="428" spans="3:3" ht="13.2">
      <c r="C428" s="35"/>
    </row>
    <row r="429" spans="3:3" ht="13.2">
      <c r="C429" s="35"/>
    </row>
    <row r="430" spans="3:3" ht="13.2">
      <c r="C430" s="35"/>
    </row>
    <row r="431" spans="3:3" ht="13.2">
      <c r="C431" s="35"/>
    </row>
    <row r="432" spans="3:3" ht="13.2">
      <c r="C432" s="35"/>
    </row>
    <row r="433" spans="3:3" ht="13.2">
      <c r="C433" s="35"/>
    </row>
    <row r="434" spans="3:3" ht="13.2">
      <c r="C434" s="35"/>
    </row>
    <row r="435" spans="3:3" ht="13.2">
      <c r="C435" s="35"/>
    </row>
    <row r="436" spans="3:3" ht="13.2">
      <c r="C436" s="35"/>
    </row>
    <row r="437" spans="3:3" ht="13.2">
      <c r="C437" s="35"/>
    </row>
    <row r="438" spans="3:3" ht="13.2">
      <c r="C438" s="35"/>
    </row>
    <row r="439" spans="3:3" ht="13.2">
      <c r="C439" s="35"/>
    </row>
    <row r="440" spans="3:3" ht="13.2">
      <c r="C440" s="35"/>
    </row>
    <row r="441" spans="3:3" ht="13.2">
      <c r="C441" s="35"/>
    </row>
    <row r="442" spans="3:3" ht="13.2">
      <c r="C442" s="35"/>
    </row>
    <row r="443" spans="3:3" ht="13.2">
      <c r="C443" s="35"/>
    </row>
    <row r="444" spans="3:3" ht="13.2">
      <c r="C444" s="35"/>
    </row>
    <row r="445" spans="3:3" ht="13.2">
      <c r="C445" s="35"/>
    </row>
    <row r="446" spans="3:3" ht="13.2">
      <c r="C446" s="35"/>
    </row>
    <row r="447" spans="3:3" ht="13.2">
      <c r="C447" s="35"/>
    </row>
    <row r="448" spans="3:3" ht="13.2">
      <c r="C448" s="35"/>
    </row>
    <row r="449" spans="3:3" ht="13.2">
      <c r="C449" s="35"/>
    </row>
    <row r="450" spans="3:3" ht="13.2">
      <c r="C450" s="35"/>
    </row>
    <row r="451" spans="3:3" ht="13.2">
      <c r="C451" s="35"/>
    </row>
    <row r="452" spans="3:3" ht="13.2">
      <c r="C452" s="35"/>
    </row>
    <row r="453" spans="3:3" ht="13.2">
      <c r="C453" s="35"/>
    </row>
    <row r="454" spans="3:3" ht="13.2">
      <c r="C454" s="35"/>
    </row>
    <row r="455" spans="3:3" ht="13.2">
      <c r="C455" s="35"/>
    </row>
    <row r="456" spans="3:3" ht="13.2">
      <c r="C456" s="35"/>
    </row>
    <row r="457" spans="3:3" ht="13.2">
      <c r="C457" s="35"/>
    </row>
    <row r="458" spans="3:3" ht="13.2">
      <c r="C458" s="35"/>
    </row>
    <row r="459" spans="3:3" ht="13.2">
      <c r="C459" s="35"/>
    </row>
    <row r="460" spans="3:3" ht="13.2">
      <c r="C460" s="35"/>
    </row>
    <row r="461" spans="3:3" ht="13.2">
      <c r="C461" s="35"/>
    </row>
    <row r="462" spans="3:3" ht="13.2">
      <c r="C462" s="35"/>
    </row>
    <row r="463" spans="3:3" ht="13.2">
      <c r="C463" s="35"/>
    </row>
    <row r="464" spans="3:3" ht="13.2">
      <c r="C464" s="35"/>
    </row>
    <row r="465" spans="3:3" ht="13.2">
      <c r="C465" s="35"/>
    </row>
    <row r="466" spans="3:3" ht="13.2">
      <c r="C466" s="35"/>
    </row>
    <row r="467" spans="3:3" ht="13.2">
      <c r="C467" s="35"/>
    </row>
    <row r="468" spans="3:3" ht="13.2">
      <c r="C468" s="35"/>
    </row>
    <row r="469" spans="3:3" ht="13.2">
      <c r="C469" s="35"/>
    </row>
    <row r="470" spans="3:3" ht="13.2">
      <c r="C470" s="35"/>
    </row>
    <row r="471" spans="3:3" ht="13.2">
      <c r="C471" s="35"/>
    </row>
    <row r="472" spans="3:3" ht="13.2">
      <c r="C472" s="35"/>
    </row>
    <row r="473" spans="3:3" ht="13.2">
      <c r="C473" s="35"/>
    </row>
    <row r="474" spans="3:3" ht="13.2">
      <c r="C474" s="35"/>
    </row>
    <row r="475" spans="3:3" ht="13.2">
      <c r="C475" s="35"/>
    </row>
    <row r="476" spans="3:3" ht="13.2">
      <c r="C476" s="35"/>
    </row>
    <row r="477" spans="3:3" ht="13.2">
      <c r="C477" s="35"/>
    </row>
    <row r="478" spans="3:3" ht="13.2">
      <c r="C478" s="35"/>
    </row>
    <row r="479" spans="3:3" ht="13.2">
      <c r="C479" s="35"/>
    </row>
    <row r="480" spans="3:3" ht="13.2">
      <c r="C480" s="35"/>
    </row>
    <row r="481" spans="3:3" ht="13.2">
      <c r="C481" s="35"/>
    </row>
    <row r="482" spans="3:3" ht="13.2">
      <c r="C482" s="35"/>
    </row>
    <row r="483" spans="3:3" ht="13.2">
      <c r="C483" s="35"/>
    </row>
    <row r="484" spans="3:3" ht="13.2">
      <c r="C484" s="35"/>
    </row>
    <row r="485" spans="3:3" ht="13.2">
      <c r="C485" s="35"/>
    </row>
    <row r="486" spans="3:3" ht="13.2">
      <c r="C486" s="35"/>
    </row>
    <row r="487" spans="3:3" ht="13.2">
      <c r="C487" s="35"/>
    </row>
    <row r="488" spans="3:3" ht="13.2">
      <c r="C488" s="35"/>
    </row>
    <row r="489" spans="3:3" ht="13.2">
      <c r="C489" s="35"/>
    </row>
    <row r="490" spans="3:3" ht="13.2">
      <c r="C490" s="35"/>
    </row>
    <row r="491" spans="3:3" ht="13.2">
      <c r="C491" s="35"/>
    </row>
    <row r="492" spans="3:3" ht="13.2">
      <c r="C492" s="35"/>
    </row>
    <row r="493" spans="3:3" ht="13.2">
      <c r="C493" s="35"/>
    </row>
    <row r="494" spans="3:3" ht="13.2">
      <c r="C494" s="35"/>
    </row>
    <row r="495" spans="3:3" ht="13.2">
      <c r="C495" s="35"/>
    </row>
    <row r="496" spans="3:3" ht="13.2">
      <c r="C496" s="35"/>
    </row>
    <row r="497" spans="3:3" ht="13.2">
      <c r="C497" s="35"/>
    </row>
    <row r="498" spans="3:3" ht="13.2">
      <c r="C498" s="35"/>
    </row>
    <row r="499" spans="3:3" ht="13.2">
      <c r="C499" s="35"/>
    </row>
    <row r="500" spans="3:3" ht="13.2">
      <c r="C500" s="35"/>
    </row>
    <row r="501" spans="3:3" ht="13.2">
      <c r="C501" s="35"/>
    </row>
    <row r="502" spans="3:3" ht="13.2">
      <c r="C502" s="35"/>
    </row>
    <row r="503" spans="3:3" ht="13.2">
      <c r="C503" s="35"/>
    </row>
    <row r="504" spans="3:3" ht="13.2">
      <c r="C504" s="35"/>
    </row>
    <row r="505" spans="3:3" ht="13.2">
      <c r="C505" s="35"/>
    </row>
    <row r="506" spans="3:3" ht="13.2">
      <c r="C506" s="35"/>
    </row>
    <row r="507" spans="3:3" ht="13.2">
      <c r="C507" s="35"/>
    </row>
    <row r="508" spans="3:3" ht="13.2">
      <c r="C508" s="35"/>
    </row>
    <row r="509" spans="3:3" ht="13.2">
      <c r="C509" s="35"/>
    </row>
    <row r="510" spans="3:3" ht="13.2">
      <c r="C510" s="35"/>
    </row>
    <row r="511" spans="3:3" ht="13.2">
      <c r="C511" s="35"/>
    </row>
    <row r="512" spans="3:3" ht="13.2">
      <c r="C512" s="35"/>
    </row>
    <row r="513" spans="3:3" ht="13.2">
      <c r="C513" s="35"/>
    </row>
    <row r="514" spans="3:3" ht="13.2">
      <c r="C514" s="35"/>
    </row>
    <row r="515" spans="3:3" ht="13.2">
      <c r="C515" s="35"/>
    </row>
    <row r="516" spans="3:3" ht="13.2">
      <c r="C516" s="35"/>
    </row>
    <row r="517" spans="3:3" ht="13.2">
      <c r="C517" s="35"/>
    </row>
    <row r="518" spans="3:3" ht="13.2">
      <c r="C518" s="35"/>
    </row>
    <row r="519" spans="3:3" ht="13.2">
      <c r="C519" s="35"/>
    </row>
    <row r="520" spans="3:3" ht="13.2">
      <c r="C520" s="35"/>
    </row>
    <row r="521" spans="3:3" ht="13.2">
      <c r="C521" s="35"/>
    </row>
    <row r="522" spans="3:3" ht="13.2">
      <c r="C522" s="35"/>
    </row>
    <row r="523" spans="3:3" ht="13.2">
      <c r="C523" s="35"/>
    </row>
    <row r="524" spans="3:3" ht="13.2">
      <c r="C524" s="35"/>
    </row>
    <row r="525" spans="3:3" ht="13.2">
      <c r="C525" s="35"/>
    </row>
    <row r="526" spans="3:3" ht="13.2">
      <c r="C526" s="35"/>
    </row>
    <row r="527" spans="3:3" ht="13.2">
      <c r="C527" s="35"/>
    </row>
    <row r="528" spans="3:3" ht="13.2">
      <c r="C528" s="35"/>
    </row>
    <row r="529" spans="3:3" ht="13.2">
      <c r="C529" s="35"/>
    </row>
    <row r="530" spans="3:3" ht="13.2">
      <c r="C530" s="35"/>
    </row>
    <row r="531" spans="3:3" ht="13.2">
      <c r="C531" s="35"/>
    </row>
    <row r="532" spans="3:3" ht="13.2">
      <c r="C532" s="35"/>
    </row>
    <row r="533" spans="3:3" ht="13.2">
      <c r="C533" s="35"/>
    </row>
    <row r="534" spans="3:3" ht="13.2">
      <c r="C534" s="35"/>
    </row>
    <row r="535" spans="3:3" ht="13.2">
      <c r="C535" s="35"/>
    </row>
    <row r="536" spans="3:3" ht="13.2">
      <c r="C536" s="35"/>
    </row>
    <row r="537" spans="3:3" ht="13.2">
      <c r="C537" s="35"/>
    </row>
    <row r="538" spans="3:3" ht="13.2">
      <c r="C538" s="35"/>
    </row>
    <row r="539" spans="3:3" ht="13.2">
      <c r="C539" s="35"/>
    </row>
    <row r="540" spans="3:3" ht="13.2">
      <c r="C540" s="35"/>
    </row>
    <row r="541" spans="3:3" ht="13.2">
      <c r="C541" s="35"/>
    </row>
    <row r="542" spans="3:3" ht="13.2">
      <c r="C542" s="35"/>
    </row>
    <row r="543" spans="3:3" ht="13.2">
      <c r="C543" s="35"/>
    </row>
    <row r="544" spans="3:3" ht="13.2">
      <c r="C544" s="35"/>
    </row>
    <row r="545" spans="3:3" ht="13.2">
      <c r="C545" s="35"/>
    </row>
    <row r="546" spans="3:3" ht="13.2">
      <c r="C546" s="35"/>
    </row>
    <row r="547" spans="3:3" ht="13.2">
      <c r="C547" s="35"/>
    </row>
    <row r="548" spans="3:3" ht="13.2">
      <c r="C548" s="35"/>
    </row>
    <row r="549" spans="3:3" ht="13.2">
      <c r="C549" s="35"/>
    </row>
    <row r="550" spans="3:3" ht="13.2">
      <c r="C550" s="35"/>
    </row>
    <row r="551" spans="3:3" ht="13.2">
      <c r="C551" s="35"/>
    </row>
    <row r="552" spans="3:3" ht="13.2">
      <c r="C552" s="35"/>
    </row>
    <row r="553" spans="3:3" ht="13.2">
      <c r="C553" s="35"/>
    </row>
    <row r="554" spans="3:3" ht="13.2">
      <c r="C554" s="35"/>
    </row>
    <row r="555" spans="3:3" ht="13.2">
      <c r="C555" s="35"/>
    </row>
    <row r="556" spans="3:3" ht="13.2">
      <c r="C556" s="35"/>
    </row>
    <row r="557" spans="3:3" ht="13.2">
      <c r="C557" s="35"/>
    </row>
    <row r="558" spans="3:3" ht="13.2">
      <c r="C558" s="35"/>
    </row>
    <row r="559" spans="3:3" ht="13.2">
      <c r="C559" s="35"/>
    </row>
    <row r="560" spans="3:3" ht="13.2">
      <c r="C560" s="35"/>
    </row>
    <row r="561" spans="3:3" ht="13.2">
      <c r="C561" s="35"/>
    </row>
    <row r="562" spans="3:3" ht="13.2">
      <c r="C562" s="35"/>
    </row>
    <row r="563" spans="3:3" ht="13.2">
      <c r="C563" s="35"/>
    </row>
    <row r="564" spans="3:3" ht="13.2">
      <c r="C564" s="35"/>
    </row>
    <row r="565" spans="3:3" ht="13.2">
      <c r="C565" s="35"/>
    </row>
    <row r="566" spans="3:3" ht="13.2">
      <c r="C566" s="35"/>
    </row>
    <row r="567" spans="3:3" ht="13.2">
      <c r="C567" s="35"/>
    </row>
    <row r="568" spans="3:3" ht="13.2">
      <c r="C568" s="35"/>
    </row>
    <row r="569" spans="3:3" ht="13.2">
      <c r="C569" s="35"/>
    </row>
    <row r="570" spans="3:3" ht="13.2">
      <c r="C570" s="35"/>
    </row>
    <row r="571" spans="3:3" ht="13.2">
      <c r="C571" s="35"/>
    </row>
    <row r="572" spans="3:3" ht="13.2">
      <c r="C572" s="35"/>
    </row>
    <row r="573" spans="3:3" ht="13.2">
      <c r="C573" s="35"/>
    </row>
    <row r="574" spans="3:3" ht="13.2">
      <c r="C574" s="35"/>
    </row>
    <row r="575" spans="3:3" ht="13.2">
      <c r="C575" s="35"/>
    </row>
    <row r="576" spans="3:3" ht="13.2">
      <c r="C576" s="35"/>
    </row>
    <row r="577" spans="3:3" ht="13.2">
      <c r="C577" s="35"/>
    </row>
    <row r="578" spans="3:3" ht="13.2">
      <c r="C578" s="35"/>
    </row>
    <row r="579" spans="3:3" ht="13.2">
      <c r="C579" s="35"/>
    </row>
    <row r="580" spans="3:3" ht="13.2">
      <c r="C580" s="35"/>
    </row>
    <row r="581" spans="3:3" ht="13.2">
      <c r="C581" s="35"/>
    </row>
    <row r="582" spans="3:3" ht="13.2">
      <c r="C582" s="35"/>
    </row>
    <row r="583" spans="3:3" ht="13.2">
      <c r="C583" s="35"/>
    </row>
    <row r="584" spans="3:3" ht="13.2">
      <c r="C584" s="35"/>
    </row>
    <row r="585" spans="3:3" ht="13.2">
      <c r="C585" s="35"/>
    </row>
    <row r="586" spans="3:3" ht="13.2">
      <c r="C586" s="35"/>
    </row>
    <row r="587" spans="3:3" ht="13.2">
      <c r="C587" s="35"/>
    </row>
    <row r="588" spans="3:3" ht="13.2">
      <c r="C588" s="35"/>
    </row>
    <row r="589" spans="3:3" ht="13.2">
      <c r="C589" s="35"/>
    </row>
    <row r="590" spans="3:3" ht="13.2">
      <c r="C590" s="35"/>
    </row>
    <row r="591" spans="3:3" ht="13.2">
      <c r="C591" s="35"/>
    </row>
    <row r="592" spans="3:3" ht="13.2">
      <c r="C592" s="35"/>
    </row>
    <row r="593" spans="3:3" ht="13.2">
      <c r="C593" s="35"/>
    </row>
    <row r="594" spans="3:3" ht="13.2">
      <c r="C594" s="35"/>
    </row>
    <row r="595" spans="3:3" ht="13.2">
      <c r="C595" s="35"/>
    </row>
    <row r="596" spans="3:3" ht="13.2">
      <c r="C596" s="35"/>
    </row>
    <row r="597" spans="3:3" ht="13.2">
      <c r="C597" s="35"/>
    </row>
    <row r="598" spans="3:3" ht="13.2">
      <c r="C598" s="35"/>
    </row>
    <row r="599" spans="3:3" ht="13.2">
      <c r="C599" s="35"/>
    </row>
    <row r="600" spans="3:3" ht="13.2">
      <c r="C600" s="35"/>
    </row>
    <row r="601" spans="3:3" ht="13.2">
      <c r="C601" s="35"/>
    </row>
    <row r="602" spans="3:3" ht="13.2">
      <c r="C602" s="35"/>
    </row>
    <row r="603" spans="3:3" ht="13.2">
      <c r="C603" s="35"/>
    </row>
    <row r="604" spans="3:3" ht="13.2">
      <c r="C604" s="35"/>
    </row>
    <row r="605" spans="3:3" ht="13.2">
      <c r="C605" s="35"/>
    </row>
    <row r="606" spans="3:3" ht="13.2">
      <c r="C606" s="35"/>
    </row>
    <row r="607" spans="3:3" ht="13.2">
      <c r="C607" s="35"/>
    </row>
    <row r="608" spans="3:3" ht="13.2">
      <c r="C608" s="35"/>
    </row>
    <row r="609" spans="3:3" ht="13.2">
      <c r="C609" s="35"/>
    </row>
    <row r="610" spans="3:3" ht="13.2">
      <c r="C610" s="35"/>
    </row>
    <row r="611" spans="3:3" ht="13.2">
      <c r="C611" s="35"/>
    </row>
    <row r="612" spans="3:3" ht="13.2">
      <c r="C612" s="35"/>
    </row>
    <row r="613" spans="3:3" ht="13.2">
      <c r="C613" s="35"/>
    </row>
    <row r="614" spans="3:3" ht="13.2">
      <c r="C614" s="35"/>
    </row>
    <row r="615" spans="3:3" ht="13.2">
      <c r="C615" s="35"/>
    </row>
    <row r="616" spans="3:3" ht="13.2">
      <c r="C616" s="35"/>
    </row>
    <row r="617" spans="3:3" ht="13.2">
      <c r="C617" s="35"/>
    </row>
    <row r="618" spans="3:3" ht="13.2">
      <c r="C618" s="35"/>
    </row>
    <row r="619" spans="3:3" ht="13.2">
      <c r="C619" s="35"/>
    </row>
    <row r="620" spans="3:3" ht="13.2">
      <c r="C620" s="35"/>
    </row>
    <row r="621" spans="3:3" ht="13.2">
      <c r="C621" s="35"/>
    </row>
    <row r="622" spans="3:3" ht="13.2">
      <c r="C622" s="35"/>
    </row>
    <row r="623" spans="3:3" ht="13.2">
      <c r="C623" s="35"/>
    </row>
    <row r="624" spans="3:3" ht="13.2">
      <c r="C624" s="35"/>
    </row>
    <row r="625" spans="3:3" ht="13.2">
      <c r="C625" s="35"/>
    </row>
    <row r="626" spans="3:3" ht="13.2">
      <c r="C626" s="35"/>
    </row>
    <row r="627" spans="3:3" ht="13.2">
      <c r="C627" s="35"/>
    </row>
    <row r="628" spans="3:3" ht="13.2">
      <c r="C628" s="35"/>
    </row>
    <row r="629" spans="3:3" ht="13.2">
      <c r="C629" s="35"/>
    </row>
    <row r="630" spans="3:3" ht="13.2">
      <c r="C630" s="35"/>
    </row>
    <row r="631" spans="3:3" ht="13.2">
      <c r="C631" s="35"/>
    </row>
    <row r="632" spans="3:3" ht="13.2">
      <c r="C632" s="35"/>
    </row>
    <row r="633" spans="3:3" ht="13.2">
      <c r="C633" s="35"/>
    </row>
    <row r="634" spans="3:3" ht="13.2">
      <c r="C634" s="35"/>
    </row>
    <row r="635" spans="3:3" ht="13.2">
      <c r="C635" s="35"/>
    </row>
    <row r="636" spans="3:3" ht="13.2">
      <c r="C636" s="35"/>
    </row>
    <row r="637" spans="3:3" ht="13.2">
      <c r="C637" s="35"/>
    </row>
    <row r="638" spans="3:3" ht="13.2">
      <c r="C638" s="35"/>
    </row>
    <row r="639" spans="3:3" ht="13.2">
      <c r="C639" s="35"/>
    </row>
    <row r="640" spans="3:3" ht="13.2">
      <c r="C640" s="35"/>
    </row>
    <row r="641" spans="3:3" ht="13.2">
      <c r="C641" s="35"/>
    </row>
    <row r="642" spans="3:3" ht="13.2">
      <c r="C642" s="35"/>
    </row>
    <row r="643" spans="3:3" ht="13.2">
      <c r="C643" s="35"/>
    </row>
    <row r="644" spans="3:3" ht="13.2">
      <c r="C644" s="35"/>
    </row>
    <row r="645" spans="3:3" ht="13.2">
      <c r="C645" s="35"/>
    </row>
    <row r="646" spans="3:3" ht="13.2">
      <c r="C646" s="35"/>
    </row>
    <row r="647" spans="3:3" ht="13.2">
      <c r="C647" s="35"/>
    </row>
    <row r="648" spans="3:3" ht="13.2">
      <c r="C648" s="35"/>
    </row>
    <row r="649" spans="3:3" ht="13.2">
      <c r="C649" s="35"/>
    </row>
    <row r="650" spans="3:3" ht="13.2">
      <c r="C650" s="35"/>
    </row>
    <row r="651" spans="3:3" ht="13.2">
      <c r="C651" s="35"/>
    </row>
    <row r="652" spans="3:3" ht="13.2">
      <c r="C652" s="35"/>
    </row>
    <row r="653" spans="3:3" ht="13.2">
      <c r="C653" s="35"/>
    </row>
    <row r="654" spans="3:3" ht="13.2">
      <c r="C654" s="35"/>
    </row>
    <row r="655" spans="3:3" ht="13.2">
      <c r="C655" s="35"/>
    </row>
    <row r="656" spans="3:3" ht="13.2">
      <c r="C656" s="35"/>
    </row>
    <row r="657" spans="3:3" ht="13.2">
      <c r="C657" s="35"/>
    </row>
    <row r="658" spans="3:3" ht="13.2">
      <c r="C658" s="35"/>
    </row>
    <row r="659" spans="3:3" ht="13.2">
      <c r="C659" s="35"/>
    </row>
    <row r="660" spans="3:3" ht="13.2">
      <c r="C660" s="35"/>
    </row>
    <row r="661" spans="3:3" ht="13.2">
      <c r="C661" s="35"/>
    </row>
    <row r="662" spans="3:3" ht="13.2">
      <c r="C662" s="35"/>
    </row>
    <row r="663" spans="3:3" ht="13.2">
      <c r="C663" s="35"/>
    </row>
    <row r="664" spans="3:3" ht="13.2">
      <c r="C664" s="35"/>
    </row>
    <row r="665" spans="3:3" ht="13.2">
      <c r="C665" s="35"/>
    </row>
    <row r="666" spans="3:3" ht="13.2">
      <c r="C666" s="35"/>
    </row>
    <row r="667" spans="3:3" ht="13.2">
      <c r="C667" s="35"/>
    </row>
    <row r="668" spans="3:3" ht="13.2">
      <c r="C668" s="35"/>
    </row>
    <row r="669" spans="3:3" ht="13.2">
      <c r="C669" s="35"/>
    </row>
    <row r="670" spans="3:3" ht="13.2">
      <c r="C670" s="35"/>
    </row>
    <row r="671" spans="3:3" ht="13.2">
      <c r="C671" s="35"/>
    </row>
    <row r="672" spans="3:3" ht="13.2">
      <c r="C672" s="35"/>
    </row>
    <row r="673" spans="3:3" ht="13.2">
      <c r="C673" s="35"/>
    </row>
    <row r="674" spans="3:3" ht="13.2">
      <c r="C674" s="35"/>
    </row>
    <row r="675" spans="3:3" ht="13.2">
      <c r="C675" s="35"/>
    </row>
    <row r="676" spans="3:3" ht="13.2">
      <c r="C676" s="35"/>
    </row>
    <row r="677" spans="3:3" ht="13.2">
      <c r="C677" s="35"/>
    </row>
    <row r="678" spans="3:3" ht="13.2">
      <c r="C678" s="35"/>
    </row>
    <row r="679" spans="3:3" ht="13.2">
      <c r="C679" s="35"/>
    </row>
    <row r="680" spans="3:3" ht="13.2">
      <c r="C680" s="35"/>
    </row>
    <row r="681" spans="3:3" ht="13.2">
      <c r="C681" s="35"/>
    </row>
    <row r="682" spans="3:3" ht="13.2">
      <c r="C682" s="35"/>
    </row>
    <row r="683" spans="3:3" ht="13.2">
      <c r="C683" s="35"/>
    </row>
    <row r="684" spans="3:3" ht="13.2">
      <c r="C684" s="35"/>
    </row>
    <row r="685" spans="3:3" ht="13.2">
      <c r="C685" s="35"/>
    </row>
    <row r="686" spans="3:3" ht="13.2">
      <c r="C686" s="35"/>
    </row>
    <row r="687" spans="3:3" ht="13.2">
      <c r="C687" s="35"/>
    </row>
    <row r="688" spans="3:3" ht="13.2">
      <c r="C688" s="35"/>
    </row>
    <row r="689" spans="3:3" ht="13.2">
      <c r="C689" s="35"/>
    </row>
    <row r="690" spans="3:3" ht="13.2">
      <c r="C690" s="35"/>
    </row>
    <row r="691" spans="3:3" ht="13.2">
      <c r="C691" s="35"/>
    </row>
    <row r="692" spans="3:3" ht="13.2">
      <c r="C692" s="35"/>
    </row>
    <row r="693" spans="3:3" ht="13.2">
      <c r="C693" s="35"/>
    </row>
    <row r="694" spans="3:3" ht="13.2">
      <c r="C694" s="35"/>
    </row>
    <row r="695" spans="3:3" ht="13.2">
      <c r="C695" s="35"/>
    </row>
    <row r="696" spans="3:3" ht="13.2">
      <c r="C696" s="35"/>
    </row>
    <row r="697" spans="3:3" ht="13.2">
      <c r="C697" s="35"/>
    </row>
    <row r="698" spans="3:3" ht="13.2">
      <c r="C698" s="35"/>
    </row>
    <row r="699" spans="3:3" ht="13.2">
      <c r="C699" s="35"/>
    </row>
    <row r="700" spans="3:3" ht="13.2">
      <c r="C700" s="35"/>
    </row>
    <row r="701" spans="3:3" ht="13.2">
      <c r="C701" s="35"/>
    </row>
    <row r="702" spans="3:3" ht="13.2">
      <c r="C702" s="35"/>
    </row>
    <row r="703" spans="3:3" ht="13.2">
      <c r="C703" s="35"/>
    </row>
    <row r="704" spans="3:3" ht="13.2">
      <c r="C704" s="35"/>
    </row>
    <row r="705" spans="3:3" ht="13.2">
      <c r="C705" s="35"/>
    </row>
    <row r="706" spans="3:3" ht="13.2">
      <c r="C706" s="35"/>
    </row>
    <row r="707" spans="3:3" ht="13.2">
      <c r="C707" s="35"/>
    </row>
    <row r="708" spans="3:3" ht="13.2">
      <c r="C708" s="35"/>
    </row>
    <row r="709" spans="3:3" ht="13.2">
      <c r="C709" s="35"/>
    </row>
    <row r="710" spans="3:3" ht="13.2">
      <c r="C710" s="35"/>
    </row>
    <row r="711" spans="3:3" ht="13.2">
      <c r="C711" s="35"/>
    </row>
    <row r="712" spans="3:3" ht="13.2">
      <c r="C712" s="35"/>
    </row>
    <row r="713" spans="3:3" ht="13.2">
      <c r="C713" s="35"/>
    </row>
    <row r="714" spans="3:3" ht="13.2">
      <c r="C714" s="35"/>
    </row>
    <row r="715" spans="3:3" ht="13.2">
      <c r="C715" s="35"/>
    </row>
    <row r="716" spans="3:3" ht="13.2">
      <c r="C716" s="35"/>
    </row>
    <row r="717" spans="3:3" ht="13.2">
      <c r="C717" s="35"/>
    </row>
    <row r="718" spans="3:3" ht="13.2">
      <c r="C718" s="35"/>
    </row>
    <row r="719" spans="3:3" ht="13.2">
      <c r="C719" s="35"/>
    </row>
    <row r="720" spans="3:3" ht="13.2">
      <c r="C720" s="35"/>
    </row>
    <row r="721" spans="3:3" ht="13.2">
      <c r="C721" s="35"/>
    </row>
    <row r="722" spans="3:3" ht="13.2">
      <c r="C722" s="35"/>
    </row>
    <row r="723" spans="3:3" ht="13.2">
      <c r="C723" s="35"/>
    </row>
    <row r="724" spans="3:3" ht="13.2">
      <c r="C724" s="35"/>
    </row>
    <row r="725" spans="3:3" ht="13.2">
      <c r="C725" s="35"/>
    </row>
    <row r="726" spans="3:3" ht="13.2">
      <c r="C726" s="35"/>
    </row>
    <row r="727" spans="3:3" ht="13.2">
      <c r="C727" s="35"/>
    </row>
    <row r="728" spans="3:3" ht="13.2">
      <c r="C728" s="35"/>
    </row>
    <row r="729" spans="3:3" ht="13.2">
      <c r="C729" s="35"/>
    </row>
    <row r="730" spans="3:3" ht="13.2">
      <c r="C730" s="35"/>
    </row>
    <row r="731" spans="3:3" ht="13.2">
      <c r="C731" s="35"/>
    </row>
    <row r="732" spans="3:3" ht="13.2">
      <c r="C732" s="35"/>
    </row>
    <row r="733" spans="3:3" ht="13.2">
      <c r="C733" s="35"/>
    </row>
    <row r="734" spans="3:3" ht="13.2">
      <c r="C734" s="35"/>
    </row>
    <row r="735" spans="3:3" ht="13.2">
      <c r="C735" s="35"/>
    </row>
    <row r="736" spans="3:3" ht="13.2">
      <c r="C736" s="35"/>
    </row>
    <row r="737" spans="3:3" ht="13.2">
      <c r="C737" s="35"/>
    </row>
    <row r="738" spans="3:3" ht="13.2">
      <c r="C738" s="35"/>
    </row>
    <row r="739" spans="3:3" ht="13.2">
      <c r="C739" s="35"/>
    </row>
    <row r="740" spans="3:3" ht="13.2">
      <c r="C740" s="35"/>
    </row>
    <row r="741" spans="3:3" ht="13.2">
      <c r="C741" s="35"/>
    </row>
    <row r="742" spans="3:3" ht="13.2">
      <c r="C742" s="35"/>
    </row>
    <row r="743" spans="3:3" ht="13.2">
      <c r="C743" s="35"/>
    </row>
    <row r="744" spans="3:3" ht="13.2">
      <c r="C744" s="35"/>
    </row>
    <row r="745" spans="3:3" ht="13.2">
      <c r="C745" s="35"/>
    </row>
    <row r="746" spans="3:3" ht="13.2">
      <c r="C746" s="35"/>
    </row>
    <row r="747" spans="3:3" ht="13.2">
      <c r="C747" s="35"/>
    </row>
    <row r="748" spans="3:3" ht="13.2">
      <c r="C748" s="35"/>
    </row>
    <row r="749" spans="3:3" ht="13.2">
      <c r="C749" s="35"/>
    </row>
    <row r="750" spans="3:3" ht="13.2">
      <c r="C750" s="35"/>
    </row>
    <row r="751" spans="3:3" ht="13.2">
      <c r="C751" s="35"/>
    </row>
    <row r="752" spans="3:3" ht="13.2">
      <c r="C752" s="35"/>
    </row>
    <row r="753" spans="3:3" ht="13.2">
      <c r="C753" s="35"/>
    </row>
    <row r="754" spans="3:3" ht="13.2">
      <c r="C754" s="35"/>
    </row>
    <row r="755" spans="3:3" ht="13.2">
      <c r="C755" s="35"/>
    </row>
    <row r="756" spans="3:3" ht="13.2">
      <c r="C756" s="35"/>
    </row>
    <row r="757" spans="3:3" ht="13.2">
      <c r="C757" s="35"/>
    </row>
    <row r="758" spans="3:3" ht="13.2">
      <c r="C758" s="35"/>
    </row>
    <row r="759" spans="3:3" ht="13.2">
      <c r="C759" s="35"/>
    </row>
    <row r="760" spans="3:3" ht="13.2">
      <c r="C760" s="35"/>
    </row>
    <row r="761" spans="3:3" ht="13.2">
      <c r="C761" s="35"/>
    </row>
    <row r="762" spans="3:3" ht="13.2">
      <c r="C762" s="35"/>
    </row>
    <row r="763" spans="3:3" ht="13.2">
      <c r="C763" s="35"/>
    </row>
    <row r="764" spans="3:3" ht="13.2">
      <c r="C764" s="35"/>
    </row>
    <row r="765" spans="3:3" ht="13.2">
      <c r="C765" s="35"/>
    </row>
    <row r="766" spans="3:3" ht="13.2">
      <c r="C766" s="35"/>
    </row>
    <row r="767" spans="3:3" ht="13.2">
      <c r="C767" s="35"/>
    </row>
    <row r="768" spans="3:3" ht="13.2">
      <c r="C768" s="35"/>
    </row>
    <row r="769" spans="3:3" ht="13.2">
      <c r="C769" s="35"/>
    </row>
    <row r="770" spans="3:3" ht="13.2">
      <c r="C770" s="35"/>
    </row>
    <row r="771" spans="3:3" ht="13.2">
      <c r="C771" s="35"/>
    </row>
    <row r="772" spans="3:3" ht="13.2">
      <c r="C772" s="35"/>
    </row>
    <row r="773" spans="3:3" ht="13.2">
      <c r="C773" s="35"/>
    </row>
    <row r="774" spans="3:3" ht="13.2">
      <c r="C774" s="35"/>
    </row>
    <row r="775" spans="3:3" ht="13.2">
      <c r="C775" s="35"/>
    </row>
    <row r="776" spans="3:3" ht="13.2">
      <c r="C776" s="35"/>
    </row>
    <row r="777" spans="3:3" ht="13.2">
      <c r="C777" s="35"/>
    </row>
    <row r="778" spans="3:3" ht="13.2">
      <c r="C778" s="35"/>
    </row>
    <row r="779" spans="3:3" ht="13.2">
      <c r="C779" s="35"/>
    </row>
    <row r="780" spans="3:3" ht="13.2">
      <c r="C780" s="35"/>
    </row>
    <row r="781" spans="3:3" ht="13.2">
      <c r="C781" s="35"/>
    </row>
    <row r="782" spans="3:3" ht="13.2">
      <c r="C782" s="35"/>
    </row>
    <row r="783" spans="3:3" ht="13.2">
      <c r="C783" s="35"/>
    </row>
    <row r="784" spans="3:3" ht="13.2">
      <c r="C784" s="35"/>
    </row>
    <row r="785" spans="3:3" ht="13.2">
      <c r="C785" s="35"/>
    </row>
    <row r="786" spans="3:3" ht="13.2">
      <c r="C786" s="35"/>
    </row>
    <row r="787" spans="3:3" ht="13.2">
      <c r="C787" s="35"/>
    </row>
    <row r="788" spans="3:3" ht="13.2">
      <c r="C788" s="35"/>
    </row>
    <row r="789" spans="3:3" ht="13.2">
      <c r="C789" s="35"/>
    </row>
    <row r="790" spans="3:3" ht="13.2">
      <c r="C790" s="35"/>
    </row>
    <row r="791" spans="3:3" ht="13.2">
      <c r="C791" s="35"/>
    </row>
    <row r="792" spans="3:3" ht="13.2">
      <c r="C792" s="35"/>
    </row>
    <row r="793" spans="3:3" ht="13.2">
      <c r="C793" s="35"/>
    </row>
    <row r="794" spans="3:3" ht="13.2">
      <c r="C794" s="35"/>
    </row>
    <row r="795" spans="3:3" ht="13.2">
      <c r="C795" s="35"/>
    </row>
    <row r="796" spans="3:3" ht="13.2">
      <c r="C796" s="35"/>
    </row>
    <row r="797" spans="3:3" ht="13.2">
      <c r="C797" s="35"/>
    </row>
    <row r="798" spans="3:3" ht="13.2">
      <c r="C798" s="35"/>
    </row>
    <row r="799" spans="3:3" ht="13.2">
      <c r="C799" s="35"/>
    </row>
    <row r="800" spans="3:3" ht="13.2">
      <c r="C800" s="35"/>
    </row>
    <row r="801" spans="3:3" ht="13.2">
      <c r="C801" s="35"/>
    </row>
    <row r="802" spans="3:3" ht="13.2">
      <c r="C802" s="35"/>
    </row>
    <row r="803" spans="3:3" ht="13.2">
      <c r="C803" s="35"/>
    </row>
    <row r="804" spans="3:3" ht="13.2">
      <c r="C804" s="35"/>
    </row>
    <row r="805" spans="3:3" ht="13.2">
      <c r="C805" s="35"/>
    </row>
    <row r="806" spans="3:3" ht="13.2">
      <c r="C806" s="35"/>
    </row>
    <row r="807" spans="3:3" ht="13.2">
      <c r="C807" s="35"/>
    </row>
    <row r="808" spans="3:3" ht="13.2">
      <c r="C808" s="35"/>
    </row>
    <row r="809" spans="3:3" ht="13.2">
      <c r="C809" s="35"/>
    </row>
    <row r="810" spans="3:3" ht="13.2">
      <c r="C810" s="35"/>
    </row>
    <row r="811" spans="3:3" ht="13.2">
      <c r="C811" s="35"/>
    </row>
    <row r="812" spans="3:3" ht="13.2">
      <c r="C812" s="35"/>
    </row>
    <row r="813" spans="3:3" ht="13.2">
      <c r="C813" s="35"/>
    </row>
    <row r="814" spans="3:3" ht="13.2">
      <c r="C814" s="35"/>
    </row>
    <row r="815" spans="3:3" ht="13.2">
      <c r="C815" s="35"/>
    </row>
    <row r="816" spans="3:3" ht="13.2">
      <c r="C816" s="35"/>
    </row>
    <row r="817" spans="3:3" ht="13.2">
      <c r="C817" s="35"/>
    </row>
    <row r="818" spans="3:3" ht="13.2">
      <c r="C818" s="35"/>
    </row>
    <row r="819" spans="3:3" ht="13.2">
      <c r="C819" s="35"/>
    </row>
    <row r="820" spans="3:3" ht="13.2">
      <c r="C820" s="35"/>
    </row>
    <row r="821" spans="3:3" ht="13.2">
      <c r="C821" s="35"/>
    </row>
    <row r="822" spans="3:3" ht="13.2">
      <c r="C822" s="35"/>
    </row>
    <row r="823" spans="3:3" ht="13.2">
      <c r="C823" s="35"/>
    </row>
    <row r="824" spans="3:3" ht="13.2">
      <c r="C824" s="35"/>
    </row>
    <row r="825" spans="3:3" ht="13.2">
      <c r="C825" s="35"/>
    </row>
    <row r="826" spans="3:3" ht="13.2">
      <c r="C826" s="35"/>
    </row>
    <row r="827" spans="3:3" ht="13.2">
      <c r="C827" s="35"/>
    </row>
    <row r="828" spans="3:3" ht="13.2">
      <c r="C828" s="35"/>
    </row>
    <row r="829" spans="3:3" ht="13.2">
      <c r="C829" s="35"/>
    </row>
    <row r="830" spans="3:3" ht="13.2">
      <c r="C830" s="35"/>
    </row>
    <row r="831" spans="3:3" ht="13.2">
      <c r="C831" s="35"/>
    </row>
    <row r="832" spans="3:3" ht="13.2">
      <c r="C832" s="35"/>
    </row>
    <row r="833" spans="3:3" ht="13.2">
      <c r="C833" s="35"/>
    </row>
    <row r="834" spans="3:3" ht="13.2">
      <c r="C834" s="35"/>
    </row>
    <row r="835" spans="3:3" ht="13.2">
      <c r="C835" s="35"/>
    </row>
    <row r="836" spans="3:3" ht="13.2">
      <c r="C836" s="35"/>
    </row>
    <row r="837" spans="3:3" ht="13.2">
      <c r="C837" s="35"/>
    </row>
    <row r="838" spans="3:3" ht="13.2">
      <c r="C838" s="35"/>
    </row>
    <row r="839" spans="3:3" ht="13.2">
      <c r="C839" s="35"/>
    </row>
    <row r="840" spans="3:3" ht="13.2">
      <c r="C840" s="35"/>
    </row>
    <row r="841" spans="3:3" ht="13.2">
      <c r="C841" s="35"/>
    </row>
    <row r="842" spans="3:3" ht="13.2">
      <c r="C842" s="35"/>
    </row>
    <row r="843" spans="3:3" ht="13.2">
      <c r="C843" s="35"/>
    </row>
    <row r="844" spans="3:3" ht="13.2">
      <c r="C844" s="35"/>
    </row>
    <row r="845" spans="3:3" ht="13.2">
      <c r="C845" s="35"/>
    </row>
    <row r="846" spans="3:3" ht="13.2">
      <c r="C846" s="35"/>
    </row>
    <row r="847" spans="3:3" ht="13.2">
      <c r="C847" s="35"/>
    </row>
    <row r="848" spans="3:3" ht="13.2">
      <c r="C848" s="35"/>
    </row>
    <row r="849" spans="3:3" ht="13.2">
      <c r="C849" s="35"/>
    </row>
    <row r="850" spans="3:3" ht="13.2">
      <c r="C850" s="35"/>
    </row>
    <row r="851" spans="3:3" ht="13.2">
      <c r="C851" s="35"/>
    </row>
    <row r="852" spans="3:3" ht="13.2">
      <c r="C852" s="35"/>
    </row>
    <row r="853" spans="3:3" ht="13.2">
      <c r="C853" s="35"/>
    </row>
    <row r="854" spans="3:3" ht="13.2">
      <c r="C854" s="35"/>
    </row>
    <row r="855" spans="3:3" ht="13.2">
      <c r="C855" s="35"/>
    </row>
    <row r="856" spans="3:3" ht="13.2">
      <c r="C856" s="35"/>
    </row>
    <row r="857" spans="3:3" ht="13.2">
      <c r="C857" s="35"/>
    </row>
    <row r="858" spans="3:3" ht="13.2">
      <c r="C858" s="35"/>
    </row>
    <row r="859" spans="3:3" ht="13.2">
      <c r="C859" s="35"/>
    </row>
    <row r="860" spans="3:3" ht="13.2">
      <c r="C860" s="35"/>
    </row>
    <row r="861" spans="3:3" ht="13.2">
      <c r="C861" s="35"/>
    </row>
    <row r="862" spans="3:3" ht="13.2">
      <c r="C862" s="35"/>
    </row>
    <row r="863" spans="3:3" ht="13.2">
      <c r="C863" s="35"/>
    </row>
    <row r="864" spans="3:3" ht="13.2">
      <c r="C864" s="35"/>
    </row>
    <row r="865" spans="3:3" ht="13.2">
      <c r="C865" s="35"/>
    </row>
    <row r="866" spans="3:3" ht="13.2">
      <c r="C866" s="35"/>
    </row>
    <row r="867" spans="3:3" ht="13.2">
      <c r="C867" s="35"/>
    </row>
    <row r="868" spans="3:3" ht="13.2">
      <c r="C868" s="35"/>
    </row>
    <row r="869" spans="3:3" ht="13.2">
      <c r="C869" s="35"/>
    </row>
    <row r="870" spans="3:3" ht="13.2">
      <c r="C870" s="35"/>
    </row>
    <row r="871" spans="3:3" ht="13.2">
      <c r="C871" s="35"/>
    </row>
    <row r="872" spans="3:3" ht="13.2">
      <c r="C872" s="35"/>
    </row>
    <row r="873" spans="3:3" ht="13.2">
      <c r="C873" s="35"/>
    </row>
    <row r="874" spans="3:3" ht="13.2">
      <c r="C874" s="35"/>
    </row>
    <row r="875" spans="3:3" ht="13.2">
      <c r="C875" s="35"/>
    </row>
    <row r="876" spans="3:3" ht="13.2">
      <c r="C876" s="35"/>
    </row>
    <row r="877" spans="3:3" ht="13.2">
      <c r="C877" s="35"/>
    </row>
    <row r="878" spans="3:3" ht="13.2">
      <c r="C878" s="35"/>
    </row>
    <row r="879" spans="3:3" ht="13.2">
      <c r="C879" s="35"/>
    </row>
    <row r="880" spans="3:3" ht="13.2">
      <c r="C880" s="35"/>
    </row>
    <row r="881" spans="3:3" ht="13.2">
      <c r="C881" s="35"/>
    </row>
    <row r="882" spans="3:3" ht="13.2">
      <c r="C882" s="35"/>
    </row>
    <row r="883" spans="3:3" ht="13.2">
      <c r="C883" s="35"/>
    </row>
    <row r="884" spans="3:3" ht="13.2">
      <c r="C884" s="35"/>
    </row>
    <row r="885" spans="3:3" ht="13.2">
      <c r="C885" s="35"/>
    </row>
    <row r="886" spans="3:3" ht="13.2">
      <c r="C886" s="35"/>
    </row>
    <row r="887" spans="3:3" ht="13.2">
      <c r="C887" s="35"/>
    </row>
    <row r="888" spans="3:3" ht="13.2">
      <c r="C888" s="35"/>
    </row>
    <row r="889" spans="3:3" ht="13.2">
      <c r="C889" s="35"/>
    </row>
    <row r="890" spans="3:3" ht="13.2">
      <c r="C890" s="35"/>
    </row>
    <row r="891" spans="3:3" ht="13.2">
      <c r="C891" s="35"/>
    </row>
    <row r="892" spans="3:3" ht="13.2">
      <c r="C892" s="35"/>
    </row>
    <row r="893" spans="3:3" ht="13.2">
      <c r="C893" s="35"/>
    </row>
    <row r="894" spans="3:3" ht="13.2">
      <c r="C894" s="35"/>
    </row>
    <row r="895" spans="3:3" ht="13.2">
      <c r="C895" s="35"/>
    </row>
    <row r="896" spans="3:3" ht="13.2">
      <c r="C896" s="35"/>
    </row>
    <row r="897" spans="3:3" ht="13.2">
      <c r="C897" s="35"/>
    </row>
    <row r="898" spans="3:3" ht="13.2">
      <c r="C898" s="35"/>
    </row>
    <row r="899" spans="3:3" ht="13.2">
      <c r="C899" s="35"/>
    </row>
    <row r="900" spans="3:3" ht="13.2">
      <c r="C900" s="35"/>
    </row>
    <row r="901" spans="3:3" ht="13.2">
      <c r="C901" s="35"/>
    </row>
    <row r="902" spans="3:3" ht="13.2">
      <c r="C902" s="35"/>
    </row>
    <row r="903" spans="3:3" ht="13.2">
      <c r="C903" s="35"/>
    </row>
    <row r="904" spans="3:3" ht="13.2">
      <c r="C904" s="35"/>
    </row>
    <row r="905" spans="3:3" ht="13.2">
      <c r="C905" s="35"/>
    </row>
    <row r="906" spans="3:3" ht="13.2">
      <c r="C906" s="35"/>
    </row>
    <row r="907" spans="3:3" ht="13.2">
      <c r="C907" s="35"/>
    </row>
    <row r="908" spans="3:3" ht="13.2">
      <c r="C908" s="35"/>
    </row>
    <row r="909" spans="3:3" ht="13.2">
      <c r="C909" s="35"/>
    </row>
    <row r="910" spans="3:3" ht="13.2">
      <c r="C910" s="35"/>
    </row>
    <row r="911" spans="3:3" ht="13.2">
      <c r="C911" s="35"/>
    </row>
    <row r="912" spans="3:3" ht="13.2">
      <c r="C912" s="35"/>
    </row>
    <row r="913" spans="3:3" ht="13.2">
      <c r="C913" s="35"/>
    </row>
    <row r="914" spans="3:3" ht="13.2">
      <c r="C914" s="35"/>
    </row>
    <row r="915" spans="3:3" ht="13.2">
      <c r="C915" s="35"/>
    </row>
    <row r="916" spans="3:3" ht="13.2">
      <c r="C916" s="35"/>
    </row>
    <row r="917" spans="3:3" ht="13.2">
      <c r="C917" s="35"/>
    </row>
    <row r="918" spans="3:3" ht="13.2">
      <c r="C918" s="35"/>
    </row>
    <row r="919" spans="3:3" ht="13.2">
      <c r="C919" s="35"/>
    </row>
    <row r="920" spans="3:3" ht="13.2">
      <c r="C920" s="35"/>
    </row>
    <row r="921" spans="3:3" ht="13.2">
      <c r="C921" s="35"/>
    </row>
    <row r="922" spans="3:3" ht="13.2">
      <c r="C922" s="35"/>
    </row>
    <row r="923" spans="3:3" ht="13.2">
      <c r="C923" s="35"/>
    </row>
    <row r="924" spans="3:3" ht="13.2">
      <c r="C924" s="35"/>
    </row>
    <row r="925" spans="3:3" ht="13.2">
      <c r="C925" s="35"/>
    </row>
    <row r="926" spans="3:3" ht="13.2">
      <c r="C926" s="35"/>
    </row>
    <row r="927" spans="3:3" ht="13.2">
      <c r="C927" s="35"/>
    </row>
    <row r="928" spans="3:3" ht="13.2">
      <c r="C928" s="35"/>
    </row>
    <row r="929" spans="3:3" ht="13.2">
      <c r="C929" s="35"/>
    </row>
    <row r="930" spans="3:3" ht="13.2">
      <c r="C930" s="35"/>
    </row>
    <row r="931" spans="3:3" ht="13.2">
      <c r="C931" s="35"/>
    </row>
    <row r="932" spans="3:3" ht="13.2">
      <c r="C932" s="35"/>
    </row>
    <row r="933" spans="3:3" ht="13.2">
      <c r="C933" s="35"/>
    </row>
    <row r="934" spans="3:3" ht="13.2">
      <c r="C934" s="35"/>
    </row>
    <row r="935" spans="3:3" ht="13.2">
      <c r="C935" s="35"/>
    </row>
    <row r="936" spans="3:3" ht="13.2">
      <c r="C936" s="35"/>
    </row>
    <row r="937" spans="3:3" ht="13.2">
      <c r="C937" s="35"/>
    </row>
    <row r="938" spans="3:3" ht="13.2">
      <c r="C938" s="35"/>
    </row>
    <row r="939" spans="3:3" ht="13.2">
      <c r="C939" s="35"/>
    </row>
    <row r="940" spans="3:3" ht="13.2">
      <c r="C940" s="35"/>
    </row>
    <row r="941" spans="3:3" ht="13.2">
      <c r="C941" s="35"/>
    </row>
    <row r="942" spans="3:3" ht="13.2">
      <c r="C942" s="35"/>
    </row>
    <row r="943" spans="3:3" ht="13.2">
      <c r="C943" s="35"/>
    </row>
    <row r="944" spans="3:3" ht="13.2">
      <c r="C944" s="35"/>
    </row>
    <row r="945" spans="3:3" ht="13.2">
      <c r="C945" s="35"/>
    </row>
    <row r="946" spans="3:3" ht="13.2">
      <c r="C946" s="35"/>
    </row>
    <row r="947" spans="3:3" ht="13.2">
      <c r="C947" s="35"/>
    </row>
    <row r="948" spans="3:3" ht="13.2">
      <c r="C948" s="35"/>
    </row>
    <row r="949" spans="3:3" ht="13.2">
      <c r="C949" s="35"/>
    </row>
    <row r="950" spans="3:3" ht="13.2">
      <c r="C950" s="35"/>
    </row>
    <row r="951" spans="3:3" ht="13.2">
      <c r="C951" s="35"/>
    </row>
    <row r="952" spans="3:3" ht="13.2">
      <c r="C952" s="35"/>
    </row>
    <row r="953" spans="3:3" ht="13.2">
      <c r="C953" s="35"/>
    </row>
    <row r="954" spans="3:3" ht="13.2">
      <c r="C954" s="35"/>
    </row>
    <row r="955" spans="3:3" ht="13.2">
      <c r="C955" s="35"/>
    </row>
    <row r="956" spans="3:3" ht="13.2">
      <c r="C956" s="35"/>
    </row>
    <row r="957" spans="3:3" ht="13.2">
      <c r="C957" s="35"/>
    </row>
    <row r="958" spans="3:3" ht="13.2">
      <c r="C958" s="35"/>
    </row>
    <row r="959" spans="3:3" ht="13.2">
      <c r="C959" s="35"/>
    </row>
    <row r="960" spans="3:3" ht="13.2">
      <c r="C960" s="35"/>
    </row>
    <row r="961" spans="3:3" ht="13.2">
      <c r="C961" s="35"/>
    </row>
    <row r="962" spans="3:3" ht="13.2">
      <c r="C962" s="35"/>
    </row>
    <row r="963" spans="3:3" ht="13.2">
      <c r="C963" s="35"/>
    </row>
    <row r="964" spans="3:3" ht="13.2">
      <c r="C964" s="35"/>
    </row>
    <row r="965" spans="3:3" ht="13.2">
      <c r="C965" s="35"/>
    </row>
    <row r="966" spans="3:3" ht="13.2">
      <c r="C966" s="35"/>
    </row>
    <row r="967" spans="3:3" ht="13.2">
      <c r="C967" s="35"/>
    </row>
    <row r="968" spans="3:3" ht="13.2">
      <c r="C968" s="35"/>
    </row>
    <row r="969" spans="3:3" ht="13.2">
      <c r="C969" s="35"/>
    </row>
    <row r="970" spans="3:3" ht="13.2">
      <c r="C970" s="35"/>
    </row>
    <row r="971" spans="3:3" ht="13.2">
      <c r="C971" s="35"/>
    </row>
    <row r="972" spans="3:3" ht="13.2">
      <c r="C972" s="35"/>
    </row>
    <row r="973" spans="3:3" ht="13.2">
      <c r="C973" s="35"/>
    </row>
    <row r="974" spans="3:3" ht="13.2">
      <c r="C974" s="35"/>
    </row>
    <row r="975" spans="3:3" ht="13.2">
      <c r="C975" s="35"/>
    </row>
    <row r="976" spans="3:3" ht="13.2">
      <c r="C976" s="35"/>
    </row>
    <row r="977" spans="3:3" ht="13.2">
      <c r="C977" s="35"/>
    </row>
    <row r="978" spans="3:3" ht="13.2">
      <c r="C978" s="35"/>
    </row>
    <row r="979" spans="3:3" ht="13.2">
      <c r="C979" s="35"/>
    </row>
    <row r="980" spans="3:3" ht="13.2">
      <c r="C980" s="35"/>
    </row>
    <row r="981" spans="3:3" ht="13.2">
      <c r="C981" s="35"/>
    </row>
    <row r="982" spans="3:3" ht="13.2">
      <c r="C982" s="35"/>
    </row>
    <row r="983" spans="3:3" ht="13.2">
      <c r="C983" s="35"/>
    </row>
    <row r="984" spans="3:3" ht="13.2">
      <c r="C984" s="35"/>
    </row>
    <row r="985" spans="3:3" ht="13.2">
      <c r="C985" s="35"/>
    </row>
    <row r="986" spans="3:3" ht="13.2">
      <c r="C986" s="35"/>
    </row>
    <row r="987" spans="3:3" ht="13.2">
      <c r="C987" s="35"/>
    </row>
    <row r="988" spans="3:3" ht="13.2">
      <c r="C988" s="35"/>
    </row>
    <row r="989" spans="3:3" ht="13.2">
      <c r="C989" s="35"/>
    </row>
    <row r="990" spans="3:3" ht="13.2">
      <c r="C990" s="35"/>
    </row>
    <row r="991" spans="3:3" ht="13.2">
      <c r="C991" s="35"/>
    </row>
    <row r="992" spans="3:3" ht="13.2">
      <c r="C992" s="35"/>
    </row>
    <row r="993" spans="3:3" ht="13.2">
      <c r="C993" s="35"/>
    </row>
    <row r="994" spans="3:3" ht="13.2">
      <c r="C994" s="35"/>
    </row>
    <row r="995" spans="3:3" ht="13.2">
      <c r="C995" s="35"/>
    </row>
    <row r="996" spans="3:3" ht="13.2">
      <c r="C996" s="35"/>
    </row>
    <row r="997" spans="3:3" ht="13.2">
      <c r="C997" s="35"/>
    </row>
    <row r="998" spans="3:3" ht="13.2">
      <c r="C998" s="35"/>
    </row>
    <row r="999" spans="3:3" ht="13.2">
      <c r="C999" s="35"/>
    </row>
    <row r="1000" spans="3:3" ht="13.2">
      <c r="C1000" s="35"/>
    </row>
  </sheetData>
  <autoFilter ref="A1:AP7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CJ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3" max="3" width="41.88671875" customWidth="1"/>
    <col min="6" max="6" width="14.77734375" customWidth="1"/>
    <col min="23" max="23" width="12.6640625" hidden="1"/>
    <col min="25" max="25" width="12.6640625" hidden="1"/>
    <col min="28" max="28" width="12.6640625" hidden="1"/>
    <col min="32" max="32" width="12.6640625" hidden="1"/>
    <col min="38" max="38" width="14.109375" customWidth="1"/>
  </cols>
  <sheetData>
    <row r="1" spans="1:88" ht="93" customHeight="1">
      <c r="A1" s="19" t="s">
        <v>0</v>
      </c>
      <c r="B1" s="19" t="s">
        <v>1</v>
      </c>
      <c r="C1" s="19" t="s">
        <v>2</v>
      </c>
      <c r="D1" s="19" t="s">
        <v>1241</v>
      </c>
      <c r="E1" s="19" t="s">
        <v>1242</v>
      </c>
      <c r="F1" s="19" t="s">
        <v>5</v>
      </c>
      <c r="G1" s="19" t="s">
        <v>6</v>
      </c>
      <c r="H1" s="19" t="s">
        <v>7</v>
      </c>
      <c r="I1" s="19" t="s">
        <v>8</v>
      </c>
      <c r="J1" s="19" t="s">
        <v>9</v>
      </c>
      <c r="K1" s="19" t="s">
        <v>10</v>
      </c>
      <c r="L1" s="19" t="s">
        <v>1243</v>
      </c>
      <c r="M1" s="19" t="s">
        <v>12</v>
      </c>
      <c r="N1" s="19" t="s">
        <v>1244</v>
      </c>
      <c r="O1" s="19" t="s">
        <v>1245</v>
      </c>
      <c r="P1" s="19" t="s">
        <v>15</v>
      </c>
      <c r="Q1" s="19" t="s">
        <v>16</v>
      </c>
      <c r="R1" s="19" t="s">
        <v>1246</v>
      </c>
      <c r="S1" s="19" t="s">
        <v>18</v>
      </c>
      <c r="T1" s="19" t="s">
        <v>19</v>
      </c>
      <c r="U1" s="19" t="s">
        <v>20</v>
      </c>
      <c r="V1" s="19" t="s">
        <v>1247</v>
      </c>
      <c r="W1" s="19" t="s">
        <v>1248</v>
      </c>
      <c r="X1" s="19" t="s">
        <v>1249</v>
      </c>
      <c r="Y1" s="19" t="s">
        <v>1250</v>
      </c>
      <c r="Z1" s="20" t="s">
        <v>1267</v>
      </c>
      <c r="AA1" s="19" t="s">
        <v>26</v>
      </c>
      <c r="AB1" s="19" t="s">
        <v>27</v>
      </c>
      <c r="AC1" s="19" t="s">
        <v>28</v>
      </c>
      <c r="AD1" s="19" t="s">
        <v>29</v>
      </c>
      <c r="AE1" s="19" t="s">
        <v>30</v>
      </c>
      <c r="AF1" s="19" t="s">
        <v>31</v>
      </c>
      <c r="AG1" s="36" t="s">
        <v>32</v>
      </c>
      <c r="AH1" s="37" t="s">
        <v>33</v>
      </c>
      <c r="AI1" s="37" t="s">
        <v>34</v>
      </c>
      <c r="AJ1" s="37" t="s">
        <v>35</v>
      </c>
      <c r="AK1" s="37" t="s">
        <v>36</v>
      </c>
      <c r="AL1" s="37" t="s">
        <v>42</v>
      </c>
      <c r="AM1" s="37" t="s">
        <v>43</v>
      </c>
      <c r="AN1" s="37" t="s">
        <v>44</v>
      </c>
      <c r="AO1" s="37" t="s">
        <v>45</v>
      </c>
      <c r="AP1" s="19" t="s">
        <v>46</v>
      </c>
      <c r="AQ1" s="20" t="s">
        <v>1253</v>
      </c>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row>
    <row r="2" spans="1:88" ht="13.2" hidden="1">
      <c r="A2" s="21">
        <v>45363.438363159723</v>
      </c>
      <c r="B2" s="22" t="s">
        <v>513</v>
      </c>
      <c r="C2" s="23" t="s">
        <v>514</v>
      </c>
      <c r="D2" s="24" t="s">
        <v>515</v>
      </c>
      <c r="E2" s="22" t="s">
        <v>133</v>
      </c>
      <c r="F2" s="22" t="s">
        <v>516</v>
      </c>
      <c r="G2" s="22" t="s">
        <v>64</v>
      </c>
      <c r="H2" s="22" t="s">
        <v>517</v>
      </c>
      <c r="I2" s="22" t="s">
        <v>518</v>
      </c>
      <c r="J2" s="22" t="s">
        <v>518</v>
      </c>
      <c r="K2" s="22" t="s">
        <v>513</v>
      </c>
      <c r="L2" s="22" t="s">
        <v>245</v>
      </c>
      <c r="M2" s="22" t="s">
        <v>519</v>
      </c>
      <c r="N2" s="22">
        <v>0</v>
      </c>
      <c r="O2" s="22" t="s">
        <v>70</v>
      </c>
      <c r="P2" s="22">
        <v>2</v>
      </c>
      <c r="Q2" s="22">
        <v>4</v>
      </c>
      <c r="R2" s="22">
        <v>50</v>
      </c>
      <c r="S2" s="25"/>
      <c r="T2" s="22" t="s">
        <v>71</v>
      </c>
      <c r="U2" s="22" t="s">
        <v>72</v>
      </c>
      <c r="V2" s="24" t="s">
        <v>520</v>
      </c>
      <c r="W2" s="26">
        <f>IF('CRUDO MARTES'!W2="Si",$N2,)</f>
        <v>0</v>
      </c>
      <c r="X2" s="26">
        <f>IF('CRUDO MARTES'!X2="Si",$N2,)</f>
        <v>0</v>
      </c>
      <c r="Y2" s="26">
        <f>IF('CRUDO MARTES'!Y2="Si",$N2,)</f>
        <v>0</v>
      </c>
      <c r="Z2" s="26">
        <f>IF('CRUDO MARTES'!Z2="Si",$N2,)</f>
        <v>0</v>
      </c>
      <c r="AA2" s="26">
        <f>IF('CRUDO MARTES'!AA2="Si",$N2,)</f>
        <v>0</v>
      </c>
      <c r="AB2" s="26">
        <f>IF('CRUDO MARTES'!AB2="Si",$N2,)</f>
        <v>0</v>
      </c>
      <c r="AC2" s="26">
        <f>IF('CRUDO MARTES'!AC2="Si",$N2,)</f>
        <v>0</v>
      </c>
      <c r="AD2" s="26">
        <f>IF('CRUDO MARTES'!AD2="Si",$N2,)</f>
        <v>0</v>
      </c>
      <c r="AE2" s="26">
        <f>IF('CRUDO MARTES'!AE2="Si",$N2,)</f>
        <v>0</v>
      </c>
      <c r="AF2" s="26">
        <f>IF('CRUDO MARTES'!AF2="Si",$N2,)</f>
        <v>0</v>
      </c>
      <c r="AG2" s="26">
        <f>IF('CRUDO MARTES'!AG2="Si",$N2,)</f>
        <v>0</v>
      </c>
      <c r="AH2" s="26">
        <f>IF('CRUDO MARTES'!AH2="Si",$N2,)</f>
        <v>0</v>
      </c>
      <c r="AI2" s="27">
        <v>0</v>
      </c>
      <c r="AJ2" s="26">
        <f>IF('CRUDO MARTES'!AJ2="Si",$N2,)</f>
        <v>0</v>
      </c>
      <c r="AK2" s="26">
        <f>IF('CRUDO MARTES'!AK2="Si",$N2,)</f>
        <v>0</v>
      </c>
      <c r="AL2" s="26">
        <f>IF('CRUDO MARTES'!AL2="Si",$N2,)</f>
        <v>0</v>
      </c>
      <c r="AM2" s="26">
        <f>IF('CRUDO MARTES'!AM2="Si",$N2,)</f>
        <v>0</v>
      </c>
      <c r="AN2" s="26">
        <f>IF('CRUDO MARTES'!AN2="Si",$N2,)</f>
        <v>0</v>
      </c>
      <c r="AO2" s="26">
        <f>IF('CRUDO MARTES'!AO2="Si",$N2,)</f>
        <v>0</v>
      </c>
      <c r="AP2" s="25"/>
      <c r="AQ2" s="22" t="s">
        <v>1254</v>
      </c>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row>
    <row r="3" spans="1:88" ht="13.2" hidden="1">
      <c r="A3" s="21">
        <v>45363.440609155092</v>
      </c>
      <c r="B3" s="22" t="s">
        <v>513</v>
      </c>
      <c r="C3" s="23" t="s">
        <v>514</v>
      </c>
      <c r="D3" s="24" t="s">
        <v>515</v>
      </c>
      <c r="E3" s="22" t="s">
        <v>133</v>
      </c>
      <c r="F3" s="22" t="s">
        <v>521</v>
      </c>
      <c r="G3" s="22" t="s">
        <v>64</v>
      </c>
      <c r="H3" s="22" t="s">
        <v>517</v>
      </c>
      <c r="I3" s="22" t="s">
        <v>522</v>
      </c>
      <c r="J3" s="22" t="s">
        <v>522</v>
      </c>
      <c r="K3" s="22" t="s">
        <v>513</v>
      </c>
      <c r="L3" s="22" t="s">
        <v>245</v>
      </c>
      <c r="M3" s="22" t="s">
        <v>519</v>
      </c>
      <c r="N3" s="22">
        <v>0</v>
      </c>
      <c r="O3" s="22" t="s">
        <v>70</v>
      </c>
      <c r="P3" s="22">
        <v>2</v>
      </c>
      <c r="Q3" s="22">
        <v>4</v>
      </c>
      <c r="R3" s="22">
        <v>50</v>
      </c>
      <c r="S3" s="25"/>
      <c r="T3" s="22" t="s">
        <v>71</v>
      </c>
      <c r="U3" s="22" t="s">
        <v>72</v>
      </c>
      <c r="V3" s="24" t="s">
        <v>520</v>
      </c>
      <c r="W3" s="26">
        <f>IF('CRUDO MARTES'!W3="Si",$N3,)</f>
        <v>0</v>
      </c>
      <c r="X3" s="26">
        <f>IF('CRUDO MARTES'!X3="Si",$N3,)</f>
        <v>0</v>
      </c>
      <c r="Y3" s="26">
        <f>IF('CRUDO MARTES'!Y3="Si",$N3,)</f>
        <v>0</v>
      </c>
      <c r="Z3" s="26">
        <f>IF('CRUDO MARTES'!Z3="Si",$N3,)</f>
        <v>0</v>
      </c>
      <c r="AA3" s="26">
        <f>IF('CRUDO MARTES'!AA3="Si",$N3,)</f>
        <v>0</v>
      </c>
      <c r="AB3" s="26">
        <f>IF('CRUDO MARTES'!AB3="Si",$N3,)</f>
        <v>0</v>
      </c>
      <c r="AC3" s="26">
        <f>IF('CRUDO MARTES'!AC3="Si",$N3,)</f>
        <v>0</v>
      </c>
      <c r="AD3" s="26">
        <f>IF('CRUDO MARTES'!AD3="Si",$N3,)</f>
        <v>0</v>
      </c>
      <c r="AE3" s="26">
        <f>IF('CRUDO MARTES'!AE3="Si",$N3,)</f>
        <v>0</v>
      </c>
      <c r="AF3" s="26">
        <f>IF('CRUDO MARTES'!AF3="Si",$N3,)</f>
        <v>0</v>
      </c>
      <c r="AG3" s="26">
        <f>IF('CRUDO MARTES'!AG3="Si",$N3,)</f>
        <v>0</v>
      </c>
      <c r="AH3" s="26">
        <f>IF('CRUDO MARTES'!AH3="Si",$N3,)</f>
        <v>0</v>
      </c>
      <c r="AI3" s="27">
        <v>0</v>
      </c>
      <c r="AJ3" s="26">
        <f>IF('CRUDO MARTES'!AJ3="Si",$N3,)</f>
        <v>0</v>
      </c>
      <c r="AK3" s="26">
        <f>IF('CRUDO MARTES'!AK3="Si",$N3,)</f>
        <v>0</v>
      </c>
      <c r="AL3" s="26">
        <f>IF('CRUDO MARTES'!AL3="Si",$N3,)</f>
        <v>0</v>
      </c>
      <c r="AM3" s="26">
        <f>IF('CRUDO MARTES'!AM3="Si",$N3,)</f>
        <v>0</v>
      </c>
      <c r="AN3" s="26">
        <f>IF('CRUDO MARTES'!AN3="Si",$N3,)</f>
        <v>0</v>
      </c>
      <c r="AO3" s="26">
        <f>IF('CRUDO MARTES'!AO3="Si",$N3,)</f>
        <v>0</v>
      </c>
      <c r="AP3" s="25"/>
      <c r="AQ3" s="22" t="s">
        <v>1254</v>
      </c>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row>
    <row r="4" spans="1:88" ht="13.2" hidden="1">
      <c r="A4" s="21">
        <v>45363.442617592591</v>
      </c>
      <c r="B4" s="22" t="s">
        <v>513</v>
      </c>
      <c r="C4" s="22" t="s">
        <v>514</v>
      </c>
      <c r="D4" s="24" t="s">
        <v>515</v>
      </c>
      <c r="E4" s="22" t="s">
        <v>133</v>
      </c>
      <c r="F4" s="22" t="s">
        <v>523</v>
      </c>
      <c r="G4" s="22" t="s">
        <v>64</v>
      </c>
      <c r="H4" s="22" t="s">
        <v>517</v>
      </c>
      <c r="I4" s="22" t="s">
        <v>522</v>
      </c>
      <c r="J4" s="22" t="s">
        <v>522</v>
      </c>
      <c r="K4" s="22" t="s">
        <v>513</v>
      </c>
      <c r="L4" s="22" t="s">
        <v>245</v>
      </c>
      <c r="M4" s="22" t="s">
        <v>519</v>
      </c>
      <c r="N4" s="22">
        <v>0</v>
      </c>
      <c r="O4" s="22" t="s">
        <v>70</v>
      </c>
      <c r="P4" s="22">
        <v>2</v>
      </c>
      <c r="Q4" s="22">
        <v>4</v>
      </c>
      <c r="R4" s="22">
        <v>50</v>
      </c>
      <c r="S4" s="25"/>
      <c r="T4" s="22" t="s">
        <v>71</v>
      </c>
      <c r="U4" s="22" t="s">
        <v>72</v>
      </c>
      <c r="V4" s="24" t="s">
        <v>520</v>
      </c>
      <c r="W4" s="26">
        <f>IF('CRUDO MARTES'!W4="Si",$N4,)</f>
        <v>0</v>
      </c>
      <c r="X4" s="26">
        <f>IF('CRUDO MARTES'!X4="Si",$N4,)</f>
        <v>0</v>
      </c>
      <c r="Y4" s="26">
        <f>IF('CRUDO MARTES'!Y4="Si",$N4,)</f>
        <v>0</v>
      </c>
      <c r="Z4" s="26">
        <f>IF('CRUDO MARTES'!Z4="Si",$N4,)</f>
        <v>0</v>
      </c>
      <c r="AA4" s="26">
        <f>IF('CRUDO MARTES'!AA4="Si",$N4,)</f>
        <v>0</v>
      </c>
      <c r="AB4" s="26">
        <f>IF('CRUDO MARTES'!AB4="Si",$N4,)</f>
        <v>0</v>
      </c>
      <c r="AC4" s="26">
        <f>IF('CRUDO MARTES'!AC4="Si",$N4,)</f>
        <v>0</v>
      </c>
      <c r="AD4" s="26">
        <f>IF('CRUDO MARTES'!AD4="Si",$N4,)</f>
        <v>0</v>
      </c>
      <c r="AE4" s="26">
        <f>IF('CRUDO MARTES'!AE4="Si",$N4,)</f>
        <v>0</v>
      </c>
      <c r="AF4" s="26">
        <f>IF('CRUDO MARTES'!AF4="Si",$N4,)</f>
        <v>0</v>
      </c>
      <c r="AG4" s="26">
        <f>IF('CRUDO MARTES'!AG4="Si",$N4,)</f>
        <v>0</v>
      </c>
      <c r="AH4" s="26">
        <f>IF('CRUDO MARTES'!AH4="Si",$N4,)</f>
        <v>0</v>
      </c>
      <c r="AI4" s="26">
        <f>IF('CRUDO MARTES'!AI4="Si",$N4,)</f>
        <v>0</v>
      </c>
      <c r="AJ4" s="26">
        <f>IF('CRUDO MARTES'!AJ4="Si",$N4,)</f>
        <v>0</v>
      </c>
      <c r="AK4" s="26">
        <f>IF('CRUDO MARTES'!AK4="Si",$N4,)</f>
        <v>0</v>
      </c>
      <c r="AL4" s="26">
        <f>IF('CRUDO MARTES'!AL4="Si",$N4,)</f>
        <v>0</v>
      </c>
      <c r="AM4" s="26">
        <f>IF('CRUDO MARTES'!AM4="Si",$N4,)</f>
        <v>0</v>
      </c>
      <c r="AN4" s="26">
        <f>IF('CRUDO MARTES'!AN4="Si",$N4,)</f>
        <v>0</v>
      </c>
      <c r="AO4" s="26">
        <f>IF('CRUDO MARTES'!AO4="Si",$N4,)</f>
        <v>0</v>
      </c>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row>
    <row r="5" spans="1:88" ht="26.4" hidden="1">
      <c r="A5" s="13">
        <v>45363.474652395831</v>
      </c>
      <c r="B5" s="14" t="s">
        <v>524</v>
      </c>
      <c r="C5" s="28" t="s">
        <v>525</v>
      </c>
      <c r="D5" s="15" t="s">
        <v>526</v>
      </c>
      <c r="E5" s="14" t="s">
        <v>62</v>
      </c>
      <c r="F5" s="14" t="s">
        <v>235</v>
      </c>
      <c r="G5" s="14" t="s">
        <v>105</v>
      </c>
      <c r="H5" s="14" t="s">
        <v>527</v>
      </c>
      <c r="I5" s="14" t="s">
        <v>528</v>
      </c>
      <c r="J5" s="14" t="s">
        <v>529</v>
      </c>
      <c r="K5" s="14" t="s">
        <v>524</v>
      </c>
      <c r="L5" s="14" t="s">
        <v>68</v>
      </c>
      <c r="M5" s="14" t="s">
        <v>530</v>
      </c>
      <c r="N5" s="14">
        <v>0</v>
      </c>
      <c r="O5" s="14" t="s">
        <v>70</v>
      </c>
      <c r="P5" s="14">
        <v>2</v>
      </c>
      <c r="Q5" s="14">
        <v>2</v>
      </c>
      <c r="R5" s="14">
        <v>90</v>
      </c>
      <c r="S5" s="16"/>
      <c r="T5" s="14" t="s">
        <v>71</v>
      </c>
      <c r="U5" s="14" t="s">
        <v>71</v>
      </c>
      <c r="V5" s="15" t="s">
        <v>520</v>
      </c>
      <c r="W5" s="29">
        <v>0</v>
      </c>
      <c r="X5" s="29">
        <v>0</v>
      </c>
      <c r="Y5" s="29">
        <v>0</v>
      </c>
      <c r="Z5" s="30">
        <f>IF('CRUDO MARTES'!Z5="Si",$N5,)</f>
        <v>0</v>
      </c>
      <c r="AA5" s="30">
        <f>IF('CRUDO MARTES'!AA5="Si",$N5,)</f>
        <v>0</v>
      </c>
      <c r="AB5" s="30">
        <f>IF('CRUDO MARTES'!AB5="Si",$N5,)</f>
        <v>0</v>
      </c>
      <c r="AC5" s="29">
        <v>0</v>
      </c>
      <c r="AD5" s="30">
        <f>IF('CRUDO MARTES'!AD5="Si",$N5,)</f>
        <v>0</v>
      </c>
      <c r="AE5" s="30">
        <f>IF('CRUDO MARTES'!AE5="Si",$N5,)</f>
        <v>0</v>
      </c>
      <c r="AF5" s="29">
        <v>35</v>
      </c>
      <c r="AG5" s="30">
        <f>IF('CRUDO MARTES'!AG5="Si",$N5,)</f>
        <v>0</v>
      </c>
      <c r="AH5" s="29">
        <v>0</v>
      </c>
      <c r="AI5" s="30">
        <f>IF('CRUDO MARTES'!AI5="Si",$N5,)</f>
        <v>0</v>
      </c>
      <c r="AJ5" s="30">
        <f>IF('CRUDO MARTES'!AJ5="Si",$N5,)</f>
        <v>0</v>
      </c>
      <c r="AK5" s="30">
        <f>IF('CRUDO MARTES'!AK5="Si",$N5,)</f>
        <v>0</v>
      </c>
      <c r="AL5" s="30">
        <f>IF('CRUDO MARTES'!AL5="Si",$N5,)</f>
        <v>0</v>
      </c>
      <c r="AM5" s="30">
        <f>IF('CRUDO MARTES'!AM5="Si",$N5,)</f>
        <v>0</v>
      </c>
      <c r="AN5" s="30">
        <f>IF('CRUDO MARTES'!AN5="Si",$N5,)</f>
        <v>0</v>
      </c>
      <c r="AO5" s="29">
        <v>0</v>
      </c>
      <c r="AP5" s="16"/>
      <c r="AQ5" s="14" t="s">
        <v>1255</v>
      </c>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row>
    <row r="6" spans="1:88" ht="13.2" hidden="1">
      <c r="A6" s="21">
        <v>45363.491433344912</v>
      </c>
      <c r="B6" s="22" t="s">
        <v>531</v>
      </c>
      <c r="C6" s="22" t="s">
        <v>532</v>
      </c>
      <c r="D6" s="24" t="s">
        <v>533</v>
      </c>
      <c r="E6" s="22" t="s">
        <v>62</v>
      </c>
      <c r="F6" s="22" t="s">
        <v>104</v>
      </c>
      <c r="G6" s="22" t="s">
        <v>64</v>
      </c>
      <c r="H6" s="22" t="s">
        <v>534</v>
      </c>
      <c r="I6" s="22" t="s">
        <v>535</v>
      </c>
      <c r="J6" s="25"/>
      <c r="K6" s="22" t="s">
        <v>531</v>
      </c>
      <c r="L6" s="22" t="s">
        <v>89</v>
      </c>
      <c r="M6" s="22" t="s">
        <v>536</v>
      </c>
      <c r="N6" s="22">
        <v>0</v>
      </c>
      <c r="O6" s="22" t="s">
        <v>148</v>
      </c>
      <c r="P6" s="22">
        <v>5</v>
      </c>
      <c r="Q6" s="22">
        <v>4</v>
      </c>
      <c r="R6" s="22">
        <v>0</v>
      </c>
      <c r="S6" s="25"/>
      <c r="T6" s="22" t="s">
        <v>71</v>
      </c>
      <c r="U6" s="22" t="s">
        <v>72</v>
      </c>
      <c r="V6" s="24" t="s">
        <v>520</v>
      </c>
      <c r="W6" s="26">
        <f>IF('CRUDO MARTES'!W6="Si",$N6,)</f>
        <v>0</v>
      </c>
      <c r="X6" s="26">
        <f>IF('CRUDO MARTES'!X6="Si",$N6,)</f>
        <v>0</v>
      </c>
      <c r="Y6" s="26">
        <f>IF('CRUDO MARTES'!Y6="Si",$N6,)</f>
        <v>0</v>
      </c>
      <c r="Z6" s="26">
        <f>IF('CRUDO MARTES'!Z6="Si",$N6,)</f>
        <v>0</v>
      </c>
      <c r="AA6" s="26">
        <f>IF('CRUDO MARTES'!AA6="Si",$N6,)</f>
        <v>0</v>
      </c>
      <c r="AB6" s="26">
        <f>IF('CRUDO MARTES'!AB6="Si",$N6,)</f>
        <v>0</v>
      </c>
      <c r="AC6" s="26">
        <f>IF('CRUDO MARTES'!AC6="Si",$N6,)</f>
        <v>0</v>
      </c>
      <c r="AD6" s="26">
        <f>IF('CRUDO MARTES'!AD6="Si",$N6,)</f>
        <v>0</v>
      </c>
      <c r="AE6" s="26">
        <f>IF('CRUDO MARTES'!AE6="Si",$N6,)</f>
        <v>0</v>
      </c>
      <c r="AF6" s="26">
        <f>IF('CRUDO MARTES'!AF6="Si",$N6,)</f>
        <v>0</v>
      </c>
      <c r="AG6" s="26">
        <f>IF('CRUDO MARTES'!AG6="Si",$N6,)</f>
        <v>0</v>
      </c>
      <c r="AH6" s="26">
        <f>IF('CRUDO MARTES'!AH6="Si",$N6,)</f>
        <v>0</v>
      </c>
      <c r="AI6" s="26">
        <f>IF('CRUDO MARTES'!AI6="Si",$N6,)</f>
        <v>0</v>
      </c>
      <c r="AJ6" s="26">
        <f>IF('CRUDO MARTES'!AJ6="Si",$N6,)</f>
        <v>0</v>
      </c>
      <c r="AK6" s="26">
        <f>IF('CRUDO MARTES'!AK6="Si",$N6,)</f>
        <v>0</v>
      </c>
      <c r="AL6" s="26">
        <f>IF('CRUDO MARTES'!AL6="Si",$N6,)</f>
        <v>0</v>
      </c>
      <c r="AM6" s="26">
        <f>IF('CRUDO MARTES'!AM6="Si",$N6,)</f>
        <v>0</v>
      </c>
      <c r="AN6" s="26">
        <f>IF('CRUDO MARTES'!AN6="Si",$N6,)</f>
        <v>0</v>
      </c>
      <c r="AO6" s="26">
        <f>IF('CRUDO MARTES'!AO6="Si",$N6,)</f>
        <v>0</v>
      </c>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row>
    <row r="7" spans="1:88" ht="13.2" hidden="1">
      <c r="A7" s="21">
        <v>45363.518486504632</v>
      </c>
      <c r="B7" s="22" t="s">
        <v>537</v>
      </c>
      <c r="C7" s="22" t="s">
        <v>538</v>
      </c>
      <c r="D7" s="24" t="s">
        <v>539</v>
      </c>
      <c r="E7" s="22" t="s">
        <v>62</v>
      </c>
      <c r="F7" s="22" t="s">
        <v>540</v>
      </c>
      <c r="G7" s="22" t="s">
        <v>64</v>
      </c>
      <c r="H7" s="22" t="s">
        <v>541</v>
      </c>
      <c r="I7" s="22" t="s">
        <v>542</v>
      </c>
      <c r="J7" s="22" t="s">
        <v>543</v>
      </c>
      <c r="K7" s="22" t="s">
        <v>537</v>
      </c>
      <c r="L7" s="22" t="s">
        <v>68</v>
      </c>
      <c r="M7" s="22" t="s">
        <v>544</v>
      </c>
      <c r="N7" s="22">
        <v>0</v>
      </c>
      <c r="O7" s="22" t="s">
        <v>148</v>
      </c>
      <c r="P7" s="22">
        <v>4</v>
      </c>
      <c r="Q7" s="22">
        <v>2</v>
      </c>
      <c r="R7" s="22">
        <v>20</v>
      </c>
      <c r="S7" s="25"/>
      <c r="T7" s="22" t="s">
        <v>71</v>
      </c>
      <c r="U7" s="22" t="s">
        <v>72</v>
      </c>
      <c r="V7" s="24" t="s">
        <v>520</v>
      </c>
      <c r="W7" s="26">
        <f>IF('CRUDO MARTES'!W7="Si",$N7,)</f>
        <v>0</v>
      </c>
      <c r="X7" s="26">
        <f>IF('CRUDO MARTES'!X7="Si",$N7,)</f>
        <v>0</v>
      </c>
      <c r="Y7" s="26">
        <f>IF('CRUDO MARTES'!Y7="Si",$N7,)</f>
        <v>0</v>
      </c>
      <c r="Z7" s="26">
        <f>IF('CRUDO MARTES'!Z7="Si",$N7,)</f>
        <v>0</v>
      </c>
      <c r="AA7" s="26">
        <f>IF('CRUDO MARTES'!AA7="Si",$N7,)</f>
        <v>0</v>
      </c>
      <c r="AB7" s="26">
        <f>IF('CRUDO MARTES'!AB7="Si",$N7,)</f>
        <v>0</v>
      </c>
      <c r="AC7" s="26">
        <f>IF('CRUDO MARTES'!AC7="Si",$N7,)</f>
        <v>0</v>
      </c>
      <c r="AD7" s="26">
        <f>IF('CRUDO MARTES'!AD7="Si",$N7,)</f>
        <v>0</v>
      </c>
      <c r="AE7" s="26">
        <f>IF('CRUDO MARTES'!AE7="Si",$N7,)</f>
        <v>0</v>
      </c>
      <c r="AF7" s="26">
        <f>IF('CRUDO MARTES'!AF7="Si",$N7,)</f>
        <v>0</v>
      </c>
      <c r="AG7" s="26">
        <f>IF('CRUDO MARTES'!AG7="Si",$N7,)</f>
        <v>0</v>
      </c>
      <c r="AH7" s="26">
        <f>IF('CRUDO MARTES'!AH7="Si",$N7,)</f>
        <v>0</v>
      </c>
      <c r="AI7" s="26">
        <f>IF('CRUDO MARTES'!AI7="Si",$N7,)</f>
        <v>0</v>
      </c>
      <c r="AJ7" s="26">
        <f>IF('CRUDO MARTES'!AJ7="Si",$N7,)</f>
        <v>0</v>
      </c>
      <c r="AK7" s="26">
        <f>IF('CRUDO MARTES'!AK7="Si",$N7,)</f>
        <v>0</v>
      </c>
      <c r="AL7" s="26">
        <f>IF('CRUDO MARTES'!AL7="Si",$N7,)</f>
        <v>0</v>
      </c>
      <c r="AM7" s="26">
        <f>IF('CRUDO MARTES'!AM7="Si",$N7,)</f>
        <v>0</v>
      </c>
      <c r="AN7" s="26">
        <f>IF('CRUDO MARTES'!AN7="Si",$N7,)</f>
        <v>0</v>
      </c>
      <c r="AO7" s="26">
        <f>IF('CRUDO MARTES'!AO7="Si",$N7,)</f>
        <v>0</v>
      </c>
      <c r="AP7" s="22" t="s">
        <v>545</v>
      </c>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row>
    <row r="8" spans="1:88" ht="13.2" hidden="1">
      <c r="A8" s="13">
        <v>45363.520946273144</v>
      </c>
      <c r="B8" s="14" t="s">
        <v>546</v>
      </c>
      <c r="C8" s="28" t="s">
        <v>547</v>
      </c>
      <c r="D8" s="15" t="s">
        <v>548</v>
      </c>
      <c r="E8" s="14" t="s">
        <v>133</v>
      </c>
      <c r="F8" s="14" t="s">
        <v>549</v>
      </c>
      <c r="G8" s="14" t="s">
        <v>64</v>
      </c>
      <c r="H8" s="14" t="s">
        <v>550</v>
      </c>
      <c r="I8" s="14" t="s">
        <v>551</v>
      </c>
      <c r="J8" s="16"/>
      <c r="K8" s="14" t="s">
        <v>546</v>
      </c>
      <c r="L8" s="14" t="s">
        <v>89</v>
      </c>
      <c r="M8" s="14" t="s">
        <v>552</v>
      </c>
      <c r="N8" s="14">
        <v>0</v>
      </c>
      <c r="O8" s="14" t="s">
        <v>70</v>
      </c>
      <c r="P8" s="14">
        <v>4</v>
      </c>
      <c r="Q8" s="14">
        <v>3</v>
      </c>
      <c r="R8" s="14">
        <v>0</v>
      </c>
      <c r="S8" s="16"/>
      <c r="T8" s="14" t="s">
        <v>71</v>
      </c>
      <c r="U8" s="14" t="s">
        <v>72</v>
      </c>
      <c r="V8" s="15" t="s">
        <v>520</v>
      </c>
      <c r="W8" s="30">
        <f>IF('CRUDO MARTES'!W8="Si",$N8,)</f>
        <v>0</v>
      </c>
      <c r="X8" s="29">
        <v>0</v>
      </c>
      <c r="Y8" s="29">
        <v>23</v>
      </c>
      <c r="Z8" s="30">
        <f>IF('CRUDO MARTES'!Z8="Si",$N8,)</f>
        <v>0</v>
      </c>
      <c r="AA8" s="30">
        <f>IF('CRUDO MARTES'!AA8="Si",$N8,)</f>
        <v>0</v>
      </c>
      <c r="AB8" s="30">
        <f>IF('CRUDO MARTES'!AB8="Si",$N8,)</f>
        <v>0</v>
      </c>
      <c r="AC8" s="30">
        <f>IF('CRUDO MARTES'!AC8="Si",$N8,)</f>
        <v>0</v>
      </c>
      <c r="AD8" s="30">
        <f>IF('CRUDO MARTES'!AD8="Si",$N8,)</f>
        <v>0</v>
      </c>
      <c r="AE8" s="30">
        <f>IF('CRUDO MARTES'!AE8="Si",$N8,)</f>
        <v>0</v>
      </c>
      <c r="AF8" s="30">
        <f>IF('CRUDO MARTES'!AF8="Si",$N8,)</f>
        <v>0</v>
      </c>
      <c r="AG8" s="30">
        <f>IF('CRUDO MARTES'!AG8="Si",$N8,)</f>
        <v>0</v>
      </c>
      <c r="AH8" s="30">
        <f>IF('CRUDO MARTES'!AH8="Si",$N8,)</f>
        <v>0</v>
      </c>
      <c r="AI8" s="29">
        <v>0</v>
      </c>
      <c r="AJ8" s="30">
        <f>IF('CRUDO MARTES'!AJ8="Si",$N8,)</f>
        <v>0</v>
      </c>
      <c r="AK8" s="30">
        <f>IF('CRUDO MARTES'!AK8="Si",$N8,)</f>
        <v>0</v>
      </c>
      <c r="AL8" s="30">
        <f>IF('CRUDO MARTES'!AL8="Si",$N8,)</f>
        <v>0</v>
      </c>
      <c r="AM8" s="30">
        <f>IF('CRUDO MARTES'!AM8="Si",$N8,)</f>
        <v>0</v>
      </c>
      <c r="AN8" s="31">
        <f>IF('CRUDO MARTES'!AN8="Si",$N8,)</f>
        <v>0</v>
      </c>
      <c r="AO8" s="30">
        <f>IF('CRUDO MARTES'!AO8="Si",$N8,)</f>
        <v>0</v>
      </c>
      <c r="AP8" s="16"/>
      <c r="AQ8" s="14" t="s">
        <v>1256</v>
      </c>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row>
    <row r="9" spans="1:88" ht="13.2" hidden="1">
      <c r="A9" s="21">
        <v>45363.523194444446</v>
      </c>
      <c r="B9" s="22" t="s">
        <v>553</v>
      </c>
      <c r="C9" s="22" t="s">
        <v>547</v>
      </c>
      <c r="D9" s="24" t="s">
        <v>548</v>
      </c>
      <c r="E9" s="22" t="s">
        <v>84</v>
      </c>
      <c r="F9" s="22" t="s">
        <v>554</v>
      </c>
      <c r="G9" s="22" t="s">
        <v>64</v>
      </c>
      <c r="H9" s="22" t="s">
        <v>550</v>
      </c>
      <c r="I9" s="22" t="s">
        <v>555</v>
      </c>
      <c r="J9" s="22" t="s">
        <v>556</v>
      </c>
      <c r="K9" s="22" t="s">
        <v>546</v>
      </c>
      <c r="L9" s="22" t="s">
        <v>89</v>
      </c>
      <c r="M9" s="22" t="s">
        <v>557</v>
      </c>
      <c r="N9" s="22">
        <v>0</v>
      </c>
      <c r="O9" s="22" t="s">
        <v>148</v>
      </c>
      <c r="P9" s="22">
        <v>4</v>
      </c>
      <c r="Q9" s="22">
        <v>2</v>
      </c>
      <c r="R9" s="22">
        <v>0</v>
      </c>
      <c r="S9" s="22" t="s">
        <v>558</v>
      </c>
      <c r="T9" s="22" t="s">
        <v>71</v>
      </c>
      <c r="U9" s="22" t="s">
        <v>72</v>
      </c>
      <c r="V9" s="24" t="s">
        <v>520</v>
      </c>
      <c r="W9" s="26">
        <f>IF('CRUDO MARTES'!W9="Si",$N9,)</f>
        <v>0</v>
      </c>
      <c r="X9" s="26">
        <f>IF('CRUDO MARTES'!X9="Si",$N9,)</f>
        <v>0</v>
      </c>
      <c r="Y9" s="26">
        <f>IF('CRUDO MARTES'!Y9="Si",$N9,)</f>
        <v>0</v>
      </c>
      <c r="Z9" s="26">
        <f>IF('CRUDO MARTES'!Z9="Si",$N9,)</f>
        <v>0</v>
      </c>
      <c r="AA9" s="26">
        <f>IF('CRUDO MARTES'!AA9="Si",$N9,)</f>
        <v>0</v>
      </c>
      <c r="AB9" s="26">
        <f>IF('CRUDO MARTES'!AB9="Si",$N9,)</f>
        <v>0</v>
      </c>
      <c r="AC9" s="26">
        <f>IF('CRUDO MARTES'!AC9="Si",$N9,)</f>
        <v>0</v>
      </c>
      <c r="AD9" s="26">
        <f>IF('CRUDO MARTES'!AD9="Si",$N9,)</f>
        <v>0</v>
      </c>
      <c r="AE9" s="26">
        <f>IF('CRUDO MARTES'!AE9="Si",$N9,)</f>
        <v>0</v>
      </c>
      <c r="AF9" s="26">
        <f>IF('CRUDO MARTES'!AF9="Si",$N9,)</f>
        <v>0</v>
      </c>
      <c r="AG9" s="26">
        <f>IF('CRUDO MARTES'!AG9="Si",$N9,)</f>
        <v>0</v>
      </c>
      <c r="AH9" s="26">
        <f>IF('CRUDO MARTES'!AH9="Si",$N9,)</f>
        <v>0</v>
      </c>
      <c r="AI9" s="26">
        <f>IF('CRUDO MARTES'!AI9="Si",$N9,)</f>
        <v>0</v>
      </c>
      <c r="AJ9" s="26">
        <f>IF('CRUDO MARTES'!AJ9="Si",$N9,)</f>
        <v>0</v>
      </c>
      <c r="AK9" s="26">
        <f>IF('CRUDO MARTES'!AK9="Si",$N9,)</f>
        <v>0</v>
      </c>
      <c r="AL9" s="26">
        <f>IF('CRUDO MARTES'!AL9="Si",$N9,)</f>
        <v>0</v>
      </c>
      <c r="AM9" s="26">
        <f>IF('CRUDO MARTES'!AM9="Si",$N9,)</f>
        <v>0</v>
      </c>
      <c r="AN9" s="26">
        <f>IF('CRUDO MARTES'!AN9="Si",$N9,)</f>
        <v>0</v>
      </c>
      <c r="AO9" s="26">
        <f>IF('CRUDO MARTES'!AO9="Si",$N9,)</f>
        <v>0</v>
      </c>
      <c r="AP9" s="22" t="s">
        <v>559</v>
      </c>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row>
    <row r="10" spans="1:88" ht="13.2" hidden="1">
      <c r="A10" s="21">
        <v>45363.52479033565</v>
      </c>
      <c r="B10" s="22" t="s">
        <v>537</v>
      </c>
      <c r="C10" s="22" t="s">
        <v>538</v>
      </c>
      <c r="D10" s="24" t="s">
        <v>539</v>
      </c>
      <c r="E10" s="22" t="s">
        <v>62</v>
      </c>
      <c r="F10" s="22" t="s">
        <v>560</v>
      </c>
      <c r="G10" s="22" t="s">
        <v>64</v>
      </c>
      <c r="H10" s="22" t="s">
        <v>542</v>
      </c>
      <c r="I10" s="22" t="s">
        <v>541</v>
      </c>
      <c r="J10" s="22" t="s">
        <v>543</v>
      </c>
      <c r="K10" s="22" t="s">
        <v>537</v>
      </c>
      <c r="L10" s="22" t="s">
        <v>68</v>
      </c>
      <c r="M10" s="22" t="s">
        <v>544</v>
      </c>
      <c r="N10" s="22">
        <v>0</v>
      </c>
      <c r="O10" s="22" t="s">
        <v>148</v>
      </c>
      <c r="P10" s="22">
        <v>4</v>
      </c>
      <c r="Q10" s="22">
        <v>2</v>
      </c>
      <c r="R10" s="22">
        <v>20</v>
      </c>
      <c r="S10" s="25"/>
      <c r="T10" s="22" t="s">
        <v>71</v>
      </c>
      <c r="U10" s="22" t="s">
        <v>72</v>
      </c>
      <c r="V10" s="24" t="s">
        <v>520</v>
      </c>
      <c r="W10" s="26">
        <f>IF('CRUDO MARTES'!W10="Si",$N10,)</f>
        <v>0</v>
      </c>
      <c r="X10" s="26">
        <f>IF('CRUDO MARTES'!X10="Si",$N10,)</f>
        <v>0</v>
      </c>
      <c r="Y10" s="26">
        <f>IF('CRUDO MARTES'!Y10="Si",$N10,)</f>
        <v>0</v>
      </c>
      <c r="Z10" s="26">
        <f>IF('CRUDO MARTES'!Z10="Si",$N10,)</f>
        <v>0</v>
      </c>
      <c r="AA10" s="26">
        <f>IF('CRUDO MARTES'!AA10="Si",$N10,)</f>
        <v>0</v>
      </c>
      <c r="AB10" s="26">
        <f>IF('CRUDO MARTES'!AB10="Si",$N10,)</f>
        <v>0</v>
      </c>
      <c r="AC10" s="26">
        <f>IF('CRUDO MARTES'!AC10="Si",$N10,)</f>
        <v>0</v>
      </c>
      <c r="AD10" s="26">
        <f>IF('CRUDO MARTES'!AD10="Si",$N10,)</f>
        <v>0</v>
      </c>
      <c r="AE10" s="26">
        <f>IF('CRUDO MARTES'!AE10="Si",$N10,)</f>
        <v>0</v>
      </c>
      <c r="AF10" s="26">
        <f>IF('CRUDO MARTES'!AF10="Si",$N10,)</f>
        <v>0</v>
      </c>
      <c r="AG10" s="26">
        <f>IF('CRUDO MARTES'!AG10="Si",$N10,)</f>
        <v>0</v>
      </c>
      <c r="AH10" s="26">
        <f>IF('CRUDO MARTES'!AH10="Si",$N10,)</f>
        <v>0</v>
      </c>
      <c r="AI10" s="26">
        <f>IF('CRUDO MARTES'!AI10="Si",$N10,)</f>
        <v>0</v>
      </c>
      <c r="AJ10" s="26">
        <f>IF('CRUDO MARTES'!AJ10="Si",$N10,)</f>
        <v>0</v>
      </c>
      <c r="AK10" s="26">
        <f>IF('CRUDO MARTES'!AK10="Si",$N10,)</f>
        <v>0</v>
      </c>
      <c r="AL10" s="26">
        <f>IF('CRUDO MARTES'!AL10="Si",$N10,)</f>
        <v>0</v>
      </c>
      <c r="AM10" s="26">
        <f>IF('CRUDO MARTES'!AM10="Si",$N10,)</f>
        <v>0</v>
      </c>
      <c r="AN10" s="26">
        <f>IF('CRUDO MARTES'!AN10="Si",$N10,)</f>
        <v>0</v>
      </c>
      <c r="AO10" s="26">
        <f>IF('CRUDO MARTES'!AO10="Si",$N10,)</f>
        <v>0</v>
      </c>
      <c r="AP10" s="22" t="s">
        <v>561</v>
      </c>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row>
    <row r="11" spans="1:88" ht="13.2" hidden="1">
      <c r="A11" s="13">
        <v>45363.543467384261</v>
      </c>
      <c r="B11" s="14" t="s">
        <v>562</v>
      </c>
      <c r="C11" s="28" t="s">
        <v>563</v>
      </c>
      <c r="D11" s="15" t="s">
        <v>564</v>
      </c>
      <c r="E11" s="14" t="s">
        <v>84</v>
      </c>
      <c r="F11" s="14" t="s">
        <v>269</v>
      </c>
      <c r="G11" s="14" t="s">
        <v>64</v>
      </c>
      <c r="H11" s="14" t="s">
        <v>565</v>
      </c>
      <c r="I11" s="14" t="s">
        <v>566</v>
      </c>
      <c r="J11" s="16"/>
      <c r="K11" s="14" t="s">
        <v>562</v>
      </c>
      <c r="L11" s="14" t="s">
        <v>89</v>
      </c>
      <c r="M11" s="14" t="s">
        <v>473</v>
      </c>
      <c r="N11" s="14">
        <v>0</v>
      </c>
      <c r="O11" s="14" t="s">
        <v>70</v>
      </c>
      <c r="P11" s="14">
        <v>2</v>
      </c>
      <c r="Q11" s="14">
        <v>2</v>
      </c>
      <c r="R11" s="14">
        <v>5</v>
      </c>
      <c r="S11" s="16"/>
      <c r="T11" s="14" t="s">
        <v>72</v>
      </c>
      <c r="U11" s="14" t="s">
        <v>71</v>
      </c>
      <c r="V11" s="15" t="s">
        <v>520</v>
      </c>
      <c r="W11" s="30">
        <f>IF('CRUDO MARTES'!W11="Si",$N11,)</f>
        <v>0</v>
      </c>
      <c r="X11" s="30">
        <f>IF('CRUDO MARTES'!X11="Si",$N11,)</f>
        <v>0</v>
      </c>
      <c r="Y11" s="30">
        <f>IF('CRUDO MARTES'!Y11="Si",$N11,)</f>
        <v>0</v>
      </c>
      <c r="Z11" s="30">
        <f>IF('CRUDO MARTES'!Z11="Si",$N11,)</f>
        <v>0</v>
      </c>
      <c r="AA11" s="30">
        <f>IF('CRUDO MARTES'!AA11="Si",$N11,)</f>
        <v>0</v>
      </c>
      <c r="AB11" s="30">
        <f>IF('CRUDO MARTES'!AB11="Si",$N11,)</f>
        <v>0</v>
      </c>
      <c r="AC11" s="30">
        <f>IF('CRUDO MARTES'!AC11="Si",$N11,)</f>
        <v>0</v>
      </c>
      <c r="AD11" s="30">
        <f>IF('CRUDO MARTES'!AD11="Si",$N11,)</f>
        <v>0</v>
      </c>
      <c r="AE11" s="30">
        <f>IF('CRUDO MARTES'!AE11="Si",$N11,)</f>
        <v>0</v>
      </c>
      <c r="AF11" s="30">
        <f>IF('CRUDO MARTES'!AF11="Si",$N11,)</f>
        <v>0</v>
      </c>
      <c r="AG11" s="30">
        <f>IF('CRUDO MARTES'!AG11="Si",$N11,)</f>
        <v>0</v>
      </c>
      <c r="AH11" s="30">
        <f>IF('CRUDO MARTES'!AH11="Si",$N11,)</f>
        <v>0</v>
      </c>
      <c r="AI11" s="30">
        <f>IF('CRUDO MARTES'!AI11="Si",$N11,)</f>
        <v>0</v>
      </c>
      <c r="AJ11" s="29">
        <v>0</v>
      </c>
      <c r="AK11" s="29">
        <v>0</v>
      </c>
      <c r="AL11" s="30">
        <f>IF('CRUDO MARTES'!AL11="Si",$N11,)</f>
        <v>0</v>
      </c>
      <c r="AM11" s="30">
        <f>IF('CRUDO MARTES'!AM11="Si",$N11,)</f>
        <v>0</v>
      </c>
      <c r="AN11" s="29">
        <v>0</v>
      </c>
      <c r="AO11" s="29">
        <v>0</v>
      </c>
      <c r="AP11" s="14" t="s">
        <v>567</v>
      </c>
      <c r="AQ11" s="14" t="s">
        <v>1257</v>
      </c>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row>
    <row r="12" spans="1:88" ht="13.2" hidden="1">
      <c r="A12" s="13">
        <v>45363.554758252314</v>
      </c>
      <c r="B12" s="14" t="s">
        <v>568</v>
      </c>
      <c r="C12" s="28" t="s">
        <v>569</v>
      </c>
      <c r="D12" s="15" t="s">
        <v>570</v>
      </c>
      <c r="E12" s="14" t="s">
        <v>62</v>
      </c>
      <c r="F12" s="14" t="s">
        <v>235</v>
      </c>
      <c r="G12" s="14" t="s">
        <v>64</v>
      </c>
      <c r="H12" s="14" t="s">
        <v>571</v>
      </c>
      <c r="I12" s="14" t="s">
        <v>572</v>
      </c>
      <c r="J12" s="16"/>
      <c r="K12" s="14" t="s">
        <v>568</v>
      </c>
      <c r="L12" s="14" t="s">
        <v>138</v>
      </c>
      <c r="M12" s="14" t="s">
        <v>573</v>
      </c>
      <c r="N12" s="14">
        <v>0</v>
      </c>
      <c r="O12" s="14" t="s">
        <v>70</v>
      </c>
      <c r="P12" s="14">
        <v>5</v>
      </c>
      <c r="Q12" s="14">
        <v>5</v>
      </c>
      <c r="R12" s="14">
        <v>0</v>
      </c>
      <c r="S12" s="16"/>
      <c r="T12" s="14" t="s">
        <v>71</v>
      </c>
      <c r="U12" s="14" t="s">
        <v>71</v>
      </c>
      <c r="V12" s="15" t="s">
        <v>520</v>
      </c>
      <c r="W12" s="30">
        <f>IF('CRUDO MARTES'!W12="Si",$N12,)</f>
        <v>0</v>
      </c>
      <c r="X12" s="29">
        <v>0</v>
      </c>
      <c r="Y12" s="30">
        <f>IF('CRUDO MARTES'!Y12="Si",$N12,)</f>
        <v>0</v>
      </c>
      <c r="Z12" s="30">
        <f>IF('CRUDO MARTES'!Z12="Si",$N12,)</f>
        <v>0</v>
      </c>
      <c r="AA12" s="30">
        <f>IF('CRUDO MARTES'!AA12="Si",$N12,)</f>
        <v>0</v>
      </c>
      <c r="AB12" s="30">
        <f>IF('CRUDO MARTES'!AB12="Si",$N12,)</f>
        <v>0</v>
      </c>
      <c r="AC12" s="30">
        <f>IF('CRUDO MARTES'!AC12="Si",$N12,)</f>
        <v>0</v>
      </c>
      <c r="AD12" s="30">
        <f>IF('CRUDO MARTES'!AD12="Si",$N12,)</f>
        <v>0</v>
      </c>
      <c r="AE12" s="29">
        <v>25</v>
      </c>
      <c r="AF12" s="29">
        <v>0</v>
      </c>
      <c r="AG12" s="30">
        <f>IF('CRUDO MARTES'!AG12="Si",$N12,)</f>
        <v>0</v>
      </c>
      <c r="AH12" s="30">
        <f>IF('CRUDO MARTES'!AH12="Si",$N12,)</f>
        <v>0</v>
      </c>
      <c r="AI12" s="29">
        <v>0</v>
      </c>
      <c r="AJ12" s="29">
        <v>0</v>
      </c>
      <c r="AK12" s="31">
        <f>IF('CRUDO MARTES'!AK12="Si",$N12,)</f>
        <v>0</v>
      </c>
      <c r="AL12" s="30">
        <f>IF('CRUDO MARTES'!AL12="Si",$N12,)</f>
        <v>0</v>
      </c>
      <c r="AM12" s="30">
        <f>IF('CRUDO MARTES'!AM12="Si",$N12,)</f>
        <v>0</v>
      </c>
      <c r="AN12" s="30">
        <f>IF('CRUDO MARTES'!AN12="Si",$N12,)</f>
        <v>0</v>
      </c>
      <c r="AO12" s="30">
        <f>IF('CRUDO MARTES'!AO12="Si",$N12,)</f>
        <v>0</v>
      </c>
      <c r="AP12" s="16"/>
      <c r="AQ12" s="14" t="s">
        <v>1256</v>
      </c>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row>
    <row r="13" spans="1:88" ht="13.2" hidden="1">
      <c r="A13" s="21">
        <v>45363.631157094904</v>
      </c>
      <c r="B13" s="22" t="s">
        <v>574</v>
      </c>
      <c r="C13" s="22" t="s">
        <v>575</v>
      </c>
      <c r="D13" s="22">
        <v>20059400</v>
      </c>
      <c r="E13" s="22" t="s">
        <v>387</v>
      </c>
      <c r="F13" s="22" t="s">
        <v>111</v>
      </c>
      <c r="G13" s="22" t="s">
        <v>64</v>
      </c>
      <c r="H13" s="22" t="s">
        <v>576</v>
      </c>
      <c r="I13" s="22" t="s">
        <v>577</v>
      </c>
      <c r="J13" s="22" t="s">
        <v>578</v>
      </c>
      <c r="K13" s="22" t="s">
        <v>574</v>
      </c>
      <c r="L13" s="22" t="s">
        <v>89</v>
      </c>
      <c r="M13" s="22" t="s">
        <v>579</v>
      </c>
      <c r="N13" s="22">
        <v>0</v>
      </c>
      <c r="O13" s="22" t="s">
        <v>70</v>
      </c>
      <c r="P13" s="22">
        <v>4</v>
      </c>
      <c r="Q13" s="22">
        <v>5</v>
      </c>
      <c r="R13" s="22">
        <v>30</v>
      </c>
      <c r="S13" s="25"/>
      <c r="T13" s="22" t="s">
        <v>71</v>
      </c>
      <c r="U13" s="22" t="s">
        <v>72</v>
      </c>
      <c r="V13" s="24" t="s">
        <v>520</v>
      </c>
      <c r="W13" s="26">
        <f>IF('CRUDO MARTES'!W13="Si",$N13,)</f>
        <v>0</v>
      </c>
      <c r="X13" s="26">
        <f>IF('CRUDO MARTES'!X13="Si",$N13,)</f>
        <v>0</v>
      </c>
      <c r="Y13" s="26">
        <f>IF('CRUDO MARTES'!Y13="Si",$N13,)</f>
        <v>0</v>
      </c>
      <c r="Z13" s="26">
        <f>IF('CRUDO MARTES'!Z13="Si",$N13,)</f>
        <v>0</v>
      </c>
      <c r="AA13" s="26">
        <f>IF('CRUDO MARTES'!AA13="Si",$N13,)</f>
        <v>0</v>
      </c>
      <c r="AB13" s="26">
        <f>IF('CRUDO MARTES'!AB13="Si",$N13,)</f>
        <v>0</v>
      </c>
      <c r="AC13" s="26">
        <f>IF('CRUDO MARTES'!AC13="Si",$N13,)</f>
        <v>0</v>
      </c>
      <c r="AD13" s="26">
        <f>IF('CRUDO MARTES'!AD13="Si",$N13,)</f>
        <v>0</v>
      </c>
      <c r="AE13" s="26">
        <f>IF('CRUDO MARTES'!AE13="Si",$N13,)</f>
        <v>0</v>
      </c>
      <c r="AF13" s="26">
        <f>IF('CRUDO MARTES'!AF13="Si",$N13,)</f>
        <v>0</v>
      </c>
      <c r="AG13" s="26">
        <f>IF('CRUDO MARTES'!AG13="Si",$N13,)</f>
        <v>0</v>
      </c>
      <c r="AH13" s="26">
        <f>IF('CRUDO MARTES'!AH13="Si",$N13,)</f>
        <v>0</v>
      </c>
      <c r="AI13" s="26">
        <f>IF('CRUDO MARTES'!AI13="Si",$N13,)</f>
        <v>0</v>
      </c>
      <c r="AJ13" s="26">
        <f>IF('CRUDO MARTES'!AJ13="Si",$N13,)</f>
        <v>0</v>
      </c>
      <c r="AK13" s="26">
        <f>IF('CRUDO MARTES'!AK13="Si",$N13,)</f>
        <v>0</v>
      </c>
      <c r="AL13" s="26">
        <f>IF('CRUDO MARTES'!AL13="Si",$N13,)</f>
        <v>0</v>
      </c>
      <c r="AM13" s="26">
        <f>IF('CRUDO MARTES'!AM13="Si",$N13,)</f>
        <v>0</v>
      </c>
      <c r="AN13" s="26">
        <f>IF('CRUDO MARTES'!AN13="Si",$N13,)</f>
        <v>0</v>
      </c>
      <c r="AO13" s="26">
        <f>IF('CRUDO MARTES'!AO13="Si",$N13,)</f>
        <v>0</v>
      </c>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row>
    <row r="14" spans="1:88" ht="13.2" hidden="1">
      <c r="A14" s="21">
        <v>45363.647077858797</v>
      </c>
      <c r="B14" s="22" t="s">
        <v>580</v>
      </c>
      <c r="C14" s="22" t="s">
        <v>581</v>
      </c>
      <c r="D14" s="22">
        <v>201342</v>
      </c>
      <c r="E14" s="22" t="s">
        <v>84</v>
      </c>
      <c r="F14" s="22" t="s">
        <v>582</v>
      </c>
      <c r="G14" s="22" t="s">
        <v>64</v>
      </c>
      <c r="H14" s="22" t="s">
        <v>583</v>
      </c>
      <c r="I14" s="22" t="s">
        <v>584</v>
      </c>
      <c r="J14" s="22" t="s">
        <v>585</v>
      </c>
      <c r="K14" s="22" t="s">
        <v>580</v>
      </c>
      <c r="L14" s="22" t="s">
        <v>89</v>
      </c>
      <c r="M14" s="22" t="s">
        <v>208</v>
      </c>
      <c r="N14" s="22">
        <v>0</v>
      </c>
      <c r="O14" s="22" t="s">
        <v>148</v>
      </c>
      <c r="P14" s="22">
        <v>4</v>
      </c>
      <c r="Q14" s="22">
        <v>1</v>
      </c>
      <c r="R14" s="22">
        <v>10</v>
      </c>
      <c r="S14" s="25"/>
      <c r="T14" s="22" t="s">
        <v>71</v>
      </c>
      <c r="U14" s="22" t="s">
        <v>72</v>
      </c>
      <c r="V14" s="24" t="s">
        <v>520</v>
      </c>
      <c r="W14" s="26">
        <f>IF('CRUDO MARTES'!W14="Si",$N14,)</f>
        <v>0</v>
      </c>
      <c r="X14" s="26">
        <f>IF('CRUDO MARTES'!X14="Si",$N14,)</f>
        <v>0</v>
      </c>
      <c r="Y14" s="26">
        <f>IF('CRUDO MARTES'!Y14="Si",$N14,)</f>
        <v>0</v>
      </c>
      <c r="Z14" s="26">
        <f>IF('CRUDO MARTES'!Z14="Si",$N14,)</f>
        <v>0</v>
      </c>
      <c r="AA14" s="26">
        <f>IF('CRUDO MARTES'!AA14="Si",$N14,)</f>
        <v>0</v>
      </c>
      <c r="AB14" s="26">
        <f>IF('CRUDO MARTES'!AB14="Si",$N14,)</f>
        <v>0</v>
      </c>
      <c r="AC14" s="26">
        <f>IF('CRUDO MARTES'!AC14="Si",$N14,)</f>
        <v>0</v>
      </c>
      <c r="AD14" s="26">
        <f>IF('CRUDO MARTES'!AD14="Si",$N14,)</f>
        <v>0</v>
      </c>
      <c r="AE14" s="26">
        <f>IF('CRUDO MARTES'!AE14="Si",$N14,)</f>
        <v>0</v>
      </c>
      <c r="AF14" s="26">
        <f>IF('CRUDO MARTES'!AF14="Si",$N14,)</f>
        <v>0</v>
      </c>
      <c r="AG14" s="26">
        <f>IF('CRUDO MARTES'!AG14="Si",$N14,)</f>
        <v>0</v>
      </c>
      <c r="AH14" s="26">
        <f>IF('CRUDO MARTES'!AH14="Si",$N14,)</f>
        <v>0</v>
      </c>
      <c r="AI14" s="26">
        <f>IF('CRUDO MARTES'!AI14="Si",$N14,)</f>
        <v>0</v>
      </c>
      <c r="AJ14" s="26">
        <f>IF('CRUDO MARTES'!AJ14="Si",$N14,)</f>
        <v>0</v>
      </c>
      <c r="AK14" s="26">
        <f>IF('CRUDO MARTES'!AK14="Si",$N14,)</f>
        <v>0</v>
      </c>
      <c r="AL14" s="26">
        <f>IF('CRUDO MARTES'!AL14="Si",$N14,)</f>
        <v>0</v>
      </c>
      <c r="AM14" s="26">
        <f>IF('CRUDO MARTES'!AM14="Si",$N14,)</f>
        <v>0</v>
      </c>
      <c r="AN14" s="26">
        <f>IF('CRUDO MARTES'!AN14="Si",$N14,)</f>
        <v>0</v>
      </c>
      <c r="AO14" s="26">
        <f>IF('CRUDO MARTES'!AO14="Si",$N14,)</f>
        <v>0</v>
      </c>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row>
    <row r="15" spans="1:88" ht="13.2" hidden="1">
      <c r="A15" s="13">
        <v>45363.647391956023</v>
      </c>
      <c r="B15" s="14" t="s">
        <v>586</v>
      </c>
      <c r="C15" s="28" t="s">
        <v>587</v>
      </c>
      <c r="D15" s="15" t="s">
        <v>588</v>
      </c>
      <c r="E15" s="14" t="s">
        <v>84</v>
      </c>
      <c r="F15" s="14" t="s">
        <v>589</v>
      </c>
      <c r="G15" s="14" t="s">
        <v>64</v>
      </c>
      <c r="H15" s="14" t="s">
        <v>590</v>
      </c>
      <c r="I15" s="14" t="s">
        <v>591</v>
      </c>
      <c r="J15" s="14" t="s">
        <v>592</v>
      </c>
      <c r="K15" s="14" t="s">
        <v>586</v>
      </c>
      <c r="L15" s="14" t="s">
        <v>245</v>
      </c>
      <c r="M15" s="14" t="s">
        <v>593</v>
      </c>
      <c r="N15" s="14">
        <v>0</v>
      </c>
      <c r="O15" s="14" t="s">
        <v>70</v>
      </c>
      <c r="P15" s="14">
        <v>3</v>
      </c>
      <c r="Q15" s="14">
        <v>3</v>
      </c>
      <c r="R15" s="14">
        <v>10</v>
      </c>
      <c r="S15" s="16"/>
      <c r="T15" s="14" t="s">
        <v>72</v>
      </c>
      <c r="U15" s="14" t="s">
        <v>71</v>
      </c>
      <c r="V15" s="15" t="s">
        <v>520</v>
      </c>
      <c r="W15" s="30">
        <f>IF('CRUDO MARTES'!W15="Si",$N15,)</f>
        <v>0</v>
      </c>
      <c r="X15" s="30">
        <f>IF('CRUDO MARTES'!X15="Si",$N15,)</f>
        <v>0</v>
      </c>
      <c r="Y15" s="30">
        <f>IF('CRUDO MARTES'!Y15="Si",$N15,)</f>
        <v>0</v>
      </c>
      <c r="Z15" s="30">
        <f>IF('CRUDO MARTES'!Z15="Si",$N15,)</f>
        <v>0</v>
      </c>
      <c r="AA15" s="30">
        <f>IF('CRUDO MARTES'!AA15="Si",$N15,)</f>
        <v>0</v>
      </c>
      <c r="AB15" s="30">
        <f>IF('CRUDO MARTES'!AB15="Si",$N15,)</f>
        <v>0</v>
      </c>
      <c r="AC15" s="30">
        <f>IF('CRUDO MARTES'!AC15="Si",$N15,)</f>
        <v>0</v>
      </c>
      <c r="AD15" s="30">
        <f>IF('CRUDO MARTES'!AD15="Si",$N15,)</f>
        <v>0</v>
      </c>
      <c r="AE15" s="29">
        <v>0</v>
      </c>
      <c r="AF15" s="30">
        <f>IF('CRUDO MARTES'!AF15="Si",$N15,)</f>
        <v>0</v>
      </c>
      <c r="AG15" s="30">
        <f>IF('CRUDO MARTES'!AG15="Si",$N15,)</f>
        <v>0</v>
      </c>
      <c r="AH15" s="30">
        <f>IF('CRUDO MARTES'!AH15="Si",$N15,)</f>
        <v>0</v>
      </c>
      <c r="AI15" s="30">
        <f>IF('CRUDO MARTES'!AI15="Si",$N15,)</f>
        <v>0</v>
      </c>
      <c r="AJ15" s="29">
        <v>0</v>
      </c>
      <c r="AK15" s="29">
        <v>0</v>
      </c>
      <c r="AL15" s="30">
        <f>IF('CRUDO MARTES'!AL15="Si",$N15,)</f>
        <v>0</v>
      </c>
      <c r="AM15" s="30">
        <f>IF('CRUDO MARTES'!AM15="Si",$N15,)</f>
        <v>0</v>
      </c>
      <c r="AN15" s="29">
        <v>0</v>
      </c>
      <c r="AO15" s="29">
        <v>0</v>
      </c>
      <c r="AP15" s="16"/>
      <c r="AQ15" s="14" t="s">
        <v>1258</v>
      </c>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row>
    <row r="16" spans="1:88" ht="13.2" hidden="1">
      <c r="A16" s="13">
        <v>45363.650400023151</v>
      </c>
      <c r="B16" s="14" t="s">
        <v>586</v>
      </c>
      <c r="C16" s="28" t="s">
        <v>587</v>
      </c>
      <c r="D16" s="15" t="s">
        <v>588</v>
      </c>
      <c r="E16" s="14" t="s">
        <v>133</v>
      </c>
      <c r="F16" s="14" t="s">
        <v>594</v>
      </c>
      <c r="G16" s="14" t="s">
        <v>64</v>
      </c>
      <c r="H16" s="14" t="s">
        <v>595</v>
      </c>
      <c r="I16" s="14" t="s">
        <v>596</v>
      </c>
      <c r="J16" s="14" t="s">
        <v>597</v>
      </c>
      <c r="K16" s="14" t="s">
        <v>586</v>
      </c>
      <c r="L16" s="14" t="s">
        <v>245</v>
      </c>
      <c r="M16" s="14" t="s">
        <v>598</v>
      </c>
      <c r="N16" s="14">
        <v>0</v>
      </c>
      <c r="O16" s="14" t="s">
        <v>70</v>
      </c>
      <c r="P16" s="14">
        <v>3</v>
      </c>
      <c r="Q16" s="14">
        <v>3</v>
      </c>
      <c r="R16" s="14">
        <v>10</v>
      </c>
      <c r="S16" s="16"/>
      <c r="T16" s="14" t="s">
        <v>72</v>
      </c>
      <c r="U16" s="14" t="s">
        <v>71</v>
      </c>
      <c r="V16" s="15" t="s">
        <v>520</v>
      </c>
      <c r="W16" s="30">
        <f>IF('CRUDO MARTES'!W16="Si",$N16,)</f>
        <v>0</v>
      </c>
      <c r="X16" s="30">
        <f>IF('CRUDO MARTES'!X16="Si",$N16,)</f>
        <v>0</v>
      </c>
      <c r="Y16" s="30">
        <f>IF('CRUDO MARTES'!Y16="Si",$N16,)</f>
        <v>0</v>
      </c>
      <c r="Z16" s="30">
        <f>IF('CRUDO MARTES'!Z16="Si",$N16,)</f>
        <v>0</v>
      </c>
      <c r="AA16" s="30">
        <f>IF('CRUDO MARTES'!AA16="Si",$N16,)</f>
        <v>0</v>
      </c>
      <c r="AB16" s="30">
        <f>IF('CRUDO MARTES'!AB16="Si",$N16,)</f>
        <v>0</v>
      </c>
      <c r="AC16" s="30">
        <f>IF('CRUDO MARTES'!AC16="Si",$N16,)</f>
        <v>0</v>
      </c>
      <c r="AD16" s="30">
        <f>IF('CRUDO MARTES'!AD16="Si",$N16,)</f>
        <v>0</v>
      </c>
      <c r="AE16" s="29">
        <v>0</v>
      </c>
      <c r="AF16" s="30">
        <f>IF('CRUDO MARTES'!AF16="Si",$N16,)</f>
        <v>0</v>
      </c>
      <c r="AG16" s="30">
        <f>IF('CRUDO MARTES'!AG16="Si",$N16,)</f>
        <v>0</v>
      </c>
      <c r="AH16" s="30">
        <f>IF('CRUDO MARTES'!AH16="Si",$N16,)</f>
        <v>0</v>
      </c>
      <c r="AI16" s="30">
        <f>IF('CRUDO MARTES'!AI16="Si",$N16,)</f>
        <v>0</v>
      </c>
      <c r="AJ16" s="29">
        <v>0</v>
      </c>
      <c r="AK16" s="29">
        <v>0</v>
      </c>
      <c r="AL16" s="30">
        <f>IF('CRUDO MARTES'!AL16="Si",$N16,)</f>
        <v>0</v>
      </c>
      <c r="AM16" s="30">
        <f>IF('CRUDO MARTES'!AM16="Si",$N16,)</f>
        <v>0</v>
      </c>
      <c r="AN16" s="29">
        <v>0</v>
      </c>
      <c r="AO16" s="29">
        <v>0</v>
      </c>
      <c r="AP16" s="16"/>
      <c r="AQ16" s="14" t="s">
        <v>1258</v>
      </c>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row>
    <row r="17" spans="1:88" ht="13.2">
      <c r="A17" s="38">
        <v>45363.683418576387</v>
      </c>
      <c r="B17" s="39" t="s">
        <v>209</v>
      </c>
      <c r="C17" s="40" t="s">
        <v>210</v>
      </c>
      <c r="D17" s="41" t="s">
        <v>211</v>
      </c>
      <c r="E17" s="39" t="s">
        <v>286</v>
      </c>
      <c r="F17" s="39" t="s">
        <v>599</v>
      </c>
      <c r="G17" s="39" t="s">
        <v>105</v>
      </c>
      <c r="H17" s="39" t="s">
        <v>600</v>
      </c>
      <c r="I17" s="39" t="s">
        <v>601</v>
      </c>
      <c r="J17" s="39" t="s">
        <v>602</v>
      </c>
      <c r="K17" s="39" t="s">
        <v>209</v>
      </c>
      <c r="L17" s="39" t="s">
        <v>89</v>
      </c>
      <c r="M17" s="39" t="s">
        <v>217</v>
      </c>
      <c r="N17" s="39">
        <v>22</v>
      </c>
      <c r="O17" s="39" t="s">
        <v>148</v>
      </c>
      <c r="P17" s="39">
        <v>5</v>
      </c>
      <c r="Q17" s="39">
        <v>5</v>
      </c>
      <c r="R17" s="39">
        <v>90</v>
      </c>
      <c r="S17" s="42"/>
      <c r="T17" s="39" t="s">
        <v>71</v>
      </c>
      <c r="U17" s="39" t="s">
        <v>72</v>
      </c>
      <c r="V17" s="41" t="s">
        <v>520</v>
      </c>
      <c r="W17" s="43">
        <f>IF('CRUDO MARTES'!W17="Si",$N17,)</f>
        <v>0</v>
      </c>
      <c r="X17" s="44">
        <v>22</v>
      </c>
      <c r="Y17" s="44">
        <v>22</v>
      </c>
      <c r="Z17" s="43">
        <f>IF('CRUDO MARTES'!Z17="Si",$N17,)</f>
        <v>0</v>
      </c>
      <c r="AA17" s="43">
        <f>IF('CRUDO MARTES'!AA17="Si",$N17,)</f>
        <v>22</v>
      </c>
      <c r="AB17" s="43">
        <f>IF('CRUDO MARTES'!AB17="Si",$N17,)</f>
        <v>0</v>
      </c>
      <c r="AC17" s="43">
        <f>IF('CRUDO MARTES'!AC17="Si",$N17,)</f>
        <v>0</v>
      </c>
      <c r="AD17" s="43">
        <f>IF('CRUDO MARTES'!AD17="Si",$N17,)</f>
        <v>0</v>
      </c>
      <c r="AE17" s="43">
        <f>IF('CRUDO MARTES'!AE17="Si",$N17,)</f>
        <v>0</v>
      </c>
      <c r="AF17" s="43">
        <f>IF('CRUDO MARTES'!AF17="Si",$N17,)</f>
        <v>0</v>
      </c>
      <c r="AG17" s="43">
        <f>IF('CRUDO MARTES'!AG17="Si",$N17,)</f>
        <v>0</v>
      </c>
      <c r="AH17" s="45">
        <f>IF('CRUDO MARTES'!AH17="Si",$N17,)</f>
        <v>22</v>
      </c>
      <c r="AI17" s="43">
        <f>IF('CRUDO MARTES'!AI17="Si",$N17,)</f>
        <v>0</v>
      </c>
      <c r="AJ17" s="43">
        <f>IF('CRUDO MARTES'!AJ17="Si",$N17,)</f>
        <v>0</v>
      </c>
      <c r="AK17" s="43">
        <f>IF('CRUDO MARTES'!AK17="Si",$N17,)</f>
        <v>0</v>
      </c>
      <c r="AL17" s="43">
        <f>IF('CRUDO MARTES'!AL17="Si",$N17,)</f>
        <v>0</v>
      </c>
      <c r="AM17" s="44">
        <v>0</v>
      </c>
      <c r="AN17" s="43">
        <f>IF('CRUDO MARTES'!AN17="Si",$N17,)</f>
        <v>0</v>
      </c>
      <c r="AO17" s="43">
        <f>IF('CRUDO MARTES'!AO17="Si",$N17,)</f>
        <v>0</v>
      </c>
      <c r="AP17" s="42"/>
      <c r="AQ17" s="39" t="s">
        <v>1254</v>
      </c>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row>
    <row r="18" spans="1:88" ht="13.2" hidden="1">
      <c r="A18" s="13">
        <v>45363.707946979164</v>
      </c>
      <c r="B18" s="14" t="s">
        <v>603</v>
      </c>
      <c r="C18" s="28" t="s">
        <v>604</v>
      </c>
      <c r="D18" s="15" t="s">
        <v>605</v>
      </c>
      <c r="E18" s="14" t="s">
        <v>133</v>
      </c>
      <c r="F18" s="14" t="s">
        <v>192</v>
      </c>
      <c r="G18" s="14" t="s">
        <v>64</v>
      </c>
      <c r="H18" s="14" t="s">
        <v>606</v>
      </c>
      <c r="I18" s="14" t="s">
        <v>607</v>
      </c>
      <c r="J18" s="14" t="s">
        <v>608</v>
      </c>
      <c r="K18" s="14" t="s">
        <v>603</v>
      </c>
      <c r="L18" s="14" t="s">
        <v>89</v>
      </c>
      <c r="M18" s="14" t="s">
        <v>190</v>
      </c>
      <c r="N18" s="14">
        <v>0</v>
      </c>
      <c r="O18" s="14" t="s">
        <v>70</v>
      </c>
      <c r="P18" s="14">
        <v>2</v>
      </c>
      <c r="Q18" s="14">
        <v>3</v>
      </c>
      <c r="R18" s="14">
        <v>75</v>
      </c>
      <c r="S18" s="16"/>
      <c r="T18" s="14" t="s">
        <v>71</v>
      </c>
      <c r="U18" s="14" t="s">
        <v>72</v>
      </c>
      <c r="V18" s="15" t="s">
        <v>520</v>
      </c>
      <c r="W18" s="30">
        <f>IF('CRUDO MARTES'!W18="Si",$N18,)</f>
        <v>0</v>
      </c>
      <c r="X18" s="30">
        <f>IF('CRUDO MARTES'!X18="Si",$N18,)</f>
        <v>0</v>
      </c>
      <c r="Y18" s="30">
        <f>IF('CRUDO MARTES'!Y18="Si",$N18,)</f>
        <v>0</v>
      </c>
      <c r="Z18" s="30">
        <f>IF('CRUDO MARTES'!Z18="Si",$N18,)</f>
        <v>0</v>
      </c>
      <c r="AA18" s="30">
        <f>IF('CRUDO MARTES'!AA18="Si",$N18,)</f>
        <v>0</v>
      </c>
      <c r="AB18" s="29">
        <v>0</v>
      </c>
      <c r="AC18" s="29">
        <v>0</v>
      </c>
      <c r="AD18" s="30">
        <f>IF('CRUDO MARTES'!AD18="Si",$N18,)</f>
        <v>0</v>
      </c>
      <c r="AE18" s="30">
        <f>IF('CRUDO MARTES'!AE18="Si",$N18,)</f>
        <v>0</v>
      </c>
      <c r="AF18" s="30">
        <f>IF('CRUDO MARTES'!AF18="Si",$N18,)</f>
        <v>0</v>
      </c>
      <c r="AG18" s="30">
        <f>IF('CRUDO MARTES'!AG18="Si",$N18,)</f>
        <v>0</v>
      </c>
      <c r="AH18" s="30">
        <f>IF('CRUDO MARTES'!AH18="Si",$N18,)</f>
        <v>0</v>
      </c>
      <c r="AI18" s="29">
        <v>0</v>
      </c>
      <c r="AJ18" s="30">
        <f>IF('CRUDO MARTES'!AJ18="Si",$N18,)</f>
        <v>0</v>
      </c>
      <c r="AK18" s="30">
        <f>IF('CRUDO MARTES'!AK18="Si",$N18,)</f>
        <v>0</v>
      </c>
      <c r="AL18" s="31">
        <f>IF('CRUDO MARTES'!AL18="Si",$N18,)</f>
        <v>0</v>
      </c>
      <c r="AM18" s="30">
        <f>IF('CRUDO MARTES'!AM18="Si",$N18,)</f>
        <v>0</v>
      </c>
      <c r="AN18" s="30">
        <f>IF('CRUDO MARTES'!AN18="Si",$N18,)</f>
        <v>0</v>
      </c>
      <c r="AO18" s="30">
        <f>IF('CRUDO MARTES'!AO18="Si",$N18,)</f>
        <v>0</v>
      </c>
      <c r="AP18" s="14" t="s">
        <v>609</v>
      </c>
      <c r="AQ18" s="14" t="s">
        <v>1254</v>
      </c>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row>
    <row r="19" spans="1:88" ht="13.2" hidden="1">
      <c r="A19" s="21">
        <v>45363.710773865736</v>
      </c>
      <c r="B19" s="22" t="s">
        <v>603</v>
      </c>
      <c r="C19" s="22" t="s">
        <v>610</v>
      </c>
      <c r="D19" s="24" t="s">
        <v>605</v>
      </c>
      <c r="E19" s="22" t="s">
        <v>133</v>
      </c>
      <c r="F19" s="22" t="s">
        <v>192</v>
      </c>
      <c r="G19" s="22" t="s">
        <v>64</v>
      </c>
      <c r="H19" s="22" t="s">
        <v>187</v>
      </c>
      <c r="I19" s="22" t="s">
        <v>611</v>
      </c>
      <c r="J19" s="22" t="s">
        <v>612</v>
      </c>
      <c r="K19" s="22" t="s">
        <v>603</v>
      </c>
      <c r="L19" s="22" t="s">
        <v>89</v>
      </c>
      <c r="M19" s="22" t="s">
        <v>190</v>
      </c>
      <c r="N19" s="22">
        <v>0</v>
      </c>
      <c r="O19" s="22" t="s">
        <v>70</v>
      </c>
      <c r="P19" s="22">
        <v>2</v>
      </c>
      <c r="Q19" s="22">
        <v>3</v>
      </c>
      <c r="R19" s="22">
        <v>75</v>
      </c>
      <c r="S19" s="25"/>
      <c r="T19" s="22" t="s">
        <v>71</v>
      </c>
      <c r="U19" s="22" t="s">
        <v>72</v>
      </c>
      <c r="V19" s="24" t="s">
        <v>520</v>
      </c>
      <c r="W19" s="26">
        <f>IF('CRUDO MARTES'!W19="Si",$N19,)</f>
        <v>0</v>
      </c>
      <c r="X19" s="26">
        <f>IF('CRUDO MARTES'!X19="Si",$N19,)</f>
        <v>0</v>
      </c>
      <c r="Y19" s="26">
        <f>IF('CRUDO MARTES'!Y19="Si",$N19,)</f>
        <v>0</v>
      </c>
      <c r="Z19" s="26">
        <f>IF('CRUDO MARTES'!Z19="Si",$N19,)</f>
        <v>0</v>
      </c>
      <c r="AA19" s="26">
        <f>IF('CRUDO MARTES'!AA19="Si",$N19,)</f>
        <v>0</v>
      </c>
      <c r="AB19" s="26">
        <f>IF('CRUDO MARTES'!AB19="Si",$N19,)</f>
        <v>0</v>
      </c>
      <c r="AC19" s="26">
        <f>IF('CRUDO MARTES'!AC19="Si",$N19,)</f>
        <v>0</v>
      </c>
      <c r="AD19" s="26">
        <f>IF('CRUDO MARTES'!AD19="Si",$N19,)</f>
        <v>0</v>
      </c>
      <c r="AE19" s="26">
        <f>IF('CRUDO MARTES'!AE19="Si",$N19,)</f>
        <v>0</v>
      </c>
      <c r="AF19" s="26">
        <f>IF('CRUDO MARTES'!AF19="Si",$N19,)</f>
        <v>0</v>
      </c>
      <c r="AG19" s="26">
        <f>IF('CRUDO MARTES'!AG19="Si",$N19,)</f>
        <v>0</v>
      </c>
      <c r="AH19" s="26">
        <f>IF('CRUDO MARTES'!AH19="Si",$N19,)</f>
        <v>0</v>
      </c>
      <c r="AI19" s="26">
        <f>IF('CRUDO MARTES'!AI19="Si",$N19,)</f>
        <v>0</v>
      </c>
      <c r="AJ19" s="26">
        <f>IF('CRUDO MARTES'!AJ19="Si",$N19,)</f>
        <v>0</v>
      </c>
      <c r="AK19" s="26">
        <f>IF('CRUDO MARTES'!AK19="Si",$N19,)</f>
        <v>0</v>
      </c>
      <c r="AL19" s="26">
        <f>IF('CRUDO MARTES'!AL19="Si",$N19,)</f>
        <v>0</v>
      </c>
      <c r="AM19" s="26">
        <f>IF('CRUDO MARTES'!AM19="Si",$N19,)</f>
        <v>0</v>
      </c>
      <c r="AN19" s="26">
        <f>IF('CRUDO MARTES'!AN19="Si",$N19,)</f>
        <v>0</v>
      </c>
      <c r="AO19" s="26">
        <f>IF('CRUDO MARTES'!AO19="Si",$N19,)</f>
        <v>0</v>
      </c>
      <c r="AP19" s="22" t="s">
        <v>609</v>
      </c>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row>
    <row r="20" spans="1:88" ht="13.2">
      <c r="A20" s="38">
        <v>45363.723644571757</v>
      </c>
      <c r="B20" s="39" t="s">
        <v>195</v>
      </c>
      <c r="C20" s="40" t="s">
        <v>613</v>
      </c>
      <c r="D20" s="39">
        <v>61338200</v>
      </c>
      <c r="E20" s="39" t="s">
        <v>62</v>
      </c>
      <c r="F20" s="39" t="s">
        <v>104</v>
      </c>
      <c r="G20" s="39" t="s">
        <v>64</v>
      </c>
      <c r="H20" s="39" t="s">
        <v>614</v>
      </c>
      <c r="I20" s="39" t="s">
        <v>615</v>
      </c>
      <c r="J20" s="39" t="s">
        <v>616</v>
      </c>
      <c r="K20" s="39" t="s">
        <v>195</v>
      </c>
      <c r="L20" s="39" t="s">
        <v>68</v>
      </c>
      <c r="M20" s="39" t="s">
        <v>617</v>
      </c>
      <c r="N20" s="39">
        <v>28</v>
      </c>
      <c r="O20" s="39" t="s">
        <v>70</v>
      </c>
      <c r="P20" s="39">
        <v>5</v>
      </c>
      <c r="Q20" s="39">
        <v>5</v>
      </c>
      <c r="R20" s="39">
        <v>40</v>
      </c>
      <c r="S20" s="39" t="s">
        <v>200</v>
      </c>
      <c r="T20" s="39" t="s">
        <v>71</v>
      </c>
      <c r="U20" s="39" t="s">
        <v>72</v>
      </c>
      <c r="V20" s="41" t="s">
        <v>520</v>
      </c>
      <c r="W20" s="43">
        <f>IF('CRUDO MARTES'!W20="Si",$N20,)</f>
        <v>28</v>
      </c>
      <c r="X20" s="44">
        <v>28</v>
      </c>
      <c r="Y20" s="43">
        <f>IF('CRUDO MARTES'!Y20="Si",$N20,)</f>
        <v>0</v>
      </c>
      <c r="Z20" s="43">
        <f>IF('CRUDO MARTES'!Z20="Si",$N20,)</f>
        <v>0</v>
      </c>
      <c r="AA20" s="43">
        <f>IF('CRUDO MARTES'!AA20="Si",$N20,)</f>
        <v>0</v>
      </c>
      <c r="AB20" s="44">
        <v>0</v>
      </c>
      <c r="AC20" s="44">
        <v>30</v>
      </c>
      <c r="AD20" s="43">
        <f>IF('CRUDO MARTES'!AD20="Si",$N20,)</f>
        <v>28</v>
      </c>
      <c r="AE20" s="43">
        <f>IF('CRUDO MARTES'!AE20="Si",$N20,)</f>
        <v>0</v>
      </c>
      <c r="AF20" s="43">
        <f>IF('CRUDO MARTES'!AF20="Si",$N20,)</f>
        <v>0</v>
      </c>
      <c r="AG20" s="43">
        <f>IF('CRUDO MARTES'!AG20="Si",$N20,)</f>
        <v>0</v>
      </c>
      <c r="AH20" s="44">
        <v>0</v>
      </c>
      <c r="AI20" s="43">
        <f>IF('CRUDO MARTES'!AI20="Si",$N20,)</f>
        <v>0</v>
      </c>
      <c r="AJ20" s="43">
        <f>IF('CRUDO MARTES'!AJ20="Si",$N20,)</f>
        <v>0</v>
      </c>
      <c r="AK20" s="43">
        <f>IF('CRUDO MARTES'!AK20="Si",$N20,)</f>
        <v>0</v>
      </c>
      <c r="AL20" s="43">
        <f>IF('CRUDO MARTES'!AL20="Si",$N20,)</f>
        <v>0</v>
      </c>
      <c r="AM20" s="44">
        <v>0</v>
      </c>
      <c r="AN20" s="43">
        <f>IF('CRUDO MARTES'!AN20="Si",$N20,)</f>
        <v>0</v>
      </c>
      <c r="AO20" s="43">
        <f>IF('CRUDO MARTES'!AO20="Si",$N20,)</f>
        <v>0</v>
      </c>
      <c r="AP20" s="42"/>
      <c r="AQ20" s="39" t="s">
        <v>1259</v>
      </c>
      <c r="AR20" s="39" t="s">
        <v>1268</v>
      </c>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2"/>
      <c r="CI20" s="42"/>
      <c r="CJ20" s="42"/>
    </row>
    <row r="21" spans="1:88" ht="13.2">
      <c r="A21" s="38">
        <v>45363.726919548615</v>
      </c>
      <c r="B21" s="39" t="s">
        <v>195</v>
      </c>
      <c r="C21" s="40" t="s">
        <v>618</v>
      </c>
      <c r="D21" s="39">
        <v>61338200</v>
      </c>
      <c r="E21" s="39" t="s">
        <v>133</v>
      </c>
      <c r="F21" s="39" t="s">
        <v>619</v>
      </c>
      <c r="G21" s="39" t="s">
        <v>64</v>
      </c>
      <c r="H21" s="39" t="s">
        <v>620</v>
      </c>
      <c r="I21" s="39" t="s">
        <v>621</v>
      </c>
      <c r="J21" s="39" t="s">
        <v>622</v>
      </c>
      <c r="K21" s="39" t="s">
        <v>195</v>
      </c>
      <c r="L21" s="39" t="s">
        <v>68</v>
      </c>
      <c r="M21" s="39" t="s">
        <v>623</v>
      </c>
      <c r="N21" s="39">
        <v>20</v>
      </c>
      <c r="O21" s="39" t="s">
        <v>70</v>
      </c>
      <c r="P21" s="39">
        <v>5</v>
      </c>
      <c r="Q21" s="39">
        <v>5</v>
      </c>
      <c r="R21" s="39">
        <v>40</v>
      </c>
      <c r="S21" s="39" t="s">
        <v>200</v>
      </c>
      <c r="T21" s="39" t="s">
        <v>71</v>
      </c>
      <c r="U21" s="39" t="s">
        <v>71</v>
      </c>
      <c r="V21" s="41" t="s">
        <v>520</v>
      </c>
      <c r="W21" s="43">
        <f>IF('CRUDO MARTES'!W21="Si",$N21,)</f>
        <v>20</v>
      </c>
      <c r="X21" s="44">
        <v>20</v>
      </c>
      <c r="Y21" s="43">
        <f>IF('CRUDO MARTES'!Y21="Si",$N21,)</f>
        <v>0</v>
      </c>
      <c r="Z21" s="43">
        <f>IF('CRUDO MARTES'!Z21="Si",$N21,)</f>
        <v>0</v>
      </c>
      <c r="AA21" s="43">
        <f>IF('CRUDO MARTES'!AA21="Si",$N21,)</f>
        <v>0</v>
      </c>
      <c r="AB21" s="44">
        <v>0</v>
      </c>
      <c r="AC21" s="44">
        <v>30</v>
      </c>
      <c r="AD21" s="43">
        <f>IF('CRUDO MARTES'!AD21="Si",$N21,)</f>
        <v>20</v>
      </c>
      <c r="AE21" s="43">
        <f>IF('CRUDO MARTES'!AE21="Si",$N21,)</f>
        <v>0</v>
      </c>
      <c r="AF21" s="43">
        <f>IF('CRUDO MARTES'!AF21="Si",$N21,)</f>
        <v>0</v>
      </c>
      <c r="AG21" s="43">
        <f>IF('CRUDO MARTES'!AG21="Si",$N21,)</f>
        <v>0</v>
      </c>
      <c r="AH21" s="44">
        <v>0</v>
      </c>
      <c r="AI21" s="43">
        <f>IF('CRUDO MARTES'!AI21="Si",$N21,)</f>
        <v>0</v>
      </c>
      <c r="AJ21" s="43">
        <f>IF('CRUDO MARTES'!AJ21="Si",$N21,)</f>
        <v>0</v>
      </c>
      <c r="AK21" s="43">
        <f>IF('CRUDO MARTES'!AK21="Si",$N21,)</f>
        <v>0</v>
      </c>
      <c r="AL21" s="43">
        <f>IF('CRUDO MARTES'!AL21="Si",$N21,)</f>
        <v>0</v>
      </c>
      <c r="AM21" s="44">
        <v>0</v>
      </c>
      <c r="AN21" s="43">
        <f>IF('CRUDO MARTES'!AN21="Si",$N21,)</f>
        <v>0</v>
      </c>
      <c r="AO21" s="43">
        <f>IF('CRUDO MARTES'!AO21="Si",$N21,)</f>
        <v>0</v>
      </c>
      <c r="AP21" s="42"/>
      <c r="AQ21" s="39" t="s">
        <v>1259</v>
      </c>
      <c r="AR21" s="39" t="s">
        <v>1268</v>
      </c>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row>
    <row r="22" spans="1:88" ht="13.2" hidden="1">
      <c r="A22" s="13">
        <v>45363.726925532406</v>
      </c>
      <c r="B22" s="14" t="s">
        <v>624</v>
      </c>
      <c r="C22" s="28" t="s">
        <v>625</v>
      </c>
      <c r="D22" s="14">
        <v>1111111</v>
      </c>
      <c r="E22" s="14" t="s">
        <v>62</v>
      </c>
      <c r="F22" s="14" t="s">
        <v>198</v>
      </c>
      <c r="G22" s="14" t="s">
        <v>105</v>
      </c>
      <c r="H22" s="14" t="s">
        <v>626</v>
      </c>
      <c r="I22" s="14" t="s">
        <v>627</v>
      </c>
      <c r="J22" s="16"/>
      <c r="K22" s="14" t="s">
        <v>624</v>
      </c>
      <c r="L22" s="14" t="s">
        <v>138</v>
      </c>
      <c r="M22" s="14" t="s">
        <v>628</v>
      </c>
      <c r="N22" s="14">
        <v>0</v>
      </c>
      <c r="O22" s="14" t="s">
        <v>282</v>
      </c>
      <c r="P22" s="14">
        <v>5</v>
      </c>
      <c r="Q22" s="14">
        <v>5</v>
      </c>
      <c r="R22" s="14">
        <v>0</v>
      </c>
      <c r="S22" s="16"/>
      <c r="T22" s="14" t="s">
        <v>71</v>
      </c>
      <c r="U22" s="14" t="s">
        <v>71</v>
      </c>
      <c r="V22" s="15" t="s">
        <v>520</v>
      </c>
      <c r="W22" s="30">
        <f>IF('CRUDO MARTES'!W22="Si",$N22,)</f>
        <v>0</v>
      </c>
      <c r="X22" s="29">
        <v>0</v>
      </c>
      <c r="Y22" s="29">
        <v>0</v>
      </c>
      <c r="Z22" s="30">
        <f>IF('CRUDO MARTES'!Z22="Si",$N22,)</f>
        <v>0</v>
      </c>
      <c r="AA22" s="29">
        <v>0</v>
      </c>
      <c r="AB22" s="29">
        <v>0</v>
      </c>
      <c r="AC22" s="30">
        <f>IF('CRUDO MARTES'!AC22="Si",$N22,)</f>
        <v>0</v>
      </c>
      <c r="AD22" s="30">
        <f>IF('CRUDO MARTES'!AD22="Si",$N22,)</f>
        <v>0</v>
      </c>
      <c r="AE22" s="30">
        <f>IF('CRUDO MARTES'!AE22="Si",$N22,)</f>
        <v>0</v>
      </c>
      <c r="AF22" s="30">
        <f>IF('CRUDO MARTES'!AF22="Si",$N22,)</f>
        <v>0</v>
      </c>
      <c r="AG22" s="29">
        <v>0</v>
      </c>
      <c r="AH22" s="30">
        <f>IF('CRUDO MARTES'!AH22="Si",$N22,)</f>
        <v>0</v>
      </c>
      <c r="AI22" s="30">
        <f>IF('CRUDO MARTES'!AI22="Si",$N22,)</f>
        <v>0</v>
      </c>
      <c r="AJ22" s="30">
        <f>IF('CRUDO MARTES'!AJ22="Si",$N22,)</f>
        <v>0</v>
      </c>
      <c r="AK22" s="30">
        <f>IF('CRUDO MARTES'!AK22="Si",$N22,)</f>
        <v>0</v>
      </c>
      <c r="AL22" s="32">
        <v>0</v>
      </c>
      <c r="AM22" s="29">
        <v>0</v>
      </c>
      <c r="AN22" s="30">
        <f>IF('CRUDO MARTES'!AN22="Si",$N22,)</f>
        <v>0</v>
      </c>
      <c r="AO22" s="30">
        <f>IF('CRUDO MARTES'!AO22="Si",$N22,)</f>
        <v>0</v>
      </c>
      <c r="AP22" s="16"/>
      <c r="AQ22" s="14" t="s">
        <v>1260</v>
      </c>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row>
    <row r="23" spans="1:88" ht="13.2" hidden="1">
      <c r="A23" s="13">
        <v>45363.729623333333</v>
      </c>
      <c r="B23" s="14" t="s">
        <v>624</v>
      </c>
      <c r="C23" s="28" t="s">
        <v>629</v>
      </c>
      <c r="D23" s="14">
        <v>1111111</v>
      </c>
      <c r="E23" s="14" t="s">
        <v>62</v>
      </c>
      <c r="F23" s="14" t="s">
        <v>630</v>
      </c>
      <c r="G23" s="14" t="s">
        <v>105</v>
      </c>
      <c r="H23" s="14" t="s">
        <v>626</v>
      </c>
      <c r="I23" s="14" t="s">
        <v>631</v>
      </c>
      <c r="J23" s="16"/>
      <c r="K23" s="14" t="s">
        <v>624</v>
      </c>
      <c r="L23" s="14" t="s">
        <v>138</v>
      </c>
      <c r="M23" s="14" t="s">
        <v>628</v>
      </c>
      <c r="N23" s="14">
        <v>0</v>
      </c>
      <c r="O23" s="14" t="s">
        <v>282</v>
      </c>
      <c r="P23" s="14">
        <v>5</v>
      </c>
      <c r="Q23" s="14">
        <v>5</v>
      </c>
      <c r="R23" s="14">
        <v>0</v>
      </c>
      <c r="S23" s="16"/>
      <c r="T23" s="14" t="s">
        <v>71</v>
      </c>
      <c r="U23" s="14" t="s">
        <v>71</v>
      </c>
      <c r="V23" s="15" t="s">
        <v>520</v>
      </c>
      <c r="W23" s="30">
        <f>IF('CRUDO MARTES'!W23="Si",$N23,)</f>
        <v>0</v>
      </c>
      <c r="X23" s="29">
        <v>0</v>
      </c>
      <c r="Y23" s="29">
        <v>0</v>
      </c>
      <c r="Z23" s="30">
        <f>IF('CRUDO MARTES'!Z23="Si",$N23,)</f>
        <v>0</v>
      </c>
      <c r="AA23" s="29">
        <v>0</v>
      </c>
      <c r="AB23" s="29">
        <v>0</v>
      </c>
      <c r="AC23" s="29">
        <v>0</v>
      </c>
      <c r="AD23" s="30">
        <f>IF('CRUDO MARTES'!AD23="Si",$N23,)</f>
        <v>0</v>
      </c>
      <c r="AE23" s="29">
        <v>0</v>
      </c>
      <c r="AF23" s="29">
        <v>0</v>
      </c>
      <c r="AG23" s="29">
        <v>0</v>
      </c>
      <c r="AH23" s="29">
        <v>0</v>
      </c>
      <c r="AI23" s="31">
        <f>IF('CRUDO MARTES'!AI23="Si",$N23,)</f>
        <v>0</v>
      </c>
      <c r="AJ23" s="29">
        <v>0</v>
      </c>
      <c r="AK23" s="29">
        <v>0</v>
      </c>
      <c r="AL23" s="29">
        <v>0</v>
      </c>
      <c r="AM23" s="29">
        <v>0</v>
      </c>
      <c r="AN23" s="29">
        <v>0</v>
      </c>
      <c r="AO23" s="29">
        <v>0</v>
      </c>
      <c r="AP23" s="16"/>
      <c r="AQ23" s="14" t="s">
        <v>1260</v>
      </c>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row>
    <row r="24" spans="1:88" ht="26.4" hidden="1">
      <c r="A24" s="13">
        <v>45363.865755532403</v>
      </c>
      <c r="B24" s="14" t="s">
        <v>632</v>
      </c>
      <c r="C24" s="28" t="s">
        <v>633</v>
      </c>
      <c r="D24" s="15" t="s">
        <v>634</v>
      </c>
      <c r="E24" s="14" t="s">
        <v>62</v>
      </c>
      <c r="F24" s="14" t="s">
        <v>635</v>
      </c>
      <c r="G24" s="14" t="s">
        <v>105</v>
      </c>
      <c r="H24" s="14" t="s">
        <v>636</v>
      </c>
      <c r="I24" s="14" t="s">
        <v>637</v>
      </c>
      <c r="J24" s="14" t="s">
        <v>638</v>
      </c>
      <c r="K24" s="14" t="s">
        <v>632</v>
      </c>
      <c r="L24" s="14" t="s">
        <v>245</v>
      </c>
      <c r="M24" s="14" t="s">
        <v>639</v>
      </c>
      <c r="N24" s="14">
        <v>0</v>
      </c>
      <c r="O24" s="14" t="s">
        <v>70</v>
      </c>
      <c r="P24" s="14">
        <v>3</v>
      </c>
      <c r="Q24" s="14">
        <v>5</v>
      </c>
      <c r="R24" s="14">
        <v>40</v>
      </c>
      <c r="S24" s="16"/>
      <c r="T24" s="14" t="s">
        <v>72</v>
      </c>
      <c r="U24" s="14" t="s">
        <v>71</v>
      </c>
      <c r="V24" s="15" t="s">
        <v>520</v>
      </c>
      <c r="W24" s="30">
        <f>IF('CRUDO MARTES'!W24="Si",$N24,)</f>
        <v>0</v>
      </c>
      <c r="X24" s="30">
        <f>IF('CRUDO MARTES'!X24="Si",$N24,)</f>
        <v>0</v>
      </c>
      <c r="Y24" s="30">
        <f>IF('CRUDO MARTES'!Y24="Si",$N24,)</f>
        <v>0</v>
      </c>
      <c r="Z24" s="29">
        <v>0</v>
      </c>
      <c r="AA24" s="30">
        <f>IF('CRUDO MARTES'!AA24="Si",$N24,)</f>
        <v>0</v>
      </c>
      <c r="AB24" s="30">
        <f>IF('CRUDO MARTES'!AB24="Si",$N24,)</f>
        <v>0</v>
      </c>
      <c r="AC24" s="30">
        <f>IF('CRUDO MARTES'!AC24="Si",$N24,)</f>
        <v>0</v>
      </c>
      <c r="AD24" s="30">
        <f>IF('CRUDO MARTES'!AD24="Si",$N24,)</f>
        <v>0</v>
      </c>
      <c r="AE24" s="29">
        <v>0</v>
      </c>
      <c r="AF24" s="30">
        <f>IF('CRUDO MARTES'!AF24="Si",$N24,)</f>
        <v>0</v>
      </c>
      <c r="AG24" s="30">
        <f>IF('CRUDO MARTES'!AG24="Si",$N24,)</f>
        <v>0</v>
      </c>
      <c r="AH24" s="30">
        <f>IF('CRUDO MARTES'!AH24="Si",$N24,)</f>
        <v>0</v>
      </c>
      <c r="AI24" s="30">
        <f>IF('CRUDO MARTES'!AI24="Si",$N24,)</f>
        <v>0</v>
      </c>
      <c r="AJ24" s="29">
        <v>0</v>
      </c>
      <c r="AK24" s="29">
        <v>35</v>
      </c>
      <c r="AL24" s="30">
        <f>IF('CRUDO MARTES'!AL24="Si",$N24,)</f>
        <v>0</v>
      </c>
      <c r="AM24" s="30">
        <f>IF('CRUDO MARTES'!AM24="Si",$N24,)</f>
        <v>0</v>
      </c>
      <c r="AN24" s="30">
        <f>IF('CRUDO MARTES'!AN24="Si",$N24,)</f>
        <v>0</v>
      </c>
      <c r="AO24" s="29">
        <v>0</v>
      </c>
      <c r="AP24" s="14" t="s">
        <v>640</v>
      </c>
      <c r="AQ24" s="14" t="s">
        <v>1261</v>
      </c>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row>
    <row r="25" spans="1:88" ht="26.4">
      <c r="A25" s="38">
        <v>45363.86855363426</v>
      </c>
      <c r="B25" s="39" t="s">
        <v>641</v>
      </c>
      <c r="C25" s="40" t="s">
        <v>642</v>
      </c>
      <c r="D25" s="39">
        <v>20129700</v>
      </c>
      <c r="E25" s="39" t="s">
        <v>62</v>
      </c>
      <c r="F25" s="39" t="s">
        <v>643</v>
      </c>
      <c r="G25" s="39" t="s">
        <v>105</v>
      </c>
      <c r="H25" s="39" t="s">
        <v>644</v>
      </c>
      <c r="I25" s="39" t="s">
        <v>1262</v>
      </c>
      <c r="J25" s="39" t="s">
        <v>646</v>
      </c>
      <c r="K25" s="39" t="s">
        <v>641</v>
      </c>
      <c r="L25" s="39" t="s">
        <v>89</v>
      </c>
      <c r="M25" s="39" t="s">
        <v>208</v>
      </c>
      <c r="N25" s="39">
        <v>26</v>
      </c>
      <c r="O25" s="39" t="s">
        <v>70</v>
      </c>
      <c r="P25" s="39">
        <v>5</v>
      </c>
      <c r="Q25" s="39">
        <v>4</v>
      </c>
      <c r="R25" s="39">
        <v>10</v>
      </c>
      <c r="S25" s="42"/>
      <c r="T25" s="39" t="s">
        <v>71</v>
      </c>
      <c r="U25" s="39" t="s">
        <v>72</v>
      </c>
      <c r="V25" s="41" t="s">
        <v>520</v>
      </c>
      <c r="W25" s="43">
        <f>IF('CRUDO MARTES'!W25="Si",$N25,)</f>
        <v>26</v>
      </c>
      <c r="X25" s="44">
        <v>26</v>
      </c>
      <c r="Y25" s="43">
        <f>IF('CRUDO MARTES'!Y25="Si",$N25,)</f>
        <v>0</v>
      </c>
      <c r="Z25" s="43">
        <f>IF('CRUDO MARTES'!Z25="Si",$N25,)</f>
        <v>0</v>
      </c>
      <c r="AA25" s="43">
        <f>IF('CRUDO MARTES'!AA25="Si",$N25,)</f>
        <v>0</v>
      </c>
      <c r="AB25" s="44">
        <v>0</v>
      </c>
      <c r="AC25" s="43">
        <v>26</v>
      </c>
      <c r="AD25" s="43">
        <f>IF('CRUDO MARTES'!AD25="Si",$N25,)</f>
        <v>0</v>
      </c>
      <c r="AE25" s="43">
        <f>IF('CRUDO MARTES'!AE25="Si",$N25,)</f>
        <v>0</v>
      </c>
      <c r="AF25" s="43">
        <f>IF('CRUDO MARTES'!AF25="Si",$N25,)</f>
        <v>0</v>
      </c>
      <c r="AG25" s="43">
        <f>IF('CRUDO MARTES'!AG25="Si",$N25,)</f>
        <v>0</v>
      </c>
      <c r="AH25" s="43">
        <f>IF('CRUDO MARTES'!AH25="Si",$N25,)</f>
        <v>0</v>
      </c>
      <c r="AI25" s="44">
        <v>0</v>
      </c>
      <c r="AJ25" s="43">
        <f>IF('CRUDO MARTES'!AJ25="Si",$N25,)</f>
        <v>0</v>
      </c>
      <c r="AK25" s="43">
        <f>IF('CRUDO MARTES'!AK25="Si",$N25,)</f>
        <v>0</v>
      </c>
      <c r="AL25" s="43">
        <f>IF('CRUDO MARTES'!AL25="Si",$N25,)</f>
        <v>0</v>
      </c>
      <c r="AM25" s="43">
        <f>IF('CRUDO MARTES'!AM25="Si",$N25,)</f>
        <v>0</v>
      </c>
      <c r="AN25" s="43">
        <f>IF('CRUDO MARTES'!AN25="Si",$N25,)</f>
        <v>0</v>
      </c>
      <c r="AO25" s="43">
        <f>IF('CRUDO MARTES'!AO25="Si",$N25,)</f>
        <v>0</v>
      </c>
      <c r="AP25" s="42"/>
      <c r="AQ25" s="39" t="s">
        <v>1254</v>
      </c>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row>
    <row r="26" spans="1:88" ht="13.2" hidden="1">
      <c r="A26" s="21">
        <v>45363.972373113429</v>
      </c>
      <c r="B26" s="22" t="s">
        <v>647</v>
      </c>
      <c r="C26" s="22" t="s">
        <v>648</v>
      </c>
      <c r="D26" s="24" t="s">
        <v>649</v>
      </c>
      <c r="E26" s="22" t="s">
        <v>506</v>
      </c>
      <c r="F26" s="22" t="s">
        <v>650</v>
      </c>
      <c r="G26" s="22" t="s">
        <v>64</v>
      </c>
      <c r="H26" s="22" t="s">
        <v>651</v>
      </c>
      <c r="I26" s="22" t="s">
        <v>652</v>
      </c>
      <c r="J26" s="22" t="s">
        <v>653</v>
      </c>
      <c r="K26" s="22" t="s">
        <v>654</v>
      </c>
      <c r="L26" s="22" t="s">
        <v>138</v>
      </c>
      <c r="M26" s="22" t="s">
        <v>655</v>
      </c>
      <c r="N26" s="22">
        <v>0</v>
      </c>
      <c r="O26" s="22" t="s">
        <v>148</v>
      </c>
      <c r="P26" s="22">
        <v>5</v>
      </c>
      <c r="Q26" s="22">
        <v>3</v>
      </c>
      <c r="R26" s="22">
        <v>0</v>
      </c>
      <c r="S26" s="22" t="s">
        <v>656</v>
      </c>
      <c r="T26" s="22" t="s">
        <v>71</v>
      </c>
      <c r="U26" s="22" t="s">
        <v>71</v>
      </c>
      <c r="V26" s="24" t="s">
        <v>520</v>
      </c>
      <c r="W26" s="26">
        <f>IF('CRUDO MARTES'!W26="Si",$N26,)</f>
        <v>0</v>
      </c>
      <c r="X26" s="26">
        <f>IF('CRUDO MARTES'!X26="Si",$N26,)</f>
        <v>0</v>
      </c>
      <c r="Y26" s="26">
        <f>IF('CRUDO MARTES'!Y26="Si",$N26,)</f>
        <v>0</v>
      </c>
      <c r="Z26" s="26">
        <f>IF('CRUDO MARTES'!Z26="Si",$N26,)</f>
        <v>0</v>
      </c>
      <c r="AA26" s="26">
        <f>IF('CRUDO MARTES'!AA26="Si",$N26,)</f>
        <v>0</v>
      </c>
      <c r="AB26" s="26">
        <f>IF('CRUDO MARTES'!AB26="Si",$N26,)</f>
        <v>0</v>
      </c>
      <c r="AC26" s="26">
        <f>IF('CRUDO MARTES'!AC26="Si",$N26,)</f>
        <v>0</v>
      </c>
      <c r="AD26" s="26">
        <f>IF('CRUDO MARTES'!AD26="Si",$N26,)</f>
        <v>0</v>
      </c>
      <c r="AE26" s="26">
        <f>IF('CRUDO MARTES'!AE26="Si",$N26,)</f>
        <v>0</v>
      </c>
      <c r="AF26" s="26">
        <f>IF('CRUDO MARTES'!AF26="Si",$N26,)</f>
        <v>0</v>
      </c>
      <c r="AG26" s="26">
        <f>IF('CRUDO MARTES'!AG26="Si",$N26,)</f>
        <v>0</v>
      </c>
      <c r="AH26" s="26">
        <f>IF('CRUDO MARTES'!AH26="Si",$N26,)</f>
        <v>0</v>
      </c>
      <c r="AI26" s="26">
        <f>IF('CRUDO MARTES'!AI26="Si",$N26,)</f>
        <v>0</v>
      </c>
      <c r="AJ26" s="26">
        <f>IF('CRUDO MARTES'!AJ26="Si",$N26,)</f>
        <v>0</v>
      </c>
      <c r="AK26" s="26">
        <f>IF('CRUDO MARTES'!AK26="Si",$N26,)</f>
        <v>0</v>
      </c>
      <c r="AL26" s="26">
        <f>IF('CRUDO MARTES'!AL26="Si",$N26,)</f>
        <v>0</v>
      </c>
      <c r="AM26" s="26">
        <f>IF('CRUDO MARTES'!AM26="Si",$N26,)</f>
        <v>0</v>
      </c>
      <c r="AN26" s="26">
        <f>IF('CRUDO MARTES'!AN26="Si",$N26,)</f>
        <v>0</v>
      </c>
      <c r="AO26" s="26">
        <f>IF('CRUDO MARTES'!AO26="Si",$N26,)</f>
        <v>0</v>
      </c>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row>
    <row r="27" spans="1:88" ht="13.2" hidden="1">
      <c r="A27" s="13">
        <v>45364.024851504626</v>
      </c>
      <c r="B27" s="14" t="s">
        <v>657</v>
      </c>
      <c r="C27" s="28" t="s">
        <v>658</v>
      </c>
      <c r="D27" s="15" t="s">
        <v>659</v>
      </c>
      <c r="E27" s="14" t="s">
        <v>62</v>
      </c>
      <c r="F27" s="14" t="s">
        <v>660</v>
      </c>
      <c r="G27" s="14" t="s">
        <v>105</v>
      </c>
      <c r="H27" s="14" t="s">
        <v>221</v>
      </c>
      <c r="I27" s="14" t="s">
        <v>661</v>
      </c>
      <c r="J27" s="14" t="s">
        <v>662</v>
      </c>
      <c r="K27" s="14" t="s">
        <v>663</v>
      </c>
      <c r="L27" s="14" t="s">
        <v>89</v>
      </c>
      <c r="M27" s="14" t="s">
        <v>664</v>
      </c>
      <c r="N27" s="14">
        <v>0</v>
      </c>
      <c r="O27" s="14" t="s">
        <v>70</v>
      </c>
      <c r="P27" s="14">
        <v>3</v>
      </c>
      <c r="Q27" s="14">
        <v>3</v>
      </c>
      <c r="R27" s="14">
        <v>80</v>
      </c>
      <c r="S27" s="14" t="s">
        <v>665</v>
      </c>
      <c r="T27" s="14" t="s">
        <v>71</v>
      </c>
      <c r="U27" s="14" t="s">
        <v>72</v>
      </c>
      <c r="V27" s="15" t="s">
        <v>520</v>
      </c>
      <c r="W27" s="30">
        <f>IF('CRUDO MARTES'!W27="Si",$N27,)</f>
        <v>0</v>
      </c>
      <c r="X27" s="30">
        <f>IF('CRUDO MARTES'!X27="Si",$N27,)</f>
        <v>0</v>
      </c>
      <c r="Y27" s="30">
        <f>IF('CRUDO MARTES'!Y27="Si",$N27,)</f>
        <v>0</v>
      </c>
      <c r="Z27" s="30">
        <f>IF('CRUDO MARTES'!Z27="Si",$N27,)</f>
        <v>0</v>
      </c>
      <c r="AA27" s="30">
        <f>IF('CRUDO MARTES'!AA27="Si",$N27,)</f>
        <v>0</v>
      </c>
      <c r="AB27" s="30">
        <f>IF('CRUDO MARTES'!AB27="Si",$N27,)</f>
        <v>0</v>
      </c>
      <c r="AC27" s="30">
        <f>IF('CRUDO MARTES'!AC27="Si",$N27,)</f>
        <v>0</v>
      </c>
      <c r="AD27" s="30">
        <f>IF('CRUDO MARTES'!AD27="Si",$N27,)</f>
        <v>0</v>
      </c>
      <c r="AE27" s="30">
        <f>IF('CRUDO MARTES'!AE27="Si",$N27,)</f>
        <v>0</v>
      </c>
      <c r="AF27" s="30">
        <f>IF('CRUDO MARTES'!AF27="Si",$N27,)</f>
        <v>0</v>
      </c>
      <c r="AG27" s="29">
        <v>0</v>
      </c>
      <c r="AH27" s="30">
        <f>IF('CRUDO MARTES'!AH27="Si",$N27,)</f>
        <v>0</v>
      </c>
      <c r="AI27" s="30">
        <f>IF('CRUDO MARTES'!AI27="Si",$N27,)</f>
        <v>0</v>
      </c>
      <c r="AJ27" s="30">
        <f>IF('CRUDO MARTES'!AJ27="Si",$N27,)</f>
        <v>0</v>
      </c>
      <c r="AK27" s="30">
        <f>IF('CRUDO MARTES'!AK27="Si",$N27,)</f>
        <v>0</v>
      </c>
      <c r="AL27" s="31">
        <f>IF('CRUDO MARTES'!AL27="Si",$N27,)</f>
        <v>0</v>
      </c>
      <c r="AM27" s="30">
        <f>IF('CRUDO MARTES'!AM27="Si",$N27,)</f>
        <v>0</v>
      </c>
      <c r="AN27" s="30">
        <f>IF('CRUDO MARTES'!AN27="Si",$N27,)</f>
        <v>0</v>
      </c>
      <c r="AO27" s="30">
        <f>IF('CRUDO MARTES'!AO27="Si",$N27,)</f>
        <v>0</v>
      </c>
      <c r="AP27" s="16"/>
      <c r="AQ27" s="14" t="s">
        <v>1263</v>
      </c>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row>
    <row r="28" spans="1:88" ht="13.2" hidden="1">
      <c r="A28" s="13">
        <v>45364.025561747687</v>
      </c>
      <c r="B28" s="14" t="s">
        <v>666</v>
      </c>
      <c r="C28" s="28" t="s">
        <v>667</v>
      </c>
      <c r="D28" s="15" t="s">
        <v>634</v>
      </c>
      <c r="E28" s="14" t="s">
        <v>62</v>
      </c>
      <c r="F28" s="14" t="s">
        <v>198</v>
      </c>
      <c r="G28" s="14" t="s">
        <v>105</v>
      </c>
      <c r="H28" s="14" t="s">
        <v>637</v>
      </c>
      <c r="I28" s="14" t="s">
        <v>668</v>
      </c>
      <c r="J28" s="14" t="s">
        <v>669</v>
      </c>
      <c r="K28" s="14" t="s">
        <v>666</v>
      </c>
      <c r="L28" s="14" t="s">
        <v>245</v>
      </c>
      <c r="M28" s="14" t="s">
        <v>670</v>
      </c>
      <c r="N28" s="14">
        <v>0</v>
      </c>
      <c r="O28" s="14" t="s">
        <v>70</v>
      </c>
      <c r="P28" s="14">
        <v>3</v>
      </c>
      <c r="Q28" s="14">
        <v>4</v>
      </c>
      <c r="R28" s="14">
        <v>40</v>
      </c>
      <c r="S28" s="16"/>
      <c r="T28" s="14" t="s">
        <v>71</v>
      </c>
      <c r="U28" s="14" t="s">
        <v>71</v>
      </c>
      <c r="V28" s="15" t="s">
        <v>520</v>
      </c>
      <c r="W28" s="30">
        <f>IF('CRUDO MARTES'!W28="Si",$N28,)</f>
        <v>0</v>
      </c>
      <c r="X28" s="30">
        <f>IF('CRUDO MARTES'!X28="Si",$N28,)</f>
        <v>0</v>
      </c>
      <c r="Y28" s="29">
        <v>0</v>
      </c>
      <c r="Z28" s="29">
        <v>0</v>
      </c>
      <c r="AA28" s="30">
        <f>IF('CRUDO MARTES'!AA28="Si",$N28,)</f>
        <v>0</v>
      </c>
      <c r="AB28" s="29">
        <v>0</v>
      </c>
      <c r="AC28" s="30">
        <f>IF('CRUDO MARTES'!AC28="Si",$N28,)</f>
        <v>0</v>
      </c>
      <c r="AD28" s="29">
        <v>0</v>
      </c>
      <c r="AE28" s="30">
        <f>IF('CRUDO MARTES'!AE28="Si",$N28,)</f>
        <v>0</v>
      </c>
      <c r="AF28" s="29">
        <v>0</v>
      </c>
      <c r="AG28" s="30">
        <f>IF('CRUDO MARTES'!AG28="Si",$N28,)</f>
        <v>0</v>
      </c>
      <c r="AH28" s="29">
        <v>0</v>
      </c>
      <c r="AI28" s="29">
        <v>0</v>
      </c>
      <c r="AJ28" s="29">
        <v>0</v>
      </c>
      <c r="AK28" s="29">
        <v>0</v>
      </c>
      <c r="AL28" s="29">
        <v>0</v>
      </c>
      <c r="AM28" s="29">
        <v>0</v>
      </c>
      <c r="AN28" s="29">
        <v>0</v>
      </c>
      <c r="AO28" s="29">
        <v>0</v>
      </c>
      <c r="AP28" s="16"/>
      <c r="AQ28" s="14" t="s">
        <v>1264</v>
      </c>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row>
    <row r="29" spans="1:88" ht="13.2" hidden="1">
      <c r="A29" s="13">
        <v>45364.037362789357</v>
      </c>
      <c r="B29" s="14" t="s">
        <v>657</v>
      </c>
      <c r="C29" s="28" t="s">
        <v>671</v>
      </c>
      <c r="D29" s="14">
        <v>201177</v>
      </c>
      <c r="E29" s="14" t="s">
        <v>62</v>
      </c>
      <c r="F29" s="14" t="s">
        <v>672</v>
      </c>
      <c r="G29" s="14" t="s">
        <v>105</v>
      </c>
      <c r="H29" s="14" t="s">
        <v>221</v>
      </c>
      <c r="I29" s="14" t="s">
        <v>673</v>
      </c>
      <c r="J29" s="14" t="s">
        <v>662</v>
      </c>
      <c r="K29" s="14" t="s">
        <v>657</v>
      </c>
      <c r="L29" s="14" t="s">
        <v>89</v>
      </c>
      <c r="M29" s="14" t="s">
        <v>664</v>
      </c>
      <c r="N29" s="14">
        <v>0</v>
      </c>
      <c r="O29" s="14" t="s">
        <v>70</v>
      </c>
      <c r="P29" s="14">
        <v>3</v>
      </c>
      <c r="Q29" s="14">
        <v>3</v>
      </c>
      <c r="R29" s="14">
        <v>85</v>
      </c>
      <c r="S29" s="16"/>
      <c r="T29" s="14" t="s">
        <v>71</v>
      </c>
      <c r="U29" s="14" t="s">
        <v>72</v>
      </c>
      <c r="V29" s="15" t="s">
        <v>520</v>
      </c>
      <c r="W29" s="30">
        <f>IF('CRUDO MARTES'!W29="Si",$N29,)</f>
        <v>0</v>
      </c>
      <c r="X29" s="30">
        <f>IF('CRUDO MARTES'!X29="Si",$N29,)</f>
        <v>0</v>
      </c>
      <c r="Y29" s="30">
        <f>IF('CRUDO MARTES'!Y29="Si",$N29,)</f>
        <v>0</v>
      </c>
      <c r="Z29" s="30">
        <f>IF('CRUDO MARTES'!Z29="Si",$N29,)</f>
        <v>0</v>
      </c>
      <c r="AA29" s="30">
        <f>IF('CRUDO MARTES'!AA29="Si",$N29,)</f>
        <v>0</v>
      </c>
      <c r="AB29" s="29">
        <v>0</v>
      </c>
      <c r="AC29" s="30">
        <f>IF('CRUDO MARTES'!AC29="Si",$N29,)</f>
        <v>0</v>
      </c>
      <c r="AD29" s="30">
        <f>IF('CRUDO MARTES'!AD29="Si",$N29,)</f>
        <v>0</v>
      </c>
      <c r="AE29" s="30">
        <f>IF('CRUDO MARTES'!AE29="Si",$N29,)</f>
        <v>0</v>
      </c>
      <c r="AF29" s="30">
        <f>IF('CRUDO MARTES'!AF29="Si",$N29,)</f>
        <v>0</v>
      </c>
      <c r="AG29" s="29">
        <v>0</v>
      </c>
      <c r="AH29" s="30">
        <f>IF('CRUDO MARTES'!AH29="Si",$N29,)</f>
        <v>0</v>
      </c>
      <c r="AI29" s="30">
        <f>IF('CRUDO MARTES'!AI29="Si",$N29,)</f>
        <v>0</v>
      </c>
      <c r="AJ29" s="30">
        <f>IF('CRUDO MARTES'!AJ29="Si",$N29,)</f>
        <v>0</v>
      </c>
      <c r="AK29" s="30">
        <f>IF('CRUDO MARTES'!AK29="Si",$N29,)</f>
        <v>0</v>
      </c>
      <c r="AL29" s="30">
        <f>IF('CRUDO MARTES'!AL29="Si",$N29,)</f>
        <v>0</v>
      </c>
      <c r="AM29" s="29">
        <v>0</v>
      </c>
      <c r="AN29" s="30">
        <f>IF('CRUDO MARTES'!AN29="Si",$N29,)</f>
        <v>0</v>
      </c>
      <c r="AO29" s="30">
        <f>IF('CRUDO MARTES'!AO29="Si",$N29,)</f>
        <v>0</v>
      </c>
      <c r="AP29" s="16"/>
      <c r="AQ29" s="14" t="s">
        <v>1265</v>
      </c>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row>
    <row r="30" spans="1:88" ht="26.4" hidden="1">
      <c r="A30" s="21">
        <v>45364.391120439817</v>
      </c>
      <c r="B30" s="22" t="s">
        <v>674</v>
      </c>
      <c r="C30" s="23" t="s">
        <v>675</v>
      </c>
      <c r="D30" s="22">
        <v>61</v>
      </c>
      <c r="E30" s="22" t="s">
        <v>133</v>
      </c>
      <c r="F30" s="22" t="s">
        <v>676</v>
      </c>
      <c r="G30" s="22" t="s">
        <v>64</v>
      </c>
      <c r="H30" s="22" t="s">
        <v>677</v>
      </c>
      <c r="I30" s="22" t="s">
        <v>678</v>
      </c>
      <c r="J30" s="22" t="s">
        <v>679</v>
      </c>
      <c r="K30" s="22" t="s">
        <v>680</v>
      </c>
      <c r="L30" s="22" t="s">
        <v>89</v>
      </c>
      <c r="M30" s="22" t="s">
        <v>681</v>
      </c>
      <c r="N30" s="22">
        <v>0</v>
      </c>
      <c r="O30" s="22" t="s">
        <v>70</v>
      </c>
      <c r="P30" s="22">
        <v>4</v>
      </c>
      <c r="Q30" s="22">
        <v>4</v>
      </c>
      <c r="R30" s="22">
        <v>10</v>
      </c>
      <c r="S30" s="25"/>
      <c r="T30" s="22" t="s">
        <v>71</v>
      </c>
      <c r="U30" s="22" t="s">
        <v>72</v>
      </c>
      <c r="V30" s="24" t="s">
        <v>520</v>
      </c>
      <c r="W30" s="27">
        <v>0</v>
      </c>
      <c r="X30" s="27">
        <v>0</v>
      </c>
      <c r="Y30" s="27">
        <v>35</v>
      </c>
      <c r="Z30" s="26">
        <f>IF('CRUDO MARTES'!Z30="Si",$N30,)</f>
        <v>0</v>
      </c>
      <c r="AA30" s="26">
        <f>IF('CRUDO MARTES'!AA30="Si",$N30,)</f>
        <v>0</v>
      </c>
      <c r="AB30" s="26">
        <f>IF('CRUDO MARTES'!AB30="Si",$N30,)</f>
        <v>0</v>
      </c>
      <c r="AC30" s="27">
        <v>0</v>
      </c>
      <c r="AD30" s="26">
        <f>IF('CRUDO MARTES'!AD30="Si",$N30,)</f>
        <v>0</v>
      </c>
      <c r="AE30" s="26">
        <f>IF('CRUDO MARTES'!AE30="Si",$N30,)</f>
        <v>0</v>
      </c>
      <c r="AF30" s="26">
        <f>IF('CRUDO MARTES'!AF30="Si",$N30,)</f>
        <v>0</v>
      </c>
      <c r="AG30" s="26">
        <f>IF('CRUDO MARTES'!AG30="Si",$N30,)</f>
        <v>0</v>
      </c>
      <c r="AH30" s="26">
        <f>IF('CRUDO MARTES'!AH30="Si",$N30,)</f>
        <v>0</v>
      </c>
      <c r="AI30" s="26">
        <f>IF('CRUDO MARTES'!AI30="Si",$N30,)</f>
        <v>0</v>
      </c>
      <c r="AJ30" s="26">
        <f>IF('CRUDO MARTES'!AJ30="Si",$N30,)</f>
        <v>0</v>
      </c>
      <c r="AK30" s="26">
        <f>IF('CRUDO MARTES'!AK30="Si",$N30,)</f>
        <v>0</v>
      </c>
      <c r="AL30" s="26">
        <f>IF('CRUDO MARTES'!AL30="Si",$N30,)</f>
        <v>0</v>
      </c>
      <c r="AM30" s="26">
        <f>IF('CRUDO MARTES'!AM30="Si",$N30,)</f>
        <v>0</v>
      </c>
      <c r="AN30" s="26">
        <f>IF('CRUDO MARTES'!AN30="Si",$N30,)</f>
        <v>0</v>
      </c>
      <c r="AO30" s="26">
        <f>IF('CRUDO MARTES'!AO30="Si",$N30,)</f>
        <v>0</v>
      </c>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row>
    <row r="31" spans="1:88" ht="26.4" hidden="1">
      <c r="A31" s="13">
        <v>45364.40170357639</v>
      </c>
      <c r="B31" s="14" t="s">
        <v>680</v>
      </c>
      <c r="C31" s="28" t="s">
        <v>682</v>
      </c>
      <c r="D31" s="14">
        <v>61</v>
      </c>
      <c r="E31" s="14" t="s">
        <v>133</v>
      </c>
      <c r="F31" s="14" t="s">
        <v>345</v>
      </c>
      <c r="G31" s="14" t="s">
        <v>64</v>
      </c>
      <c r="H31" s="14" t="s">
        <v>683</v>
      </c>
      <c r="I31" s="14" t="s">
        <v>684</v>
      </c>
      <c r="J31" s="14" t="s">
        <v>685</v>
      </c>
      <c r="K31" s="14" t="s">
        <v>680</v>
      </c>
      <c r="L31" s="14" t="s">
        <v>89</v>
      </c>
      <c r="M31" s="14" t="s">
        <v>686</v>
      </c>
      <c r="N31" s="14">
        <v>0</v>
      </c>
      <c r="O31" s="14" t="s">
        <v>70</v>
      </c>
      <c r="P31" s="14">
        <v>4</v>
      </c>
      <c r="Q31" s="14">
        <v>4</v>
      </c>
      <c r="R31" s="14">
        <v>10</v>
      </c>
      <c r="S31" s="16"/>
      <c r="T31" s="14" t="s">
        <v>71</v>
      </c>
      <c r="U31" s="14" t="s">
        <v>72</v>
      </c>
      <c r="V31" s="15" t="s">
        <v>520</v>
      </c>
      <c r="W31" s="29">
        <v>0</v>
      </c>
      <c r="X31" s="29">
        <v>0</v>
      </c>
      <c r="Y31" s="30">
        <f>IF('CRUDO MARTES'!Y31="Si",$N31,)</f>
        <v>0</v>
      </c>
      <c r="Z31" s="30">
        <f>IF('CRUDO MARTES'!Z31="Si",$N31,)</f>
        <v>0</v>
      </c>
      <c r="AA31" s="29">
        <v>0</v>
      </c>
      <c r="AB31" s="30">
        <f>IF('CRUDO MARTES'!AB31="Si",$N31,)</f>
        <v>0</v>
      </c>
      <c r="AC31" s="29">
        <v>0</v>
      </c>
      <c r="AD31" s="30">
        <f>IF('CRUDO MARTES'!AD31="Si",$N31,)</f>
        <v>0</v>
      </c>
      <c r="AE31" s="30">
        <f>IF('CRUDO MARTES'!AE31="Si",$N31,)</f>
        <v>0</v>
      </c>
      <c r="AF31" s="30">
        <f>IF('CRUDO MARTES'!AF31="Si",$N31,)</f>
        <v>0</v>
      </c>
      <c r="AG31" s="29">
        <v>0</v>
      </c>
      <c r="AH31" s="29">
        <v>0</v>
      </c>
      <c r="AI31" s="29">
        <v>0</v>
      </c>
      <c r="AJ31" s="30">
        <f>IF('CRUDO MARTES'!AJ31="Si",$N31,)</f>
        <v>0</v>
      </c>
      <c r="AK31" s="30">
        <f>IF('CRUDO MARTES'!AK31="Si",$N31,)</f>
        <v>0</v>
      </c>
      <c r="AL31" s="29">
        <v>0</v>
      </c>
      <c r="AM31" s="29">
        <v>0</v>
      </c>
      <c r="AN31" s="30">
        <f>IF('CRUDO MARTES'!AN31="Si",$N31,)</f>
        <v>0</v>
      </c>
      <c r="AO31" s="30">
        <f>IF('CRUDO MARTES'!AO31="Si",$N31,)</f>
        <v>0</v>
      </c>
      <c r="AP31" s="14" t="s">
        <v>687</v>
      </c>
      <c r="AQ31" s="14" t="s">
        <v>1266</v>
      </c>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row>
    <row r="32" spans="1:88" ht="13.2">
      <c r="A32" s="38">
        <v>45364.428571932869</v>
      </c>
      <c r="B32" s="39" t="s">
        <v>688</v>
      </c>
      <c r="C32" s="40" t="s">
        <v>689</v>
      </c>
      <c r="D32" s="41" t="s">
        <v>690</v>
      </c>
      <c r="E32" s="39" t="s">
        <v>62</v>
      </c>
      <c r="F32" s="39" t="s">
        <v>691</v>
      </c>
      <c r="G32" s="39" t="s">
        <v>64</v>
      </c>
      <c r="H32" s="39" t="s">
        <v>692</v>
      </c>
      <c r="I32" s="39" t="s">
        <v>693</v>
      </c>
      <c r="J32" s="39" t="s">
        <v>694</v>
      </c>
      <c r="K32" s="39" t="s">
        <v>688</v>
      </c>
      <c r="L32" s="39" t="s">
        <v>138</v>
      </c>
      <c r="M32" s="39" t="s">
        <v>695</v>
      </c>
      <c r="N32" s="39">
        <v>32</v>
      </c>
      <c r="O32" s="39" t="s">
        <v>70</v>
      </c>
      <c r="P32" s="39">
        <v>5</v>
      </c>
      <c r="Q32" s="39">
        <v>3</v>
      </c>
      <c r="R32" s="39">
        <v>0</v>
      </c>
      <c r="S32" s="42"/>
      <c r="T32" s="39" t="s">
        <v>71</v>
      </c>
      <c r="U32" s="39" t="s">
        <v>72</v>
      </c>
      <c r="V32" s="41" t="s">
        <v>520</v>
      </c>
      <c r="W32" s="44">
        <v>0</v>
      </c>
      <c r="X32" s="43">
        <v>32</v>
      </c>
      <c r="Y32" s="43">
        <f>IF('CRUDO MARTES'!Y32="Si",$N32,)</f>
        <v>32</v>
      </c>
      <c r="Z32" s="43">
        <f>IF('CRUDO MARTES'!Z32="Si",$N32,)</f>
        <v>0</v>
      </c>
      <c r="AA32" s="44">
        <v>0</v>
      </c>
      <c r="AB32" s="44">
        <v>0</v>
      </c>
      <c r="AC32" s="43">
        <v>32</v>
      </c>
      <c r="AD32" s="43">
        <f>IF('CRUDO MARTES'!AD32="Si",$N32,)</f>
        <v>0</v>
      </c>
      <c r="AE32" s="43">
        <f>IF('CRUDO MARTES'!AE32="Si",$N32,)</f>
        <v>0</v>
      </c>
      <c r="AF32" s="43">
        <f>IF('CRUDO MARTES'!AF32="Si",$N32,)</f>
        <v>0</v>
      </c>
      <c r="AG32" s="44">
        <v>0</v>
      </c>
      <c r="AH32" s="44">
        <v>0</v>
      </c>
      <c r="AI32" s="44">
        <v>0</v>
      </c>
      <c r="AJ32" s="43">
        <f>IF('CRUDO MARTES'!AJ32="Si",$N32,)</f>
        <v>0</v>
      </c>
      <c r="AK32" s="43">
        <f>IF('CRUDO MARTES'!AK32="Si",$N32,)</f>
        <v>0</v>
      </c>
      <c r="AL32" s="44">
        <v>0</v>
      </c>
      <c r="AM32" s="44">
        <v>0</v>
      </c>
      <c r="AN32" s="43">
        <f>IF('CRUDO MARTES'!AN32="Si",$N32,)</f>
        <v>0</v>
      </c>
      <c r="AO32" s="43">
        <f>IF('CRUDO MARTES'!AO32="Si",$N32,)</f>
        <v>0</v>
      </c>
      <c r="AP32" s="42"/>
      <c r="AQ32" s="39" t="s">
        <v>1266</v>
      </c>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2"/>
      <c r="CI32" s="42"/>
      <c r="CJ32" s="42"/>
    </row>
    <row r="33" spans="1:88" ht="13.2">
      <c r="A33" s="38">
        <v>45364.428584062502</v>
      </c>
      <c r="B33" s="39" t="s">
        <v>696</v>
      </c>
      <c r="C33" s="40" t="s">
        <v>697</v>
      </c>
      <c r="D33" s="41" t="s">
        <v>690</v>
      </c>
      <c r="E33" s="39" t="s">
        <v>84</v>
      </c>
      <c r="F33" s="39" t="s">
        <v>698</v>
      </c>
      <c r="G33" s="39" t="s">
        <v>64</v>
      </c>
      <c r="H33" s="39" t="s">
        <v>699</v>
      </c>
      <c r="I33" s="39" t="s">
        <v>700</v>
      </c>
      <c r="J33" s="39" t="s">
        <v>701</v>
      </c>
      <c r="K33" s="39" t="s">
        <v>696</v>
      </c>
      <c r="L33" s="39" t="s">
        <v>138</v>
      </c>
      <c r="M33" s="39" t="s">
        <v>695</v>
      </c>
      <c r="N33" s="39">
        <v>36</v>
      </c>
      <c r="O33" s="39" t="s">
        <v>70</v>
      </c>
      <c r="P33" s="39">
        <v>5</v>
      </c>
      <c r="Q33" s="39">
        <v>3</v>
      </c>
      <c r="R33" s="39">
        <v>0</v>
      </c>
      <c r="S33" s="42"/>
      <c r="T33" s="39" t="s">
        <v>71</v>
      </c>
      <c r="U33" s="39" t="s">
        <v>72</v>
      </c>
      <c r="V33" s="41" t="s">
        <v>520</v>
      </c>
      <c r="W33" s="44">
        <v>0</v>
      </c>
      <c r="X33" s="43">
        <v>36</v>
      </c>
      <c r="Y33" s="43">
        <f>IF('CRUDO MARTES'!Y33="Si",$N33,)</f>
        <v>36</v>
      </c>
      <c r="Z33" s="43">
        <f>IF('CRUDO MARTES'!Z33="Si",$N33,)</f>
        <v>0</v>
      </c>
      <c r="AA33" s="44">
        <v>0</v>
      </c>
      <c r="AB33" s="44">
        <v>0</v>
      </c>
      <c r="AC33" s="43">
        <v>36</v>
      </c>
      <c r="AD33" s="43">
        <f>IF('CRUDO MARTES'!AD33="Si",$N33,)</f>
        <v>0</v>
      </c>
      <c r="AE33" s="43">
        <f>IF('CRUDO MARTES'!AE33="Si",$N33,)</f>
        <v>0</v>
      </c>
      <c r="AF33" s="43">
        <f>IF('CRUDO MARTES'!AF33="Si",$N33,)</f>
        <v>0</v>
      </c>
      <c r="AG33" s="44">
        <v>0</v>
      </c>
      <c r="AH33" s="44">
        <v>0</v>
      </c>
      <c r="AI33" s="44">
        <v>0</v>
      </c>
      <c r="AJ33" s="43">
        <f>IF('CRUDO MARTES'!AJ33="Si",$N33,)</f>
        <v>0</v>
      </c>
      <c r="AK33" s="43">
        <f>IF('CRUDO MARTES'!AK33="Si",$N33,)</f>
        <v>0</v>
      </c>
      <c r="AL33" s="44">
        <v>0</v>
      </c>
      <c r="AM33" s="44">
        <v>0</v>
      </c>
      <c r="AN33" s="43">
        <f>IF('CRUDO MARTES'!AN33="Si",$N33,)</f>
        <v>0</v>
      </c>
      <c r="AO33" s="43">
        <f>IF('CRUDO MARTES'!AO33="Si",$N33,)</f>
        <v>0</v>
      </c>
      <c r="AP33" s="42"/>
      <c r="AQ33" s="39" t="s">
        <v>1266</v>
      </c>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2"/>
      <c r="CI33" s="42"/>
      <c r="CJ33" s="42"/>
    </row>
    <row r="34" spans="1:88" ht="13.2" hidden="1">
      <c r="A34" s="21">
        <v>45364.760178344906</v>
      </c>
      <c r="B34" s="22" t="s">
        <v>702</v>
      </c>
      <c r="C34" s="22" t="s">
        <v>703</v>
      </c>
      <c r="D34" s="22">
        <v>641</v>
      </c>
      <c r="E34" s="22" t="s">
        <v>84</v>
      </c>
      <c r="F34" s="22" t="s">
        <v>249</v>
      </c>
      <c r="G34" s="22" t="s">
        <v>64</v>
      </c>
      <c r="H34" s="22" t="s">
        <v>704</v>
      </c>
      <c r="I34" s="22" t="s">
        <v>705</v>
      </c>
      <c r="J34" s="22" t="s">
        <v>706</v>
      </c>
      <c r="K34" s="22" t="s">
        <v>702</v>
      </c>
      <c r="L34" s="22" t="s">
        <v>89</v>
      </c>
      <c r="M34" s="22" t="s">
        <v>707</v>
      </c>
      <c r="N34" s="22">
        <v>0</v>
      </c>
      <c r="O34" s="22" t="s">
        <v>148</v>
      </c>
      <c r="P34" s="22">
        <v>5</v>
      </c>
      <c r="Q34" s="22">
        <v>4</v>
      </c>
      <c r="R34" s="22">
        <v>10</v>
      </c>
      <c r="S34" s="25"/>
      <c r="T34" s="22" t="s">
        <v>71</v>
      </c>
      <c r="U34" s="22" t="s">
        <v>72</v>
      </c>
      <c r="V34" s="24" t="s">
        <v>520</v>
      </c>
      <c r="W34" s="26">
        <f>IF('CRUDO MARTES'!W34="Si",$N34,)</f>
        <v>0</v>
      </c>
      <c r="X34" s="26">
        <f>IF('CRUDO MARTES'!X34="Si",$N34,)</f>
        <v>0</v>
      </c>
      <c r="Y34" s="26">
        <f>IF('CRUDO MARTES'!Y34="Si",$N34,)</f>
        <v>0</v>
      </c>
      <c r="Z34" s="26">
        <f>IF('CRUDO MARTES'!Z34="Si",$N34,)</f>
        <v>0</v>
      </c>
      <c r="AA34" s="26">
        <f>IF('CRUDO MARTES'!AA34="Si",$N34,)</f>
        <v>0</v>
      </c>
      <c r="AB34" s="26">
        <f>IF('CRUDO MARTES'!AB34="Si",$N34,)</f>
        <v>0</v>
      </c>
      <c r="AC34" s="26">
        <f>IF('CRUDO MARTES'!AC34="Si",$N34,)</f>
        <v>0</v>
      </c>
      <c r="AD34" s="26">
        <f>IF('CRUDO MARTES'!AD34="Si",$N34,)</f>
        <v>0</v>
      </c>
      <c r="AE34" s="26">
        <f>IF('CRUDO MARTES'!AE34="Si",$N34,)</f>
        <v>0</v>
      </c>
      <c r="AF34" s="26">
        <f>IF('CRUDO MARTES'!AF34="Si",$N34,)</f>
        <v>0</v>
      </c>
      <c r="AG34" s="26">
        <f>IF('CRUDO MARTES'!AG34="Si",$N34,)</f>
        <v>0</v>
      </c>
      <c r="AH34" s="26">
        <f>IF('CRUDO MARTES'!AH34="Si",$N34,)</f>
        <v>0</v>
      </c>
      <c r="AI34" s="26">
        <f>IF('CRUDO MARTES'!AI34="Si",$N34,)</f>
        <v>0</v>
      </c>
      <c r="AJ34" s="26">
        <f>IF('CRUDO MARTES'!AJ34="Si",$N34,)</f>
        <v>0</v>
      </c>
      <c r="AK34" s="26">
        <f>IF('CRUDO MARTES'!AK34="Si",$N34,)</f>
        <v>0</v>
      </c>
      <c r="AL34" s="26">
        <f>IF('CRUDO MARTES'!AL34="Si",$N34,)</f>
        <v>0</v>
      </c>
      <c r="AM34" s="26">
        <f>IF('CRUDO MARTES'!AM34="Si",$N34,)</f>
        <v>0</v>
      </c>
      <c r="AN34" s="26">
        <f>IF('CRUDO MARTES'!AN34="Si",$N34,)</f>
        <v>0</v>
      </c>
      <c r="AO34" s="26">
        <f>IF('CRUDO MARTES'!AO34="Si",$N34,)</f>
        <v>0</v>
      </c>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row>
    <row r="35" spans="1:88" ht="13.2" hidden="1">
      <c r="A35" s="21">
        <v>45364.763364618055</v>
      </c>
      <c r="B35" s="22" t="s">
        <v>702</v>
      </c>
      <c r="C35" s="22" t="s">
        <v>703</v>
      </c>
      <c r="D35" s="22">
        <v>641</v>
      </c>
      <c r="E35" s="22" t="s">
        <v>84</v>
      </c>
      <c r="F35" s="22" t="s">
        <v>249</v>
      </c>
      <c r="G35" s="22" t="s">
        <v>64</v>
      </c>
      <c r="H35" s="22" t="s">
        <v>704</v>
      </c>
      <c r="I35" s="22" t="s">
        <v>705</v>
      </c>
      <c r="J35" s="22" t="s">
        <v>706</v>
      </c>
      <c r="K35" s="22" t="s">
        <v>702</v>
      </c>
      <c r="L35" s="22" t="s">
        <v>89</v>
      </c>
      <c r="M35" s="22" t="s">
        <v>708</v>
      </c>
      <c r="N35" s="22">
        <v>0</v>
      </c>
      <c r="O35" s="22" t="s">
        <v>148</v>
      </c>
      <c r="P35" s="22">
        <v>5</v>
      </c>
      <c r="Q35" s="22">
        <v>4</v>
      </c>
      <c r="R35" s="22">
        <v>10</v>
      </c>
      <c r="S35" s="25"/>
      <c r="T35" s="22" t="s">
        <v>71</v>
      </c>
      <c r="U35" s="22" t="s">
        <v>72</v>
      </c>
      <c r="V35" s="24" t="s">
        <v>520</v>
      </c>
      <c r="W35" s="26">
        <f>IF('CRUDO MARTES'!W35="Si",$N35,)</f>
        <v>0</v>
      </c>
      <c r="X35" s="26">
        <f>IF('CRUDO MARTES'!X35="Si",$N35,)</f>
        <v>0</v>
      </c>
      <c r="Y35" s="26">
        <f>IF('CRUDO MARTES'!Y35="Si",$N35,)</f>
        <v>0</v>
      </c>
      <c r="Z35" s="26">
        <f>IF('CRUDO MARTES'!Z35="Si",$N35,)</f>
        <v>0</v>
      </c>
      <c r="AA35" s="26">
        <f>IF('CRUDO MARTES'!AA35="Si",$N35,)</f>
        <v>0</v>
      </c>
      <c r="AB35" s="26">
        <f>IF('CRUDO MARTES'!AB35="Si",$N35,)</f>
        <v>0</v>
      </c>
      <c r="AC35" s="26">
        <f>IF('CRUDO MARTES'!AC35="Si",$N35,)</f>
        <v>0</v>
      </c>
      <c r="AD35" s="26">
        <f>IF('CRUDO MARTES'!AD35="Si",$N35,)</f>
        <v>0</v>
      </c>
      <c r="AE35" s="26">
        <f>IF('CRUDO MARTES'!AE35="Si",$N35,)</f>
        <v>0</v>
      </c>
      <c r="AF35" s="26">
        <f>IF('CRUDO MARTES'!AF35="Si",$N35,)</f>
        <v>0</v>
      </c>
      <c r="AG35" s="26">
        <f>IF('CRUDO MARTES'!AG35="Si",$N35,)</f>
        <v>0</v>
      </c>
      <c r="AH35" s="26">
        <f>IF('CRUDO MARTES'!AH35="Si",$N35,)</f>
        <v>0</v>
      </c>
      <c r="AI35" s="26">
        <f>IF('CRUDO MARTES'!AI35="Si",$N35,)</f>
        <v>0</v>
      </c>
      <c r="AJ35" s="26">
        <f>IF('CRUDO MARTES'!AJ35="Si",$N35,)</f>
        <v>0</v>
      </c>
      <c r="AK35" s="26">
        <f>IF('CRUDO MARTES'!AK35="Si",$N35,)</f>
        <v>0</v>
      </c>
      <c r="AL35" s="26">
        <f>IF('CRUDO MARTES'!AL35="Si",$N35,)</f>
        <v>0</v>
      </c>
      <c r="AM35" s="26">
        <f>IF('CRUDO MARTES'!AM35="Si",$N35,)</f>
        <v>0</v>
      </c>
      <c r="AN35" s="26">
        <f>IF('CRUDO MARTES'!AN35="Si",$N35,)</f>
        <v>0</v>
      </c>
      <c r="AO35" s="26">
        <f>IF('CRUDO MARTES'!AO35="Si",$N35,)</f>
        <v>0</v>
      </c>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row>
    <row r="36" spans="1:88" ht="13.2" hidden="1">
      <c r="A36" s="13">
        <v>45364.795378831019</v>
      </c>
      <c r="B36" s="14" t="s">
        <v>709</v>
      </c>
      <c r="C36" s="28" t="s">
        <v>710</v>
      </c>
      <c r="D36" s="15" t="s">
        <v>711</v>
      </c>
      <c r="E36" s="14" t="s">
        <v>133</v>
      </c>
      <c r="F36" s="14" t="s">
        <v>220</v>
      </c>
      <c r="G36" s="14" t="s">
        <v>105</v>
      </c>
      <c r="H36" s="14" t="s">
        <v>712</v>
      </c>
      <c r="I36" s="14" t="s">
        <v>713</v>
      </c>
      <c r="J36" s="14" t="s">
        <v>714</v>
      </c>
      <c r="K36" s="14" t="s">
        <v>709</v>
      </c>
      <c r="L36" s="14" t="s">
        <v>68</v>
      </c>
      <c r="M36" s="14" t="s">
        <v>715</v>
      </c>
      <c r="N36" s="14">
        <v>0</v>
      </c>
      <c r="O36" s="14" t="s">
        <v>70</v>
      </c>
      <c r="P36" s="14">
        <v>3</v>
      </c>
      <c r="Q36" s="14">
        <v>2</v>
      </c>
      <c r="R36" s="14">
        <v>90</v>
      </c>
      <c r="S36" s="14" t="s">
        <v>716</v>
      </c>
      <c r="T36" s="14" t="s">
        <v>71</v>
      </c>
      <c r="U36" s="14" t="s">
        <v>71</v>
      </c>
      <c r="V36" s="15" t="s">
        <v>520</v>
      </c>
      <c r="W36" s="29">
        <v>0</v>
      </c>
      <c r="X36" s="29">
        <v>0</v>
      </c>
      <c r="Y36" s="29">
        <v>0</v>
      </c>
      <c r="Z36" s="30">
        <f>IF('CRUDO MARTES'!Z36="Si",$N36,)</f>
        <v>0</v>
      </c>
      <c r="AA36" s="29">
        <v>0</v>
      </c>
      <c r="AB36" s="29">
        <v>0</v>
      </c>
      <c r="AC36" s="30">
        <f>IF('CRUDO MARTES'!AC36="Si",$N36,)</f>
        <v>0</v>
      </c>
      <c r="AD36" s="29">
        <v>0</v>
      </c>
      <c r="AE36" s="29">
        <v>0</v>
      </c>
      <c r="AF36" s="30">
        <f>IF('CRUDO MARTES'!AF36="Si",$N36,)</f>
        <v>0</v>
      </c>
      <c r="AG36" s="29">
        <v>0</v>
      </c>
      <c r="AH36" s="31">
        <f>IF('CRUDO MARTES'!AH36="Si",$N36,)</f>
        <v>0</v>
      </c>
      <c r="AI36" s="29">
        <v>0</v>
      </c>
      <c r="AJ36" s="29">
        <v>0</v>
      </c>
      <c r="AK36" s="29">
        <v>0</v>
      </c>
      <c r="AL36" s="29">
        <v>0</v>
      </c>
      <c r="AM36" s="29">
        <v>0</v>
      </c>
      <c r="AN36" s="29">
        <v>0</v>
      </c>
      <c r="AO36" s="29">
        <v>0</v>
      </c>
      <c r="AP36" s="14" t="s">
        <v>717</v>
      </c>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row>
    <row r="37" spans="1:88" ht="13.2" hidden="1">
      <c r="A37" s="13">
        <v>45365.483354594908</v>
      </c>
      <c r="B37" s="14" t="s">
        <v>725</v>
      </c>
      <c r="C37" s="28" t="s">
        <v>726</v>
      </c>
      <c r="D37" s="15" t="s">
        <v>727</v>
      </c>
      <c r="E37" s="14" t="s">
        <v>133</v>
      </c>
      <c r="F37" s="14" t="s">
        <v>134</v>
      </c>
      <c r="G37" s="14" t="s">
        <v>64</v>
      </c>
      <c r="H37" s="14" t="s">
        <v>728</v>
      </c>
      <c r="I37" s="14" t="s">
        <v>729</v>
      </c>
      <c r="J37" s="16"/>
      <c r="K37" s="14" t="s">
        <v>725</v>
      </c>
      <c r="L37" s="14" t="s">
        <v>138</v>
      </c>
      <c r="M37" s="14" t="s">
        <v>655</v>
      </c>
      <c r="N37" s="14">
        <v>0</v>
      </c>
      <c r="O37" s="14" t="s">
        <v>70</v>
      </c>
      <c r="P37" s="14">
        <v>4</v>
      </c>
      <c r="Q37" s="14">
        <v>2</v>
      </c>
      <c r="R37" s="14">
        <v>0</v>
      </c>
      <c r="S37" s="16"/>
      <c r="T37" s="14" t="s">
        <v>71</v>
      </c>
      <c r="U37" s="14" t="s">
        <v>72</v>
      </c>
      <c r="V37" s="15" t="s">
        <v>520</v>
      </c>
      <c r="W37" s="30">
        <f>IF('CRUDO MARTES'!W37="Si",$N37,)</f>
        <v>0</v>
      </c>
      <c r="X37" s="29">
        <v>0</v>
      </c>
      <c r="Y37" s="30">
        <f>IF('CRUDO MARTES'!Y37="Si",$N37,)</f>
        <v>0</v>
      </c>
      <c r="Z37" s="30">
        <f>IF('CRUDO MARTES'!Z37="Si",$N37,)</f>
        <v>0</v>
      </c>
      <c r="AA37" s="29">
        <v>0</v>
      </c>
      <c r="AB37" s="29">
        <v>0</v>
      </c>
      <c r="AC37" s="30">
        <f>IF('CRUDO MARTES'!AC37="Si",$N37,)</f>
        <v>0</v>
      </c>
      <c r="AD37" s="30">
        <f>IF('CRUDO MARTES'!AD37="Si",$N37,)</f>
        <v>0</v>
      </c>
      <c r="AE37" s="30">
        <f>IF('CRUDO MARTES'!AE37="Si",$N37,)</f>
        <v>0</v>
      </c>
      <c r="AF37" s="30">
        <f>IF('CRUDO MARTES'!AF37="Si",$N37,)</f>
        <v>0</v>
      </c>
      <c r="AG37" s="29">
        <v>0</v>
      </c>
      <c r="AH37" s="29">
        <v>0</v>
      </c>
      <c r="AI37" s="30">
        <f>IF('CRUDO MARTES'!AI37="Si",$N37,)</f>
        <v>0</v>
      </c>
      <c r="AJ37" s="30">
        <f>IF('CRUDO MARTES'!AJ37="Si",$N37,)</f>
        <v>0</v>
      </c>
      <c r="AK37" s="30">
        <f>IF('CRUDO MARTES'!AK37="Si",$N37,)</f>
        <v>0</v>
      </c>
      <c r="AL37" s="30">
        <f>IF('CRUDO MARTES'!AL37="Si",$N37,)</f>
        <v>0</v>
      </c>
      <c r="AM37" s="30">
        <f>IF('CRUDO MARTES'!AM37="Si",$N37,)</f>
        <v>0</v>
      </c>
      <c r="AN37" s="30">
        <f>IF('CRUDO MARTES'!AN37="Si",$N37,)</f>
        <v>0</v>
      </c>
      <c r="AO37" s="30">
        <f>IF('CRUDO MARTES'!AO37="Si",$N37,)</f>
        <v>0</v>
      </c>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row>
    <row r="38" spans="1:88" ht="13.2" hidden="1">
      <c r="A38" s="13">
        <v>45365.486939745373</v>
      </c>
      <c r="B38" s="14" t="s">
        <v>725</v>
      </c>
      <c r="C38" s="28" t="s">
        <v>726</v>
      </c>
      <c r="D38" s="15" t="s">
        <v>727</v>
      </c>
      <c r="E38" s="14" t="s">
        <v>84</v>
      </c>
      <c r="F38" s="14" t="s">
        <v>730</v>
      </c>
      <c r="G38" s="14" t="s">
        <v>64</v>
      </c>
      <c r="H38" s="14" t="s">
        <v>728</v>
      </c>
      <c r="I38" s="14" t="s">
        <v>729</v>
      </c>
      <c r="J38" s="16"/>
      <c r="K38" s="14" t="s">
        <v>725</v>
      </c>
      <c r="L38" s="14" t="s">
        <v>138</v>
      </c>
      <c r="M38" s="14" t="s">
        <v>731</v>
      </c>
      <c r="N38" s="14">
        <v>0</v>
      </c>
      <c r="O38" s="14" t="s">
        <v>70</v>
      </c>
      <c r="P38" s="14">
        <v>4</v>
      </c>
      <c r="Q38" s="14">
        <v>2</v>
      </c>
      <c r="R38" s="14">
        <v>0</v>
      </c>
      <c r="S38" s="16"/>
      <c r="T38" s="14" t="s">
        <v>71</v>
      </c>
      <c r="U38" s="14" t="s">
        <v>72</v>
      </c>
      <c r="V38" s="15" t="s">
        <v>520</v>
      </c>
      <c r="W38" s="30">
        <f>IF('CRUDO MARTES'!W38="Si",$N38,)</f>
        <v>0</v>
      </c>
      <c r="X38" s="29">
        <v>0</v>
      </c>
      <c r="Y38" s="30">
        <f>IF('CRUDO MARTES'!Y38="Si",$N38,)</f>
        <v>0</v>
      </c>
      <c r="Z38" s="30">
        <f>IF('CRUDO MARTES'!Z38="Si",$N38,)</f>
        <v>0</v>
      </c>
      <c r="AA38" s="29">
        <v>0</v>
      </c>
      <c r="AB38" s="29">
        <v>0</v>
      </c>
      <c r="AC38" s="30">
        <f>IF('CRUDO MARTES'!AC38="Si",$N38,)</f>
        <v>0</v>
      </c>
      <c r="AD38" s="30">
        <f>IF('CRUDO MARTES'!AD38="Si",$N38,)</f>
        <v>0</v>
      </c>
      <c r="AE38" s="30">
        <f>IF('CRUDO MARTES'!AE38="Si",$N38,)</f>
        <v>0</v>
      </c>
      <c r="AF38" s="30">
        <f>IF('CRUDO MARTES'!AF38="Si",$N38,)</f>
        <v>0</v>
      </c>
      <c r="AG38" s="29">
        <v>0</v>
      </c>
      <c r="AH38" s="29">
        <v>0</v>
      </c>
      <c r="AI38" s="30">
        <f>IF('CRUDO MARTES'!AI38="Si",$N38,)</f>
        <v>0</v>
      </c>
      <c r="AJ38" s="30">
        <f>IF('CRUDO MARTES'!AJ38="Si",$N38,)</f>
        <v>0</v>
      </c>
      <c r="AK38" s="30">
        <f>IF('CRUDO MARTES'!AK38="Si",$N38,)</f>
        <v>0</v>
      </c>
      <c r="AL38" s="30">
        <f>IF('CRUDO MARTES'!AL38="Si",$N38,)</f>
        <v>0</v>
      </c>
      <c r="AM38" s="30">
        <f>IF('CRUDO MARTES'!AM38="Si",$N38,)</f>
        <v>0</v>
      </c>
      <c r="AN38" s="30">
        <f>IF('CRUDO MARTES'!AN38="Si",$N38,)</f>
        <v>0</v>
      </c>
      <c r="AO38" s="30">
        <f>IF('CRUDO MARTES'!AO38="Si",$N38,)</f>
        <v>0</v>
      </c>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row>
    <row r="39" spans="1:88" ht="13.2" hidden="1">
      <c r="A39" s="13">
        <v>45365.495644722221</v>
      </c>
      <c r="B39" s="14" t="s">
        <v>732</v>
      </c>
      <c r="C39" s="28" t="s">
        <v>733</v>
      </c>
      <c r="D39" s="14">
        <v>20068000</v>
      </c>
      <c r="E39" s="14" t="s">
        <v>133</v>
      </c>
      <c r="F39" s="14" t="s">
        <v>254</v>
      </c>
      <c r="G39" s="14" t="s">
        <v>105</v>
      </c>
      <c r="H39" s="14" t="s">
        <v>734</v>
      </c>
      <c r="I39" s="14" t="s">
        <v>735</v>
      </c>
      <c r="J39" s="14" t="s">
        <v>736</v>
      </c>
      <c r="K39" s="14" t="s">
        <v>732</v>
      </c>
      <c r="L39" s="14" t="s">
        <v>89</v>
      </c>
      <c r="M39" s="14" t="s">
        <v>737</v>
      </c>
      <c r="N39" s="14">
        <v>0</v>
      </c>
      <c r="O39" s="14" t="s">
        <v>70</v>
      </c>
      <c r="P39" s="14">
        <v>4</v>
      </c>
      <c r="Q39" s="14">
        <v>4</v>
      </c>
      <c r="R39" s="14">
        <v>50</v>
      </c>
      <c r="S39" s="16"/>
      <c r="T39" s="14" t="s">
        <v>72</v>
      </c>
      <c r="U39" s="14" t="s">
        <v>71</v>
      </c>
      <c r="V39" s="15" t="s">
        <v>520</v>
      </c>
      <c r="W39" s="30">
        <f>IF('CRUDO MARTES'!W39="Si",$N39,)</f>
        <v>0</v>
      </c>
      <c r="X39" s="30">
        <f>IF('CRUDO MARTES'!X39="Si",$N39,)</f>
        <v>0</v>
      </c>
      <c r="Y39" s="30">
        <f>IF('CRUDO MARTES'!Y39="Si",$N39,)</f>
        <v>0</v>
      </c>
      <c r="Z39" s="30">
        <f>IF('CRUDO MARTES'!Z39="Si",$N39,)</f>
        <v>0</v>
      </c>
      <c r="AA39" s="30">
        <f>IF('CRUDO MARTES'!AA39="Si",$N39,)</f>
        <v>0</v>
      </c>
      <c r="AB39" s="30">
        <f>IF('CRUDO MARTES'!AB39="Si",$N39,)</f>
        <v>0</v>
      </c>
      <c r="AC39" s="30">
        <f>IF('CRUDO MARTES'!AC39="Si",$N39,)</f>
        <v>0</v>
      </c>
      <c r="AD39" s="30">
        <f>IF('CRUDO MARTES'!AD39="Si",$N39,)</f>
        <v>0</v>
      </c>
      <c r="AE39" s="30">
        <f>IF('CRUDO MARTES'!AE39="Si",$N39,)</f>
        <v>0</v>
      </c>
      <c r="AF39" s="30">
        <f>IF('CRUDO MARTES'!AF39="Si",$N39,)</f>
        <v>0</v>
      </c>
      <c r="AG39" s="30">
        <f>IF('CRUDO MARTES'!AG39="Si",$N39,)</f>
        <v>0</v>
      </c>
      <c r="AH39" s="30">
        <f>IF('CRUDO MARTES'!AH39="Si",$N39,)</f>
        <v>0</v>
      </c>
      <c r="AI39" s="30">
        <f>IF('CRUDO MARTES'!AI39="Si",$N39,)</f>
        <v>0</v>
      </c>
      <c r="AJ39" s="30">
        <f>IF('CRUDO MARTES'!AJ39="Si",$N39,)</f>
        <v>0</v>
      </c>
      <c r="AK39" s="29">
        <v>0</v>
      </c>
      <c r="AL39" s="30">
        <f>IF('CRUDO MARTES'!AL39="Si",$N39,)</f>
        <v>0</v>
      </c>
      <c r="AM39" s="30">
        <f>IF('CRUDO MARTES'!AM39="Si",$N39,)</f>
        <v>0</v>
      </c>
      <c r="AN39" s="30">
        <f>IF('CRUDO MARTES'!AN39="Si",$N39,)</f>
        <v>0</v>
      </c>
      <c r="AO39" s="30">
        <f>IF('CRUDO MARTES'!AO39="Si",$N39,)</f>
        <v>0</v>
      </c>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row>
    <row r="40" spans="1:88" ht="13.2" hidden="1">
      <c r="A40" s="13">
        <v>45365.538917025464</v>
      </c>
      <c r="B40" s="14" t="s">
        <v>738</v>
      </c>
      <c r="C40" s="28" t="s">
        <v>739</v>
      </c>
      <c r="D40" s="15" t="s">
        <v>740</v>
      </c>
      <c r="E40" s="14" t="s">
        <v>84</v>
      </c>
      <c r="F40" s="14" t="s">
        <v>741</v>
      </c>
      <c r="G40" s="14" t="s">
        <v>64</v>
      </c>
      <c r="H40" s="14" t="s">
        <v>742</v>
      </c>
      <c r="I40" s="14" t="s">
        <v>743</v>
      </c>
      <c r="J40" s="16"/>
      <c r="K40" s="14" t="s">
        <v>744</v>
      </c>
      <c r="L40" s="14" t="s">
        <v>89</v>
      </c>
      <c r="M40" s="14" t="s">
        <v>536</v>
      </c>
      <c r="N40" s="14">
        <v>0</v>
      </c>
      <c r="O40" s="14" t="s">
        <v>70</v>
      </c>
      <c r="P40" s="14">
        <v>3</v>
      </c>
      <c r="Q40" s="14">
        <v>1</v>
      </c>
      <c r="R40" s="14">
        <v>30</v>
      </c>
      <c r="S40" s="16"/>
      <c r="T40" s="14" t="s">
        <v>71</v>
      </c>
      <c r="U40" s="14" t="s">
        <v>72</v>
      </c>
      <c r="V40" s="15" t="s">
        <v>520</v>
      </c>
      <c r="W40" s="30">
        <f>IF('CRUDO MARTES'!W40="Si",$N40,)</f>
        <v>0</v>
      </c>
      <c r="X40" s="30">
        <f>IF('CRUDO MARTES'!X40="Si",$N40,)</f>
        <v>0</v>
      </c>
      <c r="Y40" s="29">
        <v>0</v>
      </c>
      <c r="Z40" s="30">
        <f>IF('CRUDO MARTES'!Z40="Si",$N40,)</f>
        <v>0</v>
      </c>
      <c r="AA40" s="30">
        <f>IF('CRUDO MARTES'!AA40="Si",$N40,)</f>
        <v>0</v>
      </c>
      <c r="AB40" s="30">
        <f>IF('CRUDO MARTES'!AB40="Si",$N40,)</f>
        <v>0</v>
      </c>
      <c r="AC40" s="30">
        <f>IF('CRUDO MARTES'!AC40="Si",$N40,)</f>
        <v>0</v>
      </c>
      <c r="AD40" s="30">
        <f>IF('CRUDO MARTES'!AD40="Si",$N40,)</f>
        <v>0</v>
      </c>
      <c r="AE40" s="30">
        <f>IF('CRUDO MARTES'!AE40="Si",$N40,)</f>
        <v>0</v>
      </c>
      <c r="AF40" s="30">
        <f>IF('CRUDO MARTES'!AF40="Si",$N40,)</f>
        <v>0</v>
      </c>
      <c r="AG40" s="30">
        <f>IF('CRUDO MARTES'!AG40="Si",$N40,)</f>
        <v>0</v>
      </c>
      <c r="AH40" s="30">
        <f>IF('CRUDO MARTES'!AH40="Si",$N40,)</f>
        <v>0</v>
      </c>
      <c r="AI40" s="30">
        <f>IF('CRUDO MARTES'!AI40="Si",$N40,)</f>
        <v>0</v>
      </c>
      <c r="AJ40" s="29">
        <v>0</v>
      </c>
      <c r="AK40" s="30">
        <f>IF('CRUDO MARTES'!AK40="Si",$N40,)</f>
        <v>0</v>
      </c>
      <c r="AL40" s="30">
        <f>IF('CRUDO MARTES'!AL40="Si",$N40,)</f>
        <v>0</v>
      </c>
      <c r="AM40" s="30">
        <f>IF('CRUDO MARTES'!AM40="Si",$N40,)</f>
        <v>0</v>
      </c>
      <c r="AN40" s="30">
        <f>IF('CRUDO MARTES'!AN40="Si",$N40,)</f>
        <v>0</v>
      </c>
      <c r="AO40" s="29">
        <v>0</v>
      </c>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row>
    <row r="41" spans="1:88" ht="13.2" hidden="1">
      <c r="A41" s="13">
        <v>45365.564028564811</v>
      </c>
      <c r="B41" s="14" t="s">
        <v>738</v>
      </c>
      <c r="C41" s="28" t="s">
        <v>739</v>
      </c>
      <c r="D41" s="15" t="s">
        <v>740</v>
      </c>
      <c r="E41" s="14" t="s">
        <v>84</v>
      </c>
      <c r="F41" s="14" t="s">
        <v>745</v>
      </c>
      <c r="G41" s="14" t="s">
        <v>64</v>
      </c>
      <c r="H41" s="14" t="s">
        <v>746</v>
      </c>
      <c r="I41" s="14" t="s">
        <v>747</v>
      </c>
      <c r="J41" s="16"/>
      <c r="K41" s="14" t="s">
        <v>738</v>
      </c>
      <c r="L41" s="14" t="s">
        <v>89</v>
      </c>
      <c r="M41" s="14" t="s">
        <v>536</v>
      </c>
      <c r="N41" s="14">
        <v>0</v>
      </c>
      <c r="O41" s="14" t="s">
        <v>70</v>
      </c>
      <c r="P41" s="14">
        <v>3</v>
      </c>
      <c r="Q41" s="14">
        <v>3</v>
      </c>
      <c r="R41" s="14">
        <v>30</v>
      </c>
      <c r="S41" s="16"/>
      <c r="T41" s="14" t="s">
        <v>71</v>
      </c>
      <c r="U41" s="14" t="s">
        <v>72</v>
      </c>
      <c r="V41" s="15" t="s">
        <v>520</v>
      </c>
      <c r="W41" s="30">
        <f>IF('CRUDO MARTES'!W41="Si",$N41,)</f>
        <v>0</v>
      </c>
      <c r="X41" s="30">
        <f>IF('CRUDO MARTES'!X41="Si",$N41,)</f>
        <v>0</v>
      </c>
      <c r="Y41" s="30">
        <f>IF('CRUDO MARTES'!Y41="Si",$N41,)</f>
        <v>0</v>
      </c>
      <c r="Z41" s="30">
        <f>IF('CRUDO MARTES'!Z41="Si",$N41,)</f>
        <v>0</v>
      </c>
      <c r="AA41" s="30">
        <f>IF('CRUDO MARTES'!AA41="Si",$N41,)</f>
        <v>0</v>
      </c>
      <c r="AB41" s="30">
        <f>IF('CRUDO MARTES'!AB41="Si",$N41,)</f>
        <v>0</v>
      </c>
      <c r="AC41" s="30">
        <f>IF('CRUDO MARTES'!AC41="Si",$N41,)</f>
        <v>0</v>
      </c>
      <c r="AD41" s="30">
        <f>IF('CRUDO MARTES'!AD41="Si",$N41,)</f>
        <v>0</v>
      </c>
      <c r="AE41" s="30">
        <f>IF('CRUDO MARTES'!AE41="Si",$N41,)</f>
        <v>0</v>
      </c>
      <c r="AF41" s="30">
        <f>IF('CRUDO MARTES'!AF41="Si",$N41,)</f>
        <v>0</v>
      </c>
      <c r="AG41" s="30">
        <f>IF('CRUDO MARTES'!AG41="Si",$N41,)</f>
        <v>0</v>
      </c>
      <c r="AH41" s="30">
        <f>IF('CRUDO MARTES'!AH41="Si",$N41,)</f>
        <v>0</v>
      </c>
      <c r="AI41" s="29">
        <v>0</v>
      </c>
      <c r="AJ41" s="30">
        <f>IF('CRUDO MARTES'!AJ41="Si",$N41,)</f>
        <v>0</v>
      </c>
      <c r="AK41" s="30">
        <f>IF('CRUDO MARTES'!AK41="Si",$N41,)</f>
        <v>0</v>
      </c>
      <c r="AL41" s="30">
        <f>IF('CRUDO MARTES'!AL41="Si",$N41,)</f>
        <v>0</v>
      </c>
      <c r="AM41" s="30">
        <f>IF('CRUDO MARTES'!AM41="Si",$N41,)</f>
        <v>0</v>
      </c>
      <c r="AN41" s="31">
        <f>IF('CRUDO MARTES'!AN41="Si",$N41,)</f>
        <v>0</v>
      </c>
      <c r="AO41" s="30">
        <f>IF('CRUDO MARTES'!AO41="Si",$N41,)</f>
        <v>0</v>
      </c>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row>
    <row r="42" spans="1:88" ht="13.2" hidden="1">
      <c r="A42" s="13">
        <v>45365.572495393513</v>
      </c>
      <c r="B42" s="14" t="s">
        <v>315</v>
      </c>
      <c r="C42" s="28" t="s">
        <v>748</v>
      </c>
      <c r="D42" s="14">
        <v>60627100</v>
      </c>
      <c r="E42" s="14" t="s">
        <v>84</v>
      </c>
      <c r="F42" s="14" t="s">
        <v>589</v>
      </c>
      <c r="G42" s="14" t="s">
        <v>64</v>
      </c>
      <c r="H42" s="14" t="s">
        <v>319</v>
      </c>
      <c r="I42" s="14" t="s">
        <v>749</v>
      </c>
      <c r="J42" s="14" t="s">
        <v>750</v>
      </c>
      <c r="K42" s="14" t="s">
        <v>315</v>
      </c>
      <c r="L42" s="14" t="s">
        <v>245</v>
      </c>
      <c r="M42" s="14" t="s">
        <v>321</v>
      </c>
      <c r="N42" s="14">
        <v>0</v>
      </c>
      <c r="O42" s="14" t="s">
        <v>70</v>
      </c>
      <c r="P42" s="14">
        <v>5</v>
      </c>
      <c r="Q42" s="14">
        <v>3</v>
      </c>
      <c r="R42" s="14">
        <v>15</v>
      </c>
      <c r="S42" s="16"/>
      <c r="T42" s="14" t="s">
        <v>71</v>
      </c>
      <c r="U42" s="14" t="s">
        <v>72</v>
      </c>
      <c r="V42" s="15" t="s">
        <v>520</v>
      </c>
      <c r="W42" s="30">
        <f>IF('CRUDO MARTES'!W42="Si",$N42,)</f>
        <v>0</v>
      </c>
      <c r="X42" s="30">
        <f>IF('CRUDO MARTES'!X42="Si",$N42,)</f>
        <v>0</v>
      </c>
      <c r="Y42" s="30">
        <f>IF('CRUDO MARTES'!Y42="Si",$N42,)</f>
        <v>0</v>
      </c>
      <c r="Z42" s="30">
        <f>IF('CRUDO MARTES'!Z42="Si",$N42,)</f>
        <v>0</v>
      </c>
      <c r="AA42" s="30">
        <f>IF('CRUDO MARTES'!AA42="Si",$N42,)</f>
        <v>0</v>
      </c>
      <c r="AB42" s="29">
        <v>0</v>
      </c>
      <c r="AC42" s="30">
        <f>IF('CRUDO MARTES'!AC42="Si",$N42,)</f>
        <v>0</v>
      </c>
      <c r="AD42" s="30">
        <f>IF('CRUDO MARTES'!AD42="Si",$N42,)</f>
        <v>0</v>
      </c>
      <c r="AE42" s="30">
        <f>IF('CRUDO MARTES'!AE42="Si",$N42,)</f>
        <v>0</v>
      </c>
      <c r="AF42" s="30">
        <f>IF('CRUDO MARTES'!AF42="Si",$N42,)</f>
        <v>0</v>
      </c>
      <c r="AG42" s="30">
        <f>IF('CRUDO MARTES'!AG42="Si",$N42,)</f>
        <v>0</v>
      </c>
      <c r="AH42" s="30">
        <f>IF('CRUDO MARTES'!AH42="Si",$N42,)</f>
        <v>0</v>
      </c>
      <c r="AI42" s="30">
        <f>IF('CRUDO MARTES'!AI42="Si",$N42,)</f>
        <v>0</v>
      </c>
      <c r="AJ42" s="29">
        <v>0</v>
      </c>
      <c r="AK42" s="30">
        <f>IF('CRUDO MARTES'!AK42="Si",$N42,)</f>
        <v>0</v>
      </c>
      <c r="AL42" s="30">
        <f>IF('CRUDO MARTES'!AL42="Si",$N42,)</f>
        <v>0</v>
      </c>
      <c r="AM42" s="31">
        <f>IF('CRUDO MARTES'!AM42="Si",$N42,)</f>
        <v>0</v>
      </c>
      <c r="AN42" s="30">
        <f>IF('CRUDO MARTES'!AN42="Si",$N42,)</f>
        <v>0</v>
      </c>
      <c r="AO42" s="30">
        <f>IF('CRUDO MARTES'!AO42="Si",$N42,)</f>
        <v>0</v>
      </c>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row>
    <row r="43" spans="1:88" ht="26.4" hidden="1">
      <c r="A43" s="13">
        <v>45365.63207655093</v>
      </c>
      <c r="B43" s="14" t="s">
        <v>574</v>
      </c>
      <c r="C43" s="28" t="s">
        <v>751</v>
      </c>
      <c r="D43" s="14">
        <v>20059400</v>
      </c>
      <c r="E43" s="14" t="s">
        <v>276</v>
      </c>
      <c r="F43" s="14" t="s">
        <v>752</v>
      </c>
      <c r="G43" s="14" t="s">
        <v>64</v>
      </c>
      <c r="H43" s="14" t="s">
        <v>753</v>
      </c>
      <c r="I43" s="14" t="s">
        <v>754</v>
      </c>
      <c r="J43" s="14" t="s">
        <v>679</v>
      </c>
      <c r="K43" s="14" t="s">
        <v>574</v>
      </c>
      <c r="L43" s="14" t="s">
        <v>89</v>
      </c>
      <c r="M43" s="14" t="s">
        <v>755</v>
      </c>
      <c r="N43" s="14">
        <v>0</v>
      </c>
      <c r="O43" s="14" t="s">
        <v>70</v>
      </c>
      <c r="P43" s="14">
        <v>4</v>
      </c>
      <c r="Q43" s="14">
        <v>5</v>
      </c>
      <c r="R43" s="14">
        <v>50</v>
      </c>
      <c r="S43" s="16"/>
      <c r="T43" s="14" t="s">
        <v>71</v>
      </c>
      <c r="U43" s="14" t="s">
        <v>72</v>
      </c>
      <c r="V43" s="15" t="s">
        <v>520</v>
      </c>
      <c r="W43" s="29">
        <v>0</v>
      </c>
      <c r="X43" s="29">
        <v>0</v>
      </c>
      <c r="Y43" s="30">
        <f>IF('CRUDO MARTES'!Y43="Si",$N43,)</f>
        <v>0</v>
      </c>
      <c r="Z43" s="30">
        <f>IF('CRUDO MARTES'!Z43="Si",$N43,)</f>
        <v>0</v>
      </c>
      <c r="AA43" s="29">
        <v>0</v>
      </c>
      <c r="AB43" s="30">
        <f>IF('CRUDO MARTES'!AB43="Si",$N43,)</f>
        <v>0</v>
      </c>
      <c r="AC43" s="29">
        <v>0</v>
      </c>
      <c r="AD43" s="29">
        <v>0</v>
      </c>
      <c r="AE43" s="30">
        <f>IF('CRUDO MARTES'!AE43="Si",$N43,)</f>
        <v>0</v>
      </c>
      <c r="AF43" s="30">
        <f>IF('CRUDO MARTES'!AF43="Si",$N43,)</f>
        <v>0</v>
      </c>
      <c r="AG43" s="29">
        <v>0</v>
      </c>
      <c r="AH43" s="29">
        <v>0</v>
      </c>
      <c r="AI43" s="29">
        <v>0</v>
      </c>
      <c r="AJ43" s="30">
        <f>IF('CRUDO MARTES'!AJ43="Si",$N43,)</f>
        <v>0</v>
      </c>
      <c r="AK43" s="30">
        <f>IF('CRUDO MARTES'!AK43="Si",$N43,)</f>
        <v>0</v>
      </c>
      <c r="AL43" s="29">
        <v>0</v>
      </c>
      <c r="AM43" s="29">
        <v>0</v>
      </c>
      <c r="AN43" s="30">
        <f>IF('CRUDO MARTES'!AN43="Si",$N43,)</f>
        <v>0</v>
      </c>
      <c r="AO43" s="30">
        <f>IF('CRUDO MARTES'!AO43="Si",$N43,)</f>
        <v>0</v>
      </c>
      <c r="AP43" s="14" t="s">
        <v>756</v>
      </c>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row>
    <row r="44" spans="1:88" ht="13.2" hidden="1">
      <c r="A44" s="21">
        <v>45365.635810624997</v>
      </c>
      <c r="B44" s="22" t="s">
        <v>574</v>
      </c>
      <c r="C44" s="22" t="s">
        <v>757</v>
      </c>
      <c r="D44" s="22">
        <v>20059400</v>
      </c>
      <c r="E44" s="22" t="s">
        <v>133</v>
      </c>
      <c r="F44" s="22" t="s">
        <v>730</v>
      </c>
      <c r="G44" s="22" t="s">
        <v>64</v>
      </c>
      <c r="H44" s="22" t="s">
        <v>753</v>
      </c>
      <c r="I44" s="22" t="s">
        <v>754</v>
      </c>
      <c r="J44" s="22" t="s">
        <v>758</v>
      </c>
      <c r="K44" s="22" t="s">
        <v>574</v>
      </c>
      <c r="L44" s="22" t="s">
        <v>89</v>
      </c>
      <c r="M44" s="22" t="s">
        <v>755</v>
      </c>
      <c r="N44" s="22">
        <v>0</v>
      </c>
      <c r="O44" s="22" t="s">
        <v>70</v>
      </c>
      <c r="P44" s="22">
        <v>4</v>
      </c>
      <c r="Q44" s="22">
        <v>5</v>
      </c>
      <c r="R44" s="22">
        <v>50</v>
      </c>
      <c r="S44" s="25"/>
      <c r="T44" s="22" t="s">
        <v>71</v>
      </c>
      <c r="U44" s="22" t="s">
        <v>72</v>
      </c>
      <c r="V44" s="24" t="s">
        <v>520</v>
      </c>
      <c r="W44" s="26">
        <f>IF('CRUDO MARTES'!W44="Si",$N44,)</f>
        <v>0</v>
      </c>
      <c r="X44" s="26">
        <f>IF('CRUDO MARTES'!X44="Si",$N44,)</f>
        <v>0</v>
      </c>
      <c r="Y44" s="26">
        <f>IF('CRUDO MARTES'!Y44="Si",$N44,)</f>
        <v>0</v>
      </c>
      <c r="Z44" s="26">
        <f>IF('CRUDO MARTES'!Z44="Si",$N44,)</f>
        <v>0</v>
      </c>
      <c r="AA44" s="26">
        <f>IF('CRUDO MARTES'!AA44="Si",$N44,)</f>
        <v>0</v>
      </c>
      <c r="AB44" s="26">
        <f>IF('CRUDO MARTES'!AB44="Si",$N44,)</f>
        <v>0</v>
      </c>
      <c r="AC44" s="26">
        <f>IF('CRUDO MARTES'!AC44="Si",$N44,)</f>
        <v>0</v>
      </c>
      <c r="AD44" s="26">
        <f>IF('CRUDO MARTES'!AD44="Si",$N44,)</f>
        <v>0</v>
      </c>
      <c r="AE44" s="26">
        <f>IF('CRUDO MARTES'!AE44="Si",$N44,)</f>
        <v>0</v>
      </c>
      <c r="AF44" s="26">
        <f>IF('CRUDO MARTES'!AF44="Si",$N44,)</f>
        <v>0</v>
      </c>
      <c r="AG44" s="26">
        <f>IF('CRUDO MARTES'!AG44="Si",$N44,)</f>
        <v>0</v>
      </c>
      <c r="AH44" s="26">
        <f>IF('CRUDO MARTES'!AH44="Si",$N44,)</f>
        <v>0</v>
      </c>
      <c r="AI44" s="26">
        <f>IF('CRUDO MARTES'!AI44="Si",$N44,)</f>
        <v>0</v>
      </c>
      <c r="AJ44" s="26">
        <f>IF('CRUDO MARTES'!AJ44="Si",$N44,)</f>
        <v>0</v>
      </c>
      <c r="AK44" s="26">
        <f>IF('CRUDO MARTES'!AK44="Si",$N44,)</f>
        <v>0</v>
      </c>
      <c r="AL44" s="26">
        <f>IF('CRUDO MARTES'!AL44="Si",$N44,)</f>
        <v>0</v>
      </c>
      <c r="AM44" s="26">
        <f>IF('CRUDO MARTES'!AM44="Si",$N44,)</f>
        <v>0</v>
      </c>
      <c r="AN44" s="26">
        <f>IF('CRUDO MARTES'!AN44="Si",$N44,)</f>
        <v>0</v>
      </c>
      <c r="AO44" s="26">
        <f>IF('CRUDO MARTES'!AO44="Si",$N44,)</f>
        <v>0</v>
      </c>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row>
    <row r="45" spans="1:88" ht="13.2" hidden="1">
      <c r="A45" s="21">
        <v>45365.664200740735</v>
      </c>
      <c r="B45" s="22" t="s">
        <v>759</v>
      </c>
      <c r="C45" s="23" t="s">
        <v>760</v>
      </c>
      <c r="D45" s="24" t="s">
        <v>761</v>
      </c>
      <c r="E45" s="22" t="s">
        <v>133</v>
      </c>
      <c r="F45" s="22" t="s">
        <v>762</v>
      </c>
      <c r="G45" s="22" t="s">
        <v>64</v>
      </c>
      <c r="H45" s="22" t="s">
        <v>763</v>
      </c>
      <c r="I45" s="22" t="s">
        <v>764</v>
      </c>
      <c r="J45" s="22" t="s">
        <v>765</v>
      </c>
      <c r="K45" s="22" t="s">
        <v>759</v>
      </c>
      <c r="L45" s="22" t="s">
        <v>138</v>
      </c>
      <c r="M45" s="22" t="s">
        <v>766</v>
      </c>
      <c r="N45" s="22">
        <v>0</v>
      </c>
      <c r="O45" s="22" t="s">
        <v>70</v>
      </c>
      <c r="P45" s="22">
        <v>5</v>
      </c>
      <c r="Q45" s="22">
        <v>5</v>
      </c>
      <c r="R45" s="22">
        <v>10</v>
      </c>
      <c r="S45" s="25"/>
      <c r="T45" s="22" t="s">
        <v>71</v>
      </c>
      <c r="U45" s="22" t="s">
        <v>72</v>
      </c>
      <c r="V45" s="24" t="s">
        <v>520</v>
      </c>
      <c r="W45" s="26">
        <f>IF('CRUDO MARTES'!W45="Si",$N45,)</f>
        <v>0</v>
      </c>
      <c r="X45" s="26">
        <f>IF('CRUDO MARTES'!X45="Si",$N45,)</f>
        <v>0</v>
      </c>
      <c r="Y45" s="27">
        <v>0</v>
      </c>
      <c r="Z45" s="26">
        <f>IF('CRUDO MARTES'!Z45="Si",$N45,)</f>
        <v>0</v>
      </c>
      <c r="AA45" s="26">
        <f>IF('CRUDO MARTES'!AA45="Si",$N45,)</f>
        <v>0</v>
      </c>
      <c r="AB45" s="27">
        <v>0</v>
      </c>
      <c r="AC45" s="26">
        <f>IF('CRUDO MARTES'!AC45="Si",$N45,)</f>
        <v>0</v>
      </c>
      <c r="AD45" s="26">
        <f>IF('CRUDO MARTES'!AD45="Si",$N45,)</f>
        <v>0</v>
      </c>
      <c r="AE45" s="26">
        <f>IF('CRUDO MARTES'!AE45="Si",$N45,)</f>
        <v>0</v>
      </c>
      <c r="AF45" s="26">
        <f>IF('CRUDO MARTES'!AF45="Si",$N45,)</f>
        <v>0</v>
      </c>
      <c r="AG45" s="27">
        <v>0</v>
      </c>
      <c r="AH45" s="27">
        <v>0</v>
      </c>
      <c r="AI45" s="27">
        <v>0</v>
      </c>
      <c r="AJ45" s="26">
        <f>IF('CRUDO MARTES'!AJ45="Si",$N45,)</f>
        <v>0</v>
      </c>
      <c r="AK45" s="26">
        <f>IF('CRUDO MARTES'!AK45="Si",$N45,)</f>
        <v>0</v>
      </c>
      <c r="AL45" s="27">
        <v>0</v>
      </c>
      <c r="AM45" s="27">
        <v>0</v>
      </c>
      <c r="AN45" s="26">
        <f>IF('CRUDO MARTES'!AN45="Si",$N45,)</f>
        <v>0</v>
      </c>
      <c r="AO45" s="26">
        <f>IF('CRUDO MARTES'!AO45="Si",$N45,)</f>
        <v>0</v>
      </c>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row>
    <row r="46" spans="1:88" ht="13.2" hidden="1">
      <c r="A46" s="13">
        <v>45365.81678079861</v>
      </c>
      <c r="B46" s="14" t="s">
        <v>767</v>
      </c>
      <c r="C46" s="28" t="s">
        <v>768</v>
      </c>
      <c r="D46" s="15" t="s">
        <v>442</v>
      </c>
      <c r="E46" s="14" t="s">
        <v>62</v>
      </c>
      <c r="F46" s="14" t="s">
        <v>769</v>
      </c>
      <c r="G46" s="14" t="s">
        <v>64</v>
      </c>
      <c r="H46" s="14" t="s">
        <v>770</v>
      </c>
      <c r="I46" s="14" t="s">
        <v>771</v>
      </c>
      <c r="J46" s="16"/>
      <c r="K46" s="14" t="s">
        <v>772</v>
      </c>
      <c r="L46" s="14" t="s">
        <v>89</v>
      </c>
      <c r="M46" s="14" t="s">
        <v>773</v>
      </c>
      <c r="N46" s="14">
        <v>0</v>
      </c>
      <c r="O46" s="14" t="s">
        <v>70</v>
      </c>
      <c r="P46" s="14">
        <v>5</v>
      </c>
      <c r="Q46" s="14">
        <v>5</v>
      </c>
      <c r="R46" s="14">
        <v>5</v>
      </c>
      <c r="S46" s="14" t="s">
        <v>774</v>
      </c>
      <c r="T46" s="14" t="s">
        <v>71</v>
      </c>
      <c r="U46" s="14" t="s">
        <v>72</v>
      </c>
      <c r="V46" s="15" t="s">
        <v>520</v>
      </c>
      <c r="W46" s="30">
        <f>IF('CRUDO MARTES'!W46="Si",$N46,)</f>
        <v>0</v>
      </c>
      <c r="X46" s="29">
        <v>0</v>
      </c>
      <c r="Y46" s="30">
        <f>IF('CRUDO MARTES'!Y46="Si",$N46,)</f>
        <v>0</v>
      </c>
      <c r="Z46" s="30">
        <f>IF('CRUDO MARTES'!Z46="Si",$N46,)</f>
        <v>0</v>
      </c>
      <c r="AA46" s="29">
        <v>0</v>
      </c>
      <c r="AB46" s="29">
        <v>0</v>
      </c>
      <c r="AC46" s="30">
        <f>IF('CRUDO MARTES'!AC46="Si",$N46,)</f>
        <v>0</v>
      </c>
      <c r="AD46" s="30">
        <f>IF('CRUDO MARTES'!AD46="Si",$N46,)</f>
        <v>0</v>
      </c>
      <c r="AE46" s="30">
        <f>IF('CRUDO MARTES'!AE46="Si",$N46,)</f>
        <v>0</v>
      </c>
      <c r="AF46" s="30">
        <f>IF('CRUDO MARTES'!AF46="Si",$N46,)</f>
        <v>0</v>
      </c>
      <c r="AG46" s="29">
        <v>0</v>
      </c>
      <c r="AH46" s="29">
        <v>0</v>
      </c>
      <c r="AI46" s="29">
        <v>0</v>
      </c>
      <c r="AJ46" s="30">
        <f>IF('CRUDO MARTES'!AJ46="Si",$N46,)</f>
        <v>0</v>
      </c>
      <c r="AK46" s="30">
        <f>IF('CRUDO MARTES'!AK46="Si",$N46,)</f>
        <v>0</v>
      </c>
      <c r="AL46" s="29">
        <v>0</v>
      </c>
      <c r="AM46" s="29">
        <v>0</v>
      </c>
      <c r="AN46" s="30">
        <f>IF('CRUDO MARTES'!AN46="Si",$N46,)</f>
        <v>0</v>
      </c>
      <c r="AO46" s="30">
        <f>IF('CRUDO MARTES'!AO46="Si",$N46,)</f>
        <v>0</v>
      </c>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row>
    <row r="47" spans="1:88" ht="13.2">
      <c r="A47" s="38">
        <v>45365.882291770831</v>
      </c>
      <c r="B47" s="39" t="s">
        <v>647</v>
      </c>
      <c r="C47" s="40" t="s">
        <v>648</v>
      </c>
      <c r="D47" s="41" t="s">
        <v>649</v>
      </c>
      <c r="E47" s="39" t="s">
        <v>133</v>
      </c>
      <c r="F47" s="39" t="s">
        <v>775</v>
      </c>
      <c r="G47" s="39" t="s">
        <v>64</v>
      </c>
      <c r="H47" s="39" t="s">
        <v>651</v>
      </c>
      <c r="I47" s="39" t="s">
        <v>652</v>
      </c>
      <c r="J47" s="39" t="s">
        <v>776</v>
      </c>
      <c r="K47" s="39" t="s">
        <v>654</v>
      </c>
      <c r="L47" s="39" t="s">
        <v>138</v>
      </c>
      <c r="M47" s="39" t="s">
        <v>655</v>
      </c>
      <c r="N47" s="39">
        <v>22</v>
      </c>
      <c r="O47" s="39" t="s">
        <v>70</v>
      </c>
      <c r="P47" s="39">
        <v>5</v>
      </c>
      <c r="Q47" s="39">
        <v>3</v>
      </c>
      <c r="R47" s="39">
        <v>0</v>
      </c>
      <c r="S47" s="39" t="s">
        <v>777</v>
      </c>
      <c r="T47" s="39" t="s">
        <v>71</v>
      </c>
      <c r="U47" s="39" t="s">
        <v>71</v>
      </c>
      <c r="V47" s="41" t="s">
        <v>520</v>
      </c>
      <c r="W47" s="44">
        <v>0</v>
      </c>
      <c r="X47" s="44">
        <v>22</v>
      </c>
      <c r="Y47" s="43">
        <f>IF('CRUDO MARTES'!Y47="Si",$N47,)</f>
        <v>22</v>
      </c>
      <c r="Z47" s="44">
        <v>22</v>
      </c>
      <c r="AA47" s="44">
        <v>0</v>
      </c>
      <c r="AB47" s="44">
        <v>0</v>
      </c>
      <c r="AC47" s="44">
        <v>0</v>
      </c>
      <c r="AD47" s="44">
        <v>22</v>
      </c>
      <c r="AE47" s="43">
        <f>IF('CRUDO MARTES'!AE47="Si",$N47,)</f>
        <v>22</v>
      </c>
      <c r="AF47" s="43">
        <f>IF('CRUDO MARTES'!AF47="Si",$N47,)</f>
        <v>0</v>
      </c>
      <c r="AG47" s="44">
        <v>0</v>
      </c>
      <c r="AH47" s="45">
        <f>IF('CRUDO MARTES'!AH47="Si",$N47,)</f>
        <v>22</v>
      </c>
      <c r="AI47" s="44">
        <v>0</v>
      </c>
      <c r="AJ47" s="44">
        <v>0</v>
      </c>
      <c r="AK47" s="43">
        <f>IF('CRUDO MARTES'!AK47="Si",$N47,)</f>
        <v>0</v>
      </c>
      <c r="AL47" s="44">
        <v>0</v>
      </c>
      <c r="AM47" s="44">
        <v>0</v>
      </c>
      <c r="AN47" s="43">
        <f>IF('CRUDO MARTES'!AN47="Si",$N47,)</f>
        <v>0</v>
      </c>
      <c r="AO47" s="43">
        <f>IF('CRUDO MARTES'!AO47="Si",$N47,)</f>
        <v>0</v>
      </c>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row>
    <row r="48" spans="1:88" ht="13.2" hidden="1">
      <c r="A48" s="13">
        <v>45366.487628009258</v>
      </c>
      <c r="B48" s="14" t="s">
        <v>778</v>
      </c>
      <c r="C48" s="28" t="s">
        <v>779</v>
      </c>
      <c r="D48" s="15" t="s">
        <v>780</v>
      </c>
      <c r="E48" s="14" t="s">
        <v>62</v>
      </c>
      <c r="F48" s="14" t="s">
        <v>781</v>
      </c>
      <c r="G48" s="14" t="s">
        <v>105</v>
      </c>
      <c r="H48" s="14" t="s">
        <v>782</v>
      </c>
      <c r="I48" s="14" t="s">
        <v>783</v>
      </c>
      <c r="J48" s="14" t="s">
        <v>784</v>
      </c>
      <c r="K48" s="14" t="s">
        <v>778</v>
      </c>
      <c r="L48" s="14" t="s">
        <v>89</v>
      </c>
      <c r="M48" s="14" t="s">
        <v>785</v>
      </c>
      <c r="N48" s="14">
        <v>0</v>
      </c>
      <c r="O48" s="14" t="s">
        <v>282</v>
      </c>
      <c r="P48" s="14">
        <v>5</v>
      </c>
      <c r="Q48" s="14">
        <v>4</v>
      </c>
      <c r="R48" s="14">
        <v>60</v>
      </c>
      <c r="S48" s="16"/>
      <c r="T48" s="14" t="s">
        <v>71</v>
      </c>
      <c r="U48" s="14" t="s">
        <v>72</v>
      </c>
      <c r="V48" s="15" t="s">
        <v>520</v>
      </c>
      <c r="W48" s="30">
        <f>IF('CRUDO MARTES'!W48="Si",$N48,)</f>
        <v>0</v>
      </c>
      <c r="X48" s="30">
        <f>IF('CRUDO MARTES'!X48="Si",$N48,)</f>
        <v>0</v>
      </c>
      <c r="Y48" s="30">
        <f>IF('CRUDO MARTES'!Y48="Si",$N48,)</f>
        <v>0</v>
      </c>
      <c r="Z48" s="30">
        <f>IF('CRUDO MARTES'!Z48="Si",$N48,)</f>
        <v>0</v>
      </c>
      <c r="AA48" s="30">
        <f>IF('CRUDO MARTES'!AA48="Si",$N48,)</f>
        <v>0</v>
      </c>
      <c r="AB48" s="30">
        <f>IF('CRUDO MARTES'!AB48="Si",$N48,)</f>
        <v>0</v>
      </c>
      <c r="AC48" s="30">
        <f>IF('CRUDO MARTES'!AC48="Si",$N48,)</f>
        <v>0</v>
      </c>
      <c r="AD48" s="30">
        <f>IF('CRUDO MARTES'!AD48="Si",$N48,)</f>
        <v>0</v>
      </c>
      <c r="AE48" s="30">
        <f>IF('CRUDO MARTES'!AE48="Si",$N48,)</f>
        <v>0</v>
      </c>
      <c r="AF48" s="30">
        <f>IF('CRUDO MARTES'!AF48="Si",$N48,)</f>
        <v>0</v>
      </c>
      <c r="AG48" s="30">
        <f>IF('CRUDO MARTES'!AG48="Si",$N48,)</f>
        <v>0</v>
      </c>
      <c r="AH48" s="30">
        <f>IF('CRUDO MARTES'!AH48="Si",$N48,)</f>
        <v>0</v>
      </c>
      <c r="AI48" s="30">
        <f>IF('CRUDO MARTES'!AI48="Si",$N48,)</f>
        <v>0</v>
      </c>
      <c r="AJ48" s="30">
        <f>IF('CRUDO MARTES'!AJ48="Si",$N48,)</f>
        <v>0</v>
      </c>
      <c r="AK48" s="30">
        <f>IF('CRUDO MARTES'!AK48="Si",$N48,)</f>
        <v>0</v>
      </c>
      <c r="AL48" s="30">
        <f>IF('CRUDO MARTES'!AL48="Si",$N48,)</f>
        <v>0</v>
      </c>
      <c r="AM48" s="30">
        <f>IF('CRUDO MARTES'!AM48="Si",$N48,)</f>
        <v>0</v>
      </c>
      <c r="AN48" s="30">
        <f>IF('CRUDO MARTES'!AN48="Si",$N48,)</f>
        <v>0</v>
      </c>
      <c r="AO48" s="30">
        <f>IF('CRUDO MARTES'!AO48="Si",$N48,)</f>
        <v>0</v>
      </c>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row>
    <row r="49" spans="1:88" ht="13.2">
      <c r="A49" s="38">
        <v>45366.611727268522</v>
      </c>
      <c r="B49" s="39" t="s">
        <v>786</v>
      </c>
      <c r="C49" s="40" t="s">
        <v>787</v>
      </c>
      <c r="D49" s="39">
        <v>20063700</v>
      </c>
      <c r="E49" s="39" t="s">
        <v>387</v>
      </c>
      <c r="F49" s="39" t="s">
        <v>788</v>
      </c>
      <c r="G49" s="39" t="s">
        <v>105</v>
      </c>
      <c r="H49" s="39" t="s">
        <v>789</v>
      </c>
      <c r="I49" s="39" t="s">
        <v>790</v>
      </c>
      <c r="J49" s="39" t="s">
        <v>791</v>
      </c>
      <c r="K49" s="39" t="s">
        <v>792</v>
      </c>
      <c r="L49" s="39" t="s">
        <v>89</v>
      </c>
      <c r="M49" s="39" t="s">
        <v>392</v>
      </c>
      <c r="N49" s="39">
        <v>35</v>
      </c>
      <c r="O49" s="39" t="s">
        <v>70</v>
      </c>
      <c r="P49" s="39">
        <v>4</v>
      </c>
      <c r="Q49" s="39">
        <v>4</v>
      </c>
      <c r="R49" s="39">
        <v>70</v>
      </c>
      <c r="S49" s="39" t="s">
        <v>793</v>
      </c>
      <c r="T49" s="39" t="s">
        <v>71</v>
      </c>
      <c r="U49" s="39" t="s">
        <v>72</v>
      </c>
      <c r="V49" s="41" t="s">
        <v>520</v>
      </c>
      <c r="W49" s="43">
        <f>IF('CRUDO MARTES'!W49="Si",$N49,)</f>
        <v>35</v>
      </c>
      <c r="X49" s="44">
        <v>35</v>
      </c>
      <c r="Y49" s="43">
        <f>IF('CRUDO MARTES'!Y49="Si",$N49,)</f>
        <v>0</v>
      </c>
      <c r="Z49" s="43">
        <f>IF('CRUDO MARTES'!Z49="Si",$N49,)</f>
        <v>0</v>
      </c>
      <c r="AA49" s="43">
        <f>IF('CRUDO MARTES'!AA49="Si",$N49,)</f>
        <v>0</v>
      </c>
      <c r="AB49" s="44">
        <v>0</v>
      </c>
      <c r="AC49" s="44">
        <v>35</v>
      </c>
      <c r="AD49" s="43">
        <f>IF('CRUDO MARTES'!AD49="Si",$N49,)</f>
        <v>0</v>
      </c>
      <c r="AE49" s="43">
        <f>IF('CRUDO MARTES'!AE49="Si",$N49,)</f>
        <v>0</v>
      </c>
      <c r="AF49" s="43">
        <f>IF('CRUDO MARTES'!AF49="Si",$N49,)</f>
        <v>0</v>
      </c>
      <c r="AG49" s="43">
        <f>IF('CRUDO MARTES'!AG49="Si",$N49,)</f>
        <v>0</v>
      </c>
      <c r="AH49" s="43">
        <f>IF('CRUDO MARTES'!AH49="Si",$N49,)</f>
        <v>0</v>
      </c>
      <c r="AI49" s="45">
        <f>IF('CRUDO MARTES'!AI49="Si",$N49,)</f>
        <v>35</v>
      </c>
      <c r="AJ49" s="43">
        <f>IF('CRUDO MARTES'!AJ49="Si",$N49,)</f>
        <v>0</v>
      </c>
      <c r="AK49" s="43">
        <f>IF('CRUDO MARTES'!AK49="Si",$N49,)</f>
        <v>0</v>
      </c>
      <c r="AL49" s="43">
        <f>IF('CRUDO MARTES'!AL49="Si",$N49,)</f>
        <v>0</v>
      </c>
      <c r="AM49" s="43">
        <f>IF('CRUDO MARTES'!AM49="Si",$N49,)</f>
        <v>0</v>
      </c>
      <c r="AN49" s="43">
        <f>IF('CRUDO MARTES'!AN49="Si",$N49,)</f>
        <v>0</v>
      </c>
      <c r="AO49" s="43">
        <f>IF('CRUDO MARTES'!AO49="Si",$N49,)</f>
        <v>0</v>
      </c>
      <c r="AP49" s="39" t="s">
        <v>794</v>
      </c>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c r="CG49" s="39"/>
      <c r="CH49" s="39"/>
      <c r="CI49" s="39"/>
      <c r="CJ49" s="39"/>
    </row>
    <row r="50" spans="1:88" ht="13.2">
      <c r="A50" s="38">
        <v>45366.64229427083</v>
      </c>
      <c r="B50" s="39" t="s">
        <v>795</v>
      </c>
      <c r="C50" s="40" t="s">
        <v>796</v>
      </c>
      <c r="D50" s="39">
        <v>20063700</v>
      </c>
      <c r="E50" s="39" t="s">
        <v>387</v>
      </c>
      <c r="F50" s="39" t="s">
        <v>797</v>
      </c>
      <c r="G50" s="39" t="s">
        <v>105</v>
      </c>
      <c r="H50" s="39" t="s">
        <v>798</v>
      </c>
      <c r="I50" s="39" t="s">
        <v>799</v>
      </c>
      <c r="J50" s="39" t="s">
        <v>800</v>
      </c>
      <c r="K50" s="39" t="s">
        <v>795</v>
      </c>
      <c r="L50" s="39" t="s">
        <v>89</v>
      </c>
      <c r="M50" s="39" t="s">
        <v>392</v>
      </c>
      <c r="N50" s="39">
        <v>35</v>
      </c>
      <c r="O50" s="39" t="s">
        <v>70</v>
      </c>
      <c r="P50" s="39">
        <v>5</v>
      </c>
      <c r="Q50" s="39">
        <v>4</v>
      </c>
      <c r="R50" s="39">
        <v>80</v>
      </c>
      <c r="S50" s="39" t="s">
        <v>801</v>
      </c>
      <c r="T50" s="39" t="s">
        <v>72</v>
      </c>
      <c r="U50" s="39" t="s">
        <v>71</v>
      </c>
      <c r="V50" s="41" t="s">
        <v>520</v>
      </c>
      <c r="W50" s="43">
        <f>IF('CRUDO MARTES'!W50="Si",$N50,)</f>
        <v>0</v>
      </c>
      <c r="X50" s="43">
        <f>IF('CRUDO MARTES'!X50="Si",$N50,)</f>
        <v>0</v>
      </c>
      <c r="Y50" s="43">
        <f>IF('CRUDO MARTES'!Y50="Si",$N50,)</f>
        <v>0</v>
      </c>
      <c r="Z50" s="43">
        <f>IF('CRUDO MARTES'!Z50="Si",$N50,)</f>
        <v>35</v>
      </c>
      <c r="AA50" s="43">
        <f>IF('CRUDO MARTES'!AA50="Si",$N50,)</f>
        <v>0</v>
      </c>
      <c r="AB50" s="43">
        <f>IF('CRUDO MARTES'!AB50="Si",$N50,)</f>
        <v>0</v>
      </c>
      <c r="AC50" s="43">
        <f>IF('CRUDO MARTES'!AC50="Si",$N50,)</f>
        <v>0</v>
      </c>
      <c r="AD50" s="43">
        <f>IF('CRUDO MARTES'!AD50="Si",$N50,)</f>
        <v>0</v>
      </c>
      <c r="AE50" s="44">
        <v>35</v>
      </c>
      <c r="AF50" s="44">
        <v>0</v>
      </c>
      <c r="AG50" s="43">
        <f>IF('CRUDO MARTES'!AG50="Si",$N50,)</f>
        <v>0</v>
      </c>
      <c r="AH50" s="43">
        <f>IF('CRUDO MARTES'!AH50="Si",$N50,)</f>
        <v>0</v>
      </c>
      <c r="AI50" s="43">
        <f>IF('CRUDO MARTES'!AI50="Si",$N50,)</f>
        <v>0</v>
      </c>
      <c r="AJ50" s="43">
        <f>IF('CRUDO MARTES'!AJ50="Si",$N50,)</f>
        <v>0</v>
      </c>
      <c r="AK50" s="43">
        <f>IF('CRUDO MARTES'!AK50="Si",$N50,)</f>
        <v>0</v>
      </c>
      <c r="AL50" s="43">
        <f>IF('CRUDO MARTES'!AL50="Si",$N50,)</f>
        <v>0</v>
      </c>
      <c r="AM50" s="43">
        <f>IF('CRUDO MARTES'!AM50="Si",$N50,)</f>
        <v>0</v>
      </c>
      <c r="AN50" s="43">
        <f>IF('CRUDO MARTES'!AN50="Si",$N50,)</f>
        <v>0</v>
      </c>
      <c r="AO50" s="44">
        <v>0</v>
      </c>
      <c r="AP50" s="39" t="s">
        <v>802</v>
      </c>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row>
    <row r="51" spans="1:88" ht="13.2">
      <c r="A51" s="38">
        <v>45366.64803232639</v>
      </c>
      <c r="B51" s="39" t="s">
        <v>795</v>
      </c>
      <c r="C51" s="40" t="s">
        <v>803</v>
      </c>
      <c r="D51" s="39">
        <v>20063700</v>
      </c>
      <c r="E51" s="39" t="s">
        <v>387</v>
      </c>
      <c r="F51" s="39" t="s">
        <v>804</v>
      </c>
      <c r="G51" s="39" t="s">
        <v>105</v>
      </c>
      <c r="H51" s="39" t="s">
        <v>805</v>
      </c>
      <c r="I51" s="39" t="s">
        <v>798</v>
      </c>
      <c r="J51" s="39" t="s">
        <v>800</v>
      </c>
      <c r="K51" s="39" t="s">
        <v>795</v>
      </c>
      <c r="L51" s="39" t="s">
        <v>89</v>
      </c>
      <c r="M51" s="39" t="s">
        <v>392</v>
      </c>
      <c r="N51" s="39">
        <v>35</v>
      </c>
      <c r="O51" s="39" t="s">
        <v>70</v>
      </c>
      <c r="P51" s="39">
        <v>5</v>
      </c>
      <c r="Q51" s="39">
        <v>4</v>
      </c>
      <c r="R51" s="39">
        <v>80</v>
      </c>
      <c r="S51" s="39" t="s">
        <v>806</v>
      </c>
      <c r="T51" s="39" t="s">
        <v>72</v>
      </c>
      <c r="U51" s="39" t="s">
        <v>71</v>
      </c>
      <c r="V51" s="41" t="s">
        <v>520</v>
      </c>
      <c r="W51" s="43">
        <f>IF('CRUDO MARTES'!W51="Si",$N51,)</f>
        <v>0</v>
      </c>
      <c r="X51" s="43">
        <f>IF('CRUDO MARTES'!X51="Si",$N51,)</f>
        <v>0</v>
      </c>
      <c r="Y51" s="43">
        <f>IF('CRUDO MARTES'!Y51="Si",$N51,)</f>
        <v>0</v>
      </c>
      <c r="Z51" s="43">
        <f>IF('CRUDO MARTES'!Z51="Si",$N51,)</f>
        <v>35</v>
      </c>
      <c r="AA51" s="43">
        <f>IF('CRUDO MARTES'!AA51="Si",$N51,)</f>
        <v>0</v>
      </c>
      <c r="AB51" s="43">
        <f>IF('CRUDO MARTES'!AB51="Si",$N51,)</f>
        <v>0</v>
      </c>
      <c r="AC51" s="43">
        <f>IF('CRUDO MARTES'!AC51="Si",$N51,)</f>
        <v>0</v>
      </c>
      <c r="AD51" s="43">
        <f>IF('CRUDO MARTES'!AD51="Si",$N51,)</f>
        <v>0</v>
      </c>
      <c r="AE51" s="44">
        <v>35</v>
      </c>
      <c r="AF51" s="44">
        <v>0</v>
      </c>
      <c r="AG51" s="43">
        <f>IF('CRUDO MARTES'!AG51="Si",$N51,)</f>
        <v>0</v>
      </c>
      <c r="AH51" s="43">
        <f>IF('CRUDO MARTES'!AH51="Si",$N51,)</f>
        <v>0</v>
      </c>
      <c r="AI51" s="43">
        <f>IF('CRUDO MARTES'!AI51="Si",$N51,)</f>
        <v>0</v>
      </c>
      <c r="AJ51" s="43">
        <f>IF('CRUDO MARTES'!AJ51="Si",$N51,)</f>
        <v>0</v>
      </c>
      <c r="AK51" s="44">
        <v>0</v>
      </c>
      <c r="AL51" s="43">
        <f>IF('CRUDO MARTES'!AL51="Si",$N51,)</f>
        <v>0</v>
      </c>
      <c r="AM51" s="43">
        <f>IF('CRUDO MARTES'!AM51="Si",$N51,)</f>
        <v>0</v>
      </c>
      <c r="AN51" s="43">
        <f>IF('CRUDO MARTES'!AN51="Si",$N51,)</f>
        <v>0</v>
      </c>
      <c r="AO51" s="44">
        <v>0</v>
      </c>
      <c r="AP51" s="39" t="s">
        <v>807</v>
      </c>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c r="CG51" s="39"/>
      <c r="CH51" s="39"/>
      <c r="CI51" s="39"/>
      <c r="CJ51" s="39"/>
    </row>
    <row r="52" spans="1:88" ht="26.4" hidden="1">
      <c r="A52" s="13">
        <v>45367.535389722223</v>
      </c>
      <c r="B52" s="14" t="s">
        <v>808</v>
      </c>
      <c r="C52" s="28" t="s">
        <v>421</v>
      </c>
      <c r="D52" s="14">
        <v>20116900</v>
      </c>
      <c r="E52" s="14" t="s">
        <v>286</v>
      </c>
      <c r="F52" s="14" t="s">
        <v>810</v>
      </c>
      <c r="G52" s="14" t="s">
        <v>105</v>
      </c>
      <c r="H52" s="14" t="s">
        <v>811</v>
      </c>
      <c r="I52" s="14" t="s">
        <v>812</v>
      </c>
      <c r="J52" s="14" t="s">
        <v>809</v>
      </c>
      <c r="K52" s="14" t="s">
        <v>808</v>
      </c>
      <c r="L52" s="14" t="s">
        <v>89</v>
      </c>
      <c r="M52" s="14" t="s">
        <v>425</v>
      </c>
      <c r="N52" s="14">
        <v>0</v>
      </c>
      <c r="O52" s="14" t="s">
        <v>282</v>
      </c>
      <c r="P52" s="14">
        <v>5</v>
      </c>
      <c r="Q52" s="14">
        <v>4</v>
      </c>
      <c r="R52" s="14">
        <v>50</v>
      </c>
      <c r="S52" s="16"/>
      <c r="T52" s="14" t="s">
        <v>72</v>
      </c>
      <c r="U52" s="14" t="s">
        <v>71</v>
      </c>
      <c r="V52" s="15" t="s">
        <v>520</v>
      </c>
      <c r="W52" s="30">
        <f>IF('CRUDO MARTES'!W52="Si",$N52,)</f>
        <v>0</v>
      </c>
      <c r="X52" s="30">
        <f>IF('CRUDO MARTES'!X52="Si",$N52,)</f>
        <v>0</v>
      </c>
      <c r="Y52" s="30">
        <f>IF('CRUDO MARTES'!Y52="Si",$N52,)</f>
        <v>0</v>
      </c>
      <c r="Z52" s="30">
        <f>IF('CRUDO MARTES'!Z52="Si",$N52,)</f>
        <v>0</v>
      </c>
      <c r="AA52" s="30">
        <f>IF('CRUDO MARTES'!AA52="Si",$N52,)</f>
        <v>0</v>
      </c>
      <c r="AB52" s="30">
        <f>IF('CRUDO MARTES'!AB52="Si",$N52,)</f>
        <v>0</v>
      </c>
      <c r="AC52" s="30">
        <f>IF('CRUDO MARTES'!AC52="Si",$N52,)</f>
        <v>0</v>
      </c>
      <c r="AD52" s="30">
        <f>IF('CRUDO MARTES'!AD52="Si",$N52,)</f>
        <v>0</v>
      </c>
      <c r="AE52" s="29">
        <v>0</v>
      </c>
      <c r="AF52" s="30">
        <f>IF('CRUDO MARTES'!AF52="Si",$N52,)</f>
        <v>0</v>
      </c>
      <c r="AG52" s="30">
        <f>IF('CRUDO MARTES'!AG52="Si",$N52,)</f>
        <v>0</v>
      </c>
      <c r="AH52" s="30">
        <f>IF('CRUDO MARTES'!AH52="Si",$N52,)</f>
        <v>0</v>
      </c>
      <c r="AI52" s="30">
        <f>IF('CRUDO MARTES'!AI52="Si",$N52,)</f>
        <v>0</v>
      </c>
      <c r="AJ52" s="29">
        <v>0</v>
      </c>
      <c r="AK52" s="29">
        <v>0</v>
      </c>
      <c r="AL52" s="30">
        <f>IF('CRUDO MARTES'!AL52="Si",$N52,)</f>
        <v>0</v>
      </c>
      <c r="AM52" s="30">
        <f>IF('CRUDO MARTES'!AM52="Si",$N52,)</f>
        <v>0</v>
      </c>
      <c r="AN52" s="29">
        <v>0</v>
      </c>
      <c r="AO52" s="29">
        <v>0</v>
      </c>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row>
    <row r="53" spans="1:88" ht="13.2" hidden="1">
      <c r="A53" s="13">
        <v>45367.586076747684</v>
      </c>
      <c r="B53" s="14" t="s">
        <v>813</v>
      </c>
      <c r="C53" s="28" t="s">
        <v>814</v>
      </c>
      <c r="D53" s="14">
        <v>30640241698</v>
      </c>
      <c r="E53" s="14" t="s">
        <v>815</v>
      </c>
      <c r="F53" s="14" t="s">
        <v>676</v>
      </c>
      <c r="G53" s="14" t="s">
        <v>64</v>
      </c>
      <c r="H53" s="14" t="s">
        <v>816</v>
      </c>
      <c r="I53" s="14" t="s">
        <v>817</v>
      </c>
      <c r="J53" s="16"/>
      <c r="K53" s="14" t="s">
        <v>818</v>
      </c>
      <c r="L53" s="14" t="s">
        <v>89</v>
      </c>
      <c r="M53" s="14" t="s">
        <v>819</v>
      </c>
      <c r="N53" s="14">
        <v>0</v>
      </c>
      <c r="O53" s="14" t="s">
        <v>70</v>
      </c>
      <c r="P53" s="14">
        <v>4</v>
      </c>
      <c r="Q53" s="14">
        <v>3</v>
      </c>
      <c r="R53" s="14">
        <v>70</v>
      </c>
      <c r="S53" s="16"/>
      <c r="T53" s="14" t="s">
        <v>72</v>
      </c>
      <c r="U53" s="14" t="s">
        <v>71</v>
      </c>
      <c r="V53" s="15" t="s">
        <v>520</v>
      </c>
      <c r="W53" s="30">
        <f>IF('CRUDO MARTES'!W53="Si",$N53,)</f>
        <v>0</v>
      </c>
      <c r="X53" s="30">
        <f>IF('CRUDO MARTES'!X53="Si",$N53,)</f>
        <v>0</v>
      </c>
      <c r="Y53" s="30">
        <f>IF('CRUDO MARTES'!Y53="Si",$N53,)</f>
        <v>0</v>
      </c>
      <c r="Z53" s="30">
        <f>IF('CRUDO MARTES'!Z53="Si",$N53,)</f>
        <v>0</v>
      </c>
      <c r="AA53" s="30">
        <f>IF('CRUDO MARTES'!AA53="Si",$N53,)</f>
        <v>0</v>
      </c>
      <c r="AB53" s="30">
        <f>IF('CRUDO MARTES'!AB53="Si",$N53,)</f>
        <v>0</v>
      </c>
      <c r="AC53" s="30">
        <f>IF('CRUDO MARTES'!AC53="Si",$N53,)</f>
        <v>0</v>
      </c>
      <c r="AD53" s="29">
        <v>20</v>
      </c>
      <c r="AE53" s="29">
        <v>0</v>
      </c>
      <c r="AF53" s="29">
        <v>0</v>
      </c>
      <c r="AG53" s="30">
        <f>IF('CRUDO MARTES'!AG53="Si",$N53,)</f>
        <v>0</v>
      </c>
      <c r="AH53" s="30">
        <f>IF('CRUDO MARTES'!AH53="Si",$N53,)</f>
        <v>0</v>
      </c>
      <c r="AI53" s="30">
        <f>IF('CRUDO MARTES'!AI53="Si",$N53,)</f>
        <v>0</v>
      </c>
      <c r="AJ53" s="29">
        <v>0</v>
      </c>
      <c r="AK53" s="29">
        <v>0</v>
      </c>
      <c r="AL53" s="30">
        <f>IF('CRUDO MARTES'!AL53="Si",$N53,)</f>
        <v>0</v>
      </c>
      <c r="AM53" s="30">
        <f>IF('CRUDO MARTES'!AM53="Si",$N53,)</f>
        <v>0</v>
      </c>
      <c r="AN53" s="29">
        <v>0</v>
      </c>
      <c r="AO53" s="31">
        <f>IF('CRUDO MARTES'!AO53="Si",$N53,)</f>
        <v>0</v>
      </c>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row>
    <row r="54" spans="1:88" ht="13.2" hidden="1">
      <c r="A54" s="21">
        <v>45367.586436516205</v>
      </c>
      <c r="B54" s="22" t="s">
        <v>820</v>
      </c>
      <c r="C54" s="22" t="s">
        <v>821</v>
      </c>
      <c r="D54" s="22">
        <v>605413</v>
      </c>
      <c r="E54" s="22" t="s">
        <v>84</v>
      </c>
      <c r="F54" s="22" t="s">
        <v>249</v>
      </c>
      <c r="G54" s="22" t="s">
        <v>64</v>
      </c>
      <c r="H54" s="22" t="s">
        <v>822</v>
      </c>
      <c r="I54" s="22" t="s">
        <v>823</v>
      </c>
      <c r="J54" s="22" t="s">
        <v>824</v>
      </c>
      <c r="K54" s="22" t="s">
        <v>820</v>
      </c>
      <c r="L54" s="22" t="s">
        <v>68</v>
      </c>
      <c r="M54" s="22" t="s">
        <v>825</v>
      </c>
      <c r="N54" s="22">
        <v>0</v>
      </c>
      <c r="O54" s="22" t="s">
        <v>148</v>
      </c>
      <c r="P54" s="22">
        <v>2</v>
      </c>
      <c r="Q54" s="22">
        <v>2</v>
      </c>
      <c r="R54" s="22">
        <v>10</v>
      </c>
      <c r="S54" s="22" t="s">
        <v>826</v>
      </c>
      <c r="T54" s="22" t="s">
        <v>71</v>
      </c>
      <c r="U54" s="22" t="s">
        <v>72</v>
      </c>
      <c r="V54" s="24" t="s">
        <v>520</v>
      </c>
      <c r="W54" s="26">
        <f>IF('CRUDO MARTES'!W54="Si",$N54,)</f>
        <v>0</v>
      </c>
      <c r="X54" s="26">
        <f>IF('CRUDO MARTES'!X54="Si",$N54,)</f>
        <v>0</v>
      </c>
      <c r="Y54" s="26">
        <f>IF('CRUDO MARTES'!Y54="Si",$N54,)</f>
        <v>0</v>
      </c>
      <c r="Z54" s="26">
        <f>IF('CRUDO MARTES'!Z54="Si",$N54,)</f>
        <v>0</v>
      </c>
      <c r="AA54" s="26">
        <f>IF('CRUDO MARTES'!AA54="Si",$N54,)</f>
        <v>0</v>
      </c>
      <c r="AB54" s="26">
        <f>IF('CRUDO MARTES'!AB54="Si",$N54,)</f>
        <v>0</v>
      </c>
      <c r="AC54" s="26">
        <f>IF('CRUDO MARTES'!AC54="Si",$N54,)</f>
        <v>0</v>
      </c>
      <c r="AD54" s="26">
        <f>IF('CRUDO MARTES'!AD54="Si",$N54,)</f>
        <v>0</v>
      </c>
      <c r="AE54" s="26">
        <f>IF('CRUDO MARTES'!AE54="Si",$N54,)</f>
        <v>0</v>
      </c>
      <c r="AF54" s="26">
        <f>IF('CRUDO MARTES'!AF54="Si",$N54,)</f>
        <v>0</v>
      </c>
      <c r="AG54" s="26">
        <f>IF('CRUDO MARTES'!AG54="Si",$N54,)</f>
        <v>0</v>
      </c>
      <c r="AH54" s="26">
        <f>IF('CRUDO MARTES'!AH54="Si",$N54,)</f>
        <v>0</v>
      </c>
      <c r="AI54" s="26">
        <f>IF('CRUDO MARTES'!AI54="Si",$N54,)</f>
        <v>0</v>
      </c>
      <c r="AJ54" s="26">
        <f>IF('CRUDO MARTES'!AJ54="Si",$N54,)</f>
        <v>0</v>
      </c>
      <c r="AK54" s="26">
        <f>IF('CRUDO MARTES'!AK54="Si",$N54,)</f>
        <v>0</v>
      </c>
      <c r="AL54" s="26">
        <f>IF('CRUDO MARTES'!AL54="Si",$N54,)</f>
        <v>0</v>
      </c>
      <c r="AM54" s="26">
        <f>IF('CRUDO MARTES'!AM54="Si",$N54,)</f>
        <v>0</v>
      </c>
      <c r="AN54" s="26">
        <f>IF('CRUDO MARTES'!AN54="Si",$N54,)</f>
        <v>0</v>
      </c>
      <c r="AO54" s="26">
        <f>IF('CRUDO MARTES'!AO54="Si",$N54,)</f>
        <v>0</v>
      </c>
      <c r="AP54" s="22" t="s">
        <v>827</v>
      </c>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row>
    <row r="55" spans="1:88" ht="13.2" hidden="1">
      <c r="A55" s="21">
        <v>45367.590295416667</v>
      </c>
      <c r="B55" s="22" t="s">
        <v>820</v>
      </c>
      <c r="C55" s="22" t="s">
        <v>828</v>
      </c>
      <c r="D55" s="22">
        <v>605413</v>
      </c>
      <c r="E55" s="22" t="s">
        <v>506</v>
      </c>
      <c r="F55" s="22" t="s">
        <v>630</v>
      </c>
      <c r="G55" s="22" t="s">
        <v>64</v>
      </c>
      <c r="H55" s="22" t="s">
        <v>822</v>
      </c>
      <c r="I55" s="22" t="s">
        <v>823</v>
      </c>
      <c r="J55" s="22" t="s">
        <v>824</v>
      </c>
      <c r="K55" s="22" t="s">
        <v>820</v>
      </c>
      <c r="L55" s="22" t="s">
        <v>68</v>
      </c>
      <c r="M55" s="22" t="s">
        <v>825</v>
      </c>
      <c r="N55" s="22">
        <v>0</v>
      </c>
      <c r="O55" s="22" t="s">
        <v>148</v>
      </c>
      <c r="P55" s="22">
        <v>2</v>
      </c>
      <c r="Q55" s="22">
        <v>2</v>
      </c>
      <c r="R55" s="22">
        <v>10</v>
      </c>
      <c r="S55" s="22" t="s">
        <v>829</v>
      </c>
      <c r="T55" s="22" t="s">
        <v>71</v>
      </c>
      <c r="U55" s="22" t="s">
        <v>72</v>
      </c>
      <c r="V55" s="24" t="s">
        <v>520</v>
      </c>
      <c r="W55" s="26">
        <f>IF('CRUDO MARTES'!W55="Si",$N55,)</f>
        <v>0</v>
      </c>
      <c r="X55" s="26">
        <f>IF('CRUDO MARTES'!X55="Si",$N55,)</f>
        <v>0</v>
      </c>
      <c r="Y55" s="26">
        <f>IF('CRUDO MARTES'!Y55="Si",$N55,)</f>
        <v>0</v>
      </c>
      <c r="Z55" s="26">
        <f>IF('CRUDO MARTES'!Z55="Si",$N55,)</f>
        <v>0</v>
      </c>
      <c r="AA55" s="26">
        <f>IF('CRUDO MARTES'!AA55="Si",$N55,)</f>
        <v>0</v>
      </c>
      <c r="AB55" s="26">
        <f>IF('CRUDO MARTES'!AB55="Si",$N55,)</f>
        <v>0</v>
      </c>
      <c r="AC55" s="26">
        <f>IF('CRUDO MARTES'!AC55="Si",$N55,)</f>
        <v>0</v>
      </c>
      <c r="AD55" s="26">
        <f>IF('CRUDO MARTES'!AD55="Si",$N55,)</f>
        <v>0</v>
      </c>
      <c r="AE55" s="26">
        <f>IF('CRUDO MARTES'!AE55="Si",$N55,)</f>
        <v>0</v>
      </c>
      <c r="AF55" s="26">
        <f>IF('CRUDO MARTES'!AF55="Si",$N55,)</f>
        <v>0</v>
      </c>
      <c r="AG55" s="26">
        <f>IF('CRUDO MARTES'!AG55="Si",$N55,)</f>
        <v>0</v>
      </c>
      <c r="AH55" s="26">
        <f>IF('CRUDO MARTES'!AH55="Si",$N55,)</f>
        <v>0</v>
      </c>
      <c r="AI55" s="26">
        <f>IF('CRUDO MARTES'!AI55="Si",$N55,)</f>
        <v>0</v>
      </c>
      <c r="AJ55" s="26">
        <f>IF('CRUDO MARTES'!AJ55="Si",$N55,)</f>
        <v>0</v>
      </c>
      <c r="AK55" s="26">
        <f>IF('CRUDO MARTES'!AK55="Si",$N55,)</f>
        <v>0</v>
      </c>
      <c r="AL55" s="26">
        <f>IF('CRUDO MARTES'!AL55="Si",$N55,)</f>
        <v>0</v>
      </c>
      <c r="AM55" s="26">
        <f>IF('CRUDO MARTES'!AM55="Si",$N55,)</f>
        <v>0</v>
      </c>
      <c r="AN55" s="26">
        <f>IF('CRUDO MARTES'!AN55="Si",$N55,)</f>
        <v>0</v>
      </c>
      <c r="AO55" s="26">
        <f>IF('CRUDO MARTES'!AO55="Si",$N55,)</f>
        <v>0</v>
      </c>
      <c r="AP55" s="22" t="s">
        <v>827</v>
      </c>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row>
    <row r="56" spans="1:88" ht="13.2">
      <c r="A56" s="38">
        <v>45368.450414085644</v>
      </c>
      <c r="B56" s="39" t="s">
        <v>830</v>
      </c>
      <c r="C56" s="40" t="s">
        <v>496</v>
      </c>
      <c r="D56" s="41" t="s">
        <v>831</v>
      </c>
      <c r="E56" s="39" t="s">
        <v>276</v>
      </c>
      <c r="F56" s="39" t="s">
        <v>832</v>
      </c>
      <c r="G56" s="39" t="s">
        <v>64</v>
      </c>
      <c r="H56" s="39" t="s">
        <v>833</v>
      </c>
      <c r="I56" s="39" t="s">
        <v>834</v>
      </c>
      <c r="J56" s="39" t="s">
        <v>835</v>
      </c>
      <c r="K56" s="39" t="s">
        <v>830</v>
      </c>
      <c r="L56" s="39" t="s">
        <v>89</v>
      </c>
      <c r="M56" s="39" t="s">
        <v>217</v>
      </c>
      <c r="N56" s="39">
        <v>35</v>
      </c>
      <c r="O56" s="39" t="s">
        <v>70</v>
      </c>
      <c r="P56" s="39">
        <v>5</v>
      </c>
      <c r="Q56" s="39">
        <v>5</v>
      </c>
      <c r="R56" s="39">
        <v>30</v>
      </c>
      <c r="S56" s="42"/>
      <c r="T56" s="39" t="s">
        <v>71</v>
      </c>
      <c r="U56" s="39" t="s">
        <v>72</v>
      </c>
      <c r="V56" s="41" t="s">
        <v>520</v>
      </c>
      <c r="W56" s="44">
        <v>0</v>
      </c>
      <c r="X56" s="43">
        <f>IF('CRUDO MARTES'!X56="Si",$N56,)</f>
        <v>35</v>
      </c>
      <c r="Y56" s="43">
        <f>IF('CRUDO MARTES'!Y56="Si",$N56,)</f>
        <v>35</v>
      </c>
      <c r="Z56" s="43">
        <f>IF('CRUDO MARTES'!Z56="Si",$N56,)</f>
        <v>0</v>
      </c>
      <c r="AA56" s="44">
        <v>0</v>
      </c>
      <c r="AB56" s="44">
        <v>0</v>
      </c>
      <c r="AC56" s="44">
        <v>35</v>
      </c>
      <c r="AD56" s="43">
        <f>IF('CRUDO MARTES'!AD56="Si",$N56,)</f>
        <v>0</v>
      </c>
      <c r="AE56" s="43">
        <f>IF('CRUDO MARTES'!AE56="Si",$N56,)</f>
        <v>0</v>
      </c>
      <c r="AF56" s="43">
        <f>IF('CRUDO MARTES'!AF56="Si",$N56,)</f>
        <v>0</v>
      </c>
      <c r="AG56" s="44">
        <v>0</v>
      </c>
      <c r="AH56" s="44">
        <v>0</v>
      </c>
      <c r="AI56" s="44">
        <v>0</v>
      </c>
      <c r="AJ56" s="43">
        <f>IF('CRUDO MARTES'!AJ56="Si",$N56,)</f>
        <v>0</v>
      </c>
      <c r="AK56" s="43">
        <f>IF('CRUDO MARTES'!AK56="Si",$N56,)</f>
        <v>0</v>
      </c>
      <c r="AL56" s="44">
        <v>0</v>
      </c>
      <c r="AM56" s="44">
        <v>0</v>
      </c>
      <c r="AN56" s="43">
        <f>IF('CRUDO MARTES'!AN56="Si",$N56,)</f>
        <v>0</v>
      </c>
      <c r="AO56" s="43">
        <f>IF('CRUDO MARTES'!AO56="Si",$N56,)</f>
        <v>0</v>
      </c>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c r="BR56" s="42"/>
      <c r="BS56" s="42"/>
      <c r="BT56" s="42"/>
      <c r="BU56" s="42"/>
      <c r="BV56" s="42"/>
      <c r="BW56" s="42"/>
      <c r="BX56" s="42"/>
      <c r="BY56" s="42"/>
      <c r="BZ56" s="42"/>
      <c r="CA56" s="42"/>
      <c r="CB56" s="42"/>
      <c r="CC56" s="42"/>
      <c r="CD56" s="42"/>
      <c r="CE56" s="42"/>
      <c r="CF56" s="42"/>
      <c r="CG56" s="42"/>
      <c r="CH56" s="42"/>
      <c r="CI56" s="42"/>
      <c r="CJ56" s="42"/>
    </row>
    <row r="57" spans="1:88" ht="26.4" hidden="1">
      <c r="A57" s="13">
        <v>45368.466132592592</v>
      </c>
      <c r="B57" s="14" t="s">
        <v>830</v>
      </c>
      <c r="C57" s="28" t="s">
        <v>836</v>
      </c>
      <c r="D57" s="14">
        <v>20036400</v>
      </c>
      <c r="E57" s="14" t="s">
        <v>133</v>
      </c>
      <c r="F57" s="14" t="s">
        <v>837</v>
      </c>
      <c r="G57" s="14" t="s">
        <v>105</v>
      </c>
      <c r="H57" s="14" t="s">
        <v>833</v>
      </c>
      <c r="I57" s="14" t="s">
        <v>838</v>
      </c>
      <c r="J57" s="14" t="s">
        <v>839</v>
      </c>
      <c r="K57" s="14" t="s">
        <v>830</v>
      </c>
      <c r="L57" s="14" t="s">
        <v>89</v>
      </c>
      <c r="M57" s="14" t="s">
        <v>840</v>
      </c>
      <c r="N57" s="14">
        <v>0</v>
      </c>
      <c r="O57" s="14" t="s">
        <v>70</v>
      </c>
      <c r="P57" s="14">
        <v>5</v>
      </c>
      <c r="Q57" s="14">
        <v>4</v>
      </c>
      <c r="R57" s="14">
        <v>80</v>
      </c>
      <c r="S57" s="14" t="s">
        <v>841</v>
      </c>
      <c r="T57" s="14" t="s">
        <v>72</v>
      </c>
      <c r="U57" s="14" t="s">
        <v>71</v>
      </c>
      <c r="V57" s="15" t="s">
        <v>520</v>
      </c>
      <c r="W57" s="30">
        <f>IF('CRUDO MARTES'!W57="Si",$N57,)</f>
        <v>0</v>
      </c>
      <c r="X57" s="30">
        <f>IF('CRUDO MARTES'!X57="Si",$N57,)</f>
        <v>0</v>
      </c>
      <c r="Y57" s="30">
        <f>IF('CRUDO MARTES'!Y57="Si",$N57,)</f>
        <v>0</v>
      </c>
      <c r="Z57" s="30">
        <f>IF('CRUDO MARTES'!Z57="Si",$N57,)</f>
        <v>0</v>
      </c>
      <c r="AA57" s="30">
        <f>IF('CRUDO MARTES'!AA57="Si",$N57,)</f>
        <v>0</v>
      </c>
      <c r="AB57" s="30">
        <f>IF('CRUDO MARTES'!AB57="Si",$N57,)</f>
        <v>0</v>
      </c>
      <c r="AC57" s="30">
        <f>IF('CRUDO MARTES'!AC57="Si",$N57,)</f>
        <v>0</v>
      </c>
      <c r="AD57" s="30">
        <f>IF('CRUDO MARTES'!AD57="Si",$N57,)</f>
        <v>0</v>
      </c>
      <c r="AE57" s="29">
        <v>0</v>
      </c>
      <c r="AF57" s="29">
        <v>0</v>
      </c>
      <c r="AG57" s="30">
        <f>IF('CRUDO MARTES'!AG57="Si",$N57,)</f>
        <v>0</v>
      </c>
      <c r="AH57" s="30">
        <f>IF('CRUDO MARTES'!AH57="Si",$N57,)</f>
        <v>0</v>
      </c>
      <c r="AI57" s="30">
        <f>IF('CRUDO MARTES'!AI57="Si",$N57,)</f>
        <v>0</v>
      </c>
      <c r="AJ57" s="29">
        <v>0</v>
      </c>
      <c r="AK57" s="29">
        <v>0</v>
      </c>
      <c r="AL57" s="30">
        <f>IF('CRUDO MARTES'!AL57="Si",$N57,)</f>
        <v>0</v>
      </c>
      <c r="AM57" s="30">
        <f>IF('CRUDO MARTES'!AM57="Si",$N57,)</f>
        <v>0</v>
      </c>
      <c r="AN57" s="29">
        <v>0</v>
      </c>
      <c r="AO57" s="31">
        <f>IF('CRUDO MARTES'!AO57="Si",$N57,)</f>
        <v>0</v>
      </c>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row>
    <row r="58" spans="1:88" ht="13.2" hidden="1">
      <c r="A58" s="13">
        <v>45368.6555041088</v>
      </c>
      <c r="B58" s="14" t="s">
        <v>842</v>
      </c>
      <c r="C58" s="28" t="s">
        <v>843</v>
      </c>
      <c r="D58" s="14">
        <v>20097800</v>
      </c>
      <c r="E58" s="14" t="s">
        <v>133</v>
      </c>
      <c r="F58" s="14" t="s">
        <v>844</v>
      </c>
      <c r="G58" s="14" t="s">
        <v>64</v>
      </c>
      <c r="H58" s="14" t="s">
        <v>845</v>
      </c>
      <c r="I58" s="14" t="s">
        <v>845</v>
      </c>
      <c r="J58" s="16"/>
      <c r="K58" s="14" t="s">
        <v>842</v>
      </c>
      <c r="L58" s="14" t="s">
        <v>89</v>
      </c>
      <c r="M58" s="14" t="s">
        <v>846</v>
      </c>
      <c r="N58" s="14">
        <v>0</v>
      </c>
      <c r="O58" s="14" t="s">
        <v>70</v>
      </c>
      <c r="P58" s="14">
        <v>4</v>
      </c>
      <c r="Q58" s="14">
        <v>4</v>
      </c>
      <c r="R58" s="14">
        <v>0</v>
      </c>
      <c r="S58" s="16"/>
      <c r="T58" s="14" t="s">
        <v>72</v>
      </c>
      <c r="U58" s="14" t="s">
        <v>71</v>
      </c>
      <c r="V58" s="15" t="s">
        <v>520</v>
      </c>
      <c r="W58" s="30">
        <f>IF('CRUDO MARTES'!W58="Si",$N58,)</f>
        <v>0</v>
      </c>
      <c r="X58" s="30">
        <f>IF('CRUDO MARTES'!X58="Si",$N58,)</f>
        <v>0</v>
      </c>
      <c r="Y58" s="30">
        <f>IF('CRUDO MARTES'!Y58="Si",$N58,)</f>
        <v>0</v>
      </c>
      <c r="Z58" s="30">
        <f>IF('CRUDO MARTES'!Z58="Si",$N58,)</f>
        <v>0</v>
      </c>
      <c r="AA58" s="30">
        <f>IF('CRUDO MARTES'!AA58="Si",$N58,)</f>
        <v>0</v>
      </c>
      <c r="AB58" s="30">
        <f>IF('CRUDO MARTES'!AB58="Si",$N58,)</f>
        <v>0</v>
      </c>
      <c r="AC58" s="30">
        <f>IF('CRUDO MARTES'!AC58="Si",$N58,)</f>
        <v>0</v>
      </c>
      <c r="AD58" s="30">
        <f>IF('CRUDO MARTES'!AD58="Si",$N58,)</f>
        <v>0</v>
      </c>
      <c r="AE58" s="29">
        <v>0</v>
      </c>
      <c r="AF58" s="29">
        <v>0</v>
      </c>
      <c r="AG58" s="30">
        <f>IF('CRUDO MARTES'!AG58="Si",$N58,)</f>
        <v>0</v>
      </c>
      <c r="AH58" s="30">
        <f>IF('CRUDO MARTES'!AH58="Si",$N58,)</f>
        <v>0</v>
      </c>
      <c r="AI58" s="30">
        <f>IF('CRUDO MARTES'!AI58="Si",$N58,)</f>
        <v>0</v>
      </c>
      <c r="AJ58" s="29">
        <v>0</v>
      </c>
      <c r="AK58" s="29">
        <v>0</v>
      </c>
      <c r="AL58" s="30">
        <f>IF('CRUDO MARTES'!AL58="Si",$N58,)</f>
        <v>0</v>
      </c>
      <c r="AM58" s="30">
        <f>IF('CRUDO MARTES'!AM58="Si",$N58,)</f>
        <v>0</v>
      </c>
      <c r="AN58" s="29">
        <v>0</v>
      </c>
      <c r="AO58" s="31">
        <f>IF('CRUDO MARTES'!AO58="Si",$N58,)</f>
        <v>0</v>
      </c>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row>
    <row r="59" spans="1:88" ht="13.2" hidden="1">
      <c r="A59" s="13">
        <v>45368.832537881943</v>
      </c>
      <c r="B59" s="14" t="s">
        <v>847</v>
      </c>
      <c r="C59" s="28" t="s">
        <v>848</v>
      </c>
      <c r="D59" s="15" t="s">
        <v>849</v>
      </c>
      <c r="E59" s="14" t="s">
        <v>62</v>
      </c>
      <c r="F59" s="14" t="s">
        <v>235</v>
      </c>
      <c r="G59" s="14" t="s">
        <v>64</v>
      </c>
      <c r="H59" s="14" t="s">
        <v>460</v>
      </c>
      <c r="I59" s="14" t="s">
        <v>850</v>
      </c>
      <c r="J59" s="14" t="s">
        <v>851</v>
      </c>
      <c r="K59" s="14" t="s">
        <v>847</v>
      </c>
      <c r="L59" s="14" t="s">
        <v>68</v>
      </c>
      <c r="M59" s="14" t="s">
        <v>852</v>
      </c>
      <c r="N59" s="14">
        <v>0</v>
      </c>
      <c r="O59" s="14" t="s">
        <v>70</v>
      </c>
      <c r="P59" s="14">
        <v>3</v>
      </c>
      <c r="Q59" s="14">
        <v>3</v>
      </c>
      <c r="R59" s="14">
        <v>50</v>
      </c>
      <c r="S59" s="16"/>
      <c r="T59" s="14" t="s">
        <v>71</v>
      </c>
      <c r="U59" s="14" t="s">
        <v>71</v>
      </c>
      <c r="V59" s="15" t="s">
        <v>520</v>
      </c>
      <c r="W59" s="30">
        <f>IF('CRUDO MARTES'!W59="Si",$N59,)</f>
        <v>0</v>
      </c>
      <c r="X59" s="30">
        <f>IF('CRUDO MARTES'!X59="Si",$N59,)</f>
        <v>0</v>
      </c>
      <c r="Y59" s="29">
        <v>0</v>
      </c>
      <c r="Z59" s="30">
        <f>IF('CRUDO MARTES'!Z59="Si",$N59,)</f>
        <v>0</v>
      </c>
      <c r="AA59" s="30">
        <f>IF('CRUDO MARTES'!AA59="Si",$N59,)</f>
        <v>0</v>
      </c>
      <c r="AB59" s="30">
        <f>IF('CRUDO MARTES'!AB59="Si",$N59,)</f>
        <v>0</v>
      </c>
      <c r="AC59" s="30">
        <f>IF('CRUDO MARTES'!AC59="Si",$N59,)</f>
        <v>0</v>
      </c>
      <c r="AD59" s="30">
        <f>IF('CRUDO MARTES'!AD59="Si",$N59,)</f>
        <v>0</v>
      </c>
      <c r="AE59" s="29">
        <v>0</v>
      </c>
      <c r="AF59" s="29">
        <v>31</v>
      </c>
      <c r="AG59" s="30">
        <f>IF('CRUDO MARTES'!AG59="Si",$N59,)</f>
        <v>0</v>
      </c>
      <c r="AH59" s="30">
        <f>IF('CRUDO MARTES'!AH59="Si",$N59,)</f>
        <v>0</v>
      </c>
      <c r="AI59" s="29">
        <v>0</v>
      </c>
      <c r="AJ59" s="29">
        <v>0</v>
      </c>
      <c r="AK59" s="32">
        <v>0</v>
      </c>
      <c r="AL59" s="30">
        <f>IF('CRUDO MARTES'!AL59="Si",$N59,)</f>
        <v>0</v>
      </c>
      <c r="AM59" s="31">
        <f>IF('CRUDO MARTES'!AM59="Si",$N59,)</f>
        <v>0</v>
      </c>
      <c r="AN59" s="29">
        <v>0</v>
      </c>
      <c r="AO59" s="29">
        <v>0</v>
      </c>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row>
    <row r="60" spans="1:88" ht="13.2" hidden="1">
      <c r="A60" s="13">
        <v>45369.501063009258</v>
      </c>
      <c r="B60" s="14" t="s">
        <v>861</v>
      </c>
      <c r="C60" s="28" t="s">
        <v>862</v>
      </c>
      <c r="D60" s="14">
        <v>20086000</v>
      </c>
      <c r="E60" s="14" t="s">
        <v>84</v>
      </c>
      <c r="F60" s="14" t="s">
        <v>269</v>
      </c>
      <c r="G60" s="14" t="s">
        <v>64</v>
      </c>
      <c r="H60" s="14" t="s">
        <v>863</v>
      </c>
      <c r="I60" s="14" t="s">
        <v>864</v>
      </c>
      <c r="J60" s="14" t="s">
        <v>865</v>
      </c>
      <c r="K60" s="14" t="s">
        <v>861</v>
      </c>
      <c r="L60" s="14" t="s">
        <v>89</v>
      </c>
      <c r="M60" s="14" t="s">
        <v>313</v>
      </c>
      <c r="N60" s="14">
        <v>0</v>
      </c>
      <c r="O60" s="14" t="s">
        <v>70</v>
      </c>
      <c r="P60" s="14">
        <v>5</v>
      </c>
      <c r="Q60" s="14">
        <v>5</v>
      </c>
      <c r="R60" s="14">
        <v>0</v>
      </c>
      <c r="S60" s="16"/>
      <c r="T60" s="14" t="s">
        <v>71</v>
      </c>
      <c r="U60" s="14" t="s">
        <v>72</v>
      </c>
      <c r="V60" s="15" t="s">
        <v>520</v>
      </c>
      <c r="W60" s="30">
        <f>IF('CRUDO MARTES'!W60="Si",$N60,)</f>
        <v>0</v>
      </c>
      <c r="X60" s="30">
        <f>IF('CRUDO MARTES'!X60="Si",$N60,)</f>
        <v>0</v>
      </c>
      <c r="Y60" s="29">
        <v>0</v>
      </c>
      <c r="Z60" s="30">
        <f>IF('CRUDO MARTES'!Z60="Si",$N60,)</f>
        <v>0</v>
      </c>
      <c r="AA60" s="30">
        <f>IF('CRUDO MARTES'!AA60="Si",$N60,)</f>
        <v>0</v>
      </c>
      <c r="AB60" s="30">
        <f>IF('CRUDO MARTES'!AB60="Si",$N60,)</f>
        <v>0</v>
      </c>
      <c r="AC60" s="30">
        <f>IF('CRUDO MARTES'!AC60="Si",$N60,)</f>
        <v>0</v>
      </c>
      <c r="AD60" s="30">
        <f>IF('CRUDO MARTES'!AD60="Si",$N60,)</f>
        <v>0</v>
      </c>
      <c r="AE60" s="30">
        <f>IF('CRUDO MARTES'!AE60="Si",$N60,)</f>
        <v>0</v>
      </c>
      <c r="AF60" s="30">
        <f>IF('CRUDO MARTES'!AF60="Si",$N60,)</f>
        <v>0</v>
      </c>
      <c r="AG60" s="30">
        <f>IF('CRUDO MARTES'!AG60="Si",$N60,)</f>
        <v>0</v>
      </c>
      <c r="AH60" s="30">
        <f>IF('CRUDO MARTES'!AH60="Si",$N60,)</f>
        <v>0</v>
      </c>
      <c r="AI60" s="29">
        <v>0</v>
      </c>
      <c r="AJ60" s="30">
        <f>IF('CRUDO MARTES'!AJ60="Si",$N60,)</f>
        <v>0</v>
      </c>
      <c r="AK60" s="30">
        <f>IF('CRUDO MARTES'!AK60="Si",$N60,)</f>
        <v>0</v>
      </c>
      <c r="AL60" s="29">
        <v>0</v>
      </c>
      <c r="AM60" s="30">
        <f>IF('CRUDO MARTES'!AM60="Si",$N60,)</f>
        <v>0</v>
      </c>
      <c r="AN60" s="30">
        <f>IF('CRUDO MARTES'!AN60="Si",$N60,)</f>
        <v>0</v>
      </c>
      <c r="AO60" s="30">
        <f>IF('CRUDO MARTES'!AO60="Si",$N60,)</f>
        <v>0</v>
      </c>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row>
    <row r="61" spans="1:88" ht="13.2" hidden="1">
      <c r="A61" s="13">
        <v>45369.567177847217</v>
      </c>
      <c r="B61" s="14" t="s">
        <v>813</v>
      </c>
      <c r="C61" s="28" t="s">
        <v>866</v>
      </c>
      <c r="D61" s="15" t="s">
        <v>867</v>
      </c>
      <c r="E61" s="14" t="s">
        <v>815</v>
      </c>
      <c r="F61" s="14" t="s">
        <v>676</v>
      </c>
      <c r="G61" s="14" t="s">
        <v>64</v>
      </c>
      <c r="H61" s="14" t="s">
        <v>816</v>
      </c>
      <c r="I61" s="14" t="s">
        <v>868</v>
      </c>
      <c r="J61" s="16"/>
      <c r="K61" s="14" t="s">
        <v>813</v>
      </c>
      <c r="L61" s="14" t="s">
        <v>89</v>
      </c>
      <c r="M61" s="14" t="s">
        <v>819</v>
      </c>
      <c r="N61" s="14">
        <v>0</v>
      </c>
      <c r="O61" s="14" t="s">
        <v>70</v>
      </c>
      <c r="P61" s="14">
        <v>3</v>
      </c>
      <c r="Q61" s="14">
        <v>3</v>
      </c>
      <c r="R61" s="14">
        <v>70</v>
      </c>
      <c r="S61" s="16"/>
      <c r="T61" s="14" t="s">
        <v>72</v>
      </c>
      <c r="U61" s="14" t="s">
        <v>71</v>
      </c>
      <c r="V61" s="15" t="s">
        <v>520</v>
      </c>
      <c r="W61" s="30">
        <f>IF('CRUDO MARTES'!W61="Si",$N61,)</f>
        <v>0</v>
      </c>
      <c r="X61" s="30">
        <f>IF('CRUDO MARTES'!X61="Si",$N61,)</f>
        <v>0</v>
      </c>
      <c r="Y61" s="30">
        <f>IF('CRUDO MARTES'!Y61="Si",$N61,)</f>
        <v>0</v>
      </c>
      <c r="Z61" s="30">
        <f>IF('CRUDO MARTES'!Z61="Si",$N61,)</f>
        <v>0</v>
      </c>
      <c r="AA61" s="30">
        <f>IF('CRUDO MARTES'!AA61="Si",$N61,)</f>
        <v>0</v>
      </c>
      <c r="AB61" s="30">
        <f>IF('CRUDO MARTES'!AB61="Si",$N61,)</f>
        <v>0</v>
      </c>
      <c r="AC61" s="30">
        <f>IF('CRUDO MARTES'!AC61="Si",$N61,)</f>
        <v>0</v>
      </c>
      <c r="AD61" s="30">
        <f>IF('CRUDO MARTES'!AD61="Si",$N61,)</f>
        <v>0</v>
      </c>
      <c r="AE61" s="29">
        <v>0</v>
      </c>
      <c r="AF61" s="29">
        <v>0</v>
      </c>
      <c r="AG61" s="30">
        <f>IF('CRUDO MARTES'!AG61="Si",$N61,)</f>
        <v>0</v>
      </c>
      <c r="AH61" s="30">
        <f>IF('CRUDO MARTES'!AH61="Si",$N61,)</f>
        <v>0</v>
      </c>
      <c r="AI61" s="30">
        <f>IF('CRUDO MARTES'!AI61="Si",$N61,)</f>
        <v>0</v>
      </c>
      <c r="AJ61" s="29">
        <v>0</v>
      </c>
      <c r="AK61" s="29">
        <v>0</v>
      </c>
      <c r="AL61" s="30">
        <f>IF('CRUDO MARTES'!AL61="Si",$N61,)</f>
        <v>0</v>
      </c>
      <c r="AM61" s="30">
        <f>IF('CRUDO MARTES'!AM61="Si",$N61,)</f>
        <v>0</v>
      </c>
      <c r="AN61" s="29">
        <v>0</v>
      </c>
      <c r="AO61" s="31">
        <f>IF('CRUDO MARTES'!AO61="Si",$N61,)</f>
        <v>0</v>
      </c>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row>
    <row r="62" spans="1:88" ht="13.2">
      <c r="A62" s="38">
        <v>45369.583257303238</v>
      </c>
      <c r="B62" s="39" t="s">
        <v>869</v>
      </c>
      <c r="C62" s="40" t="s">
        <v>870</v>
      </c>
      <c r="D62" s="41" t="s">
        <v>871</v>
      </c>
      <c r="E62" s="39" t="s">
        <v>62</v>
      </c>
      <c r="F62" s="39" t="s">
        <v>872</v>
      </c>
      <c r="G62" s="39" t="s">
        <v>64</v>
      </c>
      <c r="H62" s="39" t="s">
        <v>873</v>
      </c>
      <c r="I62" s="39" t="s">
        <v>874</v>
      </c>
      <c r="J62" s="39" t="s">
        <v>875</v>
      </c>
      <c r="K62" s="39" t="s">
        <v>869</v>
      </c>
      <c r="L62" s="39" t="s">
        <v>138</v>
      </c>
      <c r="M62" s="39" t="s">
        <v>876</v>
      </c>
      <c r="N62" s="39">
        <v>35</v>
      </c>
      <c r="O62" s="39" t="s">
        <v>70</v>
      </c>
      <c r="P62" s="39">
        <v>5</v>
      </c>
      <c r="Q62" s="39">
        <v>5</v>
      </c>
      <c r="R62" s="39">
        <v>0</v>
      </c>
      <c r="S62" s="42"/>
      <c r="T62" s="39" t="s">
        <v>71</v>
      </c>
      <c r="U62" s="39" t="s">
        <v>72</v>
      </c>
      <c r="V62" s="41" t="s">
        <v>520</v>
      </c>
      <c r="W62" s="44">
        <v>0</v>
      </c>
      <c r="X62" s="43">
        <f>IF('CRUDO MARTES'!X62="Si",$N62,)</f>
        <v>35</v>
      </c>
      <c r="Y62" s="44">
        <v>0</v>
      </c>
      <c r="Z62" s="43">
        <f>IF('CRUDO MARTES'!Z62="Si",$N62,)</f>
        <v>0</v>
      </c>
      <c r="AA62" s="43">
        <f>IF('CRUDO MARTES'!AA62="Si",$N62,)</f>
        <v>35</v>
      </c>
      <c r="AB62" s="44">
        <v>0</v>
      </c>
      <c r="AC62" s="44">
        <v>0</v>
      </c>
      <c r="AD62" s="43">
        <f>IF('CRUDO MARTES'!AD62="Si",$N62,)</f>
        <v>0</v>
      </c>
      <c r="AE62" s="43">
        <f>IF('CRUDO MARTES'!AE62="Si",$N62,)</f>
        <v>0</v>
      </c>
      <c r="AF62" s="43">
        <f>IF('CRUDO MARTES'!AF62="Si",$N62,)</f>
        <v>0</v>
      </c>
      <c r="AG62" s="44">
        <v>0</v>
      </c>
      <c r="AH62" s="44">
        <v>0</v>
      </c>
      <c r="AI62" s="44">
        <v>0</v>
      </c>
      <c r="AJ62" s="43">
        <f>IF('CRUDO MARTES'!AJ62="Si",$N62,)</f>
        <v>0</v>
      </c>
      <c r="AK62" s="43">
        <f>IF('CRUDO MARTES'!AK62="Si",$N62,)</f>
        <v>0</v>
      </c>
      <c r="AL62" s="44">
        <v>0</v>
      </c>
      <c r="AM62" s="44">
        <v>0</v>
      </c>
      <c r="AN62" s="43">
        <f>IF('CRUDO MARTES'!AN62="Si",$N62,)</f>
        <v>0</v>
      </c>
      <c r="AO62" s="43">
        <f>IF('CRUDO MARTES'!AO62="Si",$N62,)</f>
        <v>0</v>
      </c>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c r="BS62" s="42"/>
      <c r="BT62" s="42"/>
      <c r="BU62" s="42"/>
      <c r="BV62" s="42"/>
      <c r="BW62" s="42"/>
      <c r="BX62" s="42"/>
      <c r="BY62" s="42"/>
      <c r="BZ62" s="42"/>
      <c r="CA62" s="42"/>
      <c r="CB62" s="42"/>
      <c r="CC62" s="42"/>
      <c r="CD62" s="42"/>
      <c r="CE62" s="42"/>
      <c r="CF62" s="42"/>
      <c r="CG62" s="42"/>
      <c r="CH62" s="42"/>
      <c r="CI62" s="42"/>
      <c r="CJ62" s="42"/>
    </row>
    <row r="63" spans="1:88" ht="13.2">
      <c r="A63" s="38">
        <v>45369.684196400463</v>
      </c>
      <c r="B63" s="39" t="s">
        <v>877</v>
      </c>
      <c r="C63" s="40" t="s">
        <v>878</v>
      </c>
      <c r="D63" s="39">
        <v>2001920</v>
      </c>
      <c r="E63" s="39" t="s">
        <v>387</v>
      </c>
      <c r="F63" s="39" t="s">
        <v>879</v>
      </c>
      <c r="G63" s="39" t="s">
        <v>105</v>
      </c>
      <c r="H63" s="39" t="s">
        <v>880</v>
      </c>
      <c r="I63" s="39" t="s">
        <v>881</v>
      </c>
      <c r="J63" s="39" t="s">
        <v>882</v>
      </c>
      <c r="K63" s="39" t="s">
        <v>877</v>
      </c>
      <c r="L63" s="39" t="s">
        <v>89</v>
      </c>
      <c r="M63" s="39" t="s">
        <v>883</v>
      </c>
      <c r="N63" s="39">
        <v>30</v>
      </c>
      <c r="O63" s="39" t="s">
        <v>148</v>
      </c>
      <c r="P63" s="39">
        <v>4</v>
      </c>
      <c r="Q63" s="39">
        <v>4</v>
      </c>
      <c r="R63" s="39">
        <v>40</v>
      </c>
      <c r="S63" s="42"/>
      <c r="T63" s="39" t="s">
        <v>72</v>
      </c>
      <c r="U63" s="39" t="s">
        <v>71</v>
      </c>
      <c r="V63" s="41" t="s">
        <v>520</v>
      </c>
      <c r="W63" s="43">
        <f>IF('CRUDO MARTES'!W63="Si",$N63,)</f>
        <v>0</v>
      </c>
      <c r="X63" s="43">
        <f>IF('CRUDO MARTES'!X63="Si",$N63,)</f>
        <v>0</v>
      </c>
      <c r="Y63" s="43">
        <f>IF('CRUDO MARTES'!Y63="Si",$N63,)</f>
        <v>0</v>
      </c>
      <c r="Z63" s="44">
        <v>30</v>
      </c>
      <c r="AA63" s="43">
        <f>IF('CRUDO MARTES'!AA63="Si",$N63,)</f>
        <v>0</v>
      </c>
      <c r="AB63" s="43">
        <f>IF('CRUDO MARTES'!AB63="Si",$N63,)</f>
        <v>0</v>
      </c>
      <c r="AC63" s="43">
        <f>IF('CRUDO MARTES'!AC63="Si",$N63,)</f>
        <v>0</v>
      </c>
      <c r="AD63" s="43">
        <f>IF('CRUDO MARTES'!AD63="Si",$N63,)</f>
        <v>0</v>
      </c>
      <c r="AE63" s="44">
        <v>30</v>
      </c>
      <c r="AF63" s="44">
        <v>0</v>
      </c>
      <c r="AG63" s="43">
        <f>IF('CRUDO MARTES'!AG63="Si",$N63,)</f>
        <v>0</v>
      </c>
      <c r="AH63" s="43">
        <f>IF('CRUDO MARTES'!AH63="Si",$N63,)</f>
        <v>0</v>
      </c>
      <c r="AI63" s="43">
        <f>IF('CRUDO MARTES'!AI63="Si",$N63,)</f>
        <v>0</v>
      </c>
      <c r="AJ63" s="45">
        <f>IF('CRUDO MARTES'!AJ63="Si",$N63,)</f>
        <v>30</v>
      </c>
      <c r="AK63" s="43">
        <f>IF('CRUDO MARTES'!AK63="Si",$N63,)</f>
        <v>0</v>
      </c>
      <c r="AL63" s="43">
        <f>IF('CRUDO MARTES'!AL63="Si",$N63,)</f>
        <v>0</v>
      </c>
      <c r="AM63" s="43">
        <f>IF('CRUDO MARTES'!AM63="Si",$N63,)</f>
        <v>0</v>
      </c>
      <c r="AN63" s="43">
        <f>IF('CRUDO MARTES'!AN63="Si",$N63,)</f>
        <v>0</v>
      </c>
      <c r="AO63" s="43">
        <f>IF('CRUDO MARTES'!AO63="Si",$N63,)</f>
        <v>0</v>
      </c>
      <c r="AP63" s="39" t="s">
        <v>884</v>
      </c>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c r="CG63" s="39"/>
      <c r="CH63" s="39"/>
      <c r="CI63" s="39"/>
      <c r="CJ63" s="39"/>
    </row>
    <row r="64" spans="1:88" ht="13.2" hidden="1">
      <c r="A64" s="13">
        <v>45369.806593969908</v>
      </c>
      <c r="B64" s="14" t="s">
        <v>885</v>
      </c>
      <c r="C64" s="28" t="s">
        <v>886</v>
      </c>
      <c r="D64" s="15" t="s">
        <v>887</v>
      </c>
      <c r="E64" s="14" t="s">
        <v>84</v>
      </c>
      <c r="F64" s="14" t="s">
        <v>888</v>
      </c>
      <c r="G64" s="14" t="s">
        <v>64</v>
      </c>
      <c r="H64" s="14" t="s">
        <v>889</v>
      </c>
      <c r="I64" s="14" t="s">
        <v>890</v>
      </c>
      <c r="J64" s="16"/>
      <c r="K64" s="14" t="s">
        <v>885</v>
      </c>
      <c r="L64" s="14" t="s">
        <v>89</v>
      </c>
      <c r="M64" s="14" t="s">
        <v>846</v>
      </c>
      <c r="N64" s="14">
        <v>0</v>
      </c>
      <c r="O64" s="14" t="s">
        <v>70</v>
      </c>
      <c r="P64" s="14">
        <v>5</v>
      </c>
      <c r="Q64" s="14">
        <v>4</v>
      </c>
      <c r="R64" s="14">
        <v>0</v>
      </c>
      <c r="S64" s="16"/>
      <c r="T64" s="14" t="s">
        <v>71</v>
      </c>
      <c r="U64" s="14" t="s">
        <v>72</v>
      </c>
      <c r="V64" s="15" t="s">
        <v>520</v>
      </c>
      <c r="W64" s="29">
        <v>0</v>
      </c>
      <c r="X64" s="30">
        <f>IF('CRUDO MARTES'!X64="Si",$N64,)</f>
        <v>0</v>
      </c>
      <c r="Y64" s="29">
        <v>0</v>
      </c>
      <c r="Z64" s="30">
        <f>IF('CRUDO MARTES'!Z64="Si",$N64,)</f>
        <v>0</v>
      </c>
      <c r="AA64" s="30">
        <f>IF('CRUDO MARTES'!AA64="Si",$N64,)</f>
        <v>0</v>
      </c>
      <c r="AB64" s="29">
        <v>0</v>
      </c>
      <c r="AC64" s="30">
        <f>IF('CRUDO MARTES'!AC64="Si",$N64,)</f>
        <v>0</v>
      </c>
      <c r="AD64" s="29">
        <v>0</v>
      </c>
      <c r="AE64" s="30">
        <f>IF('CRUDO MARTES'!AE64="Si",$N64,)</f>
        <v>0</v>
      </c>
      <c r="AF64" s="30">
        <f>IF('CRUDO MARTES'!AF64="Si",$N64,)</f>
        <v>0</v>
      </c>
      <c r="AG64" s="29">
        <v>0</v>
      </c>
      <c r="AH64" s="29">
        <v>0</v>
      </c>
      <c r="AI64" s="29">
        <v>0</v>
      </c>
      <c r="AJ64" s="30">
        <f>IF('CRUDO MARTES'!AJ64="Si",$N64,)</f>
        <v>0</v>
      </c>
      <c r="AK64" s="30">
        <f>IF('CRUDO MARTES'!AK64="Si",$N64,)</f>
        <v>0</v>
      </c>
      <c r="AL64" s="29">
        <v>0</v>
      </c>
      <c r="AM64" s="29">
        <v>0</v>
      </c>
      <c r="AN64" s="30">
        <f>IF('CRUDO MARTES'!AN64="Si",$N64,)</f>
        <v>0</v>
      </c>
      <c r="AO64" s="30">
        <f>IF('CRUDO MARTES'!AO64="Si",$N64,)</f>
        <v>0</v>
      </c>
      <c r="AP64" s="14" t="s">
        <v>891</v>
      </c>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row>
    <row r="65" spans="1:88" ht="13.2">
      <c r="A65" s="38">
        <v>45369.811967349538</v>
      </c>
      <c r="B65" s="39" t="s">
        <v>892</v>
      </c>
      <c r="C65" s="40" t="s">
        <v>893</v>
      </c>
      <c r="D65" s="39">
        <v>20000100</v>
      </c>
      <c r="E65" s="39" t="s">
        <v>133</v>
      </c>
      <c r="F65" s="39" t="s">
        <v>894</v>
      </c>
      <c r="G65" s="39" t="s">
        <v>64</v>
      </c>
      <c r="H65" s="39" t="s">
        <v>895</v>
      </c>
      <c r="I65" s="39" t="s">
        <v>896</v>
      </c>
      <c r="J65" s="39" t="s">
        <v>897</v>
      </c>
      <c r="K65" s="39" t="s">
        <v>892</v>
      </c>
      <c r="L65" s="39" t="s">
        <v>89</v>
      </c>
      <c r="M65" s="39" t="s">
        <v>898</v>
      </c>
      <c r="N65" s="39">
        <v>30</v>
      </c>
      <c r="O65" s="39" t="s">
        <v>70</v>
      </c>
      <c r="P65" s="39">
        <v>3</v>
      </c>
      <c r="Q65" s="39">
        <v>2</v>
      </c>
      <c r="R65" s="39">
        <v>15</v>
      </c>
      <c r="S65" s="42"/>
      <c r="T65" s="39" t="s">
        <v>71</v>
      </c>
      <c r="U65" s="39" t="s">
        <v>72</v>
      </c>
      <c r="V65" s="41" t="s">
        <v>520</v>
      </c>
      <c r="W65" s="44">
        <v>0</v>
      </c>
      <c r="X65" s="44">
        <v>30</v>
      </c>
      <c r="Y65" s="43">
        <f>IF('CRUDO MARTES'!Y65="Si",$N65,)</f>
        <v>30</v>
      </c>
      <c r="Z65" s="43">
        <f>IF('CRUDO MARTES'!Z65="Si",$N65,)</f>
        <v>0</v>
      </c>
      <c r="AA65" s="43">
        <f>IF('CRUDO MARTES'!AA65="Si",$N65,)</f>
        <v>0</v>
      </c>
      <c r="AB65" s="44">
        <v>0</v>
      </c>
      <c r="AC65" s="44">
        <v>30</v>
      </c>
      <c r="AD65" s="43">
        <f>IF('CRUDO MARTES'!AD65="Si",$N65,)</f>
        <v>0</v>
      </c>
      <c r="AE65" s="43">
        <f>IF('CRUDO MARTES'!AE65="Si",$N65,)</f>
        <v>0</v>
      </c>
      <c r="AF65" s="43">
        <f>IF('CRUDO MARTES'!AF65="Si",$N65,)</f>
        <v>0</v>
      </c>
      <c r="AG65" s="43">
        <f>IF('CRUDO MARTES'!AG65="Si",$N65,)</f>
        <v>0</v>
      </c>
      <c r="AH65" s="43">
        <f>IF('CRUDO MARTES'!AH65="Si",$N65,)</f>
        <v>0</v>
      </c>
      <c r="AI65" s="43">
        <f>IF('CRUDO MARTES'!AI65="Si",$N65,)</f>
        <v>0</v>
      </c>
      <c r="AJ65" s="43">
        <f>IF('CRUDO MARTES'!AJ65="Si",$N65,)</f>
        <v>0</v>
      </c>
      <c r="AK65" s="43">
        <f>IF('CRUDO MARTES'!AK65="Si",$N65,)</f>
        <v>0</v>
      </c>
      <c r="AL65" s="43">
        <f>IF('CRUDO MARTES'!AL65="Si",$N65,)</f>
        <v>0</v>
      </c>
      <c r="AM65" s="43">
        <f>IF('CRUDO MARTES'!AM65="Si",$N65,)</f>
        <v>0</v>
      </c>
      <c r="AN65" s="43">
        <f>IF('CRUDO MARTES'!AN65="Si",$N65,)</f>
        <v>0</v>
      </c>
      <c r="AO65" s="43">
        <f>IF('CRUDO MARTES'!AO65="Si",$N65,)</f>
        <v>0</v>
      </c>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row>
    <row r="66" spans="1:88" ht="13.2" hidden="1">
      <c r="A66" s="13">
        <v>45369.949660613427</v>
      </c>
      <c r="B66" s="14" t="s">
        <v>899</v>
      </c>
      <c r="C66" s="28" t="s">
        <v>900</v>
      </c>
      <c r="D66" s="14">
        <v>200740</v>
      </c>
      <c r="E66" s="14" t="s">
        <v>133</v>
      </c>
      <c r="F66" s="14" t="s">
        <v>901</v>
      </c>
      <c r="G66" s="14" t="s">
        <v>64</v>
      </c>
      <c r="H66" s="14" t="s">
        <v>902</v>
      </c>
      <c r="I66" s="14" t="s">
        <v>903</v>
      </c>
      <c r="J66" s="16"/>
      <c r="K66" s="14" t="s">
        <v>899</v>
      </c>
      <c r="L66" s="14" t="s">
        <v>89</v>
      </c>
      <c r="M66" s="14" t="s">
        <v>446</v>
      </c>
      <c r="N66" s="14">
        <v>0</v>
      </c>
      <c r="O66" s="14" t="s">
        <v>70</v>
      </c>
      <c r="P66" s="14">
        <v>4</v>
      </c>
      <c r="Q66" s="14">
        <v>4</v>
      </c>
      <c r="R66" s="14">
        <v>10</v>
      </c>
      <c r="S66" s="16"/>
      <c r="T66" s="14" t="s">
        <v>71</v>
      </c>
      <c r="U66" s="14" t="s">
        <v>72</v>
      </c>
      <c r="V66" s="15" t="s">
        <v>520</v>
      </c>
      <c r="W66" s="30">
        <f>IF('CRUDO MARTES'!W66="Si",$N66,)</f>
        <v>0</v>
      </c>
      <c r="X66" s="30">
        <f>IF('CRUDO MARTES'!X66="Si",$N66,)</f>
        <v>0</v>
      </c>
      <c r="Y66" s="30">
        <f>IF('CRUDO MARTES'!Y66="Si",$N66,)</f>
        <v>0</v>
      </c>
      <c r="Z66" s="30">
        <f>IF('CRUDO MARTES'!Z66="Si",$N66,)</f>
        <v>0</v>
      </c>
      <c r="AA66" s="30">
        <f>IF('CRUDO MARTES'!AA66="Si",$N66,)</f>
        <v>0</v>
      </c>
      <c r="AB66" s="30">
        <f>IF('CRUDO MARTES'!AB66="Si",$N66,)</f>
        <v>0</v>
      </c>
      <c r="AC66" s="30">
        <f>IF('CRUDO MARTES'!AC66="Si",$N66,)</f>
        <v>0</v>
      </c>
      <c r="AD66" s="30">
        <f>IF('CRUDO MARTES'!AD66="Si",$N66,)</f>
        <v>0</v>
      </c>
      <c r="AE66" s="30">
        <f>IF('CRUDO MARTES'!AE66="Si",$N66,)</f>
        <v>0</v>
      </c>
      <c r="AF66" s="30">
        <f>IF('CRUDO MARTES'!AF66="Si",$N66,)</f>
        <v>0</v>
      </c>
      <c r="AG66" s="30">
        <f>IF('CRUDO MARTES'!AG66="Si",$N66,)</f>
        <v>0</v>
      </c>
      <c r="AH66" s="29">
        <v>0</v>
      </c>
      <c r="AI66" s="30">
        <f>IF('CRUDO MARTES'!AI66="Si",$N66,)</f>
        <v>0</v>
      </c>
      <c r="AJ66" s="30">
        <f>IF('CRUDO MARTES'!AJ66="Si",$N66,)</f>
        <v>0</v>
      </c>
      <c r="AK66" s="30">
        <f>IF('CRUDO MARTES'!AK66="Si",$N66,)</f>
        <v>0</v>
      </c>
      <c r="AL66" s="30">
        <f>IF('CRUDO MARTES'!AL66="Si",$N66,)</f>
        <v>0</v>
      </c>
      <c r="AM66" s="29">
        <v>0</v>
      </c>
      <c r="AN66" s="30">
        <f>IF('CRUDO MARTES'!AN66="Si",$N66,)</f>
        <v>0</v>
      </c>
      <c r="AO66" s="30">
        <f>IF('CRUDO MARTES'!AO66="Si",$N66,)</f>
        <v>0</v>
      </c>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row>
    <row r="67" spans="1:88" ht="13.2">
      <c r="A67" s="38">
        <v>45369.970670740746</v>
      </c>
      <c r="B67" s="39" t="s">
        <v>904</v>
      </c>
      <c r="C67" s="40" t="s">
        <v>905</v>
      </c>
      <c r="D67" s="39">
        <v>201690</v>
      </c>
      <c r="E67" s="39" t="s">
        <v>84</v>
      </c>
      <c r="F67" s="39" t="s">
        <v>304</v>
      </c>
      <c r="G67" s="39" t="s">
        <v>64</v>
      </c>
      <c r="H67" s="39" t="s">
        <v>906</v>
      </c>
      <c r="I67" s="39" t="s">
        <v>907</v>
      </c>
      <c r="J67" s="39" t="s">
        <v>908</v>
      </c>
      <c r="K67" s="39" t="s">
        <v>904</v>
      </c>
      <c r="L67" s="39" t="s">
        <v>89</v>
      </c>
      <c r="M67" s="39" t="s">
        <v>446</v>
      </c>
      <c r="N67" s="39">
        <v>42</v>
      </c>
      <c r="O67" s="39" t="s">
        <v>70</v>
      </c>
      <c r="P67" s="39">
        <v>5</v>
      </c>
      <c r="Q67" s="39">
        <v>5</v>
      </c>
      <c r="R67" s="39">
        <v>0</v>
      </c>
      <c r="S67" s="42"/>
      <c r="T67" s="39" t="s">
        <v>71</v>
      </c>
      <c r="U67" s="39" t="s">
        <v>72</v>
      </c>
      <c r="V67" s="41" t="s">
        <v>520</v>
      </c>
      <c r="W67" s="44">
        <v>0</v>
      </c>
      <c r="X67" s="43">
        <f>IF('CRUDO MARTES'!X67="Si",$N67,)</f>
        <v>42</v>
      </c>
      <c r="Y67" s="43">
        <f>IF('CRUDO MARTES'!Y67="Si",$N67,)</f>
        <v>42</v>
      </c>
      <c r="Z67" s="43">
        <f>IF('CRUDO MARTES'!Z67="Si",$N67,)</f>
        <v>0</v>
      </c>
      <c r="AA67" s="44">
        <v>0</v>
      </c>
      <c r="AB67" s="44">
        <v>0</v>
      </c>
      <c r="AC67" s="43">
        <f>IF('CRUDO MARTES'!AC67="Si",$N67,)</f>
        <v>42</v>
      </c>
      <c r="AD67" s="43">
        <f>IF('CRUDO MARTES'!AD67="Si",$N67,)</f>
        <v>0</v>
      </c>
      <c r="AE67" s="43">
        <f>IF('CRUDO MARTES'!AE67="Si",$N67,)</f>
        <v>0</v>
      </c>
      <c r="AF67" s="43">
        <f>IF('CRUDO MARTES'!AF67="Si",$N67,)</f>
        <v>0</v>
      </c>
      <c r="AG67" s="44">
        <v>0</v>
      </c>
      <c r="AH67" s="44">
        <v>0</v>
      </c>
      <c r="AI67" s="44">
        <v>0</v>
      </c>
      <c r="AJ67" s="43">
        <f>IF('CRUDO MARTES'!AJ67="Si",$N67,)</f>
        <v>0</v>
      </c>
      <c r="AK67" s="43">
        <f>IF('CRUDO MARTES'!AK67="Si",$N67,)</f>
        <v>0</v>
      </c>
      <c r="AL67" s="46">
        <v>0</v>
      </c>
      <c r="AM67" s="44">
        <v>0</v>
      </c>
      <c r="AN67" s="43">
        <f>IF('CRUDO MARTES'!AN67="Si",$N67,)</f>
        <v>0</v>
      </c>
      <c r="AO67" s="43">
        <f>IF('CRUDO MARTES'!AO67="Si",$N67,)</f>
        <v>0</v>
      </c>
      <c r="AP67" s="39" t="s">
        <v>909</v>
      </c>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c r="BZ67" s="39"/>
      <c r="CA67" s="39"/>
      <c r="CB67" s="39"/>
      <c r="CC67" s="39"/>
      <c r="CD67" s="39"/>
      <c r="CE67" s="39"/>
      <c r="CF67" s="39"/>
      <c r="CG67" s="39"/>
      <c r="CH67" s="39"/>
      <c r="CI67" s="39"/>
      <c r="CJ67" s="39"/>
    </row>
    <row r="68" spans="1:88" ht="13.2" hidden="1">
      <c r="A68" s="13">
        <v>45369.973896504627</v>
      </c>
      <c r="B68" s="14" t="s">
        <v>904</v>
      </c>
      <c r="C68" s="28" t="s">
        <v>910</v>
      </c>
      <c r="D68" s="14">
        <v>201690</v>
      </c>
      <c r="E68" s="14" t="s">
        <v>84</v>
      </c>
      <c r="F68" s="14" t="s">
        <v>304</v>
      </c>
      <c r="G68" s="14" t="s">
        <v>64</v>
      </c>
      <c r="H68" s="14" t="s">
        <v>906</v>
      </c>
      <c r="I68" s="14" t="s">
        <v>911</v>
      </c>
      <c r="J68" s="14" t="s">
        <v>908</v>
      </c>
      <c r="K68" s="14" t="s">
        <v>904</v>
      </c>
      <c r="L68" s="14" t="s">
        <v>89</v>
      </c>
      <c r="M68" s="14" t="s">
        <v>446</v>
      </c>
      <c r="N68" s="14">
        <v>0</v>
      </c>
      <c r="O68" s="14" t="s">
        <v>70</v>
      </c>
      <c r="P68" s="14">
        <v>5</v>
      </c>
      <c r="Q68" s="14">
        <v>5</v>
      </c>
      <c r="R68" s="14">
        <v>0</v>
      </c>
      <c r="S68" s="16"/>
      <c r="T68" s="14" t="s">
        <v>71</v>
      </c>
      <c r="U68" s="14" t="s">
        <v>72</v>
      </c>
      <c r="V68" s="15" t="s">
        <v>520</v>
      </c>
      <c r="W68" s="29">
        <v>0</v>
      </c>
      <c r="X68" s="29">
        <v>0</v>
      </c>
      <c r="Y68" s="30">
        <f>IF('CRUDO MARTES'!Y68="Si",$N68,)</f>
        <v>0</v>
      </c>
      <c r="Z68" s="30">
        <f>IF('CRUDO MARTES'!Z68="Si",$N68,)</f>
        <v>0</v>
      </c>
      <c r="AA68" s="30">
        <f>IF('CRUDO MARTES'!AA68="Si",$N68,)</f>
        <v>0</v>
      </c>
      <c r="AB68" s="29">
        <v>0</v>
      </c>
      <c r="AC68" s="29">
        <v>0</v>
      </c>
      <c r="AD68" s="30">
        <f>IF('CRUDO MARTES'!AD68="Si",$N68,)</f>
        <v>0</v>
      </c>
      <c r="AE68" s="30">
        <f>IF('CRUDO MARTES'!AE68="Si",$N68,)</f>
        <v>0</v>
      </c>
      <c r="AF68" s="30">
        <f>IF('CRUDO MARTES'!AF68="Si",$N68,)</f>
        <v>0</v>
      </c>
      <c r="AG68" s="29">
        <v>0</v>
      </c>
      <c r="AH68" s="29">
        <v>0</v>
      </c>
      <c r="AI68" s="29">
        <v>0</v>
      </c>
      <c r="AJ68" s="30">
        <f>IF('CRUDO MARTES'!AJ68="Si",$N68,)</f>
        <v>0</v>
      </c>
      <c r="AK68" s="30">
        <f>IF('CRUDO MARTES'!AK68="Si",$N68,)</f>
        <v>0</v>
      </c>
      <c r="AL68" s="31">
        <f>IF('CRUDO MARTES'!AL68="Si",$N68,)</f>
        <v>0</v>
      </c>
      <c r="AM68" s="29">
        <v>0</v>
      </c>
      <c r="AN68" s="30">
        <f>IF('CRUDO MARTES'!AN68="Si",$N68,)</f>
        <v>0</v>
      </c>
      <c r="AO68" s="30">
        <f>IF('CRUDO MARTES'!AO68="Si",$N68,)</f>
        <v>0</v>
      </c>
      <c r="AP68" s="14" t="s">
        <v>909</v>
      </c>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row>
    <row r="69" spans="1:88" ht="13.2" hidden="1">
      <c r="A69" s="21">
        <v>45369.976511724541</v>
      </c>
      <c r="B69" s="22" t="s">
        <v>904</v>
      </c>
      <c r="C69" s="22" t="s">
        <v>910</v>
      </c>
      <c r="D69" s="22">
        <v>201690</v>
      </c>
      <c r="E69" s="22" t="s">
        <v>84</v>
      </c>
      <c r="F69" s="22" t="s">
        <v>304</v>
      </c>
      <c r="G69" s="22" t="s">
        <v>64</v>
      </c>
      <c r="H69" s="22" t="s">
        <v>906</v>
      </c>
      <c r="I69" s="22" t="s">
        <v>911</v>
      </c>
      <c r="J69" s="22" t="s">
        <v>908</v>
      </c>
      <c r="K69" s="22" t="s">
        <v>904</v>
      </c>
      <c r="L69" s="22" t="s">
        <v>89</v>
      </c>
      <c r="M69" s="22" t="s">
        <v>446</v>
      </c>
      <c r="N69" s="22">
        <v>0</v>
      </c>
      <c r="O69" s="22" t="s">
        <v>148</v>
      </c>
      <c r="P69" s="22">
        <v>5</v>
      </c>
      <c r="Q69" s="22">
        <v>5</v>
      </c>
      <c r="R69" s="22">
        <v>0</v>
      </c>
      <c r="S69" s="25"/>
      <c r="T69" s="22" t="s">
        <v>71</v>
      </c>
      <c r="U69" s="22" t="s">
        <v>72</v>
      </c>
      <c r="V69" s="24" t="s">
        <v>520</v>
      </c>
      <c r="W69" s="26">
        <f>IF('CRUDO MARTES'!W69="Si",$N69,)</f>
        <v>0</v>
      </c>
      <c r="X69" s="26">
        <f>IF('CRUDO MARTES'!X69="Si",$N69,)</f>
        <v>0</v>
      </c>
      <c r="Y69" s="26">
        <f>IF('CRUDO MARTES'!Y69="Si",$N69,)</f>
        <v>0</v>
      </c>
      <c r="Z69" s="26">
        <f>IF('CRUDO MARTES'!Z69="Si",$N69,)</f>
        <v>0</v>
      </c>
      <c r="AA69" s="26">
        <f>IF('CRUDO MARTES'!AA69="Si",$N69,)</f>
        <v>0</v>
      </c>
      <c r="AB69" s="26">
        <f>IF('CRUDO MARTES'!AB69="Si",$N69,)</f>
        <v>0</v>
      </c>
      <c r="AC69" s="26">
        <f>IF('CRUDO MARTES'!AC69="Si",$N69,)</f>
        <v>0</v>
      </c>
      <c r="AD69" s="26">
        <f>IF('CRUDO MARTES'!AD69="Si",$N69,)</f>
        <v>0</v>
      </c>
      <c r="AE69" s="26">
        <f>IF('CRUDO MARTES'!AE69="Si",$N69,)</f>
        <v>0</v>
      </c>
      <c r="AF69" s="26">
        <f>IF('CRUDO MARTES'!AF69="Si",$N69,)</f>
        <v>0</v>
      </c>
      <c r="AG69" s="26">
        <f>IF('CRUDO MARTES'!AG69="Si",$N69,)</f>
        <v>0</v>
      </c>
      <c r="AH69" s="26">
        <f>IF('CRUDO MARTES'!AH69="Si",$N69,)</f>
        <v>0</v>
      </c>
      <c r="AI69" s="26">
        <f>IF('CRUDO MARTES'!AI69="Si",$N69,)</f>
        <v>0</v>
      </c>
      <c r="AJ69" s="26">
        <f>IF('CRUDO MARTES'!AJ69="Si",$N69,)</f>
        <v>0</v>
      </c>
      <c r="AK69" s="26">
        <f>IF('CRUDO MARTES'!AK69="Si",$N69,)</f>
        <v>0</v>
      </c>
      <c r="AL69" s="26">
        <f>IF('CRUDO MARTES'!AL69="Si",$N69,)</f>
        <v>0</v>
      </c>
      <c r="AM69" s="26">
        <f>IF('CRUDO MARTES'!AM69="Si",$N69,)</f>
        <v>0</v>
      </c>
      <c r="AN69" s="26">
        <f>IF('CRUDO MARTES'!AN69="Si",$N69,)</f>
        <v>0</v>
      </c>
      <c r="AO69" s="26">
        <f>IF('CRUDO MARTES'!AO69="Si",$N69,)</f>
        <v>0</v>
      </c>
      <c r="AP69" s="22" t="s">
        <v>909</v>
      </c>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row>
    <row r="70" spans="1:88" ht="13.2" hidden="1">
      <c r="A70" s="21">
        <v>45369.978644664356</v>
      </c>
      <c r="B70" s="22" t="s">
        <v>904</v>
      </c>
      <c r="C70" s="22" t="s">
        <v>910</v>
      </c>
      <c r="D70" s="22">
        <v>201690</v>
      </c>
      <c r="E70" s="22" t="s">
        <v>84</v>
      </c>
      <c r="F70" s="22" t="s">
        <v>304</v>
      </c>
      <c r="G70" s="22" t="s">
        <v>64</v>
      </c>
      <c r="H70" s="22" t="s">
        <v>906</v>
      </c>
      <c r="I70" s="22" t="s">
        <v>911</v>
      </c>
      <c r="J70" s="22" t="s">
        <v>908</v>
      </c>
      <c r="K70" s="22" t="s">
        <v>904</v>
      </c>
      <c r="L70" s="22" t="s">
        <v>89</v>
      </c>
      <c r="M70" s="22" t="s">
        <v>446</v>
      </c>
      <c r="N70" s="22">
        <v>0</v>
      </c>
      <c r="O70" s="22" t="s">
        <v>148</v>
      </c>
      <c r="P70" s="22">
        <v>5</v>
      </c>
      <c r="Q70" s="22">
        <v>5</v>
      </c>
      <c r="R70" s="22">
        <v>0</v>
      </c>
      <c r="S70" s="25"/>
      <c r="T70" s="22" t="s">
        <v>71</v>
      </c>
      <c r="U70" s="22" t="s">
        <v>72</v>
      </c>
      <c r="V70" s="24" t="s">
        <v>520</v>
      </c>
      <c r="W70" s="26">
        <f>IF('CRUDO MARTES'!W70="Si",$N70,)</f>
        <v>0</v>
      </c>
      <c r="X70" s="26">
        <f>IF('CRUDO MARTES'!X70="Si",$N70,)</f>
        <v>0</v>
      </c>
      <c r="Y70" s="26">
        <f>IF('CRUDO MARTES'!Y70="Si",$N70,)</f>
        <v>0</v>
      </c>
      <c r="Z70" s="26">
        <f>IF('CRUDO MARTES'!Z70="Si",$N70,)</f>
        <v>0</v>
      </c>
      <c r="AA70" s="26">
        <f>IF('CRUDO MARTES'!AA70="Si",$N70,)</f>
        <v>0</v>
      </c>
      <c r="AB70" s="26">
        <f>IF('CRUDO MARTES'!AB70="Si",$N70,)</f>
        <v>0</v>
      </c>
      <c r="AC70" s="26">
        <f>IF('CRUDO MARTES'!AC70="Si",$N70,)</f>
        <v>0</v>
      </c>
      <c r="AD70" s="26">
        <f>IF('CRUDO MARTES'!AD70="Si",$N70,)</f>
        <v>0</v>
      </c>
      <c r="AE70" s="26">
        <f>IF('CRUDO MARTES'!AE70="Si",$N70,)</f>
        <v>0</v>
      </c>
      <c r="AF70" s="26">
        <f>IF('CRUDO MARTES'!AF70="Si",$N70,)</f>
        <v>0</v>
      </c>
      <c r="AG70" s="26">
        <f>IF('CRUDO MARTES'!AG70="Si",$N70,)</f>
        <v>0</v>
      </c>
      <c r="AH70" s="26">
        <f>IF('CRUDO MARTES'!AH70="Si",$N70,)</f>
        <v>0</v>
      </c>
      <c r="AI70" s="26">
        <f>IF('CRUDO MARTES'!AI70="Si",$N70,)</f>
        <v>0</v>
      </c>
      <c r="AJ70" s="26">
        <f>IF('CRUDO MARTES'!AJ70="Si",$N70,)</f>
        <v>0</v>
      </c>
      <c r="AK70" s="26">
        <f>IF('CRUDO MARTES'!AK70="Si",$N70,)</f>
        <v>0</v>
      </c>
      <c r="AL70" s="26">
        <f>IF('CRUDO MARTES'!AL70="Si",$N70,)</f>
        <v>0</v>
      </c>
      <c r="AM70" s="26">
        <f>IF('CRUDO MARTES'!AM70="Si",$N70,)</f>
        <v>0</v>
      </c>
      <c r="AN70" s="26">
        <f>IF('CRUDO MARTES'!AN70="Si",$N70,)</f>
        <v>0</v>
      </c>
      <c r="AO70" s="26">
        <f>IF('CRUDO MARTES'!AO70="Si",$N70,)</f>
        <v>0</v>
      </c>
      <c r="AP70" s="22" t="s">
        <v>909</v>
      </c>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row>
    <row r="71" spans="1:88" ht="13.2" hidden="1">
      <c r="A71" s="13">
        <v>45369.989024675924</v>
      </c>
      <c r="B71" s="14" t="s">
        <v>912</v>
      </c>
      <c r="C71" s="28" t="s">
        <v>913</v>
      </c>
      <c r="D71" s="14">
        <v>61726900</v>
      </c>
      <c r="E71" s="14" t="s">
        <v>62</v>
      </c>
      <c r="F71" s="14" t="s">
        <v>914</v>
      </c>
      <c r="G71" s="14" t="s">
        <v>105</v>
      </c>
      <c r="H71" s="14" t="s">
        <v>915</v>
      </c>
      <c r="I71" s="14" t="s">
        <v>916</v>
      </c>
      <c r="J71" s="16"/>
      <c r="K71" s="14" t="s">
        <v>912</v>
      </c>
      <c r="L71" s="14" t="s">
        <v>245</v>
      </c>
      <c r="M71" s="14" t="s">
        <v>246</v>
      </c>
      <c r="N71" s="14">
        <v>0</v>
      </c>
      <c r="O71" s="14" t="s">
        <v>70</v>
      </c>
      <c r="P71" s="14">
        <v>2</v>
      </c>
      <c r="Q71" s="14">
        <v>1</v>
      </c>
      <c r="R71" s="14">
        <v>15</v>
      </c>
      <c r="S71" s="14" t="s">
        <v>917</v>
      </c>
      <c r="T71" s="14" t="s">
        <v>71</v>
      </c>
      <c r="U71" s="14" t="s">
        <v>72</v>
      </c>
      <c r="V71" s="15" t="s">
        <v>520</v>
      </c>
      <c r="W71" s="29">
        <v>0</v>
      </c>
      <c r="X71" s="30">
        <f>IF('CRUDO MARTES'!X71="Si",$N71,)</f>
        <v>0</v>
      </c>
      <c r="Y71" s="30">
        <f>IF('CRUDO MARTES'!Y71="Si",$N71,)</f>
        <v>0</v>
      </c>
      <c r="Z71" s="30">
        <f>IF('CRUDO MARTES'!Z71="Si",$N71,)</f>
        <v>0</v>
      </c>
      <c r="AA71" s="30">
        <f>IF('CRUDO MARTES'!AA71="Si",$N71,)</f>
        <v>0</v>
      </c>
      <c r="AB71" s="29">
        <v>0</v>
      </c>
      <c r="AC71" s="30">
        <f>IF('CRUDO MARTES'!AC71="Si",$N71,)</f>
        <v>0</v>
      </c>
      <c r="AD71" s="30">
        <f>IF('CRUDO MARTES'!AD71="Si",$N71,)</f>
        <v>0</v>
      </c>
      <c r="AE71" s="30">
        <f>IF('CRUDO MARTES'!AE71="Si",$N71,)</f>
        <v>0</v>
      </c>
      <c r="AF71" s="30">
        <f>IF('CRUDO MARTES'!AF71="Si",$N71,)</f>
        <v>0</v>
      </c>
      <c r="AG71" s="29">
        <v>0</v>
      </c>
      <c r="AH71" s="29">
        <v>0</v>
      </c>
      <c r="AI71" s="29">
        <v>0</v>
      </c>
      <c r="AJ71" s="30">
        <f>IF('CRUDO MARTES'!AJ71="Si",$N71,)</f>
        <v>0</v>
      </c>
      <c r="AK71" s="30">
        <f>IF('CRUDO MARTES'!AK71="Si",$N71,)</f>
        <v>0</v>
      </c>
      <c r="AL71" s="29">
        <v>0</v>
      </c>
      <c r="AM71" s="30">
        <f>IF('CRUDO MARTES'!AM71="Si",$N71,)</f>
        <v>0</v>
      </c>
      <c r="AN71" s="30">
        <f>IF('CRUDO MARTES'!AN71="Si",$N71,)</f>
        <v>0</v>
      </c>
      <c r="AO71" s="30">
        <f>IF('CRUDO MARTES'!AO71="Si",$N71,)</f>
        <v>0</v>
      </c>
      <c r="AP71" s="14" t="s">
        <v>918</v>
      </c>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row>
    <row r="72" spans="1:88" ht="13.2" hidden="1">
      <c r="A72" s="13">
        <v>45365.419531574073</v>
      </c>
      <c r="B72" s="14" t="s">
        <v>718</v>
      </c>
      <c r="C72" s="28" t="s">
        <v>719</v>
      </c>
      <c r="D72" s="15" t="s">
        <v>720</v>
      </c>
      <c r="E72" s="14" t="s">
        <v>286</v>
      </c>
      <c r="F72" s="14" t="s">
        <v>721</v>
      </c>
      <c r="G72" s="14" t="s">
        <v>105</v>
      </c>
      <c r="H72" s="14" t="s">
        <v>722</v>
      </c>
      <c r="I72" s="14" t="s">
        <v>723</v>
      </c>
      <c r="J72" s="16"/>
      <c r="K72" s="14" t="s">
        <v>718</v>
      </c>
      <c r="L72" s="14" t="s">
        <v>138</v>
      </c>
      <c r="M72" s="14" t="s">
        <v>281</v>
      </c>
      <c r="N72" s="14">
        <v>0</v>
      </c>
      <c r="O72" s="14" t="s">
        <v>282</v>
      </c>
      <c r="P72" s="14">
        <v>5</v>
      </c>
      <c r="Q72" s="14">
        <v>5</v>
      </c>
      <c r="R72" s="14">
        <v>45</v>
      </c>
      <c r="S72" s="14" t="s">
        <v>200</v>
      </c>
      <c r="T72" s="14" t="s">
        <v>71</v>
      </c>
      <c r="U72" s="14" t="s">
        <v>72</v>
      </c>
      <c r="V72" s="15" t="s">
        <v>520</v>
      </c>
      <c r="W72" s="30">
        <f>IF('CRUDO MARTES'!W72="Si",$N72,)</f>
        <v>0</v>
      </c>
      <c r="X72" s="30">
        <f>IF('CRUDO MARTES'!X72="Si",$N72,)</f>
        <v>0</v>
      </c>
      <c r="Y72" s="30">
        <f>IF('CRUDO MARTES'!Y72="Si",$N72,)</f>
        <v>0</v>
      </c>
      <c r="Z72" s="30">
        <f>IF('CRUDO MARTES'!Z72="Si",$N72,)</f>
        <v>0</v>
      </c>
      <c r="AA72" s="30">
        <f>IF('CRUDO MARTES'!AA72="Si",$N72,)</f>
        <v>0</v>
      </c>
      <c r="AB72" s="30">
        <f>IF('CRUDO MARTES'!AB72="Si",$N72,)</f>
        <v>0</v>
      </c>
      <c r="AC72" s="30">
        <f>IF('CRUDO MARTES'!AC72="Si",$N72,)</f>
        <v>0</v>
      </c>
      <c r="AD72" s="30">
        <f>IF('CRUDO MARTES'!AD72="Si",$N72,)</f>
        <v>0</v>
      </c>
      <c r="AE72" s="30">
        <f>IF('CRUDO MARTES'!AE72="Si",$N72,)</f>
        <v>0</v>
      </c>
      <c r="AF72" s="30">
        <f>IF('CRUDO MARTES'!AF72="Si",$N72,)</f>
        <v>0</v>
      </c>
      <c r="AG72" s="30">
        <f>IF('CRUDO MARTES'!AG72="Si",$N72,)</f>
        <v>0</v>
      </c>
      <c r="AH72" s="30">
        <f>IF('CRUDO MARTES'!AH72="Si",$N72,)</f>
        <v>0</v>
      </c>
      <c r="AI72" s="31">
        <f>IF('CRUDO MARTES'!AI72="Si",$N72,)</f>
        <v>0</v>
      </c>
      <c r="AJ72" s="30">
        <f>IF('CRUDO MARTES'!AJ72="Si",$N72,)</f>
        <v>0</v>
      </c>
      <c r="AK72" s="30">
        <f>IF('CRUDO MARTES'!AK72="Si",$N72,)</f>
        <v>0</v>
      </c>
      <c r="AL72" s="29">
        <v>0</v>
      </c>
      <c r="AM72" s="30">
        <f>IF('CRUDO MARTES'!AM72="Si",$N72,)</f>
        <v>0</v>
      </c>
      <c r="AN72" s="30">
        <f>IF('CRUDO MARTES'!AN72="Si",$N72,)</f>
        <v>0</v>
      </c>
      <c r="AO72" s="30">
        <f>IF('CRUDO MARTES'!AO72="Si",$N72,)</f>
        <v>0</v>
      </c>
      <c r="AP72" s="14" t="s">
        <v>724</v>
      </c>
    </row>
    <row r="73" spans="1:88" ht="26.4" hidden="1">
      <c r="A73" s="13">
        <v>45367.5013937037</v>
      </c>
      <c r="B73" s="14" t="s">
        <v>808</v>
      </c>
      <c r="C73" s="28" t="s">
        <v>421</v>
      </c>
      <c r="D73" s="14">
        <v>20116900</v>
      </c>
      <c r="E73" s="14" t="s">
        <v>286</v>
      </c>
      <c r="F73" s="14" t="s">
        <v>422</v>
      </c>
      <c r="G73" s="14" t="s">
        <v>105</v>
      </c>
      <c r="H73" s="14" t="s">
        <v>423</v>
      </c>
      <c r="I73" s="14" t="s">
        <v>423</v>
      </c>
      <c r="J73" s="14" t="s">
        <v>809</v>
      </c>
      <c r="K73" s="14" t="s">
        <v>808</v>
      </c>
      <c r="L73" s="14" t="s">
        <v>89</v>
      </c>
      <c r="M73" s="14" t="s">
        <v>425</v>
      </c>
      <c r="N73" s="14">
        <v>0</v>
      </c>
      <c r="O73" s="14" t="s">
        <v>282</v>
      </c>
      <c r="P73" s="14">
        <v>5</v>
      </c>
      <c r="Q73" s="14">
        <v>4</v>
      </c>
      <c r="R73" s="14">
        <v>60</v>
      </c>
      <c r="S73" s="16"/>
      <c r="T73" s="14" t="s">
        <v>71</v>
      </c>
      <c r="U73" s="14" t="s">
        <v>72</v>
      </c>
      <c r="V73" s="15" t="s">
        <v>520</v>
      </c>
      <c r="W73" s="30">
        <f>IF('CRUDO MARTES'!W73="Si",$N73,)</f>
        <v>0</v>
      </c>
      <c r="X73" s="29">
        <v>0</v>
      </c>
      <c r="Y73" s="29">
        <v>0</v>
      </c>
      <c r="Z73" s="30">
        <f>IF('CRUDO MARTES'!Z73="Si",$N73,)</f>
        <v>0</v>
      </c>
      <c r="AA73" s="29">
        <v>0</v>
      </c>
      <c r="AB73" s="29">
        <v>0</v>
      </c>
      <c r="AC73" s="30">
        <f>IF('CRUDO MARTES'!AC73="Si",$N73,)</f>
        <v>0</v>
      </c>
      <c r="AD73" s="30">
        <f>IF('CRUDO MARTES'!AD73="Si",$N73,)</f>
        <v>0</v>
      </c>
      <c r="AE73" s="30">
        <f>IF('CRUDO MARTES'!AE73="Si",$N73,)</f>
        <v>0</v>
      </c>
      <c r="AF73" s="30">
        <f>IF('CRUDO MARTES'!AF73="Si",$N73,)</f>
        <v>0</v>
      </c>
      <c r="AG73" s="29">
        <v>0</v>
      </c>
      <c r="AH73" s="31">
        <f>IF('CRUDO MARTES'!AH73="Si",$N73,)</f>
        <v>0</v>
      </c>
      <c r="AI73" s="29">
        <v>0</v>
      </c>
      <c r="AJ73" s="30">
        <f>IF('CRUDO MARTES'!AJ73="Si",$N73,)</f>
        <v>0</v>
      </c>
      <c r="AK73" s="30">
        <f>IF('CRUDO MARTES'!AK73="Si",$N73,)</f>
        <v>0</v>
      </c>
      <c r="AL73" s="29">
        <v>0</v>
      </c>
      <c r="AM73" s="29">
        <v>0</v>
      </c>
      <c r="AN73" s="30">
        <f>IF('CRUDO MARTES'!AN73="Si",$N73,)</f>
        <v>0</v>
      </c>
      <c r="AO73" s="30">
        <f>IF('CRUDO MARTES'!AO73="Si",$N73,)</f>
        <v>0</v>
      </c>
      <c r="AP73" s="16"/>
    </row>
    <row r="74" spans="1:88" ht="13.2" hidden="1">
      <c r="A74" s="13">
        <v>45369.031134166667</v>
      </c>
      <c r="B74" s="14" t="s">
        <v>853</v>
      </c>
      <c r="C74" s="28" t="s">
        <v>854</v>
      </c>
      <c r="D74" s="14">
        <v>61114200</v>
      </c>
      <c r="E74" s="14" t="s">
        <v>62</v>
      </c>
      <c r="F74" s="14" t="s">
        <v>855</v>
      </c>
      <c r="G74" s="14" t="s">
        <v>105</v>
      </c>
      <c r="H74" s="14" t="s">
        <v>856</v>
      </c>
      <c r="I74" s="14" t="s">
        <v>857</v>
      </c>
      <c r="J74" s="16"/>
      <c r="K74" s="14" t="s">
        <v>853</v>
      </c>
      <c r="L74" s="14" t="s">
        <v>245</v>
      </c>
      <c r="M74" s="14" t="s">
        <v>858</v>
      </c>
      <c r="N74" s="14">
        <v>0</v>
      </c>
      <c r="O74" s="14" t="s">
        <v>282</v>
      </c>
      <c r="P74" s="14">
        <v>1</v>
      </c>
      <c r="Q74" s="14">
        <v>1</v>
      </c>
      <c r="R74" s="14">
        <v>50</v>
      </c>
      <c r="S74" s="14" t="s">
        <v>859</v>
      </c>
      <c r="T74" s="14" t="s">
        <v>71</v>
      </c>
      <c r="U74" s="14" t="s">
        <v>72</v>
      </c>
      <c r="V74" s="15" t="s">
        <v>520</v>
      </c>
      <c r="W74" s="30">
        <f>IF('CRUDO MARTES'!W74="Si",$N74,)</f>
        <v>0</v>
      </c>
      <c r="X74" s="30">
        <f>IF('CRUDO MARTES'!X74="Si",$N74,)</f>
        <v>0</v>
      </c>
      <c r="Y74" s="30">
        <f>IF('CRUDO MARTES'!Y74="Si",$N74,)</f>
        <v>0</v>
      </c>
      <c r="Z74" s="30">
        <f>IF('CRUDO MARTES'!Z74="Si",$N74,)</f>
        <v>0</v>
      </c>
      <c r="AA74" s="30">
        <f>IF('CRUDO MARTES'!AA74="Si",$N74,)</f>
        <v>0</v>
      </c>
      <c r="AB74" s="30">
        <f>IF('CRUDO MARTES'!AB74="Si",$N74,)</f>
        <v>0</v>
      </c>
      <c r="AC74" s="30">
        <f>IF('CRUDO MARTES'!AC74="Si",$N74,)</f>
        <v>0</v>
      </c>
      <c r="AD74" s="30">
        <f>IF('CRUDO MARTES'!AD74="Si",$N74,)</f>
        <v>0</v>
      </c>
      <c r="AE74" s="29">
        <v>12</v>
      </c>
      <c r="AF74" s="30">
        <f>IF('CRUDO MARTES'!AF74="Si",$N74,)</f>
        <v>0</v>
      </c>
      <c r="AG74" s="30">
        <f>IF('CRUDO MARTES'!AG74="Si",$N74,)</f>
        <v>0</v>
      </c>
      <c r="AH74" s="30">
        <f>IF('CRUDO MARTES'!AH74="Si",$N74,)</f>
        <v>0</v>
      </c>
      <c r="AI74" s="30">
        <f>IF('CRUDO MARTES'!AI74="Si",$N74,)</f>
        <v>0</v>
      </c>
      <c r="AJ74" s="29">
        <v>0</v>
      </c>
      <c r="AK74" s="30">
        <f>IF('CRUDO MARTES'!AK74="Si",$N74,)</f>
        <v>0</v>
      </c>
      <c r="AL74" s="30">
        <f>IF('CRUDO MARTES'!AL74="Si",$N74,)</f>
        <v>0</v>
      </c>
      <c r="AM74" s="30">
        <f>IF('CRUDO MARTES'!AM74="Si",$N74,)</f>
        <v>0</v>
      </c>
      <c r="AN74" s="30">
        <f>IF('CRUDO MARTES'!AN74="Si",$N74,)</f>
        <v>0</v>
      </c>
      <c r="AO74" s="31">
        <f>IF('CRUDO MARTES'!AO74="Si",$N74,)</f>
        <v>0</v>
      </c>
      <c r="AP74" s="14" t="s">
        <v>860</v>
      </c>
    </row>
    <row r="75" spans="1:88" ht="13.2">
      <c r="C75" s="35"/>
      <c r="N75" s="17">
        <f>SUM(N2:N71)</f>
        <v>463</v>
      </c>
    </row>
    <row r="76" spans="1:88" ht="13.2">
      <c r="C76" s="35"/>
      <c r="W76" s="12">
        <f t="shared" ref="W76:AO76" si="0">SUM(W1:W74)</f>
        <v>109</v>
      </c>
      <c r="X76" s="12">
        <f t="shared" si="0"/>
        <v>363</v>
      </c>
      <c r="Y76" s="12">
        <f t="shared" si="0"/>
        <v>277</v>
      </c>
      <c r="Z76" s="12">
        <f t="shared" si="0"/>
        <v>122</v>
      </c>
      <c r="AA76" s="12">
        <f t="shared" si="0"/>
        <v>57</v>
      </c>
      <c r="AB76" s="12">
        <f t="shared" si="0"/>
        <v>0</v>
      </c>
      <c r="AC76" s="12">
        <f t="shared" si="0"/>
        <v>296</v>
      </c>
      <c r="AD76" s="12">
        <f t="shared" si="0"/>
        <v>90</v>
      </c>
      <c r="AE76" s="12">
        <f t="shared" si="0"/>
        <v>159</v>
      </c>
      <c r="AF76" s="12">
        <f t="shared" si="0"/>
        <v>66</v>
      </c>
      <c r="AG76" s="12">
        <f t="shared" si="0"/>
        <v>0</v>
      </c>
      <c r="AH76" s="12">
        <f t="shared" si="0"/>
        <v>44</v>
      </c>
      <c r="AI76" s="12">
        <f t="shared" si="0"/>
        <v>35</v>
      </c>
      <c r="AJ76" s="12">
        <f t="shared" si="0"/>
        <v>30</v>
      </c>
      <c r="AK76" s="12">
        <f t="shared" si="0"/>
        <v>35</v>
      </c>
      <c r="AL76" s="12">
        <f t="shared" si="0"/>
        <v>0</v>
      </c>
      <c r="AM76" s="12">
        <f t="shared" si="0"/>
        <v>0</v>
      </c>
      <c r="AN76" s="12">
        <f t="shared" si="0"/>
        <v>0</v>
      </c>
      <c r="AO76" s="12">
        <f t="shared" si="0"/>
        <v>0</v>
      </c>
    </row>
    <row r="77" spans="1:88" ht="13.2">
      <c r="C77" s="35"/>
      <c r="V77" s="6" t="s">
        <v>1269</v>
      </c>
      <c r="W77" s="17">
        <f>450+90</f>
        <v>540</v>
      </c>
      <c r="X77" s="6">
        <v>400</v>
      </c>
      <c r="Y77" s="6">
        <v>450</v>
      </c>
      <c r="Z77" s="6">
        <v>450</v>
      </c>
      <c r="AA77" s="6">
        <v>300</v>
      </c>
      <c r="AB77" s="6">
        <v>500</v>
      </c>
      <c r="AC77" s="6">
        <v>400</v>
      </c>
      <c r="AD77" s="6">
        <v>400</v>
      </c>
      <c r="AE77" s="6">
        <v>400</v>
      </c>
      <c r="AF77" s="6">
        <v>400</v>
      </c>
      <c r="AG77" s="6">
        <v>0</v>
      </c>
      <c r="AH77" s="17">
        <f>45+45+30+30</f>
        <v>150</v>
      </c>
      <c r="AI77" s="17">
        <f>45+45</f>
        <v>90</v>
      </c>
      <c r="AJ77" s="6">
        <v>45</v>
      </c>
      <c r="AK77" s="6">
        <f>30+30</f>
        <v>60</v>
      </c>
      <c r="AL77" s="6">
        <v>90</v>
      </c>
      <c r="AM77" s="6">
        <f t="shared" ref="AM77:AN77" si="1">30+30</f>
        <v>60</v>
      </c>
      <c r="AN77" s="6">
        <f t="shared" si="1"/>
        <v>60</v>
      </c>
      <c r="AO77" s="6">
        <f>30+30+30</f>
        <v>90</v>
      </c>
    </row>
    <row r="78" spans="1:88" ht="13.2">
      <c r="C78" s="35"/>
      <c r="W78" s="17">
        <f t="shared" ref="W78:AO78" si="2">W77-W76</f>
        <v>431</v>
      </c>
      <c r="X78" s="17">
        <f t="shared" si="2"/>
        <v>37</v>
      </c>
      <c r="Y78" s="17">
        <f t="shared" si="2"/>
        <v>173</v>
      </c>
      <c r="Z78" s="17">
        <f t="shared" si="2"/>
        <v>328</v>
      </c>
      <c r="AA78" s="17">
        <f t="shared" si="2"/>
        <v>243</v>
      </c>
      <c r="AB78" s="17">
        <f t="shared" si="2"/>
        <v>500</v>
      </c>
      <c r="AC78" s="17">
        <f t="shared" si="2"/>
        <v>104</v>
      </c>
      <c r="AD78" s="17">
        <f t="shared" si="2"/>
        <v>310</v>
      </c>
      <c r="AE78" s="17">
        <f t="shared" si="2"/>
        <v>241</v>
      </c>
      <c r="AF78" s="17">
        <f t="shared" si="2"/>
        <v>334</v>
      </c>
      <c r="AG78" s="17">
        <f t="shared" si="2"/>
        <v>0</v>
      </c>
      <c r="AH78" s="17">
        <f t="shared" si="2"/>
        <v>106</v>
      </c>
      <c r="AI78" s="17">
        <f t="shared" si="2"/>
        <v>55</v>
      </c>
      <c r="AJ78" s="17">
        <f t="shared" si="2"/>
        <v>15</v>
      </c>
      <c r="AK78" s="17">
        <f t="shared" si="2"/>
        <v>25</v>
      </c>
      <c r="AL78" s="17">
        <f t="shared" si="2"/>
        <v>90</v>
      </c>
      <c r="AM78" s="17">
        <f t="shared" si="2"/>
        <v>60</v>
      </c>
      <c r="AN78" s="17">
        <f t="shared" si="2"/>
        <v>60</v>
      </c>
      <c r="AO78" s="17">
        <f t="shared" si="2"/>
        <v>90</v>
      </c>
    </row>
    <row r="79" spans="1:88" ht="13.2">
      <c r="C79" s="35"/>
    </row>
    <row r="80" spans="1:88" ht="13.2">
      <c r="C80" s="35"/>
      <c r="W80" s="17">
        <f>W76+X76+Y76</f>
        <v>749</v>
      </c>
    </row>
    <row r="81" spans="3:31" ht="13.2">
      <c r="C81" s="35"/>
      <c r="AE81" s="6" t="s">
        <v>1270</v>
      </c>
    </row>
    <row r="82" spans="3:31" ht="13.2">
      <c r="C82" s="35"/>
    </row>
    <row r="83" spans="3:31" ht="13.2">
      <c r="C83" s="35"/>
    </row>
    <row r="84" spans="3:31" ht="13.2">
      <c r="C84" s="35"/>
    </row>
    <row r="85" spans="3:31" ht="13.2">
      <c r="C85" s="35"/>
    </row>
    <row r="86" spans="3:31" ht="13.2">
      <c r="C86" s="35"/>
    </row>
    <row r="87" spans="3:31" ht="13.2">
      <c r="C87" s="35"/>
    </row>
    <row r="88" spans="3:31" ht="13.2">
      <c r="C88" s="35"/>
    </row>
    <row r="89" spans="3:31" ht="13.2">
      <c r="C89" s="35"/>
    </row>
    <row r="90" spans="3:31" ht="13.2">
      <c r="C90" s="35"/>
    </row>
    <row r="91" spans="3:31" ht="13.2">
      <c r="C91" s="35"/>
    </row>
    <row r="92" spans="3:31" ht="13.2">
      <c r="C92" s="35"/>
    </row>
    <row r="93" spans="3:31" ht="13.2">
      <c r="C93" s="35"/>
    </row>
    <row r="94" spans="3:31" ht="13.2">
      <c r="C94" s="35"/>
    </row>
    <row r="95" spans="3:31" ht="13.2">
      <c r="C95" s="35"/>
    </row>
    <row r="96" spans="3:31" ht="13.2">
      <c r="C96" s="35"/>
    </row>
    <row r="97" spans="3:3" ht="13.2">
      <c r="C97" s="35"/>
    </row>
    <row r="98" spans="3:3" ht="13.2">
      <c r="C98" s="35"/>
    </row>
    <row r="99" spans="3:3" ht="13.2">
      <c r="C99" s="35"/>
    </row>
    <row r="100" spans="3:3" ht="13.2">
      <c r="C100" s="35"/>
    </row>
    <row r="101" spans="3:3" ht="13.2">
      <c r="C101" s="35"/>
    </row>
    <row r="102" spans="3:3" ht="13.2">
      <c r="C102" s="35"/>
    </row>
    <row r="103" spans="3:3" ht="13.2">
      <c r="C103" s="35"/>
    </row>
    <row r="104" spans="3:3" ht="13.2">
      <c r="C104" s="35"/>
    </row>
    <row r="105" spans="3:3" ht="13.2">
      <c r="C105" s="35"/>
    </row>
    <row r="106" spans="3:3" ht="13.2">
      <c r="C106" s="35"/>
    </row>
    <row r="107" spans="3:3" ht="13.2">
      <c r="C107" s="35"/>
    </row>
    <row r="108" spans="3:3" ht="13.2">
      <c r="C108" s="35"/>
    </row>
    <row r="109" spans="3:3" ht="13.2">
      <c r="C109" s="35"/>
    </row>
    <row r="110" spans="3:3" ht="13.2">
      <c r="C110" s="35"/>
    </row>
    <row r="111" spans="3:3" ht="13.2">
      <c r="C111" s="35"/>
    </row>
    <row r="112" spans="3:3" ht="13.2">
      <c r="C112" s="35"/>
    </row>
    <row r="113" spans="3:3" ht="13.2">
      <c r="C113" s="35"/>
    </row>
    <row r="114" spans="3:3" ht="13.2">
      <c r="C114" s="35"/>
    </row>
    <row r="115" spans="3:3" ht="13.2">
      <c r="C115" s="35"/>
    </row>
    <row r="116" spans="3:3" ht="13.2">
      <c r="C116" s="35"/>
    </row>
    <row r="117" spans="3:3" ht="13.2">
      <c r="C117" s="35"/>
    </row>
    <row r="118" spans="3:3" ht="13.2">
      <c r="C118" s="35"/>
    </row>
    <row r="119" spans="3:3" ht="13.2">
      <c r="C119" s="35"/>
    </row>
    <row r="120" spans="3:3" ht="13.2">
      <c r="C120" s="35"/>
    </row>
    <row r="121" spans="3:3" ht="13.2">
      <c r="C121" s="35"/>
    </row>
    <row r="122" spans="3:3" ht="13.2">
      <c r="C122" s="35"/>
    </row>
    <row r="123" spans="3:3" ht="13.2">
      <c r="C123" s="35"/>
    </row>
    <row r="124" spans="3:3" ht="13.2">
      <c r="C124" s="35"/>
    </row>
    <row r="125" spans="3:3" ht="13.2">
      <c r="C125" s="35"/>
    </row>
    <row r="126" spans="3:3" ht="13.2">
      <c r="C126" s="35"/>
    </row>
    <row r="127" spans="3:3" ht="13.2">
      <c r="C127" s="35"/>
    </row>
    <row r="128" spans="3:3" ht="13.2">
      <c r="C128" s="35"/>
    </row>
    <row r="129" spans="3:3" ht="13.2">
      <c r="C129" s="35"/>
    </row>
    <row r="130" spans="3:3" ht="13.2">
      <c r="C130" s="35"/>
    </row>
    <row r="131" spans="3:3" ht="13.2">
      <c r="C131" s="35"/>
    </row>
    <row r="132" spans="3:3" ht="13.2">
      <c r="C132" s="35"/>
    </row>
    <row r="133" spans="3:3" ht="13.2">
      <c r="C133" s="35"/>
    </row>
    <row r="134" spans="3:3" ht="13.2">
      <c r="C134" s="35"/>
    </row>
    <row r="135" spans="3:3" ht="13.2">
      <c r="C135" s="35"/>
    </row>
    <row r="136" spans="3:3" ht="13.2">
      <c r="C136" s="35"/>
    </row>
    <row r="137" spans="3:3" ht="13.2">
      <c r="C137" s="35"/>
    </row>
    <row r="138" spans="3:3" ht="13.2">
      <c r="C138" s="35"/>
    </row>
    <row r="139" spans="3:3" ht="13.2">
      <c r="C139" s="35"/>
    </row>
    <row r="140" spans="3:3" ht="13.2">
      <c r="C140" s="35"/>
    </row>
    <row r="141" spans="3:3" ht="13.2">
      <c r="C141" s="35"/>
    </row>
    <row r="142" spans="3:3" ht="13.2">
      <c r="C142" s="35"/>
    </row>
    <row r="143" spans="3:3" ht="13.2">
      <c r="C143" s="35"/>
    </row>
    <row r="144" spans="3:3" ht="13.2">
      <c r="C144" s="35"/>
    </row>
    <row r="145" spans="3:3" ht="13.2">
      <c r="C145" s="35"/>
    </row>
    <row r="146" spans="3:3" ht="13.2">
      <c r="C146" s="35"/>
    </row>
    <row r="147" spans="3:3" ht="13.2">
      <c r="C147" s="35"/>
    </row>
    <row r="148" spans="3:3" ht="13.2">
      <c r="C148" s="35"/>
    </row>
    <row r="149" spans="3:3" ht="13.2">
      <c r="C149" s="35"/>
    </row>
    <row r="150" spans="3:3" ht="13.2">
      <c r="C150" s="35"/>
    </row>
    <row r="151" spans="3:3" ht="13.2">
      <c r="C151" s="35"/>
    </row>
    <row r="152" spans="3:3" ht="13.2">
      <c r="C152" s="35"/>
    </row>
    <row r="153" spans="3:3" ht="13.2">
      <c r="C153" s="35"/>
    </row>
    <row r="154" spans="3:3" ht="13.2">
      <c r="C154" s="35"/>
    </row>
    <row r="155" spans="3:3" ht="13.2">
      <c r="C155" s="35"/>
    </row>
    <row r="156" spans="3:3" ht="13.2">
      <c r="C156" s="35"/>
    </row>
    <row r="157" spans="3:3" ht="13.2">
      <c r="C157" s="35"/>
    </row>
    <row r="158" spans="3:3" ht="13.2">
      <c r="C158" s="35"/>
    </row>
    <row r="159" spans="3:3" ht="13.2">
      <c r="C159" s="35"/>
    </row>
    <row r="160" spans="3:3" ht="13.2">
      <c r="C160" s="35"/>
    </row>
    <row r="161" spans="3:3" ht="13.2">
      <c r="C161" s="35"/>
    </row>
    <row r="162" spans="3:3" ht="13.2">
      <c r="C162" s="35"/>
    </row>
    <row r="163" spans="3:3" ht="13.2">
      <c r="C163" s="35"/>
    </row>
    <row r="164" spans="3:3" ht="13.2">
      <c r="C164" s="35"/>
    </row>
    <row r="165" spans="3:3" ht="13.2">
      <c r="C165" s="35"/>
    </row>
    <row r="166" spans="3:3" ht="13.2">
      <c r="C166" s="35"/>
    </row>
    <row r="167" spans="3:3" ht="13.2">
      <c r="C167" s="35"/>
    </row>
    <row r="168" spans="3:3" ht="13.2">
      <c r="C168" s="35"/>
    </row>
    <row r="169" spans="3:3" ht="13.2">
      <c r="C169" s="35"/>
    </row>
    <row r="170" spans="3:3" ht="13.2">
      <c r="C170" s="35"/>
    </row>
    <row r="171" spans="3:3" ht="13.2">
      <c r="C171" s="35"/>
    </row>
    <row r="172" spans="3:3" ht="13.2">
      <c r="C172" s="35"/>
    </row>
    <row r="173" spans="3:3" ht="13.2">
      <c r="C173" s="35"/>
    </row>
    <row r="174" spans="3:3" ht="13.2">
      <c r="C174" s="35"/>
    </row>
    <row r="175" spans="3:3" ht="13.2">
      <c r="C175" s="35"/>
    </row>
    <row r="176" spans="3:3" ht="13.2">
      <c r="C176" s="35"/>
    </row>
    <row r="177" spans="3:3" ht="13.2">
      <c r="C177" s="35"/>
    </row>
    <row r="178" spans="3:3" ht="13.2">
      <c r="C178" s="35"/>
    </row>
    <row r="179" spans="3:3" ht="13.2">
      <c r="C179" s="35"/>
    </row>
    <row r="180" spans="3:3" ht="13.2">
      <c r="C180" s="35"/>
    </row>
    <row r="181" spans="3:3" ht="13.2">
      <c r="C181" s="35"/>
    </row>
    <row r="182" spans="3:3" ht="13.2">
      <c r="C182" s="35"/>
    </row>
    <row r="183" spans="3:3" ht="13.2">
      <c r="C183" s="35"/>
    </row>
    <row r="184" spans="3:3" ht="13.2">
      <c r="C184" s="35"/>
    </row>
    <row r="185" spans="3:3" ht="13.2">
      <c r="C185" s="35"/>
    </row>
    <row r="186" spans="3:3" ht="13.2">
      <c r="C186" s="35"/>
    </row>
    <row r="187" spans="3:3" ht="13.2">
      <c r="C187" s="35"/>
    </row>
    <row r="188" spans="3:3" ht="13.2">
      <c r="C188" s="35"/>
    </row>
    <row r="189" spans="3:3" ht="13.2">
      <c r="C189" s="35"/>
    </row>
    <row r="190" spans="3:3" ht="13.2">
      <c r="C190" s="35"/>
    </row>
    <row r="191" spans="3:3" ht="13.2">
      <c r="C191" s="35"/>
    </row>
    <row r="192" spans="3:3" ht="13.2">
      <c r="C192" s="35"/>
    </row>
    <row r="193" spans="3:3" ht="13.2">
      <c r="C193" s="35"/>
    </row>
    <row r="194" spans="3:3" ht="13.2">
      <c r="C194" s="35"/>
    </row>
    <row r="195" spans="3:3" ht="13.2">
      <c r="C195" s="35"/>
    </row>
    <row r="196" spans="3:3" ht="13.2">
      <c r="C196" s="35"/>
    </row>
    <row r="197" spans="3:3" ht="13.2">
      <c r="C197" s="35"/>
    </row>
    <row r="198" spans="3:3" ht="13.2">
      <c r="C198" s="35"/>
    </row>
    <row r="199" spans="3:3" ht="13.2">
      <c r="C199" s="35"/>
    </row>
    <row r="200" spans="3:3" ht="13.2">
      <c r="C200" s="35"/>
    </row>
    <row r="201" spans="3:3" ht="13.2">
      <c r="C201" s="35"/>
    </row>
    <row r="202" spans="3:3" ht="13.2">
      <c r="C202" s="35"/>
    </row>
    <row r="203" spans="3:3" ht="13.2">
      <c r="C203" s="35"/>
    </row>
    <row r="204" spans="3:3" ht="13.2">
      <c r="C204" s="35"/>
    </row>
    <row r="205" spans="3:3" ht="13.2">
      <c r="C205" s="35"/>
    </row>
    <row r="206" spans="3:3" ht="13.2">
      <c r="C206" s="35"/>
    </row>
    <row r="207" spans="3:3" ht="13.2">
      <c r="C207" s="35"/>
    </row>
    <row r="208" spans="3:3" ht="13.2">
      <c r="C208" s="35"/>
    </row>
    <row r="209" spans="3:3" ht="13.2">
      <c r="C209" s="35"/>
    </row>
    <row r="210" spans="3:3" ht="13.2">
      <c r="C210" s="35"/>
    </row>
    <row r="211" spans="3:3" ht="13.2">
      <c r="C211" s="35"/>
    </row>
    <row r="212" spans="3:3" ht="13.2">
      <c r="C212" s="35"/>
    </row>
    <row r="213" spans="3:3" ht="13.2">
      <c r="C213" s="35"/>
    </row>
    <row r="214" spans="3:3" ht="13.2">
      <c r="C214" s="35"/>
    </row>
    <row r="215" spans="3:3" ht="13.2">
      <c r="C215" s="35"/>
    </row>
    <row r="216" spans="3:3" ht="13.2">
      <c r="C216" s="35"/>
    </row>
    <row r="217" spans="3:3" ht="13.2">
      <c r="C217" s="35"/>
    </row>
    <row r="218" spans="3:3" ht="13.2">
      <c r="C218" s="35"/>
    </row>
    <row r="219" spans="3:3" ht="13.2">
      <c r="C219" s="35"/>
    </row>
    <row r="220" spans="3:3" ht="13.2">
      <c r="C220" s="35"/>
    </row>
    <row r="221" spans="3:3" ht="13.2">
      <c r="C221" s="35"/>
    </row>
    <row r="222" spans="3:3" ht="13.2">
      <c r="C222" s="35"/>
    </row>
    <row r="223" spans="3:3" ht="13.2">
      <c r="C223" s="35"/>
    </row>
    <row r="224" spans="3:3" ht="13.2">
      <c r="C224" s="35"/>
    </row>
    <row r="225" spans="3:3" ht="13.2">
      <c r="C225" s="35"/>
    </row>
    <row r="226" spans="3:3" ht="13.2">
      <c r="C226" s="35"/>
    </row>
    <row r="227" spans="3:3" ht="13.2">
      <c r="C227" s="35"/>
    </row>
    <row r="228" spans="3:3" ht="13.2">
      <c r="C228" s="35"/>
    </row>
    <row r="229" spans="3:3" ht="13.2">
      <c r="C229" s="35"/>
    </row>
    <row r="230" spans="3:3" ht="13.2">
      <c r="C230" s="35"/>
    </row>
    <row r="231" spans="3:3" ht="13.2">
      <c r="C231" s="35"/>
    </row>
    <row r="232" spans="3:3" ht="13.2">
      <c r="C232" s="35"/>
    </row>
    <row r="233" spans="3:3" ht="13.2">
      <c r="C233" s="35"/>
    </row>
    <row r="234" spans="3:3" ht="13.2">
      <c r="C234" s="35"/>
    </row>
    <row r="235" spans="3:3" ht="13.2">
      <c r="C235" s="35"/>
    </row>
    <row r="236" spans="3:3" ht="13.2">
      <c r="C236" s="35"/>
    </row>
    <row r="237" spans="3:3" ht="13.2">
      <c r="C237" s="35"/>
    </row>
    <row r="238" spans="3:3" ht="13.2">
      <c r="C238" s="35"/>
    </row>
    <row r="239" spans="3:3" ht="13.2">
      <c r="C239" s="35"/>
    </row>
    <row r="240" spans="3:3" ht="13.2">
      <c r="C240" s="35"/>
    </row>
    <row r="241" spans="3:3" ht="13.2">
      <c r="C241" s="35"/>
    </row>
    <row r="242" spans="3:3" ht="13.2">
      <c r="C242" s="35"/>
    </row>
    <row r="243" spans="3:3" ht="13.2">
      <c r="C243" s="35"/>
    </row>
    <row r="244" spans="3:3" ht="13.2">
      <c r="C244" s="35"/>
    </row>
    <row r="245" spans="3:3" ht="13.2">
      <c r="C245" s="35"/>
    </row>
    <row r="246" spans="3:3" ht="13.2">
      <c r="C246" s="35"/>
    </row>
    <row r="247" spans="3:3" ht="13.2">
      <c r="C247" s="35"/>
    </row>
    <row r="248" spans="3:3" ht="13.2">
      <c r="C248" s="35"/>
    </row>
    <row r="249" spans="3:3" ht="13.2">
      <c r="C249" s="35"/>
    </row>
    <row r="250" spans="3:3" ht="13.2">
      <c r="C250" s="35"/>
    </row>
    <row r="251" spans="3:3" ht="13.2">
      <c r="C251" s="35"/>
    </row>
    <row r="252" spans="3:3" ht="13.2">
      <c r="C252" s="35"/>
    </row>
    <row r="253" spans="3:3" ht="13.2">
      <c r="C253" s="35"/>
    </row>
    <row r="254" spans="3:3" ht="13.2">
      <c r="C254" s="35"/>
    </row>
    <row r="255" spans="3:3" ht="13.2">
      <c r="C255" s="35"/>
    </row>
    <row r="256" spans="3:3" ht="13.2">
      <c r="C256" s="35"/>
    </row>
    <row r="257" spans="3:3" ht="13.2">
      <c r="C257" s="35"/>
    </row>
    <row r="258" spans="3:3" ht="13.2">
      <c r="C258" s="35"/>
    </row>
    <row r="259" spans="3:3" ht="13.2">
      <c r="C259" s="35"/>
    </row>
    <row r="260" spans="3:3" ht="13.2">
      <c r="C260" s="35"/>
    </row>
    <row r="261" spans="3:3" ht="13.2">
      <c r="C261" s="35"/>
    </row>
    <row r="262" spans="3:3" ht="13.2">
      <c r="C262" s="35"/>
    </row>
    <row r="263" spans="3:3" ht="13.2">
      <c r="C263" s="35"/>
    </row>
    <row r="264" spans="3:3" ht="13.2">
      <c r="C264" s="35"/>
    </row>
    <row r="265" spans="3:3" ht="13.2">
      <c r="C265" s="35"/>
    </row>
    <row r="266" spans="3:3" ht="13.2">
      <c r="C266" s="35"/>
    </row>
    <row r="267" spans="3:3" ht="13.2">
      <c r="C267" s="35"/>
    </row>
    <row r="268" spans="3:3" ht="13.2">
      <c r="C268" s="35"/>
    </row>
    <row r="269" spans="3:3" ht="13.2">
      <c r="C269" s="35"/>
    </row>
    <row r="270" spans="3:3" ht="13.2">
      <c r="C270" s="35"/>
    </row>
    <row r="271" spans="3:3" ht="13.2">
      <c r="C271" s="35"/>
    </row>
    <row r="272" spans="3:3" ht="13.2">
      <c r="C272" s="35"/>
    </row>
    <row r="273" spans="3:3" ht="13.2">
      <c r="C273" s="35"/>
    </row>
    <row r="274" spans="3:3" ht="13.2">
      <c r="C274" s="35"/>
    </row>
    <row r="275" spans="3:3" ht="13.2">
      <c r="C275" s="35"/>
    </row>
    <row r="276" spans="3:3" ht="13.2">
      <c r="C276" s="35"/>
    </row>
    <row r="277" spans="3:3" ht="13.2">
      <c r="C277" s="35"/>
    </row>
    <row r="278" spans="3:3" ht="13.2">
      <c r="C278" s="35"/>
    </row>
    <row r="279" spans="3:3" ht="13.2">
      <c r="C279" s="35"/>
    </row>
    <row r="280" spans="3:3" ht="13.2">
      <c r="C280" s="35"/>
    </row>
    <row r="281" spans="3:3" ht="13.2">
      <c r="C281" s="35"/>
    </row>
    <row r="282" spans="3:3" ht="13.2">
      <c r="C282" s="35"/>
    </row>
    <row r="283" spans="3:3" ht="13.2">
      <c r="C283" s="35"/>
    </row>
    <row r="284" spans="3:3" ht="13.2">
      <c r="C284" s="35"/>
    </row>
    <row r="285" spans="3:3" ht="13.2">
      <c r="C285" s="35"/>
    </row>
    <row r="286" spans="3:3" ht="13.2">
      <c r="C286" s="35"/>
    </row>
    <row r="287" spans="3:3" ht="13.2">
      <c r="C287" s="35"/>
    </row>
    <row r="288" spans="3:3" ht="13.2">
      <c r="C288" s="35"/>
    </row>
    <row r="289" spans="3:3" ht="13.2">
      <c r="C289" s="35"/>
    </row>
    <row r="290" spans="3:3" ht="13.2">
      <c r="C290" s="35"/>
    </row>
    <row r="291" spans="3:3" ht="13.2">
      <c r="C291" s="35"/>
    </row>
    <row r="292" spans="3:3" ht="13.2">
      <c r="C292" s="35"/>
    </row>
    <row r="293" spans="3:3" ht="13.2">
      <c r="C293" s="35"/>
    </row>
    <row r="294" spans="3:3" ht="13.2">
      <c r="C294" s="35"/>
    </row>
    <row r="295" spans="3:3" ht="13.2">
      <c r="C295" s="35"/>
    </row>
    <row r="296" spans="3:3" ht="13.2">
      <c r="C296" s="35"/>
    </row>
    <row r="297" spans="3:3" ht="13.2">
      <c r="C297" s="35"/>
    </row>
    <row r="298" spans="3:3" ht="13.2">
      <c r="C298" s="35"/>
    </row>
    <row r="299" spans="3:3" ht="13.2">
      <c r="C299" s="35"/>
    </row>
    <row r="300" spans="3:3" ht="13.2">
      <c r="C300" s="35"/>
    </row>
    <row r="301" spans="3:3" ht="13.2">
      <c r="C301" s="35"/>
    </row>
    <row r="302" spans="3:3" ht="13.2">
      <c r="C302" s="35"/>
    </row>
    <row r="303" spans="3:3" ht="13.2">
      <c r="C303" s="35"/>
    </row>
    <row r="304" spans="3:3" ht="13.2">
      <c r="C304" s="35"/>
    </row>
    <row r="305" spans="3:3" ht="13.2">
      <c r="C305" s="35"/>
    </row>
    <row r="306" spans="3:3" ht="13.2">
      <c r="C306" s="35"/>
    </row>
    <row r="307" spans="3:3" ht="13.2">
      <c r="C307" s="35"/>
    </row>
    <row r="308" spans="3:3" ht="13.2">
      <c r="C308" s="35"/>
    </row>
    <row r="309" spans="3:3" ht="13.2">
      <c r="C309" s="35"/>
    </row>
    <row r="310" spans="3:3" ht="13.2">
      <c r="C310" s="35"/>
    </row>
    <row r="311" spans="3:3" ht="13.2">
      <c r="C311" s="35"/>
    </row>
    <row r="312" spans="3:3" ht="13.2">
      <c r="C312" s="35"/>
    </row>
    <row r="313" spans="3:3" ht="13.2">
      <c r="C313" s="35"/>
    </row>
    <row r="314" spans="3:3" ht="13.2">
      <c r="C314" s="35"/>
    </row>
    <row r="315" spans="3:3" ht="13.2">
      <c r="C315" s="35"/>
    </row>
    <row r="316" spans="3:3" ht="13.2">
      <c r="C316" s="35"/>
    </row>
    <row r="317" spans="3:3" ht="13.2">
      <c r="C317" s="35"/>
    </row>
    <row r="318" spans="3:3" ht="13.2">
      <c r="C318" s="35"/>
    </row>
    <row r="319" spans="3:3" ht="13.2">
      <c r="C319" s="35"/>
    </row>
    <row r="320" spans="3:3" ht="13.2">
      <c r="C320" s="35"/>
    </row>
    <row r="321" spans="3:3" ht="13.2">
      <c r="C321" s="35"/>
    </row>
    <row r="322" spans="3:3" ht="13.2">
      <c r="C322" s="35"/>
    </row>
    <row r="323" spans="3:3" ht="13.2">
      <c r="C323" s="35"/>
    </row>
    <row r="324" spans="3:3" ht="13.2">
      <c r="C324" s="35"/>
    </row>
    <row r="325" spans="3:3" ht="13.2">
      <c r="C325" s="35"/>
    </row>
    <row r="326" spans="3:3" ht="13.2">
      <c r="C326" s="35"/>
    </row>
    <row r="327" spans="3:3" ht="13.2">
      <c r="C327" s="35"/>
    </row>
    <row r="328" spans="3:3" ht="13.2">
      <c r="C328" s="35"/>
    </row>
    <row r="329" spans="3:3" ht="13.2">
      <c r="C329" s="35"/>
    </row>
    <row r="330" spans="3:3" ht="13.2">
      <c r="C330" s="35"/>
    </row>
    <row r="331" spans="3:3" ht="13.2">
      <c r="C331" s="35"/>
    </row>
    <row r="332" spans="3:3" ht="13.2">
      <c r="C332" s="35"/>
    </row>
    <row r="333" spans="3:3" ht="13.2">
      <c r="C333" s="35"/>
    </row>
    <row r="334" spans="3:3" ht="13.2">
      <c r="C334" s="35"/>
    </row>
    <row r="335" spans="3:3" ht="13.2">
      <c r="C335" s="35"/>
    </row>
    <row r="336" spans="3:3" ht="13.2">
      <c r="C336" s="35"/>
    </row>
    <row r="337" spans="3:3" ht="13.2">
      <c r="C337" s="35"/>
    </row>
    <row r="338" spans="3:3" ht="13.2">
      <c r="C338" s="35"/>
    </row>
    <row r="339" spans="3:3" ht="13.2">
      <c r="C339" s="35"/>
    </row>
    <row r="340" spans="3:3" ht="13.2">
      <c r="C340" s="35"/>
    </row>
    <row r="341" spans="3:3" ht="13.2">
      <c r="C341" s="35"/>
    </row>
    <row r="342" spans="3:3" ht="13.2">
      <c r="C342" s="35"/>
    </row>
    <row r="343" spans="3:3" ht="13.2">
      <c r="C343" s="35"/>
    </row>
    <row r="344" spans="3:3" ht="13.2">
      <c r="C344" s="35"/>
    </row>
    <row r="345" spans="3:3" ht="13.2">
      <c r="C345" s="35"/>
    </row>
    <row r="346" spans="3:3" ht="13.2">
      <c r="C346" s="35"/>
    </row>
    <row r="347" spans="3:3" ht="13.2">
      <c r="C347" s="35"/>
    </row>
    <row r="348" spans="3:3" ht="13.2">
      <c r="C348" s="35"/>
    </row>
    <row r="349" spans="3:3" ht="13.2">
      <c r="C349" s="35"/>
    </row>
    <row r="350" spans="3:3" ht="13.2">
      <c r="C350" s="35"/>
    </row>
    <row r="351" spans="3:3" ht="13.2">
      <c r="C351" s="35"/>
    </row>
    <row r="352" spans="3:3" ht="13.2">
      <c r="C352" s="35"/>
    </row>
    <row r="353" spans="3:3" ht="13.2">
      <c r="C353" s="35"/>
    </row>
    <row r="354" spans="3:3" ht="13.2">
      <c r="C354" s="35"/>
    </row>
    <row r="355" spans="3:3" ht="13.2">
      <c r="C355" s="35"/>
    </row>
    <row r="356" spans="3:3" ht="13.2">
      <c r="C356" s="35"/>
    </row>
    <row r="357" spans="3:3" ht="13.2">
      <c r="C357" s="35"/>
    </row>
    <row r="358" spans="3:3" ht="13.2">
      <c r="C358" s="35"/>
    </row>
    <row r="359" spans="3:3" ht="13.2">
      <c r="C359" s="35"/>
    </row>
    <row r="360" spans="3:3" ht="13.2">
      <c r="C360" s="35"/>
    </row>
    <row r="361" spans="3:3" ht="13.2">
      <c r="C361" s="35"/>
    </row>
    <row r="362" spans="3:3" ht="13.2">
      <c r="C362" s="35"/>
    </row>
    <row r="363" spans="3:3" ht="13.2">
      <c r="C363" s="35"/>
    </row>
    <row r="364" spans="3:3" ht="13.2">
      <c r="C364" s="35"/>
    </row>
    <row r="365" spans="3:3" ht="13.2">
      <c r="C365" s="35"/>
    </row>
    <row r="366" spans="3:3" ht="13.2">
      <c r="C366" s="35"/>
    </row>
    <row r="367" spans="3:3" ht="13.2">
      <c r="C367" s="35"/>
    </row>
    <row r="368" spans="3:3" ht="13.2">
      <c r="C368" s="35"/>
    </row>
    <row r="369" spans="3:3" ht="13.2">
      <c r="C369" s="35"/>
    </row>
    <row r="370" spans="3:3" ht="13.2">
      <c r="C370" s="35"/>
    </row>
    <row r="371" spans="3:3" ht="13.2">
      <c r="C371" s="35"/>
    </row>
    <row r="372" spans="3:3" ht="13.2">
      <c r="C372" s="35"/>
    </row>
    <row r="373" spans="3:3" ht="13.2">
      <c r="C373" s="35"/>
    </row>
    <row r="374" spans="3:3" ht="13.2">
      <c r="C374" s="35"/>
    </row>
    <row r="375" spans="3:3" ht="13.2">
      <c r="C375" s="35"/>
    </row>
    <row r="376" spans="3:3" ht="13.2">
      <c r="C376" s="35"/>
    </row>
    <row r="377" spans="3:3" ht="13.2">
      <c r="C377" s="35"/>
    </row>
    <row r="378" spans="3:3" ht="13.2">
      <c r="C378" s="35"/>
    </row>
    <row r="379" spans="3:3" ht="13.2">
      <c r="C379" s="35"/>
    </row>
    <row r="380" spans="3:3" ht="13.2">
      <c r="C380" s="35"/>
    </row>
    <row r="381" spans="3:3" ht="13.2">
      <c r="C381" s="35"/>
    </row>
    <row r="382" spans="3:3" ht="13.2">
      <c r="C382" s="35"/>
    </row>
    <row r="383" spans="3:3" ht="13.2">
      <c r="C383" s="35"/>
    </row>
    <row r="384" spans="3:3" ht="13.2">
      <c r="C384" s="35"/>
    </row>
    <row r="385" spans="3:3" ht="13.2">
      <c r="C385" s="35"/>
    </row>
    <row r="386" spans="3:3" ht="13.2">
      <c r="C386" s="35"/>
    </row>
    <row r="387" spans="3:3" ht="13.2">
      <c r="C387" s="35"/>
    </row>
    <row r="388" spans="3:3" ht="13.2">
      <c r="C388" s="35"/>
    </row>
    <row r="389" spans="3:3" ht="13.2">
      <c r="C389" s="35"/>
    </row>
    <row r="390" spans="3:3" ht="13.2">
      <c r="C390" s="35"/>
    </row>
    <row r="391" spans="3:3" ht="13.2">
      <c r="C391" s="35"/>
    </row>
    <row r="392" spans="3:3" ht="13.2">
      <c r="C392" s="35"/>
    </row>
    <row r="393" spans="3:3" ht="13.2">
      <c r="C393" s="35"/>
    </row>
    <row r="394" spans="3:3" ht="13.2">
      <c r="C394" s="35"/>
    </row>
    <row r="395" spans="3:3" ht="13.2">
      <c r="C395" s="35"/>
    </row>
    <row r="396" spans="3:3" ht="13.2">
      <c r="C396" s="35"/>
    </row>
    <row r="397" spans="3:3" ht="13.2">
      <c r="C397" s="35"/>
    </row>
    <row r="398" spans="3:3" ht="13.2">
      <c r="C398" s="35"/>
    </row>
    <row r="399" spans="3:3" ht="13.2">
      <c r="C399" s="35"/>
    </row>
    <row r="400" spans="3:3" ht="13.2">
      <c r="C400" s="35"/>
    </row>
    <row r="401" spans="3:3" ht="13.2">
      <c r="C401" s="35"/>
    </row>
    <row r="402" spans="3:3" ht="13.2">
      <c r="C402" s="35"/>
    </row>
    <row r="403" spans="3:3" ht="13.2">
      <c r="C403" s="35"/>
    </row>
    <row r="404" spans="3:3" ht="13.2">
      <c r="C404" s="35"/>
    </row>
    <row r="405" spans="3:3" ht="13.2">
      <c r="C405" s="35"/>
    </row>
    <row r="406" spans="3:3" ht="13.2">
      <c r="C406" s="35"/>
    </row>
    <row r="407" spans="3:3" ht="13.2">
      <c r="C407" s="35"/>
    </row>
    <row r="408" spans="3:3" ht="13.2">
      <c r="C408" s="35"/>
    </row>
    <row r="409" spans="3:3" ht="13.2">
      <c r="C409" s="35"/>
    </row>
    <row r="410" spans="3:3" ht="13.2">
      <c r="C410" s="35"/>
    </row>
    <row r="411" spans="3:3" ht="13.2">
      <c r="C411" s="35"/>
    </row>
    <row r="412" spans="3:3" ht="13.2">
      <c r="C412" s="35"/>
    </row>
    <row r="413" spans="3:3" ht="13.2">
      <c r="C413" s="35"/>
    </row>
    <row r="414" spans="3:3" ht="13.2">
      <c r="C414" s="35"/>
    </row>
    <row r="415" spans="3:3" ht="13.2">
      <c r="C415" s="35"/>
    </row>
    <row r="416" spans="3:3" ht="13.2">
      <c r="C416" s="35"/>
    </row>
    <row r="417" spans="3:3" ht="13.2">
      <c r="C417" s="35"/>
    </row>
    <row r="418" spans="3:3" ht="13.2">
      <c r="C418" s="35"/>
    </row>
    <row r="419" spans="3:3" ht="13.2">
      <c r="C419" s="35"/>
    </row>
    <row r="420" spans="3:3" ht="13.2">
      <c r="C420" s="35"/>
    </row>
    <row r="421" spans="3:3" ht="13.2">
      <c r="C421" s="35"/>
    </row>
    <row r="422" spans="3:3" ht="13.2">
      <c r="C422" s="35"/>
    </row>
    <row r="423" spans="3:3" ht="13.2">
      <c r="C423" s="35"/>
    </row>
    <row r="424" spans="3:3" ht="13.2">
      <c r="C424" s="35"/>
    </row>
    <row r="425" spans="3:3" ht="13.2">
      <c r="C425" s="35"/>
    </row>
    <row r="426" spans="3:3" ht="13.2">
      <c r="C426" s="35"/>
    </row>
    <row r="427" spans="3:3" ht="13.2">
      <c r="C427" s="35"/>
    </row>
    <row r="428" spans="3:3" ht="13.2">
      <c r="C428" s="35"/>
    </row>
    <row r="429" spans="3:3" ht="13.2">
      <c r="C429" s="35"/>
    </row>
    <row r="430" spans="3:3" ht="13.2">
      <c r="C430" s="35"/>
    </row>
    <row r="431" spans="3:3" ht="13.2">
      <c r="C431" s="35"/>
    </row>
    <row r="432" spans="3:3" ht="13.2">
      <c r="C432" s="35"/>
    </row>
    <row r="433" spans="3:3" ht="13.2">
      <c r="C433" s="35"/>
    </row>
    <row r="434" spans="3:3" ht="13.2">
      <c r="C434" s="35"/>
    </row>
    <row r="435" spans="3:3" ht="13.2">
      <c r="C435" s="35"/>
    </row>
    <row r="436" spans="3:3" ht="13.2">
      <c r="C436" s="35"/>
    </row>
    <row r="437" spans="3:3" ht="13.2">
      <c r="C437" s="35"/>
    </row>
    <row r="438" spans="3:3" ht="13.2">
      <c r="C438" s="35"/>
    </row>
    <row r="439" spans="3:3" ht="13.2">
      <c r="C439" s="35"/>
    </row>
    <row r="440" spans="3:3" ht="13.2">
      <c r="C440" s="35"/>
    </row>
    <row r="441" spans="3:3" ht="13.2">
      <c r="C441" s="35"/>
    </row>
    <row r="442" spans="3:3" ht="13.2">
      <c r="C442" s="35"/>
    </row>
    <row r="443" spans="3:3" ht="13.2">
      <c r="C443" s="35"/>
    </row>
    <row r="444" spans="3:3" ht="13.2">
      <c r="C444" s="35"/>
    </row>
    <row r="445" spans="3:3" ht="13.2">
      <c r="C445" s="35"/>
    </row>
    <row r="446" spans="3:3" ht="13.2">
      <c r="C446" s="35"/>
    </row>
    <row r="447" spans="3:3" ht="13.2">
      <c r="C447" s="35"/>
    </row>
    <row r="448" spans="3:3" ht="13.2">
      <c r="C448" s="35"/>
    </row>
    <row r="449" spans="3:3" ht="13.2">
      <c r="C449" s="35"/>
    </row>
    <row r="450" spans="3:3" ht="13.2">
      <c r="C450" s="35"/>
    </row>
    <row r="451" spans="3:3" ht="13.2">
      <c r="C451" s="35"/>
    </row>
    <row r="452" spans="3:3" ht="13.2">
      <c r="C452" s="35"/>
    </row>
    <row r="453" spans="3:3" ht="13.2">
      <c r="C453" s="35"/>
    </row>
    <row r="454" spans="3:3" ht="13.2">
      <c r="C454" s="35"/>
    </row>
    <row r="455" spans="3:3" ht="13.2">
      <c r="C455" s="35"/>
    </row>
    <row r="456" spans="3:3" ht="13.2">
      <c r="C456" s="35"/>
    </row>
    <row r="457" spans="3:3" ht="13.2">
      <c r="C457" s="35"/>
    </row>
    <row r="458" spans="3:3" ht="13.2">
      <c r="C458" s="35"/>
    </row>
    <row r="459" spans="3:3" ht="13.2">
      <c r="C459" s="35"/>
    </row>
    <row r="460" spans="3:3" ht="13.2">
      <c r="C460" s="35"/>
    </row>
    <row r="461" spans="3:3" ht="13.2">
      <c r="C461" s="35"/>
    </row>
    <row r="462" spans="3:3" ht="13.2">
      <c r="C462" s="35"/>
    </row>
    <row r="463" spans="3:3" ht="13.2">
      <c r="C463" s="35"/>
    </row>
    <row r="464" spans="3:3" ht="13.2">
      <c r="C464" s="35"/>
    </row>
    <row r="465" spans="3:3" ht="13.2">
      <c r="C465" s="35"/>
    </row>
    <row r="466" spans="3:3" ht="13.2">
      <c r="C466" s="35"/>
    </row>
    <row r="467" spans="3:3" ht="13.2">
      <c r="C467" s="35"/>
    </row>
    <row r="468" spans="3:3" ht="13.2">
      <c r="C468" s="35"/>
    </row>
    <row r="469" spans="3:3" ht="13.2">
      <c r="C469" s="35"/>
    </row>
    <row r="470" spans="3:3" ht="13.2">
      <c r="C470" s="35"/>
    </row>
    <row r="471" spans="3:3" ht="13.2">
      <c r="C471" s="35"/>
    </row>
    <row r="472" spans="3:3" ht="13.2">
      <c r="C472" s="35"/>
    </row>
    <row r="473" spans="3:3" ht="13.2">
      <c r="C473" s="35"/>
    </row>
    <row r="474" spans="3:3" ht="13.2">
      <c r="C474" s="35"/>
    </row>
    <row r="475" spans="3:3" ht="13.2">
      <c r="C475" s="35"/>
    </row>
    <row r="476" spans="3:3" ht="13.2">
      <c r="C476" s="35"/>
    </row>
    <row r="477" spans="3:3" ht="13.2">
      <c r="C477" s="35"/>
    </row>
    <row r="478" spans="3:3" ht="13.2">
      <c r="C478" s="35"/>
    </row>
    <row r="479" spans="3:3" ht="13.2">
      <c r="C479" s="35"/>
    </row>
    <row r="480" spans="3:3" ht="13.2">
      <c r="C480" s="35"/>
    </row>
    <row r="481" spans="3:3" ht="13.2">
      <c r="C481" s="35"/>
    </row>
    <row r="482" spans="3:3" ht="13.2">
      <c r="C482" s="35"/>
    </row>
    <row r="483" spans="3:3" ht="13.2">
      <c r="C483" s="35"/>
    </row>
    <row r="484" spans="3:3" ht="13.2">
      <c r="C484" s="35"/>
    </row>
    <row r="485" spans="3:3" ht="13.2">
      <c r="C485" s="35"/>
    </row>
    <row r="486" spans="3:3" ht="13.2">
      <c r="C486" s="35"/>
    </row>
    <row r="487" spans="3:3" ht="13.2">
      <c r="C487" s="35"/>
    </row>
    <row r="488" spans="3:3" ht="13.2">
      <c r="C488" s="35"/>
    </row>
    <row r="489" spans="3:3" ht="13.2">
      <c r="C489" s="35"/>
    </row>
    <row r="490" spans="3:3" ht="13.2">
      <c r="C490" s="35"/>
    </row>
    <row r="491" spans="3:3" ht="13.2">
      <c r="C491" s="35"/>
    </row>
    <row r="492" spans="3:3" ht="13.2">
      <c r="C492" s="35"/>
    </row>
    <row r="493" spans="3:3" ht="13.2">
      <c r="C493" s="35"/>
    </row>
    <row r="494" spans="3:3" ht="13.2">
      <c r="C494" s="35"/>
    </row>
    <row r="495" spans="3:3" ht="13.2">
      <c r="C495" s="35"/>
    </row>
    <row r="496" spans="3:3" ht="13.2">
      <c r="C496" s="35"/>
    </row>
    <row r="497" spans="3:3" ht="13.2">
      <c r="C497" s="35"/>
    </row>
    <row r="498" spans="3:3" ht="13.2">
      <c r="C498" s="35"/>
    </row>
    <row r="499" spans="3:3" ht="13.2">
      <c r="C499" s="35"/>
    </row>
    <row r="500" spans="3:3" ht="13.2">
      <c r="C500" s="35"/>
    </row>
    <row r="501" spans="3:3" ht="13.2">
      <c r="C501" s="35"/>
    </row>
    <row r="502" spans="3:3" ht="13.2">
      <c r="C502" s="35"/>
    </row>
    <row r="503" spans="3:3" ht="13.2">
      <c r="C503" s="35"/>
    </row>
    <row r="504" spans="3:3" ht="13.2">
      <c r="C504" s="35"/>
    </row>
    <row r="505" spans="3:3" ht="13.2">
      <c r="C505" s="35"/>
    </row>
    <row r="506" spans="3:3" ht="13.2">
      <c r="C506" s="35"/>
    </row>
    <row r="507" spans="3:3" ht="13.2">
      <c r="C507" s="35"/>
    </row>
    <row r="508" spans="3:3" ht="13.2">
      <c r="C508" s="35"/>
    </row>
    <row r="509" spans="3:3" ht="13.2">
      <c r="C509" s="35"/>
    </row>
    <row r="510" spans="3:3" ht="13.2">
      <c r="C510" s="35"/>
    </row>
    <row r="511" spans="3:3" ht="13.2">
      <c r="C511" s="35"/>
    </row>
    <row r="512" spans="3:3" ht="13.2">
      <c r="C512" s="35"/>
    </row>
    <row r="513" spans="3:3" ht="13.2">
      <c r="C513" s="35"/>
    </row>
    <row r="514" spans="3:3" ht="13.2">
      <c r="C514" s="35"/>
    </row>
    <row r="515" spans="3:3" ht="13.2">
      <c r="C515" s="35"/>
    </row>
    <row r="516" spans="3:3" ht="13.2">
      <c r="C516" s="35"/>
    </row>
    <row r="517" spans="3:3" ht="13.2">
      <c r="C517" s="35"/>
    </row>
    <row r="518" spans="3:3" ht="13.2">
      <c r="C518" s="35"/>
    </row>
    <row r="519" spans="3:3" ht="13.2">
      <c r="C519" s="35"/>
    </row>
    <row r="520" spans="3:3" ht="13.2">
      <c r="C520" s="35"/>
    </row>
    <row r="521" spans="3:3" ht="13.2">
      <c r="C521" s="35"/>
    </row>
    <row r="522" spans="3:3" ht="13.2">
      <c r="C522" s="35"/>
    </row>
    <row r="523" spans="3:3" ht="13.2">
      <c r="C523" s="35"/>
    </row>
    <row r="524" spans="3:3" ht="13.2">
      <c r="C524" s="35"/>
    </row>
    <row r="525" spans="3:3" ht="13.2">
      <c r="C525" s="35"/>
    </row>
    <row r="526" spans="3:3" ht="13.2">
      <c r="C526" s="35"/>
    </row>
    <row r="527" spans="3:3" ht="13.2">
      <c r="C527" s="35"/>
    </row>
    <row r="528" spans="3:3" ht="13.2">
      <c r="C528" s="35"/>
    </row>
    <row r="529" spans="3:3" ht="13.2">
      <c r="C529" s="35"/>
    </row>
    <row r="530" spans="3:3" ht="13.2">
      <c r="C530" s="35"/>
    </row>
    <row r="531" spans="3:3" ht="13.2">
      <c r="C531" s="35"/>
    </row>
    <row r="532" spans="3:3" ht="13.2">
      <c r="C532" s="35"/>
    </row>
    <row r="533" spans="3:3" ht="13.2">
      <c r="C533" s="35"/>
    </row>
    <row r="534" spans="3:3" ht="13.2">
      <c r="C534" s="35"/>
    </row>
    <row r="535" spans="3:3" ht="13.2">
      <c r="C535" s="35"/>
    </row>
    <row r="536" spans="3:3" ht="13.2">
      <c r="C536" s="35"/>
    </row>
    <row r="537" spans="3:3" ht="13.2">
      <c r="C537" s="35"/>
    </row>
    <row r="538" spans="3:3" ht="13.2">
      <c r="C538" s="35"/>
    </row>
    <row r="539" spans="3:3" ht="13.2">
      <c r="C539" s="35"/>
    </row>
    <row r="540" spans="3:3" ht="13.2">
      <c r="C540" s="35"/>
    </row>
    <row r="541" spans="3:3" ht="13.2">
      <c r="C541" s="35"/>
    </row>
    <row r="542" spans="3:3" ht="13.2">
      <c r="C542" s="35"/>
    </row>
    <row r="543" spans="3:3" ht="13.2">
      <c r="C543" s="35"/>
    </row>
    <row r="544" spans="3:3" ht="13.2">
      <c r="C544" s="35"/>
    </row>
    <row r="545" spans="3:3" ht="13.2">
      <c r="C545" s="35"/>
    </row>
    <row r="546" spans="3:3" ht="13.2">
      <c r="C546" s="35"/>
    </row>
    <row r="547" spans="3:3" ht="13.2">
      <c r="C547" s="35"/>
    </row>
    <row r="548" spans="3:3" ht="13.2">
      <c r="C548" s="35"/>
    </row>
    <row r="549" spans="3:3" ht="13.2">
      <c r="C549" s="35"/>
    </row>
    <row r="550" spans="3:3" ht="13.2">
      <c r="C550" s="35"/>
    </row>
    <row r="551" spans="3:3" ht="13.2">
      <c r="C551" s="35"/>
    </row>
    <row r="552" spans="3:3" ht="13.2">
      <c r="C552" s="35"/>
    </row>
    <row r="553" spans="3:3" ht="13.2">
      <c r="C553" s="35"/>
    </row>
    <row r="554" spans="3:3" ht="13.2">
      <c r="C554" s="35"/>
    </row>
    <row r="555" spans="3:3" ht="13.2">
      <c r="C555" s="35"/>
    </row>
    <row r="556" spans="3:3" ht="13.2">
      <c r="C556" s="35"/>
    </row>
    <row r="557" spans="3:3" ht="13.2">
      <c r="C557" s="35"/>
    </row>
    <row r="558" spans="3:3" ht="13.2">
      <c r="C558" s="35"/>
    </row>
    <row r="559" spans="3:3" ht="13.2">
      <c r="C559" s="35"/>
    </row>
    <row r="560" spans="3:3" ht="13.2">
      <c r="C560" s="35"/>
    </row>
    <row r="561" spans="3:3" ht="13.2">
      <c r="C561" s="35"/>
    </row>
    <row r="562" spans="3:3" ht="13.2">
      <c r="C562" s="35"/>
    </row>
    <row r="563" spans="3:3" ht="13.2">
      <c r="C563" s="35"/>
    </row>
    <row r="564" spans="3:3" ht="13.2">
      <c r="C564" s="35"/>
    </row>
    <row r="565" spans="3:3" ht="13.2">
      <c r="C565" s="35"/>
    </row>
    <row r="566" spans="3:3" ht="13.2">
      <c r="C566" s="35"/>
    </row>
    <row r="567" spans="3:3" ht="13.2">
      <c r="C567" s="35"/>
    </row>
    <row r="568" spans="3:3" ht="13.2">
      <c r="C568" s="35"/>
    </row>
    <row r="569" spans="3:3" ht="13.2">
      <c r="C569" s="35"/>
    </row>
    <row r="570" spans="3:3" ht="13.2">
      <c r="C570" s="35"/>
    </row>
    <row r="571" spans="3:3" ht="13.2">
      <c r="C571" s="35"/>
    </row>
    <row r="572" spans="3:3" ht="13.2">
      <c r="C572" s="35"/>
    </row>
    <row r="573" spans="3:3" ht="13.2">
      <c r="C573" s="35"/>
    </row>
    <row r="574" spans="3:3" ht="13.2">
      <c r="C574" s="35"/>
    </row>
    <row r="575" spans="3:3" ht="13.2">
      <c r="C575" s="35"/>
    </row>
    <row r="576" spans="3:3" ht="13.2">
      <c r="C576" s="35"/>
    </row>
    <row r="577" spans="3:3" ht="13.2">
      <c r="C577" s="35"/>
    </row>
    <row r="578" spans="3:3" ht="13.2">
      <c r="C578" s="35"/>
    </row>
    <row r="579" spans="3:3" ht="13.2">
      <c r="C579" s="35"/>
    </row>
    <row r="580" spans="3:3" ht="13.2">
      <c r="C580" s="35"/>
    </row>
    <row r="581" spans="3:3" ht="13.2">
      <c r="C581" s="35"/>
    </row>
    <row r="582" spans="3:3" ht="13.2">
      <c r="C582" s="35"/>
    </row>
    <row r="583" spans="3:3" ht="13.2">
      <c r="C583" s="35"/>
    </row>
    <row r="584" spans="3:3" ht="13.2">
      <c r="C584" s="35"/>
    </row>
    <row r="585" spans="3:3" ht="13.2">
      <c r="C585" s="35"/>
    </row>
    <row r="586" spans="3:3" ht="13.2">
      <c r="C586" s="35"/>
    </row>
    <row r="587" spans="3:3" ht="13.2">
      <c r="C587" s="35"/>
    </row>
    <row r="588" spans="3:3" ht="13.2">
      <c r="C588" s="35"/>
    </row>
    <row r="589" spans="3:3" ht="13.2">
      <c r="C589" s="35"/>
    </row>
    <row r="590" spans="3:3" ht="13.2">
      <c r="C590" s="35"/>
    </row>
    <row r="591" spans="3:3" ht="13.2">
      <c r="C591" s="35"/>
    </row>
    <row r="592" spans="3:3" ht="13.2">
      <c r="C592" s="35"/>
    </row>
    <row r="593" spans="3:3" ht="13.2">
      <c r="C593" s="35"/>
    </row>
    <row r="594" spans="3:3" ht="13.2">
      <c r="C594" s="35"/>
    </row>
    <row r="595" spans="3:3" ht="13.2">
      <c r="C595" s="35"/>
    </row>
    <row r="596" spans="3:3" ht="13.2">
      <c r="C596" s="35"/>
    </row>
    <row r="597" spans="3:3" ht="13.2">
      <c r="C597" s="35"/>
    </row>
    <row r="598" spans="3:3" ht="13.2">
      <c r="C598" s="35"/>
    </row>
    <row r="599" spans="3:3" ht="13.2">
      <c r="C599" s="35"/>
    </row>
    <row r="600" spans="3:3" ht="13.2">
      <c r="C600" s="35"/>
    </row>
    <row r="601" spans="3:3" ht="13.2">
      <c r="C601" s="35"/>
    </row>
    <row r="602" spans="3:3" ht="13.2">
      <c r="C602" s="35"/>
    </row>
    <row r="603" spans="3:3" ht="13.2">
      <c r="C603" s="35"/>
    </row>
    <row r="604" spans="3:3" ht="13.2">
      <c r="C604" s="35"/>
    </row>
    <row r="605" spans="3:3" ht="13.2">
      <c r="C605" s="35"/>
    </row>
    <row r="606" spans="3:3" ht="13.2">
      <c r="C606" s="35"/>
    </row>
    <row r="607" spans="3:3" ht="13.2">
      <c r="C607" s="35"/>
    </row>
    <row r="608" spans="3:3" ht="13.2">
      <c r="C608" s="35"/>
    </row>
    <row r="609" spans="3:3" ht="13.2">
      <c r="C609" s="35"/>
    </row>
    <row r="610" spans="3:3" ht="13.2">
      <c r="C610" s="35"/>
    </row>
    <row r="611" spans="3:3" ht="13.2">
      <c r="C611" s="35"/>
    </row>
    <row r="612" spans="3:3" ht="13.2">
      <c r="C612" s="35"/>
    </row>
    <row r="613" spans="3:3" ht="13.2">
      <c r="C613" s="35"/>
    </row>
    <row r="614" spans="3:3" ht="13.2">
      <c r="C614" s="35"/>
    </row>
    <row r="615" spans="3:3" ht="13.2">
      <c r="C615" s="35"/>
    </row>
    <row r="616" spans="3:3" ht="13.2">
      <c r="C616" s="35"/>
    </row>
    <row r="617" spans="3:3" ht="13.2">
      <c r="C617" s="35"/>
    </row>
    <row r="618" spans="3:3" ht="13.2">
      <c r="C618" s="35"/>
    </row>
    <row r="619" spans="3:3" ht="13.2">
      <c r="C619" s="35"/>
    </row>
    <row r="620" spans="3:3" ht="13.2">
      <c r="C620" s="35"/>
    </row>
    <row r="621" spans="3:3" ht="13.2">
      <c r="C621" s="35"/>
    </row>
    <row r="622" spans="3:3" ht="13.2">
      <c r="C622" s="35"/>
    </row>
    <row r="623" spans="3:3" ht="13.2">
      <c r="C623" s="35"/>
    </row>
    <row r="624" spans="3:3" ht="13.2">
      <c r="C624" s="35"/>
    </row>
    <row r="625" spans="3:3" ht="13.2">
      <c r="C625" s="35"/>
    </row>
    <row r="626" spans="3:3" ht="13.2">
      <c r="C626" s="35"/>
    </row>
    <row r="627" spans="3:3" ht="13.2">
      <c r="C627" s="35"/>
    </row>
    <row r="628" spans="3:3" ht="13.2">
      <c r="C628" s="35"/>
    </row>
    <row r="629" spans="3:3" ht="13.2">
      <c r="C629" s="35"/>
    </row>
    <row r="630" spans="3:3" ht="13.2">
      <c r="C630" s="35"/>
    </row>
    <row r="631" spans="3:3" ht="13.2">
      <c r="C631" s="35"/>
    </row>
    <row r="632" spans="3:3" ht="13.2">
      <c r="C632" s="35"/>
    </row>
    <row r="633" spans="3:3" ht="13.2">
      <c r="C633" s="35"/>
    </row>
    <row r="634" spans="3:3" ht="13.2">
      <c r="C634" s="35"/>
    </row>
    <row r="635" spans="3:3" ht="13.2">
      <c r="C635" s="35"/>
    </row>
    <row r="636" spans="3:3" ht="13.2">
      <c r="C636" s="35"/>
    </row>
    <row r="637" spans="3:3" ht="13.2">
      <c r="C637" s="35"/>
    </row>
    <row r="638" spans="3:3" ht="13.2">
      <c r="C638" s="35"/>
    </row>
    <row r="639" spans="3:3" ht="13.2">
      <c r="C639" s="35"/>
    </row>
    <row r="640" spans="3:3" ht="13.2">
      <c r="C640" s="35"/>
    </row>
    <row r="641" spans="3:3" ht="13.2">
      <c r="C641" s="35"/>
    </row>
    <row r="642" spans="3:3" ht="13.2">
      <c r="C642" s="35"/>
    </row>
    <row r="643" spans="3:3" ht="13.2">
      <c r="C643" s="35"/>
    </row>
    <row r="644" spans="3:3" ht="13.2">
      <c r="C644" s="35"/>
    </row>
    <row r="645" spans="3:3" ht="13.2">
      <c r="C645" s="35"/>
    </row>
    <row r="646" spans="3:3" ht="13.2">
      <c r="C646" s="35"/>
    </row>
    <row r="647" spans="3:3" ht="13.2">
      <c r="C647" s="35"/>
    </row>
    <row r="648" spans="3:3" ht="13.2">
      <c r="C648" s="35"/>
    </row>
    <row r="649" spans="3:3" ht="13.2">
      <c r="C649" s="35"/>
    </row>
    <row r="650" spans="3:3" ht="13.2">
      <c r="C650" s="35"/>
    </row>
    <row r="651" spans="3:3" ht="13.2">
      <c r="C651" s="35"/>
    </row>
    <row r="652" spans="3:3" ht="13.2">
      <c r="C652" s="35"/>
    </row>
    <row r="653" spans="3:3" ht="13.2">
      <c r="C653" s="35"/>
    </row>
    <row r="654" spans="3:3" ht="13.2">
      <c r="C654" s="35"/>
    </row>
    <row r="655" spans="3:3" ht="13.2">
      <c r="C655" s="35"/>
    </row>
    <row r="656" spans="3:3" ht="13.2">
      <c r="C656" s="35"/>
    </row>
    <row r="657" spans="3:3" ht="13.2">
      <c r="C657" s="35"/>
    </row>
    <row r="658" spans="3:3" ht="13.2">
      <c r="C658" s="35"/>
    </row>
    <row r="659" spans="3:3" ht="13.2">
      <c r="C659" s="35"/>
    </row>
    <row r="660" spans="3:3" ht="13.2">
      <c r="C660" s="35"/>
    </row>
    <row r="661" spans="3:3" ht="13.2">
      <c r="C661" s="35"/>
    </row>
    <row r="662" spans="3:3" ht="13.2">
      <c r="C662" s="35"/>
    </row>
    <row r="663" spans="3:3" ht="13.2">
      <c r="C663" s="35"/>
    </row>
    <row r="664" spans="3:3" ht="13.2">
      <c r="C664" s="35"/>
    </row>
    <row r="665" spans="3:3" ht="13.2">
      <c r="C665" s="35"/>
    </row>
    <row r="666" spans="3:3" ht="13.2">
      <c r="C666" s="35"/>
    </row>
    <row r="667" spans="3:3" ht="13.2">
      <c r="C667" s="35"/>
    </row>
    <row r="668" spans="3:3" ht="13.2">
      <c r="C668" s="35"/>
    </row>
    <row r="669" spans="3:3" ht="13.2">
      <c r="C669" s="35"/>
    </row>
    <row r="670" spans="3:3" ht="13.2">
      <c r="C670" s="35"/>
    </row>
    <row r="671" spans="3:3" ht="13.2">
      <c r="C671" s="35"/>
    </row>
    <row r="672" spans="3:3" ht="13.2">
      <c r="C672" s="35"/>
    </row>
    <row r="673" spans="3:3" ht="13.2">
      <c r="C673" s="35"/>
    </row>
    <row r="674" spans="3:3" ht="13.2">
      <c r="C674" s="35"/>
    </row>
    <row r="675" spans="3:3" ht="13.2">
      <c r="C675" s="35"/>
    </row>
    <row r="676" spans="3:3" ht="13.2">
      <c r="C676" s="35"/>
    </row>
    <row r="677" spans="3:3" ht="13.2">
      <c r="C677" s="35"/>
    </row>
    <row r="678" spans="3:3" ht="13.2">
      <c r="C678" s="35"/>
    </row>
    <row r="679" spans="3:3" ht="13.2">
      <c r="C679" s="35"/>
    </row>
    <row r="680" spans="3:3" ht="13.2">
      <c r="C680" s="35"/>
    </row>
    <row r="681" spans="3:3" ht="13.2">
      <c r="C681" s="35"/>
    </row>
    <row r="682" spans="3:3" ht="13.2">
      <c r="C682" s="35"/>
    </row>
    <row r="683" spans="3:3" ht="13.2">
      <c r="C683" s="35"/>
    </row>
    <row r="684" spans="3:3" ht="13.2">
      <c r="C684" s="35"/>
    </row>
    <row r="685" spans="3:3" ht="13.2">
      <c r="C685" s="35"/>
    </row>
    <row r="686" spans="3:3" ht="13.2">
      <c r="C686" s="35"/>
    </row>
    <row r="687" spans="3:3" ht="13.2">
      <c r="C687" s="35"/>
    </row>
    <row r="688" spans="3:3" ht="13.2">
      <c r="C688" s="35"/>
    </row>
    <row r="689" spans="3:3" ht="13.2">
      <c r="C689" s="35"/>
    </row>
    <row r="690" spans="3:3" ht="13.2">
      <c r="C690" s="35"/>
    </row>
    <row r="691" spans="3:3" ht="13.2">
      <c r="C691" s="35"/>
    </row>
    <row r="692" spans="3:3" ht="13.2">
      <c r="C692" s="35"/>
    </row>
    <row r="693" spans="3:3" ht="13.2">
      <c r="C693" s="35"/>
    </row>
    <row r="694" spans="3:3" ht="13.2">
      <c r="C694" s="35"/>
    </row>
    <row r="695" spans="3:3" ht="13.2">
      <c r="C695" s="35"/>
    </row>
    <row r="696" spans="3:3" ht="13.2">
      <c r="C696" s="35"/>
    </row>
    <row r="697" spans="3:3" ht="13.2">
      <c r="C697" s="35"/>
    </row>
    <row r="698" spans="3:3" ht="13.2">
      <c r="C698" s="35"/>
    </row>
    <row r="699" spans="3:3" ht="13.2">
      <c r="C699" s="35"/>
    </row>
    <row r="700" spans="3:3" ht="13.2">
      <c r="C700" s="35"/>
    </row>
    <row r="701" spans="3:3" ht="13.2">
      <c r="C701" s="35"/>
    </row>
    <row r="702" spans="3:3" ht="13.2">
      <c r="C702" s="35"/>
    </row>
    <row r="703" spans="3:3" ht="13.2">
      <c r="C703" s="35"/>
    </row>
    <row r="704" spans="3:3" ht="13.2">
      <c r="C704" s="35"/>
    </row>
    <row r="705" spans="3:3" ht="13.2">
      <c r="C705" s="35"/>
    </row>
    <row r="706" spans="3:3" ht="13.2">
      <c r="C706" s="35"/>
    </row>
    <row r="707" spans="3:3" ht="13.2">
      <c r="C707" s="35"/>
    </row>
    <row r="708" spans="3:3" ht="13.2">
      <c r="C708" s="35"/>
    </row>
    <row r="709" spans="3:3" ht="13.2">
      <c r="C709" s="35"/>
    </row>
    <row r="710" spans="3:3" ht="13.2">
      <c r="C710" s="35"/>
    </row>
    <row r="711" spans="3:3" ht="13.2">
      <c r="C711" s="35"/>
    </row>
    <row r="712" spans="3:3" ht="13.2">
      <c r="C712" s="35"/>
    </row>
    <row r="713" spans="3:3" ht="13.2">
      <c r="C713" s="35"/>
    </row>
    <row r="714" spans="3:3" ht="13.2">
      <c r="C714" s="35"/>
    </row>
    <row r="715" spans="3:3" ht="13.2">
      <c r="C715" s="35"/>
    </row>
    <row r="716" spans="3:3" ht="13.2">
      <c r="C716" s="35"/>
    </row>
    <row r="717" spans="3:3" ht="13.2">
      <c r="C717" s="35"/>
    </row>
    <row r="718" spans="3:3" ht="13.2">
      <c r="C718" s="35"/>
    </row>
    <row r="719" spans="3:3" ht="13.2">
      <c r="C719" s="35"/>
    </row>
    <row r="720" spans="3:3" ht="13.2">
      <c r="C720" s="35"/>
    </row>
    <row r="721" spans="3:3" ht="13.2">
      <c r="C721" s="35"/>
    </row>
    <row r="722" spans="3:3" ht="13.2">
      <c r="C722" s="35"/>
    </row>
    <row r="723" spans="3:3" ht="13.2">
      <c r="C723" s="35"/>
    </row>
    <row r="724" spans="3:3" ht="13.2">
      <c r="C724" s="35"/>
    </row>
    <row r="725" spans="3:3" ht="13.2">
      <c r="C725" s="35"/>
    </row>
    <row r="726" spans="3:3" ht="13.2">
      <c r="C726" s="35"/>
    </row>
    <row r="727" spans="3:3" ht="13.2">
      <c r="C727" s="35"/>
    </row>
    <row r="728" spans="3:3" ht="13.2">
      <c r="C728" s="35"/>
    </row>
    <row r="729" spans="3:3" ht="13.2">
      <c r="C729" s="35"/>
    </row>
    <row r="730" spans="3:3" ht="13.2">
      <c r="C730" s="35"/>
    </row>
    <row r="731" spans="3:3" ht="13.2">
      <c r="C731" s="35"/>
    </row>
    <row r="732" spans="3:3" ht="13.2">
      <c r="C732" s="35"/>
    </row>
    <row r="733" spans="3:3" ht="13.2">
      <c r="C733" s="35"/>
    </row>
    <row r="734" spans="3:3" ht="13.2">
      <c r="C734" s="35"/>
    </row>
    <row r="735" spans="3:3" ht="13.2">
      <c r="C735" s="35"/>
    </row>
    <row r="736" spans="3:3" ht="13.2">
      <c r="C736" s="35"/>
    </row>
    <row r="737" spans="3:3" ht="13.2">
      <c r="C737" s="35"/>
    </row>
    <row r="738" spans="3:3" ht="13.2">
      <c r="C738" s="35"/>
    </row>
    <row r="739" spans="3:3" ht="13.2">
      <c r="C739" s="35"/>
    </row>
    <row r="740" spans="3:3" ht="13.2">
      <c r="C740" s="35"/>
    </row>
    <row r="741" spans="3:3" ht="13.2">
      <c r="C741" s="35"/>
    </row>
    <row r="742" spans="3:3" ht="13.2">
      <c r="C742" s="35"/>
    </row>
    <row r="743" spans="3:3" ht="13.2">
      <c r="C743" s="35"/>
    </row>
    <row r="744" spans="3:3" ht="13.2">
      <c r="C744" s="35"/>
    </row>
    <row r="745" spans="3:3" ht="13.2">
      <c r="C745" s="35"/>
    </row>
    <row r="746" spans="3:3" ht="13.2">
      <c r="C746" s="35"/>
    </row>
    <row r="747" spans="3:3" ht="13.2">
      <c r="C747" s="35"/>
    </row>
    <row r="748" spans="3:3" ht="13.2">
      <c r="C748" s="35"/>
    </row>
    <row r="749" spans="3:3" ht="13.2">
      <c r="C749" s="35"/>
    </row>
    <row r="750" spans="3:3" ht="13.2">
      <c r="C750" s="35"/>
    </row>
    <row r="751" spans="3:3" ht="13.2">
      <c r="C751" s="35"/>
    </row>
    <row r="752" spans="3:3" ht="13.2">
      <c r="C752" s="35"/>
    </row>
    <row r="753" spans="3:3" ht="13.2">
      <c r="C753" s="35"/>
    </row>
    <row r="754" spans="3:3" ht="13.2">
      <c r="C754" s="35"/>
    </row>
    <row r="755" spans="3:3" ht="13.2">
      <c r="C755" s="35"/>
    </row>
    <row r="756" spans="3:3" ht="13.2">
      <c r="C756" s="35"/>
    </row>
    <row r="757" spans="3:3" ht="13.2">
      <c r="C757" s="35"/>
    </row>
    <row r="758" spans="3:3" ht="13.2">
      <c r="C758" s="35"/>
    </row>
    <row r="759" spans="3:3" ht="13.2">
      <c r="C759" s="35"/>
    </row>
    <row r="760" spans="3:3" ht="13.2">
      <c r="C760" s="35"/>
    </row>
    <row r="761" spans="3:3" ht="13.2">
      <c r="C761" s="35"/>
    </row>
    <row r="762" spans="3:3" ht="13.2">
      <c r="C762" s="35"/>
    </row>
    <row r="763" spans="3:3" ht="13.2">
      <c r="C763" s="35"/>
    </row>
    <row r="764" spans="3:3" ht="13.2">
      <c r="C764" s="35"/>
    </row>
    <row r="765" spans="3:3" ht="13.2">
      <c r="C765" s="35"/>
    </row>
    <row r="766" spans="3:3" ht="13.2">
      <c r="C766" s="35"/>
    </row>
    <row r="767" spans="3:3" ht="13.2">
      <c r="C767" s="35"/>
    </row>
    <row r="768" spans="3:3" ht="13.2">
      <c r="C768" s="35"/>
    </row>
    <row r="769" spans="3:3" ht="13.2">
      <c r="C769" s="35"/>
    </row>
    <row r="770" spans="3:3" ht="13.2">
      <c r="C770" s="35"/>
    </row>
    <row r="771" spans="3:3" ht="13.2">
      <c r="C771" s="35"/>
    </row>
    <row r="772" spans="3:3" ht="13.2">
      <c r="C772" s="35"/>
    </row>
    <row r="773" spans="3:3" ht="13.2">
      <c r="C773" s="35"/>
    </row>
    <row r="774" spans="3:3" ht="13.2">
      <c r="C774" s="35"/>
    </row>
    <row r="775" spans="3:3" ht="13.2">
      <c r="C775" s="35"/>
    </row>
    <row r="776" spans="3:3" ht="13.2">
      <c r="C776" s="35"/>
    </row>
    <row r="777" spans="3:3" ht="13.2">
      <c r="C777" s="35"/>
    </row>
    <row r="778" spans="3:3" ht="13.2">
      <c r="C778" s="35"/>
    </row>
    <row r="779" spans="3:3" ht="13.2">
      <c r="C779" s="35"/>
    </row>
    <row r="780" spans="3:3" ht="13.2">
      <c r="C780" s="35"/>
    </row>
    <row r="781" spans="3:3" ht="13.2">
      <c r="C781" s="35"/>
    </row>
    <row r="782" spans="3:3" ht="13.2">
      <c r="C782" s="35"/>
    </row>
    <row r="783" spans="3:3" ht="13.2">
      <c r="C783" s="35"/>
    </row>
    <row r="784" spans="3:3" ht="13.2">
      <c r="C784" s="35"/>
    </row>
    <row r="785" spans="3:3" ht="13.2">
      <c r="C785" s="35"/>
    </row>
    <row r="786" spans="3:3" ht="13.2">
      <c r="C786" s="35"/>
    </row>
    <row r="787" spans="3:3" ht="13.2">
      <c r="C787" s="35"/>
    </row>
    <row r="788" spans="3:3" ht="13.2">
      <c r="C788" s="35"/>
    </row>
    <row r="789" spans="3:3" ht="13.2">
      <c r="C789" s="35"/>
    </row>
    <row r="790" spans="3:3" ht="13.2">
      <c r="C790" s="35"/>
    </row>
    <row r="791" spans="3:3" ht="13.2">
      <c r="C791" s="35"/>
    </row>
    <row r="792" spans="3:3" ht="13.2">
      <c r="C792" s="35"/>
    </row>
    <row r="793" spans="3:3" ht="13.2">
      <c r="C793" s="35"/>
    </row>
    <row r="794" spans="3:3" ht="13.2">
      <c r="C794" s="35"/>
    </row>
    <row r="795" spans="3:3" ht="13.2">
      <c r="C795" s="35"/>
    </row>
    <row r="796" spans="3:3" ht="13.2">
      <c r="C796" s="35"/>
    </row>
    <row r="797" spans="3:3" ht="13.2">
      <c r="C797" s="35"/>
    </row>
    <row r="798" spans="3:3" ht="13.2">
      <c r="C798" s="35"/>
    </row>
    <row r="799" spans="3:3" ht="13.2">
      <c r="C799" s="35"/>
    </row>
    <row r="800" spans="3:3" ht="13.2">
      <c r="C800" s="35"/>
    </row>
    <row r="801" spans="3:3" ht="13.2">
      <c r="C801" s="35"/>
    </row>
    <row r="802" spans="3:3" ht="13.2">
      <c r="C802" s="35"/>
    </row>
    <row r="803" spans="3:3" ht="13.2">
      <c r="C803" s="35"/>
    </row>
    <row r="804" spans="3:3" ht="13.2">
      <c r="C804" s="35"/>
    </row>
    <row r="805" spans="3:3" ht="13.2">
      <c r="C805" s="35"/>
    </row>
    <row r="806" spans="3:3" ht="13.2">
      <c r="C806" s="35"/>
    </row>
    <row r="807" spans="3:3" ht="13.2">
      <c r="C807" s="35"/>
    </row>
    <row r="808" spans="3:3" ht="13.2">
      <c r="C808" s="35"/>
    </row>
    <row r="809" spans="3:3" ht="13.2">
      <c r="C809" s="35"/>
    </row>
    <row r="810" spans="3:3" ht="13.2">
      <c r="C810" s="35"/>
    </row>
    <row r="811" spans="3:3" ht="13.2">
      <c r="C811" s="35"/>
    </row>
    <row r="812" spans="3:3" ht="13.2">
      <c r="C812" s="35"/>
    </row>
    <row r="813" spans="3:3" ht="13.2">
      <c r="C813" s="35"/>
    </row>
    <row r="814" spans="3:3" ht="13.2">
      <c r="C814" s="35"/>
    </row>
    <row r="815" spans="3:3" ht="13.2">
      <c r="C815" s="35"/>
    </row>
    <row r="816" spans="3:3" ht="13.2">
      <c r="C816" s="35"/>
    </row>
    <row r="817" spans="3:3" ht="13.2">
      <c r="C817" s="35"/>
    </row>
    <row r="818" spans="3:3" ht="13.2">
      <c r="C818" s="35"/>
    </row>
    <row r="819" spans="3:3" ht="13.2">
      <c r="C819" s="35"/>
    </row>
    <row r="820" spans="3:3" ht="13.2">
      <c r="C820" s="35"/>
    </row>
    <row r="821" spans="3:3" ht="13.2">
      <c r="C821" s="35"/>
    </row>
    <row r="822" spans="3:3" ht="13.2">
      <c r="C822" s="35"/>
    </row>
    <row r="823" spans="3:3" ht="13.2">
      <c r="C823" s="35"/>
    </row>
    <row r="824" spans="3:3" ht="13.2">
      <c r="C824" s="35"/>
    </row>
    <row r="825" spans="3:3" ht="13.2">
      <c r="C825" s="35"/>
    </row>
    <row r="826" spans="3:3" ht="13.2">
      <c r="C826" s="35"/>
    </row>
    <row r="827" spans="3:3" ht="13.2">
      <c r="C827" s="35"/>
    </row>
    <row r="828" spans="3:3" ht="13.2">
      <c r="C828" s="35"/>
    </row>
    <row r="829" spans="3:3" ht="13.2">
      <c r="C829" s="35"/>
    </row>
    <row r="830" spans="3:3" ht="13.2">
      <c r="C830" s="35"/>
    </row>
    <row r="831" spans="3:3" ht="13.2">
      <c r="C831" s="35"/>
    </row>
    <row r="832" spans="3:3" ht="13.2">
      <c r="C832" s="35"/>
    </row>
    <row r="833" spans="3:3" ht="13.2">
      <c r="C833" s="35"/>
    </row>
    <row r="834" spans="3:3" ht="13.2">
      <c r="C834" s="35"/>
    </row>
    <row r="835" spans="3:3" ht="13.2">
      <c r="C835" s="35"/>
    </row>
    <row r="836" spans="3:3" ht="13.2">
      <c r="C836" s="35"/>
    </row>
    <row r="837" spans="3:3" ht="13.2">
      <c r="C837" s="35"/>
    </row>
    <row r="838" spans="3:3" ht="13.2">
      <c r="C838" s="35"/>
    </row>
    <row r="839" spans="3:3" ht="13.2">
      <c r="C839" s="35"/>
    </row>
    <row r="840" spans="3:3" ht="13.2">
      <c r="C840" s="35"/>
    </row>
    <row r="841" spans="3:3" ht="13.2">
      <c r="C841" s="35"/>
    </row>
    <row r="842" spans="3:3" ht="13.2">
      <c r="C842" s="35"/>
    </row>
    <row r="843" spans="3:3" ht="13.2">
      <c r="C843" s="35"/>
    </row>
    <row r="844" spans="3:3" ht="13.2">
      <c r="C844" s="35"/>
    </row>
    <row r="845" spans="3:3" ht="13.2">
      <c r="C845" s="35"/>
    </row>
    <row r="846" spans="3:3" ht="13.2">
      <c r="C846" s="35"/>
    </row>
    <row r="847" spans="3:3" ht="13.2">
      <c r="C847" s="35"/>
    </row>
    <row r="848" spans="3:3" ht="13.2">
      <c r="C848" s="35"/>
    </row>
    <row r="849" spans="3:3" ht="13.2">
      <c r="C849" s="35"/>
    </row>
    <row r="850" spans="3:3" ht="13.2">
      <c r="C850" s="35"/>
    </row>
    <row r="851" spans="3:3" ht="13.2">
      <c r="C851" s="35"/>
    </row>
    <row r="852" spans="3:3" ht="13.2">
      <c r="C852" s="35"/>
    </row>
    <row r="853" spans="3:3" ht="13.2">
      <c r="C853" s="35"/>
    </row>
    <row r="854" spans="3:3" ht="13.2">
      <c r="C854" s="35"/>
    </row>
    <row r="855" spans="3:3" ht="13.2">
      <c r="C855" s="35"/>
    </row>
    <row r="856" spans="3:3" ht="13.2">
      <c r="C856" s="35"/>
    </row>
    <row r="857" spans="3:3" ht="13.2">
      <c r="C857" s="35"/>
    </row>
    <row r="858" spans="3:3" ht="13.2">
      <c r="C858" s="35"/>
    </row>
    <row r="859" spans="3:3" ht="13.2">
      <c r="C859" s="35"/>
    </row>
    <row r="860" spans="3:3" ht="13.2">
      <c r="C860" s="35"/>
    </row>
    <row r="861" spans="3:3" ht="13.2">
      <c r="C861" s="35"/>
    </row>
    <row r="862" spans="3:3" ht="13.2">
      <c r="C862" s="35"/>
    </row>
    <row r="863" spans="3:3" ht="13.2">
      <c r="C863" s="35"/>
    </row>
    <row r="864" spans="3:3" ht="13.2">
      <c r="C864" s="35"/>
    </row>
    <row r="865" spans="3:3" ht="13.2">
      <c r="C865" s="35"/>
    </row>
    <row r="866" spans="3:3" ht="13.2">
      <c r="C866" s="35"/>
    </row>
    <row r="867" spans="3:3" ht="13.2">
      <c r="C867" s="35"/>
    </row>
    <row r="868" spans="3:3" ht="13.2">
      <c r="C868" s="35"/>
    </row>
    <row r="869" spans="3:3" ht="13.2">
      <c r="C869" s="35"/>
    </row>
    <row r="870" spans="3:3" ht="13.2">
      <c r="C870" s="35"/>
    </row>
    <row r="871" spans="3:3" ht="13.2">
      <c r="C871" s="35"/>
    </row>
    <row r="872" spans="3:3" ht="13.2">
      <c r="C872" s="35"/>
    </row>
    <row r="873" spans="3:3" ht="13.2">
      <c r="C873" s="35"/>
    </row>
    <row r="874" spans="3:3" ht="13.2">
      <c r="C874" s="35"/>
    </row>
    <row r="875" spans="3:3" ht="13.2">
      <c r="C875" s="35"/>
    </row>
    <row r="876" spans="3:3" ht="13.2">
      <c r="C876" s="35"/>
    </row>
    <row r="877" spans="3:3" ht="13.2">
      <c r="C877" s="35"/>
    </row>
    <row r="878" spans="3:3" ht="13.2">
      <c r="C878" s="35"/>
    </row>
    <row r="879" spans="3:3" ht="13.2">
      <c r="C879" s="35"/>
    </row>
    <row r="880" spans="3:3" ht="13.2">
      <c r="C880" s="35"/>
    </row>
    <row r="881" spans="3:3" ht="13.2">
      <c r="C881" s="35"/>
    </row>
    <row r="882" spans="3:3" ht="13.2">
      <c r="C882" s="35"/>
    </row>
    <row r="883" spans="3:3" ht="13.2">
      <c r="C883" s="35"/>
    </row>
    <row r="884" spans="3:3" ht="13.2">
      <c r="C884" s="35"/>
    </row>
    <row r="885" spans="3:3" ht="13.2">
      <c r="C885" s="35"/>
    </row>
    <row r="886" spans="3:3" ht="13.2">
      <c r="C886" s="35"/>
    </row>
    <row r="887" spans="3:3" ht="13.2">
      <c r="C887" s="35"/>
    </row>
    <row r="888" spans="3:3" ht="13.2">
      <c r="C888" s="35"/>
    </row>
    <row r="889" spans="3:3" ht="13.2">
      <c r="C889" s="35"/>
    </row>
    <row r="890" spans="3:3" ht="13.2">
      <c r="C890" s="35"/>
    </row>
    <row r="891" spans="3:3" ht="13.2">
      <c r="C891" s="35"/>
    </row>
    <row r="892" spans="3:3" ht="13.2">
      <c r="C892" s="35"/>
    </row>
    <row r="893" spans="3:3" ht="13.2">
      <c r="C893" s="35"/>
    </row>
    <row r="894" spans="3:3" ht="13.2">
      <c r="C894" s="35"/>
    </row>
    <row r="895" spans="3:3" ht="13.2">
      <c r="C895" s="35"/>
    </row>
    <row r="896" spans="3:3" ht="13.2">
      <c r="C896" s="35"/>
    </row>
    <row r="897" spans="3:3" ht="13.2">
      <c r="C897" s="35"/>
    </row>
    <row r="898" spans="3:3" ht="13.2">
      <c r="C898" s="35"/>
    </row>
    <row r="899" spans="3:3" ht="13.2">
      <c r="C899" s="35"/>
    </row>
    <row r="900" spans="3:3" ht="13.2">
      <c r="C900" s="35"/>
    </row>
    <row r="901" spans="3:3" ht="13.2">
      <c r="C901" s="35"/>
    </row>
    <row r="902" spans="3:3" ht="13.2">
      <c r="C902" s="35"/>
    </row>
    <row r="903" spans="3:3" ht="13.2">
      <c r="C903" s="35"/>
    </row>
    <row r="904" spans="3:3" ht="13.2">
      <c r="C904" s="35"/>
    </row>
    <row r="905" spans="3:3" ht="13.2">
      <c r="C905" s="35"/>
    </row>
    <row r="906" spans="3:3" ht="13.2">
      <c r="C906" s="35"/>
    </row>
    <row r="907" spans="3:3" ht="13.2">
      <c r="C907" s="35"/>
    </row>
    <row r="908" spans="3:3" ht="13.2">
      <c r="C908" s="35"/>
    </row>
    <row r="909" spans="3:3" ht="13.2">
      <c r="C909" s="35"/>
    </row>
    <row r="910" spans="3:3" ht="13.2">
      <c r="C910" s="35"/>
    </row>
    <row r="911" spans="3:3" ht="13.2">
      <c r="C911" s="35"/>
    </row>
    <row r="912" spans="3:3" ht="13.2">
      <c r="C912" s="35"/>
    </row>
    <row r="913" spans="3:3" ht="13.2">
      <c r="C913" s="35"/>
    </row>
    <row r="914" spans="3:3" ht="13.2">
      <c r="C914" s="35"/>
    </row>
    <row r="915" spans="3:3" ht="13.2">
      <c r="C915" s="35"/>
    </row>
    <row r="916" spans="3:3" ht="13.2">
      <c r="C916" s="35"/>
    </row>
    <row r="917" spans="3:3" ht="13.2">
      <c r="C917" s="35"/>
    </row>
    <row r="918" spans="3:3" ht="13.2">
      <c r="C918" s="35"/>
    </row>
    <row r="919" spans="3:3" ht="13.2">
      <c r="C919" s="35"/>
    </row>
    <row r="920" spans="3:3" ht="13.2">
      <c r="C920" s="35"/>
    </row>
    <row r="921" spans="3:3" ht="13.2">
      <c r="C921" s="35"/>
    </row>
    <row r="922" spans="3:3" ht="13.2">
      <c r="C922" s="35"/>
    </row>
    <row r="923" spans="3:3" ht="13.2">
      <c r="C923" s="35"/>
    </row>
    <row r="924" spans="3:3" ht="13.2">
      <c r="C924" s="35"/>
    </row>
    <row r="925" spans="3:3" ht="13.2">
      <c r="C925" s="35"/>
    </row>
    <row r="926" spans="3:3" ht="13.2">
      <c r="C926" s="35"/>
    </row>
    <row r="927" spans="3:3" ht="13.2">
      <c r="C927" s="35"/>
    </row>
    <row r="928" spans="3:3" ht="13.2">
      <c r="C928" s="35"/>
    </row>
    <row r="929" spans="3:3" ht="13.2">
      <c r="C929" s="35"/>
    </row>
    <row r="930" spans="3:3" ht="13.2">
      <c r="C930" s="35"/>
    </row>
    <row r="931" spans="3:3" ht="13.2">
      <c r="C931" s="35"/>
    </row>
    <row r="932" spans="3:3" ht="13.2">
      <c r="C932" s="35"/>
    </row>
    <row r="933" spans="3:3" ht="13.2">
      <c r="C933" s="35"/>
    </row>
    <row r="934" spans="3:3" ht="13.2">
      <c r="C934" s="35"/>
    </row>
    <row r="935" spans="3:3" ht="13.2">
      <c r="C935" s="35"/>
    </row>
    <row r="936" spans="3:3" ht="13.2">
      <c r="C936" s="35"/>
    </row>
    <row r="937" spans="3:3" ht="13.2">
      <c r="C937" s="35"/>
    </row>
    <row r="938" spans="3:3" ht="13.2">
      <c r="C938" s="35"/>
    </row>
    <row r="939" spans="3:3" ht="13.2">
      <c r="C939" s="35"/>
    </row>
    <row r="940" spans="3:3" ht="13.2">
      <c r="C940" s="35"/>
    </row>
    <row r="941" spans="3:3" ht="13.2">
      <c r="C941" s="35"/>
    </row>
    <row r="942" spans="3:3" ht="13.2">
      <c r="C942" s="35"/>
    </row>
    <row r="943" spans="3:3" ht="13.2">
      <c r="C943" s="35"/>
    </row>
    <row r="944" spans="3:3" ht="13.2">
      <c r="C944" s="35"/>
    </row>
    <row r="945" spans="3:3" ht="13.2">
      <c r="C945" s="35"/>
    </row>
    <row r="946" spans="3:3" ht="13.2">
      <c r="C946" s="35"/>
    </row>
    <row r="947" spans="3:3" ht="13.2">
      <c r="C947" s="35"/>
    </row>
    <row r="948" spans="3:3" ht="13.2">
      <c r="C948" s="35"/>
    </row>
    <row r="949" spans="3:3" ht="13.2">
      <c r="C949" s="35"/>
    </row>
    <row r="950" spans="3:3" ht="13.2">
      <c r="C950" s="35"/>
    </row>
    <row r="951" spans="3:3" ht="13.2">
      <c r="C951" s="35"/>
    </row>
    <row r="952" spans="3:3" ht="13.2">
      <c r="C952" s="35"/>
    </row>
    <row r="953" spans="3:3" ht="13.2">
      <c r="C953" s="35"/>
    </row>
    <row r="954" spans="3:3" ht="13.2">
      <c r="C954" s="35"/>
    </row>
    <row r="955" spans="3:3" ht="13.2">
      <c r="C955" s="35"/>
    </row>
    <row r="956" spans="3:3" ht="13.2">
      <c r="C956" s="35"/>
    </row>
    <row r="957" spans="3:3" ht="13.2">
      <c r="C957" s="35"/>
    </row>
    <row r="958" spans="3:3" ht="13.2">
      <c r="C958" s="35"/>
    </row>
    <row r="959" spans="3:3" ht="13.2">
      <c r="C959" s="35"/>
    </row>
    <row r="960" spans="3:3" ht="13.2">
      <c r="C960" s="35"/>
    </row>
    <row r="961" spans="3:3" ht="13.2">
      <c r="C961" s="35"/>
    </row>
    <row r="962" spans="3:3" ht="13.2">
      <c r="C962" s="35"/>
    </row>
    <row r="963" spans="3:3" ht="13.2">
      <c r="C963" s="35"/>
    </row>
    <row r="964" spans="3:3" ht="13.2">
      <c r="C964" s="35"/>
    </row>
    <row r="965" spans="3:3" ht="13.2">
      <c r="C965" s="35"/>
    </row>
    <row r="966" spans="3:3" ht="13.2">
      <c r="C966" s="35"/>
    </row>
    <row r="967" spans="3:3" ht="13.2">
      <c r="C967" s="35"/>
    </row>
    <row r="968" spans="3:3" ht="13.2">
      <c r="C968" s="35"/>
    </row>
    <row r="969" spans="3:3" ht="13.2">
      <c r="C969" s="35"/>
    </row>
    <row r="970" spans="3:3" ht="13.2">
      <c r="C970" s="35"/>
    </row>
    <row r="971" spans="3:3" ht="13.2">
      <c r="C971" s="35"/>
    </row>
    <row r="972" spans="3:3" ht="13.2">
      <c r="C972" s="35"/>
    </row>
    <row r="973" spans="3:3" ht="13.2">
      <c r="C973" s="35"/>
    </row>
    <row r="974" spans="3:3" ht="13.2">
      <c r="C974" s="35"/>
    </row>
    <row r="975" spans="3:3" ht="13.2">
      <c r="C975" s="35"/>
    </row>
    <row r="976" spans="3:3" ht="13.2">
      <c r="C976" s="35"/>
    </row>
    <row r="977" spans="3:3" ht="13.2">
      <c r="C977" s="35"/>
    </row>
    <row r="978" spans="3:3" ht="13.2">
      <c r="C978" s="35"/>
    </row>
    <row r="979" spans="3:3" ht="13.2">
      <c r="C979" s="35"/>
    </row>
    <row r="980" spans="3:3" ht="13.2">
      <c r="C980" s="35"/>
    </row>
    <row r="981" spans="3:3" ht="13.2">
      <c r="C981" s="35"/>
    </row>
    <row r="982" spans="3:3" ht="13.2">
      <c r="C982" s="35"/>
    </row>
    <row r="983" spans="3:3" ht="13.2">
      <c r="C983" s="35"/>
    </row>
    <row r="984" spans="3:3" ht="13.2">
      <c r="C984" s="35"/>
    </row>
    <row r="985" spans="3:3" ht="13.2">
      <c r="C985" s="35"/>
    </row>
    <row r="986" spans="3:3" ht="13.2">
      <c r="C986" s="35"/>
    </row>
    <row r="987" spans="3:3" ht="13.2">
      <c r="C987" s="35"/>
    </row>
    <row r="988" spans="3:3" ht="13.2">
      <c r="C988" s="35"/>
    </row>
    <row r="989" spans="3:3" ht="13.2">
      <c r="C989" s="35"/>
    </row>
    <row r="990" spans="3:3" ht="13.2">
      <c r="C990" s="35"/>
    </row>
    <row r="991" spans="3:3" ht="13.2">
      <c r="C991" s="35"/>
    </row>
    <row r="992" spans="3:3" ht="13.2">
      <c r="C992" s="35"/>
    </row>
    <row r="993" spans="3:3" ht="13.2">
      <c r="C993" s="35"/>
    </row>
    <row r="994" spans="3:3" ht="13.2">
      <c r="C994" s="35"/>
    </row>
    <row r="995" spans="3:3" ht="13.2">
      <c r="C995" s="35"/>
    </row>
    <row r="996" spans="3:3" ht="13.2">
      <c r="C996" s="35"/>
    </row>
    <row r="997" spans="3:3" ht="13.2">
      <c r="C997" s="35"/>
    </row>
    <row r="998" spans="3:3" ht="13.2">
      <c r="C998" s="35"/>
    </row>
    <row r="999" spans="3:3" ht="13.2">
      <c r="C999" s="35"/>
    </row>
    <row r="1000" spans="3:3" ht="13.2">
      <c r="C1000" s="35"/>
    </row>
  </sheetData>
  <autoFilter ref="A1:AP74">
    <filterColumn colId="2">
      <colorFilter dxfId="1"/>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CJ100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3" max="3" width="41.88671875" customWidth="1"/>
    <col min="6" max="6" width="14.77734375" customWidth="1"/>
    <col min="23" max="23" width="12.6640625" hidden="1"/>
    <col min="25" max="25" width="12.6640625" hidden="1"/>
    <col min="28" max="28" width="12.6640625" hidden="1"/>
    <col min="32" max="32" width="12.6640625" hidden="1"/>
    <col min="38" max="38" width="14.109375" customWidth="1"/>
  </cols>
  <sheetData>
    <row r="1" spans="1:88" ht="93" customHeight="1">
      <c r="A1" s="19" t="s">
        <v>0</v>
      </c>
      <c r="B1" s="19" t="s">
        <v>1</v>
      </c>
      <c r="C1" s="19" t="s">
        <v>2</v>
      </c>
      <c r="D1" s="19" t="s">
        <v>1241</v>
      </c>
      <c r="E1" s="19" t="s">
        <v>1242</v>
      </c>
      <c r="F1" s="19" t="s">
        <v>5</v>
      </c>
      <c r="G1" s="19" t="s">
        <v>6</v>
      </c>
      <c r="H1" s="19" t="s">
        <v>7</v>
      </c>
      <c r="I1" s="19" t="s">
        <v>8</v>
      </c>
      <c r="J1" s="19" t="s">
        <v>9</v>
      </c>
      <c r="K1" s="19" t="s">
        <v>10</v>
      </c>
      <c r="L1" s="19" t="s">
        <v>1243</v>
      </c>
      <c r="M1" s="19" t="s">
        <v>12</v>
      </c>
      <c r="N1" s="19" t="s">
        <v>1244</v>
      </c>
      <c r="O1" s="19" t="s">
        <v>1245</v>
      </c>
      <c r="P1" s="19" t="s">
        <v>15</v>
      </c>
      <c r="Q1" s="19" t="s">
        <v>16</v>
      </c>
      <c r="R1" s="19" t="s">
        <v>1246</v>
      </c>
      <c r="S1" s="19" t="s">
        <v>18</v>
      </c>
      <c r="T1" s="19" t="s">
        <v>19</v>
      </c>
      <c r="U1" s="19" t="s">
        <v>20</v>
      </c>
      <c r="V1" s="19" t="s">
        <v>1247</v>
      </c>
      <c r="W1" s="19" t="s">
        <v>1248</v>
      </c>
      <c r="X1" s="19" t="s">
        <v>1249</v>
      </c>
      <c r="Y1" s="19" t="s">
        <v>1250</v>
      </c>
      <c r="Z1" s="20" t="s">
        <v>1267</v>
      </c>
      <c r="AA1" s="19" t="s">
        <v>26</v>
      </c>
      <c r="AB1" s="19" t="s">
        <v>27</v>
      </c>
      <c r="AC1" s="19" t="s">
        <v>28</v>
      </c>
      <c r="AD1" s="19" t="s">
        <v>29</v>
      </c>
      <c r="AE1" s="19" t="s">
        <v>30</v>
      </c>
      <c r="AF1" s="19" t="s">
        <v>31</v>
      </c>
      <c r="AG1" s="36" t="s">
        <v>32</v>
      </c>
      <c r="AH1" s="37" t="s">
        <v>33</v>
      </c>
      <c r="AI1" s="37" t="s">
        <v>34</v>
      </c>
      <c r="AJ1" s="37" t="s">
        <v>35</v>
      </c>
      <c r="AK1" s="37" t="s">
        <v>36</v>
      </c>
      <c r="AL1" s="37" t="s">
        <v>42</v>
      </c>
      <c r="AM1" s="37" t="s">
        <v>43</v>
      </c>
      <c r="AN1" s="37" t="s">
        <v>44</v>
      </c>
      <c r="AO1" s="37" t="s">
        <v>45</v>
      </c>
      <c r="AP1" s="19" t="s">
        <v>46</v>
      </c>
      <c r="AQ1" s="20" t="s">
        <v>1253</v>
      </c>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row>
    <row r="2" spans="1:88" ht="13.2" hidden="1">
      <c r="A2" s="21">
        <v>45363.438363159723</v>
      </c>
      <c r="B2" s="22" t="s">
        <v>513</v>
      </c>
      <c r="C2" s="23" t="s">
        <v>514</v>
      </c>
      <c r="D2" s="24" t="s">
        <v>515</v>
      </c>
      <c r="E2" s="22" t="s">
        <v>133</v>
      </c>
      <c r="F2" s="22" t="s">
        <v>516</v>
      </c>
      <c r="G2" s="22" t="s">
        <v>64</v>
      </c>
      <c r="H2" s="22" t="s">
        <v>517</v>
      </c>
      <c r="I2" s="22" t="s">
        <v>518</v>
      </c>
      <c r="J2" s="22" t="s">
        <v>518</v>
      </c>
      <c r="K2" s="22" t="s">
        <v>513</v>
      </c>
      <c r="L2" s="22" t="s">
        <v>245</v>
      </c>
      <c r="M2" s="22" t="s">
        <v>519</v>
      </c>
      <c r="N2" s="22">
        <v>0</v>
      </c>
      <c r="O2" s="22" t="s">
        <v>70</v>
      </c>
      <c r="P2" s="22">
        <v>2</v>
      </c>
      <c r="Q2" s="22">
        <v>4</v>
      </c>
      <c r="R2" s="22">
        <v>50</v>
      </c>
      <c r="S2" s="25"/>
      <c r="T2" s="22" t="s">
        <v>71</v>
      </c>
      <c r="U2" s="22" t="s">
        <v>72</v>
      </c>
      <c r="V2" s="24" t="s">
        <v>520</v>
      </c>
      <c r="W2" s="26">
        <f>IF('CRUDO MARTES'!W2="Si",$N2,)</f>
        <v>0</v>
      </c>
      <c r="X2" s="26">
        <f>IF('CRUDO MARTES'!X2="Si",$N2,)</f>
        <v>0</v>
      </c>
      <c r="Y2" s="26">
        <f>IF('CRUDO MARTES'!Y2="Si",$N2,)</f>
        <v>0</v>
      </c>
      <c r="Z2" s="26">
        <f>IF('CRUDO MARTES'!Z2="Si",$N2,)</f>
        <v>0</v>
      </c>
      <c r="AA2" s="26">
        <f>IF('CRUDO MARTES'!AA2="Si",$N2,)</f>
        <v>0</v>
      </c>
      <c r="AB2" s="26">
        <f>IF('CRUDO MARTES'!AB2="Si",$N2,)</f>
        <v>0</v>
      </c>
      <c r="AC2" s="26">
        <f>IF('CRUDO MARTES'!AC2="Si",$N2,)</f>
        <v>0</v>
      </c>
      <c r="AD2" s="26">
        <f>IF('CRUDO MARTES'!AD2="Si",$N2,)</f>
        <v>0</v>
      </c>
      <c r="AE2" s="26">
        <f>IF('CRUDO MARTES'!AE2="Si",$N2,)</f>
        <v>0</v>
      </c>
      <c r="AF2" s="26">
        <f>IF('CRUDO MARTES'!AF2="Si",$N2,)</f>
        <v>0</v>
      </c>
      <c r="AG2" s="26">
        <f>IF('CRUDO MARTES'!AG2="Si",$N2,)</f>
        <v>0</v>
      </c>
      <c r="AH2" s="26">
        <f>IF('CRUDO MARTES'!AH2="Si",$N2,)</f>
        <v>0</v>
      </c>
      <c r="AI2" s="27">
        <v>0</v>
      </c>
      <c r="AJ2" s="26">
        <f>IF('CRUDO MARTES'!AJ2="Si",$N2,)</f>
        <v>0</v>
      </c>
      <c r="AK2" s="26">
        <f>IF('CRUDO MARTES'!AK2="Si",$N2,)</f>
        <v>0</v>
      </c>
      <c r="AL2" s="26">
        <f>IF('CRUDO MARTES'!AL2="Si",$N2,)</f>
        <v>0</v>
      </c>
      <c r="AM2" s="26">
        <f>IF('CRUDO MARTES'!AM2="Si",$N2,)</f>
        <v>0</v>
      </c>
      <c r="AN2" s="26">
        <f>IF('CRUDO MARTES'!AN2="Si",$N2,)</f>
        <v>0</v>
      </c>
      <c r="AO2" s="26">
        <f>IF('CRUDO MARTES'!AO2="Si",$N2,)</f>
        <v>0</v>
      </c>
      <c r="AP2" s="25"/>
      <c r="AQ2" s="22" t="s">
        <v>1254</v>
      </c>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row>
    <row r="3" spans="1:88" ht="13.2" hidden="1">
      <c r="A3" s="21">
        <v>45363.440609155092</v>
      </c>
      <c r="B3" s="22" t="s">
        <v>513</v>
      </c>
      <c r="C3" s="23" t="s">
        <v>514</v>
      </c>
      <c r="D3" s="24" t="s">
        <v>515</v>
      </c>
      <c r="E3" s="22" t="s">
        <v>133</v>
      </c>
      <c r="F3" s="22" t="s">
        <v>521</v>
      </c>
      <c r="G3" s="22" t="s">
        <v>64</v>
      </c>
      <c r="H3" s="22" t="s">
        <v>517</v>
      </c>
      <c r="I3" s="22" t="s">
        <v>522</v>
      </c>
      <c r="J3" s="22" t="s">
        <v>522</v>
      </c>
      <c r="K3" s="22" t="s">
        <v>513</v>
      </c>
      <c r="L3" s="22" t="s">
        <v>245</v>
      </c>
      <c r="M3" s="22" t="s">
        <v>519</v>
      </c>
      <c r="N3" s="22">
        <v>0</v>
      </c>
      <c r="O3" s="22" t="s">
        <v>70</v>
      </c>
      <c r="P3" s="22">
        <v>2</v>
      </c>
      <c r="Q3" s="22">
        <v>4</v>
      </c>
      <c r="R3" s="22">
        <v>50</v>
      </c>
      <c r="S3" s="25"/>
      <c r="T3" s="22" t="s">
        <v>71</v>
      </c>
      <c r="U3" s="22" t="s">
        <v>72</v>
      </c>
      <c r="V3" s="24" t="s">
        <v>520</v>
      </c>
      <c r="W3" s="26">
        <f>IF('CRUDO MARTES'!W3="Si",$N3,)</f>
        <v>0</v>
      </c>
      <c r="X3" s="26">
        <f>IF('CRUDO MARTES'!X3="Si",$N3,)</f>
        <v>0</v>
      </c>
      <c r="Y3" s="26">
        <f>IF('CRUDO MARTES'!Y3="Si",$N3,)</f>
        <v>0</v>
      </c>
      <c r="Z3" s="26">
        <f>IF('CRUDO MARTES'!Z3="Si",$N3,)</f>
        <v>0</v>
      </c>
      <c r="AA3" s="26">
        <f>IF('CRUDO MARTES'!AA3="Si",$N3,)</f>
        <v>0</v>
      </c>
      <c r="AB3" s="26">
        <f>IF('CRUDO MARTES'!AB3="Si",$N3,)</f>
        <v>0</v>
      </c>
      <c r="AC3" s="26">
        <f>IF('CRUDO MARTES'!AC3="Si",$N3,)</f>
        <v>0</v>
      </c>
      <c r="AD3" s="26">
        <f>IF('CRUDO MARTES'!AD3="Si",$N3,)</f>
        <v>0</v>
      </c>
      <c r="AE3" s="26">
        <f>IF('CRUDO MARTES'!AE3="Si",$N3,)</f>
        <v>0</v>
      </c>
      <c r="AF3" s="26">
        <f>IF('CRUDO MARTES'!AF3="Si",$N3,)</f>
        <v>0</v>
      </c>
      <c r="AG3" s="26">
        <f>IF('CRUDO MARTES'!AG3="Si",$N3,)</f>
        <v>0</v>
      </c>
      <c r="AH3" s="26">
        <f>IF('CRUDO MARTES'!AH3="Si",$N3,)</f>
        <v>0</v>
      </c>
      <c r="AI3" s="27">
        <v>0</v>
      </c>
      <c r="AJ3" s="26">
        <f>IF('CRUDO MARTES'!AJ3="Si",$N3,)</f>
        <v>0</v>
      </c>
      <c r="AK3" s="26">
        <f>IF('CRUDO MARTES'!AK3="Si",$N3,)</f>
        <v>0</v>
      </c>
      <c r="AL3" s="26">
        <f>IF('CRUDO MARTES'!AL3="Si",$N3,)</f>
        <v>0</v>
      </c>
      <c r="AM3" s="26">
        <f>IF('CRUDO MARTES'!AM3="Si",$N3,)</f>
        <v>0</v>
      </c>
      <c r="AN3" s="26">
        <f>IF('CRUDO MARTES'!AN3="Si",$N3,)</f>
        <v>0</v>
      </c>
      <c r="AO3" s="26">
        <f>IF('CRUDO MARTES'!AO3="Si",$N3,)</f>
        <v>0</v>
      </c>
      <c r="AP3" s="25"/>
      <c r="AQ3" s="22" t="s">
        <v>1254</v>
      </c>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row>
    <row r="4" spans="1:88" ht="13.2" hidden="1">
      <c r="A4" s="21">
        <v>45363.442617592591</v>
      </c>
      <c r="B4" s="22" t="s">
        <v>513</v>
      </c>
      <c r="C4" s="22" t="s">
        <v>514</v>
      </c>
      <c r="D4" s="24" t="s">
        <v>515</v>
      </c>
      <c r="E4" s="22" t="s">
        <v>133</v>
      </c>
      <c r="F4" s="22" t="s">
        <v>523</v>
      </c>
      <c r="G4" s="22" t="s">
        <v>64</v>
      </c>
      <c r="H4" s="22" t="s">
        <v>517</v>
      </c>
      <c r="I4" s="22" t="s">
        <v>522</v>
      </c>
      <c r="J4" s="22" t="s">
        <v>522</v>
      </c>
      <c r="K4" s="22" t="s">
        <v>513</v>
      </c>
      <c r="L4" s="22" t="s">
        <v>245</v>
      </c>
      <c r="M4" s="22" t="s">
        <v>519</v>
      </c>
      <c r="N4" s="22">
        <v>0</v>
      </c>
      <c r="O4" s="22" t="s">
        <v>70</v>
      </c>
      <c r="P4" s="22">
        <v>2</v>
      </c>
      <c r="Q4" s="22">
        <v>4</v>
      </c>
      <c r="R4" s="22">
        <v>50</v>
      </c>
      <c r="S4" s="25"/>
      <c r="T4" s="22" t="s">
        <v>71</v>
      </c>
      <c r="U4" s="22" t="s">
        <v>72</v>
      </c>
      <c r="V4" s="24" t="s">
        <v>520</v>
      </c>
      <c r="W4" s="26">
        <f>IF('CRUDO MARTES'!W4="Si",$N4,)</f>
        <v>0</v>
      </c>
      <c r="X4" s="26">
        <f>IF('CRUDO MARTES'!X4="Si",$N4,)</f>
        <v>0</v>
      </c>
      <c r="Y4" s="26">
        <f>IF('CRUDO MARTES'!Y4="Si",$N4,)</f>
        <v>0</v>
      </c>
      <c r="Z4" s="26">
        <f>IF('CRUDO MARTES'!Z4="Si",$N4,)</f>
        <v>0</v>
      </c>
      <c r="AA4" s="26">
        <f>IF('CRUDO MARTES'!AA4="Si",$N4,)</f>
        <v>0</v>
      </c>
      <c r="AB4" s="26">
        <f>IF('CRUDO MARTES'!AB4="Si",$N4,)</f>
        <v>0</v>
      </c>
      <c r="AC4" s="26">
        <f>IF('CRUDO MARTES'!AC4="Si",$N4,)</f>
        <v>0</v>
      </c>
      <c r="AD4" s="26">
        <f>IF('CRUDO MARTES'!AD4="Si",$N4,)</f>
        <v>0</v>
      </c>
      <c r="AE4" s="26">
        <f>IF('CRUDO MARTES'!AE4="Si",$N4,)</f>
        <v>0</v>
      </c>
      <c r="AF4" s="26">
        <f>IF('CRUDO MARTES'!AF4="Si",$N4,)</f>
        <v>0</v>
      </c>
      <c r="AG4" s="26">
        <f>IF('CRUDO MARTES'!AG4="Si",$N4,)</f>
        <v>0</v>
      </c>
      <c r="AH4" s="26">
        <f>IF('CRUDO MARTES'!AH4="Si",$N4,)</f>
        <v>0</v>
      </c>
      <c r="AI4" s="26">
        <f>IF('CRUDO MARTES'!AI4="Si",$N4,)</f>
        <v>0</v>
      </c>
      <c r="AJ4" s="26">
        <f>IF('CRUDO MARTES'!AJ4="Si",$N4,)</f>
        <v>0</v>
      </c>
      <c r="AK4" s="26">
        <f>IF('CRUDO MARTES'!AK4="Si",$N4,)</f>
        <v>0</v>
      </c>
      <c r="AL4" s="26">
        <f>IF('CRUDO MARTES'!AL4="Si",$N4,)</f>
        <v>0</v>
      </c>
      <c r="AM4" s="26">
        <f>IF('CRUDO MARTES'!AM4="Si",$N4,)</f>
        <v>0</v>
      </c>
      <c r="AN4" s="26">
        <f>IF('CRUDO MARTES'!AN4="Si",$N4,)</f>
        <v>0</v>
      </c>
      <c r="AO4" s="26">
        <f>IF('CRUDO MARTES'!AO4="Si",$N4,)</f>
        <v>0</v>
      </c>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row>
    <row r="5" spans="1:88" ht="26.4" hidden="1">
      <c r="A5" s="13">
        <v>45363.474652395831</v>
      </c>
      <c r="B5" s="14" t="s">
        <v>524</v>
      </c>
      <c r="C5" s="28" t="s">
        <v>525</v>
      </c>
      <c r="D5" s="15" t="s">
        <v>526</v>
      </c>
      <c r="E5" s="14" t="s">
        <v>62</v>
      </c>
      <c r="F5" s="14" t="s">
        <v>235</v>
      </c>
      <c r="G5" s="14" t="s">
        <v>105</v>
      </c>
      <c r="H5" s="14" t="s">
        <v>527</v>
      </c>
      <c r="I5" s="14" t="s">
        <v>528</v>
      </c>
      <c r="J5" s="14" t="s">
        <v>529</v>
      </c>
      <c r="K5" s="14" t="s">
        <v>524</v>
      </c>
      <c r="L5" s="14" t="s">
        <v>68</v>
      </c>
      <c r="M5" s="14" t="s">
        <v>530</v>
      </c>
      <c r="N5" s="14">
        <v>0</v>
      </c>
      <c r="O5" s="14" t="s">
        <v>70</v>
      </c>
      <c r="P5" s="14">
        <v>2</v>
      </c>
      <c r="Q5" s="14">
        <v>2</v>
      </c>
      <c r="R5" s="14">
        <v>90</v>
      </c>
      <c r="S5" s="16"/>
      <c r="T5" s="14" t="s">
        <v>71</v>
      </c>
      <c r="U5" s="14" t="s">
        <v>71</v>
      </c>
      <c r="V5" s="15" t="s">
        <v>520</v>
      </c>
      <c r="W5" s="29">
        <v>0</v>
      </c>
      <c r="X5" s="29">
        <v>0</v>
      </c>
      <c r="Y5" s="29">
        <v>0</v>
      </c>
      <c r="Z5" s="30">
        <f>IF('CRUDO MARTES'!Z5="Si",$N5,)</f>
        <v>0</v>
      </c>
      <c r="AA5" s="30">
        <f>IF('CRUDO MARTES'!AA5="Si",$N5,)</f>
        <v>0</v>
      </c>
      <c r="AB5" s="30">
        <f>IF('CRUDO MARTES'!AB5="Si",$N5,)</f>
        <v>0</v>
      </c>
      <c r="AC5" s="29">
        <v>0</v>
      </c>
      <c r="AD5" s="30">
        <f>IF('CRUDO MARTES'!AD5="Si",$N5,)</f>
        <v>0</v>
      </c>
      <c r="AE5" s="30">
        <f>IF('CRUDO MARTES'!AE5="Si",$N5,)</f>
        <v>0</v>
      </c>
      <c r="AF5" s="29">
        <v>35</v>
      </c>
      <c r="AG5" s="30">
        <f>IF('CRUDO MARTES'!AG5="Si",$N5,)</f>
        <v>0</v>
      </c>
      <c r="AH5" s="29">
        <v>0</v>
      </c>
      <c r="AI5" s="30">
        <f>IF('CRUDO MARTES'!AI5="Si",$N5,)</f>
        <v>0</v>
      </c>
      <c r="AJ5" s="30">
        <f>IF('CRUDO MARTES'!AJ5="Si",$N5,)</f>
        <v>0</v>
      </c>
      <c r="AK5" s="30">
        <f>IF('CRUDO MARTES'!AK5="Si",$N5,)</f>
        <v>0</v>
      </c>
      <c r="AL5" s="30">
        <f>IF('CRUDO MARTES'!AL5="Si",$N5,)</f>
        <v>0</v>
      </c>
      <c r="AM5" s="30">
        <f>IF('CRUDO MARTES'!AM5="Si",$N5,)</f>
        <v>0</v>
      </c>
      <c r="AN5" s="30">
        <f>IF('CRUDO MARTES'!AN5="Si",$N5,)</f>
        <v>0</v>
      </c>
      <c r="AO5" s="29">
        <v>0</v>
      </c>
      <c r="AP5" s="16"/>
      <c r="AQ5" s="14" t="s">
        <v>1255</v>
      </c>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row>
    <row r="6" spans="1:88" ht="13.2" hidden="1">
      <c r="A6" s="21">
        <v>45363.491433344912</v>
      </c>
      <c r="B6" s="22" t="s">
        <v>531</v>
      </c>
      <c r="C6" s="22" t="s">
        <v>532</v>
      </c>
      <c r="D6" s="24" t="s">
        <v>533</v>
      </c>
      <c r="E6" s="22" t="s">
        <v>62</v>
      </c>
      <c r="F6" s="22" t="s">
        <v>104</v>
      </c>
      <c r="G6" s="22" t="s">
        <v>64</v>
      </c>
      <c r="H6" s="22" t="s">
        <v>534</v>
      </c>
      <c r="I6" s="22" t="s">
        <v>535</v>
      </c>
      <c r="J6" s="25"/>
      <c r="K6" s="22" t="s">
        <v>531</v>
      </c>
      <c r="L6" s="22" t="s">
        <v>89</v>
      </c>
      <c r="M6" s="22" t="s">
        <v>536</v>
      </c>
      <c r="N6" s="22">
        <v>0</v>
      </c>
      <c r="O6" s="22" t="s">
        <v>148</v>
      </c>
      <c r="P6" s="22">
        <v>5</v>
      </c>
      <c r="Q6" s="22">
        <v>4</v>
      </c>
      <c r="R6" s="22">
        <v>0</v>
      </c>
      <c r="S6" s="25"/>
      <c r="T6" s="22" t="s">
        <v>71</v>
      </c>
      <c r="U6" s="22" t="s">
        <v>72</v>
      </c>
      <c r="V6" s="24" t="s">
        <v>520</v>
      </c>
      <c r="W6" s="26">
        <f>IF('CRUDO MARTES'!W6="Si",$N6,)</f>
        <v>0</v>
      </c>
      <c r="X6" s="26">
        <f>IF('CRUDO MARTES'!X6="Si",$N6,)</f>
        <v>0</v>
      </c>
      <c r="Y6" s="26">
        <f>IF('CRUDO MARTES'!Y6="Si",$N6,)</f>
        <v>0</v>
      </c>
      <c r="Z6" s="26">
        <f>IF('CRUDO MARTES'!Z6="Si",$N6,)</f>
        <v>0</v>
      </c>
      <c r="AA6" s="26">
        <f>IF('CRUDO MARTES'!AA6="Si",$N6,)</f>
        <v>0</v>
      </c>
      <c r="AB6" s="26">
        <f>IF('CRUDO MARTES'!AB6="Si",$N6,)</f>
        <v>0</v>
      </c>
      <c r="AC6" s="26">
        <f>IF('CRUDO MARTES'!AC6="Si",$N6,)</f>
        <v>0</v>
      </c>
      <c r="AD6" s="26">
        <f>IF('CRUDO MARTES'!AD6="Si",$N6,)</f>
        <v>0</v>
      </c>
      <c r="AE6" s="26">
        <f>IF('CRUDO MARTES'!AE6="Si",$N6,)</f>
        <v>0</v>
      </c>
      <c r="AF6" s="26">
        <f>IF('CRUDO MARTES'!AF6="Si",$N6,)</f>
        <v>0</v>
      </c>
      <c r="AG6" s="26">
        <f>IF('CRUDO MARTES'!AG6="Si",$N6,)</f>
        <v>0</v>
      </c>
      <c r="AH6" s="26">
        <f>IF('CRUDO MARTES'!AH6="Si",$N6,)</f>
        <v>0</v>
      </c>
      <c r="AI6" s="26">
        <f>IF('CRUDO MARTES'!AI6="Si",$N6,)</f>
        <v>0</v>
      </c>
      <c r="AJ6" s="26">
        <f>IF('CRUDO MARTES'!AJ6="Si",$N6,)</f>
        <v>0</v>
      </c>
      <c r="AK6" s="26">
        <f>IF('CRUDO MARTES'!AK6="Si",$N6,)</f>
        <v>0</v>
      </c>
      <c r="AL6" s="26">
        <f>IF('CRUDO MARTES'!AL6="Si",$N6,)</f>
        <v>0</v>
      </c>
      <c r="AM6" s="26">
        <f>IF('CRUDO MARTES'!AM6="Si",$N6,)</f>
        <v>0</v>
      </c>
      <c r="AN6" s="26">
        <f>IF('CRUDO MARTES'!AN6="Si",$N6,)</f>
        <v>0</v>
      </c>
      <c r="AO6" s="26">
        <f>IF('CRUDO MARTES'!AO6="Si",$N6,)</f>
        <v>0</v>
      </c>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row>
    <row r="7" spans="1:88" ht="13.2" hidden="1">
      <c r="A7" s="21">
        <v>45363.518486504632</v>
      </c>
      <c r="B7" s="22" t="s">
        <v>537</v>
      </c>
      <c r="C7" s="22" t="s">
        <v>538</v>
      </c>
      <c r="D7" s="24" t="s">
        <v>539</v>
      </c>
      <c r="E7" s="22" t="s">
        <v>62</v>
      </c>
      <c r="F7" s="22" t="s">
        <v>540</v>
      </c>
      <c r="G7" s="22" t="s">
        <v>64</v>
      </c>
      <c r="H7" s="22" t="s">
        <v>541</v>
      </c>
      <c r="I7" s="22" t="s">
        <v>542</v>
      </c>
      <c r="J7" s="22" t="s">
        <v>543</v>
      </c>
      <c r="K7" s="22" t="s">
        <v>537</v>
      </c>
      <c r="L7" s="22" t="s">
        <v>68</v>
      </c>
      <c r="M7" s="22" t="s">
        <v>544</v>
      </c>
      <c r="N7" s="22">
        <v>0</v>
      </c>
      <c r="O7" s="22" t="s">
        <v>148</v>
      </c>
      <c r="P7" s="22">
        <v>4</v>
      </c>
      <c r="Q7" s="22">
        <v>2</v>
      </c>
      <c r="R7" s="22">
        <v>20</v>
      </c>
      <c r="S7" s="25"/>
      <c r="T7" s="22" t="s">
        <v>71</v>
      </c>
      <c r="U7" s="22" t="s">
        <v>72</v>
      </c>
      <c r="V7" s="24" t="s">
        <v>520</v>
      </c>
      <c r="W7" s="26">
        <f>IF('CRUDO MARTES'!W7="Si",$N7,)</f>
        <v>0</v>
      </c>
      <c r="X7" s="26">
        <f>IF('CRUDO MARTES'!X7="Si",$N7,)</f>
        <v>0</v>
      </c>
      <c r="Y7" s="26">
        <f>IF('CRUDO MARTES'!Y7="Si",$N7,)</f>
        <v>0</v>
      </c>
      <c r="Z7" s="26">
        <f>IF('CRUDO MARTES'!Z7="Si",$N7,)</f>
        <v>0</v>
      </c>
      <c r="AA7" s="26">
        <f>IF('CRUDO MARTES'!AA7="Si",$N7,)</f>
        <v>0</v>
      </c>
      <c r="AB7" s="26">
        <f>IF('CRUDO MARTES'!AB7="Si",$N7,)</f>
        <v>0</v>
      </c>
      <c r="AC7" s="26">
        <f>IF('CRUDO MARTES'!AC7="Si",$N7,)</f>
        <v>0</v>
      </c>
      <c r="AD7" s="26">
        <f>IF('CRUDO MARTES'!AD7="Si",$N7,)</f>
        <v>0</v>
      </c>
      <c r="AE7" s="26">
        <f>IF('CRUDO MARTES'!AE7="Si",$N7,)</f>
        <v>0</v>
      </c>
      <c r="AF7" s="26">
        <f>IF('CRUDO MARTES'!AF7="Si",$N7,)</f>
        <v>0</v>
      </c>
      <c r="AG7" s="26">
        <f>IF('CRUDO MARTES'!AG7="Si",$N7,)</f>
        <v>0</v>
      </c>
      <c r="AH7" s="26">
        <f>IF('CRUDO MARTES'!AH7="Si",$N7,)</f>
        <v>0</v>
      </c>
      <c r="AI7" s="26">
        <f>IF('CRUDO MARTES'!AI7="Si",$N7,)</f>
        <v>0</v>
      </c>
      <c r="AJ7" s="26">
        <f>IF('CRUDO MARTES'!AJ7="Si",$N7,)</f>
        <v>0</v>
      </c>
      <c r="AK7" s="26">
        <f>IF('CRUDO MARTES'!AK7="Si",$N7,)</f>
        <v>0</v>
      </c>
      <c r="AL7" s="26">
        <f>IF('CRUDO MARTES'!AL7="Si",$N7,)</f>
        <v>0</v>
      </c>
      <c r="AM7" s="26">
        <f>IF('CRUDO MARTES'!AM7="Si",$N7,)</f>
        <v>0</v>
      </c>
      <c r="AN7" s="26">
        <f>IF('CRUDO MARTES'!AN7="Si",$N7,)</f>
        <v>0</v>
      </c>
      <c r="AO7" s="26">
        <f>IF('CRUDO MARTES'!AO7="Si",$N7,)</f>
        <v>0</v>
      </c>
      <c r="AP7" s="22" t="s">
        <v>545</v>
      </c>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row>
    <row r="8" spans="1:88" ht="13.2" hidden="1">
      <c r="A8" s="13">
        <v>45363.520946273144</v>
      </c>
      <c r="B8" s="14" t="s">
        <v>546</v>
      </c>
      <c r="C8" s="28" t="s">
        <v>547</v>
      </c>
      <c r="D8" s="15" t="s">
        <v>548</v>
      </c>
      <c r="E8" s="14" t="s">
        <v>133</v>
      </c>
      <c r="F8" s="14" t="s">
        <v>549</v>
      </c>
      <c r="G8" s="14" t="s">
        <v>64</v>
      </c>
      <c r="H8" s="14" t="s">
        <v>550</v>
      </c>
      <c r="I8" s="14" t="s">
        <v>551</v>
      </c>
      <c r="J8" s="16"/>
      <c r="K8" s="14" t="s">
        <v>546</v>
      </c>
      <c r="L8" s="14" t="s">
        <v>89</v>
      </c>
      <c r="M8" s="14" t="s">
        <v>552</v>
      </c>
      <c r="N8" s="14">
        <v>0</v>
      </c>
      <c r="O8" s="14" t="s">
        <v>70</v>
      </c>
      <c r="P8" s="14">
        <v>4</v>
      </c>
      <c r="Q8" s="14">
        <v>3</v>
      </c>
      <c r="R8" s="14">
        <v>0</v>
      </c>
      <c r="S8" s="16"/>
      <c r="T8" s="14" t="s">
        <v>71</v>
      </c>
      <c r="U8" s="14" t="s">
        <v>72</v>
      </c>
      <c r="V8" s="15" t="s">
        <v>520</v>
      </c>
      <c r="W8" s="30">
        <f>IF('CRUDO MARTES'!W8="Si",$N8,)</f>
        <v>0</v>
      </c>
      <c r="X8" s="29">
        <v>0</v>
      </c>
      <c r="Y8" s="29">
        <v>23</v>
      </c>
      <c r="Z8" s="30">
        <f>IF('CRUDO MARTES'!Z8="Si",$N8,)</f>
        <v>0</v>
      </c>
      <c r="AA8" s="30">
        <f>IF('CRUDO MARTES'!AA8="Si",$N8,)</f>
        <v>0</v>
      </c>
      <c r="AB8" s="30">
        <f>IF('CRUDO MARTES'!AB8="Si",$N8,)</f>
        <v>0</v>
      </c>
      <c r="AC8" s="30">
        <f>IF('CRUDO MARTES'!AC8="Si",$N8,)</f>
        <v>0</v>
      </c>
      <c r="AD8" s="30">
        <f>IF('CRUDO MARTES'!AD8="Si",$N8,)</f>
        <v>0</v>
      </c>
      <c r="AE8" s="30">
        <f>IF('CRUDO MARTES'!AE8="Si",$N8,)</f>
        <v>0</v>
      </c>
      <c r="AF8" s="30">
        <f>IF('CRUDO MARTES'!AF8="Si",$N8,)</f>
        <v>0</v>
      </c>
      <c r="AG8" s="30">
        <f>IF('CRUDO MARTES'!AG8="Si",$N8,)</f>
        <v>0</v>
      </c>
      <c r="AH8" s="30">
        <f>IF('CRUDO MARTES'!AH8="Si",$N8,)</f>
        <v>0</v>
      </c>
      <c r="AI8" s="29">
        <v>0</v>
      </c>
      <c r="AJ8" s="30">
        <f>IF('CRUDO MARTES'!AJ8="Si",$N8,)</f>
        <v>0</v>
      </c>
      <c r="AK8" s="30">
        <f>IF('CRUDO MARTES'!AK8="Si",$N8,)</f>
        <v>0</v>
      </c>
      <c r="AL8" s="30">
        <f>IF('CRUDO MARTES'!AL8="Si",$N8,)</f>
        <v>0</v>
      </c>
      <c r="AM8" s="30">
        <f>IF('CRUDO MARTES'!AM8="Si",$N8,)</f>
        <v>0</v>
      </c>
      <c r="AN8" s="31">
        <f>IF('CRUDO MARTES'!AN8="Si",$N8,)</f>
        <v>0</v>
      </c>
      <c r="AO8" s="30">
        <f>IF('CRUDO MARTES'!AO8="Si",$N8,)</f>
        <v>0</v>
      </c>
      <c r="AP8" s="16"/>
      <c r="AQ8" s="14" t="s">
        <v>1256</v>
      </c>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row>
    <row r="9" spans="1:88" ht="13.2" hidden="1">
      <c r="A9" s="21">
        <v>45363.523194444446</v>
      </c>
      <c r="B9" s="22" t="s">
        <v>553</v>
      </c>
      <c r="C9" s="22" t="s">
        <v>547</v>
      </c>
      <c r="D9" s="24" t="s">
        <v>548</v>
      </c>
      <c r="E9" s="22" t="s">
        <v>84</v>
      </c>
      <c r="F9" s="22" t="s">
        <v>554</v>
      </c>
      <c r="G9" s="22" t="s">
        <v>64</v>
      </c>
      <c r="H9" s="22" t="s">
        <v>550</v>
      </c>
      <c r="I9" s="22" t="s">
        <v>555</v>
      </c>
      <c r="J9" s="22" t="s">
        <v>556</v>
      </c>
      <c r="K9" s="22" t="s">
        <v>546</v>
      </c>
      <c r="L9" s="22" t="s">
        <v>89</v>
      </c>
      <c r="M9" s="22" t="s">
        <v>557</v>
      </c>
      <c r="N9" s="22">
        <v>0</v>
      </c>
      <c r="O9" s="22" t="s">
        <v>148</v>
      </c>
      <c r="P9" s="22">
        <v>4</v>
      </c>
      <c r="Q9" s="22">
        <v>2</v>
      </c>
      <c r="R9" s="22">
        <v>0</v>
      </c>
      <c r="S9" s="22" t="s">
        <v>558</v>
      </c>
      <c r="T9" s="22" t="s">
        <v>71</v>
      </c>
      <c r="U9" s="22" t="s">
        <v>72</v>
      </c>
      <c r="V9" s="24" t="s">
        <v>520</v>
      </c>
      <c r="W9" s="26">
        <f>IF('CRUDO MARTES'!W9="Si",$N9,)</f>
        <v>0</v>
      </c>
      <c r="X9" s="26">
        <f>IF('CRUDO MARTES'!X9="Si",$N9,)</f>
        <v>0</v>
      </c>
      <c r="Y9" s="26">
        <f>IF('CRUDO MARTES'!Y9="Si",$N9,)</f>
        <v>0</v>
      </c>
      <c r="Z9" s="26">
        <f>IF('CRUDO MARTES'!Z9="Si",$N9,)</f>
        <v>0</v>
      </c>
      <c r="AA9" s="26">
        <f>IF('CRUDO MARTES'!AA9="Si",$N9,)</f>
        <v>0</v>
      </c>
      <c r="AB9" s="26">
        <f>IF('CRUDO MARTES'!AB9="Si",$N9,)</f>
        <v>0</v>
      </c>
      <c r="AC9" s="26">
        <f>IF('CRUDO MARTES'!AC9="Si",$N9,)</f>
        <v>0</v>
      </c>
      <c r="AD9" s="26">
        <f>IF('CRUDO MARTES'!AD9="Si",$N9,)</f>
        <v>0</v>
      </c>
      <c r="AE9" s="26">
        <f>IF('CRUDO MARTES'!AE9="Si",$N9,)</f>
        <v>0</v>
      </c>
      <c r="AF9" s="26">
        <f>IF('CRUDO MARTES'!AF9="Si",$N9,)</f>
        <v>0</v>
      </c>
      <c r="AG9" s="26">
        <f>IF('CRUDO MARTES'!AG9="Si",$N9,)</f>
        <v>0</v>
      </c>
      <c r="AH9" s="26">
        <f>IF('CRUDO MARTES'!AH9="Si",$N9,)</f>
        <v>0</v>
      </c>
      <c r="AI9" s="26">
        <f>IF('CRUDO MARTES'!AI9="Si",$N9,)</f>
        <v>0</v>
      </c>
      <c r="AJ9" s="26">
        <f>IF('CRUDO MARTES'!AJ9="Si",$N9,)</f>
        <v>0</v>
      </c>
      <c r="AK9" s="26">
        <f>IF('CRUDO MARTES'!AK9="Si",$N9,)</f>
        <v>0</v>
      </c>
      <c r="AL9" s="26">
        <f>IF('CRUDO MARTES'!AL9="Si",$N9,)</f>
        <v>0</v>
      </c>
      <c r="AM9" s="26">
        <f>IF('CRUDO MARTES'!AM9="Si",$N9,)</f>
        <v>0</v>
      </c>
      <c r="AN9" s="26">
        <f>IF('CRUDO MARTES'!AN9="Si",$N9,)</f>
        <v>0</v>
      </c>
      <c r="AO9" s="26">
        <f>IF('CRUDO MARTES'!AO9="Si",$N9,)</f>
        <v>0</v>
      </c>
      <c r="AP9" s="22" t="s">
        <v>559</v>
      </c>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row>
    <row r="10" spans="1:88" ht="13.2" hidden="1">
      <c r="A10" s="21">
        <v>45363.52479033565</v>
      </c>
      <c r="B10" s="22" t="s">
        <v>537</v>
      </c>
      <c r="C10" s="22" t="s">
        <v>538</v>
      </c>
      <c r="D10" s="24" t="s">
        <v>539</v>
      </c>
      <c r="E10" s="22" t="s">
        <v>62</v>
      </c>
      <c r="F10" s="22" t="s">
        <v>560</v>
      </c>
      <c r="G10" s="22" t="s">
        <v>64</v>
      </c>
      <c r="H10" s="22" t="s">
        <v>542</v>
      </c>
      <c r="I10" s="22" t="s">
        <v>541</v>
      </c>
      <c r="J10" s="22" t="s">
        <v>543</v>
      </c>
      <c r="K10" s="22" t="s">
        <v>537</v>
      </c>
      <c r="L10" s="22" t="s">
        <v>68</v>
      </c>
      <c r="M10" s="22" t="s">
        <v>544</v>
      </c>
      <c r="N10" s="22">
        <v>0</v>
      </c>
      <c r="O10" s="22" t="s">
        <v>148</v>
      </c>
      <c r="P10" s="22">
        <v>4</v>
      </c>
      <c r="Q10" s="22">
        <v>2</v>
      </c>
      <c r="R10" s="22">
        <v>20</v>
      </c>
      <c r="S10" s="25"/>
      <c r="T10" s="22" t="s">
        <v>71</v>
      </c>
      <c r="U10" s="22" t="s">
        <v>72</v>
      </c>
      <c r="V10" s="24" t="s">
        <v>520</v>
      </c>
      <c r="W10" s="26">
        <f>IF('CRUDO MARTES'!W10="Si",$N10,)</f>
        <v>0</v>
      </c>
      <c r="X10" s="26">
        <f>IF('CRUDO MARTES'!X10="Si",$N10,)</f>
        <v>0</v>
      </c>
      <c r="Y10" s="26">
        <f>IF('CRUDO MARTES'!Y10="Si",$N10,)</f>
        <v>0</v>
      </c>
      <c r="Z10" s="26">
        <f>IF('CRUDO MARTES'!Z10="Si",$N10,)</f>
        <v>0</v>
      </c>
      <c r="AA10" s="26">
        <f>IF('CRUDO MARTES'!AA10="Si",$N10,)</f>
        <v>0</v>
      </c>
      <c r="AB10" s="26">
        <f>IF('CRUDO MARTES'!AB10="Si",$N10,)</f>
        <v>0</v>
      </c>
      <c r="AC10" s="26">
        <f>IF('CRUDO MARTES'!AC10="Si",$N10,)</f>
        <v>0</v>
      </c>
      <c r="AD10" s="26">
        <f>IF('CRUDO MARTES'!AD10="Si",$N10,)</f>
        <v>0</v>
      </c>
      <c r="AE10" s="26">
        <f>IF('CRUDO MARTES'!AE10="Si",$N10,)</f>
        <v>0</v>
      </c>
      <c r="AF10" s="26">
        <f>IF('CRUDO MARTES'!AF10="Si",$N10,)</f>
        <v>0</v>
      </c>
      <c r="AG10" s="26">
        <f>IF('CRUDO MARTES'!AG10="Si",$N10,)</f>
        <v>0</v>
      </c>
      <c r="AH10" s="26">
        <f>IF('CRUDO MARTES'!AH10="Si",$N10,)</f>
        <v>0</v>
      </c>
      <c r="AI10" s="26">
        <f>IF('CRUDO MARTES'!AI10="Si",$N10,)</f>
        <v>0</v>
      </c>
      <c r="AJ10" s="26">
        <f>IF('CRUDO MARTES'!AJ10="Si",$N10,)</f>
        <v>0</v>
      </c>
      <c r="AK10" s="26">
        <f>IF('CRUDO MARTES'!AK10="Si",$N10,)</f>
        <v>0</v>
      </c>
      <c r="AL10" s="26">
        <f>IF('CRUDO MARTES'!AL10="Si",$N10,)</f>
        <v>0</v>
      </c>
      <c r="AM10" s="26">
        <f>IF('CRUDO MARTES'!AM10="Si",$N10,)</f>
        <v>0</v>
      </c>
      <c r="AN10" s="26">
        <f>IF('CRUDO MARTES'!AN10="Si",$N10,)</f>
        <v>0</v>
      </c>
      <c r="AO10" s="26">
        <f>IF('CRUDO MARTES'!AO10="Si",$N10,)</f>
        <v>0</v>
      </c>
      <c r="AP10" s="22" t="s">
        <v>561</v>
      </c>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row>
    <row r="11" spans="1:88" ht="13.2" hidden="1">
      <c r="A11" s="13">
        <v>45363.543467384261</v>
      </c>
      <c r="B11" s="14" t="s">
        <v>562</v>
      </c>
      <c r="C11" s="28" t="s">
        <v>563</v>
      </c>
      <c r="D11" s="15" t="s">
        <v>564</v>
      </c>
      <c r="E11" s="14" t="s">
        <v>84</v>
      </c>
      <c r="F11" s="14" t="s">
        <v>269</v>
      </c>
      <c r="G11" s="14" t="s">
        <v>64</v>
      </c>
      <c r="H11" s="14" t="s">
        <v>565</v>
      </c>
      <c r="I11" s="14" t="s">
        <v>566</v>
      </c>
      <c r="J11" s="16"/>
      <c r="K11" s="14" t="s">
        <v>562</v>
      </c>
      <c r="L11" s="14" t="s">
        <v>89</v>
      </c>
      <c r="M11" s="14" t="s">
        <v>473</v>
      </c>
      <c r="N11" s="14">
        <v>0</v>
      </c>
      <c r="O11" s="14" t="s">
        <v>70</v>
      </c>
      <c r="P11" s="14">
        <v>2</v>
      </c>
      <c r="Q11" s="14">
        <v>2</v>
      </c>
      <c r="R11" s="14">
        <v>5</v>
      </c>
      <c r="S11" s="16"/>
      <c r="T11" s="14" t="s">
        <v>72</v>
      </c>
      <c r="U11" s="14" t="s">
        <v>71</v>
      </c>
      <c r="V11" s="15" t="s">
        <v>520</v>
      </c>
      <c r="W11" s="30">
        <f>IF('CRUDO MARTES'!W11="Si",$N11,)</f>
        <v>0</v>
      </c>
      <c r="X11" s="30">
        <f>IF('CRUDO MARTES'!X11="Si",$N11,)</f>
        <v>0</v>
      </c>
      <c r="Y11" s="30">
        <f>IF('CRUDO MARTES'!Y11="Si",$N11,)</f>
        <v>0</v>
      </c>
      <c r="Z11" s="30">
        <f>IF('CRUDO MARTES'!Z11="Si",$N11,)</f>
        <v>0</v>
      </c>
      <c r="AA11" s="30">
        <f>IF('CRUDO MARTES'!AA11="Si",$N11,)</f>
        <v>0</v>
      </c>
      <c r="AB11" s="30">
        <f>IF('CRUDO MARTES'!AB11="Si",$N11,)</f>
        <v>0</v>
      </c>
      <c r="AC11" s="30">
        <f>IF('CRUDO MARTES'!AC11="Si",$N11,)</f>
        <v>0</v>
      </c>
      <c r="AD11" s="30">
        <f>IF('CRUDO MARTES'!AD11="Si",$N11,)</f>
        <v>0</v>
      </c>
      <c r="AE11" s="30">
        <f>IF('CRUDO MARTES'!AE11="Si",$N11,)</f>
        <v>0</v>
      </c>
      <c r="AF11" s="30">
        <f>IF('CRUDO MARTES'!AF11="Si",$N11,)</f>
        <v>0</v>
      </c>
      <c r="AG11" s="30">
        <f>IF('CRUDO MARTES'!AG11="Si",$N11,)</f>
        <v>0</v>
      </c>
      <c r="AH11" s="30">
        <f>IF('CRUDO MARTES'!AH11="Si",$N11,)</f>
        <v>0</v>
      </c>
      <c r="AI11" s="30">
        <f>IF('CRUDO MARTES'!AI11="Si",$N11,)</f>
        <v>0</v>
      </c>
      <c r="AJ11" s="29">
        <v>0</v>
      </c>
      <c r="AK11" s="29">
        <v>0</v>
      </c>
      <c r="AL11" s="30">
        <f>IF('CRUDO MARTES'!AL11="Si",$N11,)</f>
        <v>0</v>
      </c>
      <c r="AM11" s="30">
        <f>IF('CRUDO MARTES'!AM11="Si",$N11,)</f>
        <v>0</v>
      </c>
      <c r="AN11" s="29">
        <v>0</v>
      </c>
      <c r="AO11" s="29">
        <v>0</v>
      </c>
      <c r="AP11" s="14" t="s">
        <v>567</v>
      </c>
      <c r="AQ11" s="14" t="s">
        <v>1257</v>
      </c>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row>
    <row r="12" spans="1:88" ht="13.2">
      <c r="A12" s="47">
        <v>45363.554758252314</v>
      </c>
      <c r="B12" s="48" t="s">
        <v>568</v>
      </c>
      <c r="C12" s="49" t="s">
        <v>569</v>
      </c>
      <c r="D12" s="50" t="s">
        <v>570</v>
      </c>
      <c r="E12" s="48" t="s">
        <v>62</v>
      </c>
      <c r="F12" s="48" t="s">
        <v>235</v>
      </c>
      <c r="G12" s="48" t="s">
        <v>64</v>
      </c>
      <c r="H12" s="48" t="s">
        <v>571</v>
      </c>
      <c r="I12" s="48" t="s">
        <v>572</v>
      </c>
      <c r="J12" s="51"/>
      <c r="K12" s="48" t="s">
        <v>568</v>
      </c>
      <c r="L12" s="48" t="s">
        <v>138</v>
      </c>
      <c r="M12" s="48" t="s">
        <v>573</v>
      </c>
      <c r="N12" s="48">
        <v>25</v>
      </c>
      <c r="O12" s="48" t="s">
        <v>70</v>
      </c>
      <c r="P12" s="48">
        <v>5</v>
      </c>
      <c r="Q12" s="48">
        <v>5</v>
      </c>
      <c r="R12" s="48">
        <v>0</v>
      </c>
      <c r="S12" s="51"/>
      <c r="T12" s="48" t="s">
        <v>71</v>
      </c>
      <c r="U12" s="48" t="s">
        <v>71</v>
      </c>
      <c r="V12" s="50" t="s">
        <v>520</v>
      </c>
      <c r="W12" s="52">
        <f>IF('CRUDO MARTES'!W12="Si",$N12,)</f>
        <v>0</v>
      </c>
      <c r="X12" s="53">
        <v>25</v>
      </c>
      <c r="Y12" s="52">
        <f>IF('CRUDO MARTES'!Y12="Si",$N12,)</f>
        <v>25</v>
      </c>
      <c r="Z12" s="52">
        <f>IF('CRUDO MARTES'!Z12="Si",$N12,)</f>
        <v>0</v>
      </c>
      <c r="AA12" s="52">
        <f>IF('CRUDO MARTES'!AA12="Si",$N12,)</f>
        <v>25</v>
      </c>
      <c r="AB12" s="52">
        <f>IF('CRUDO MARTES'!AB12="Si",$N12,)</f>
        <v>0</v>
      </c>
      <c r="AC12" s="53">
        <v>25</v>
      </c>
      <c r="AD12" s="52">
        <f>IF('CRUDO MARTES'!AD12="Si",$N12,)</f>
        <v>0</v>
      </c>
      <c r="AE12" s="52"/>
      <c r="AF12" s="53">
        <v>0</v>
      </c>
      <c r="AG12" s="52">
        <f>IF('CRUDO MARTES'!AG12="Si",$N12,)</f>
        <v>0</v>
      </c>
      <c r="AH12" s="52">
        <f>IF('CRUDO MARTES'!AH12="Si",$N12,)</f>
        <v>0</v>
      </c>
      <c r="AI12" s="53">
        <v>0</v>
      </c>
      <c r="AJ12" s="53">
        <v>0</v>
      </c>
      <c r="AK12" s="54">
        <f>IF('CRUDO MARTES'!AK12="Si",$N12,)</f>
        <v>25</v>
      </c>
      <c r="AL12" s="52">
        <f>IF('CRUDO MARTES'!AL12="Si",$N12,)</f>
        <v>0</v>
      </c>
      <c r="AM12" s="52">
        <f>IF('CRUDO MARTES'!AM12="Si",$N12,)</f>
        <v>0</v>
      </c>
      <c r="AN12" s="52">
        <f>IF('CRUDO MARTES'!AN12="Si",$N12,)</f>
        <v>0</v>
      </c>
      <c r="AO12" s="52">
        <f>IF('CRUDO MARTES'!AO12="Si",$N12,)</f>
        <v>0</v>
      </c>
      <c r="AP12" s="51"/>
      <c r="AQ12" s="48" t="s">
        <v>1256</v>
      </c>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row>
    <row r="13" spans="1:88" ht="13.2" hidden="1">
      <c r="A13" s="21">
        <v>45363.631157094904</v>
      </c>
      <c r="B13" s="22" t="s">
        <v>574</v>
      </c>
      <c r="C13" s="22" t="s">
        <v>575</v>
      </c>
      <c r="D13" s="22">
        <v>20059400</v>
      </c>
      <c r="E13" s="22" t="s">
        <v>387</v>
      </c>
      <c r="F13" s="22" t="s">
        <v>111</v>
      </c>
      <c r="G13" s="22" t="s">
        <v>64</v>
      </c>
      <c r="H13" s="22" t="s">
        <v>576</v>
      </c>
      <c r="I13" s="22" t="s">
        <v>577</v>
      </c>
      <c r="J13" s="22" t="s">
        <v>578</v>
      </c>
      <c r="K13" s="22" t="s">
        <v>574</v>
      </c>
      <c r="L13" s="22" t="s">
        <v>89</v>
      </c>
      <c r="M13" s="22" t="s">
        <v>579</v>
      </c>
      <c r="N13" s="22">
        <v>0</v>
      </c>
      <c r="O13" s="22" t="s">
        <v>70</v>
      </c>
      <c r="P13" s="22">
        <v>4</v>
      </c>
      <c r="Q13" s="22">
        <v>5</v>
      </c>
      <c r="R13" s="22">
        <v>30</v>
      </c>
      <c r="S13" s="25"/>
      <c r="T13" s="22" t="s">
        <v>71</v>
      </c>
      <c r="U13" s="22" t="s">
        <v>72</v>
      </c>
      <c r="V13" s="24" t="s">
        <v>520</v>
      </c>
      <c r="W13" s="26">
        <f>IF('CRUDO MARTES'!W13="Si",$N13,)</f>
        <v>0</v>
      </c>
      <c r="X13" s="26">
        <f>IF('CRUDO MARTES'!X13="Si",$N13,)</f>
        <v>0</v>
      </c>
      <c r="Y13" s="26">
        <f>IF('CRUDO MARTES'!Y13="Si",$N13,)</f>
        <v>0</v>
      </c>
      <c r="Z13" s="26">
        <f>IF('CRUDO MARTES'!Z13="Si",$N13,)</f>
        <v>0</v>
      </c>
      <c r="AA13" s="26">
        <f>IF('CRUDO MARTES'!AA13="Si",$N13,)</f>
        <v>0</v>
      </c>
      <c r="AB13" s="26">
        <f>IF('CRUDO MARTES'!AB13="Si",$N13,)</f>
        <v>0</v>
      </c>
      <c r="AC13" s="26">
        <f>IF('CRUDO MARTES'!AC13="Si",$N13,)</f>
        <v>0</v>
      </c>
      <c r="AD13" s="26">
        <f>IF('CRUDO MARTES'!AD13="Si",$N13,)</f>
        <v>0</v>
      </c>
      <c r="AE13" s="26">
        <f>IF('CRUDO MARTES'!AE13="Si",$N13,)</f>
        <v>0</v>
      </c>
      <c r="AF13" s="26">
        <f>IF('CRUDO MARTES'!AF13="Si",$N13,)</f>
        <v>0</v>
      </c>
      <c r="AG13" s="26">
        <f>IF('CRUDO MARTES'!AG13="Si",$N13,)</f>
        <v>0</v>
      </c>
      <c r="AH13" s="26">
        <f>IF('CRUDO MARTES'!AH13="Si",$N13,)</f>
        <v>0</v>
      </c>
      <c r="AI13" s="26">
        <f>IF('CRUDO MARTES'!AI13="Si",$N13,)</f>
        <v>0</v>
      </c>
      <c r="AJ13" s="26">
        <f>IF('CRUDO MARTES'!AJ13="Si",$N13,)</f>
        <v>0</v>
      </c>
      <c r="AK13" s="26">
        <f>IF('CRUDO MARTES'!AK13="Si",$N13,)</f>
        <v>0</v>
      </c>
      <c r="AL13" s="26">
        <f>IF('CRUDO MARTES'!AL13="Si",$N13,)</f>
        <v>0</v>
      </c>
      <c r="AM13" s="26">
        <f>IF('CRUDO MARTES'!AM13="Si",$N13,)</f>
        <v>0</v>
      </c>
      <c r="AN13" s="26">
        <f>IF('CRUDO MARTES'!AN13="Si",$N13,)</f>
        <v>0</v>
      </c>
      <c r="AO13" s="26">
        <f>IF('CRUDO MARTES'!AO13="Si",$N13,)</f>
        <v>0</v>
      </c>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row>
    <row r="14" spans="1:88" ht="13.2" hidden="1">
      <c r="A14" s="21">
        <v>45363.647077858797</v>
      </c>
      <c r="B14" s="22" t="s">
        <v>580</v>
      </c>
      <c r="C14" s="22" t="s">
        <v>581</v>
      </c>
      <c r="D14" s="22">
        <v>201342</v>
      </c>
      <c r="E14" s="22" t="s">
        <v>84</v>
      </c>
      <c r="F14" s="22" t="s">
        <v>582</v>
      </c>
      <c r="G14" s="22" t="s">
        <v>64</v>
      </c>
      <c r="H14" s="22" t="s">
        <v>583</v>
      </c>
      <c r="I14" s="22" t="s">
        <v>584</v>
      </c>
      <c r="J14" s="22" t="s">
        <v>585</v>
      </c>
      <c r="K14" s="22" t="s">
        <v>580</v>
      </c>
      <c r="L14" s="22" t="s">
        <v>89</v>
      </c>
      <c r="M14" s="22" t="s">
        <v>208</v>
      </c>
      <c r="N14" s="22">
        <v>0</v>
      </c>
      <c r="O14" s="22" t="s">
        <v>148</v>
      </c>
      <c r="P14" s="22">
        <v>4</v>
      </c>
      <c r="Q14" s="22">
        <v>1</v>
      </c>
      <c r="R14" s="22">
        <v>10</v>
      </c>
      <c r="S14" s="25"/>
      <c r="T14" s="22" t="s">
        <v>71</v>
      </c>
      <c r="U14" s="22" t="s">
        <v>72</v>
      </c>
      <c r="V14" s="24" t="s">
        <v>520</v>
      </c>
      <c r="W14" s="26">
        <f>IF('CRUDO MARTES'!W14="Si",$N14,)</f>
        <v>0</v>
      </c>
      <c r="X14" s="26">
        <f>IF('CRUDO MARTES'!X14="Si",$N14,)</f>
        <v>0</v>
      </c>
      <c r="Y14" s="26">
        <f>IF('CRUDO MARTES'!Y14="Si",$N14,)</f>
        <v>0</v>
      </c>
      <c r="Z14" s="26">
        <f>IF('CRUDO MARTES'!Z14="Si",$N14,)</f>
        <v>0</v>
      </c>
      <c r="AA14" s="26">
        <f>IF('CRUDO MARTES'!AA14="Si",$N14,)</f>
        <v>0</v>
      </c>
      <c r="AB14" s="26">
        <f>IF('CRUDO MARTES'!AB14="Si",$N14,)</f>
        <v>0</v>
      </c>
      <c r="AC14" s="26">
        <f>IF('CRUDO MARTES'!AC14="Si",$N14,)</f>
        <v>0</v>
      </c>
      <c r="AD14" s="26">
        <f>IF('CRUDO MARTES'!AD14="Si",$N14,)</f>
        <v>0</v>
      </c>
      <c r="AE14" s="26">
        <f>IF('CRUDO MARTES'!AE14="Si",$N14,)</f>
        <v>0</v>
      </c>
      <c r="AF14" s="26">
        <f>IF('CRUDO MARTES'!AF14="Si",$N14,)</f>
        <v>0</v>
      </c>
      <c r="AG14" s="26">
        <f>IF('CRUDO MARTES'!AG14="Si",$N14,)</f>
        <v>0</v>
      </c>
      <c r="AH14" s="26">
        <f>IF('CRUDO MARTES'!AH14="Si",$N14,)</f>
        <v>0</v>
      </c>
      <c r="AI14" s="26">
        <f>IF('CRUDO MARTES'!AI14="Si",$N14,)</f>
        <v>0</v>
      </c>
      <c r="AJ14" s="26">
        <f>IF('CRUDO MARTES'!AJ14="Si",$N14,)</f>
        <v>0</v>
      </c>
      <c r="AK14" s="26">
        <f>IF('CRUDO MARTES'!AK14="Si",$N14,)</f>
        <v>0</v>
      </c>
      <c r="AL14" s="26">
        <f>IF('CRUDO MARTES'!AL14="Si",$N14,)</f>
        <v>0</v>
      </c>
      <c r="AM14" s="26">
        <f>IF('CRUDO MARTES'!AM14="Si",$N14,)</f>
        <v>0</v>
      </c>
      <c r="AN14" s="26">
        <f>IF('CRUDO MARTES'!AN14="Si",$N14,)</f>
        <v>0</v>
      </c>
      <c r="AO14" s="26">
        <f>IF('CRUDO MARTES'!AO14="Si",$N14,)</f>
        <v>0</v>
      </c>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row>
    <row r="15" spans="1:88" ht="13.2">
      <c r="A15" s="47">
        <v>45363.647391956023</v>
      </c>
      <c r="B15" s="48" t="s">
        <v>586</v>
      </c>
      <c r="C15" s="49" t="s">
        <v>587</v>
      </c>
      <c r="D15" s="50" t="s">
        <v>588</v>
      </c>
      <c r="E15" s="48" t="s">
        <v>84</v>
      </c>
      <c r="F15" s="48" t="s">
        <v>589</v>
      </c>
      <c r="G15" s="48" t="s">
        <v>64</v>
      </c>
      <c r="H15" s="48" t="s">
        <v>590</v>
      </c>
      <c r="I15" s="48" t="s">
        <v>591</v>
      </c>
      <c r="J15" s="48" t="s">
        <v>592</v>
      </c>
      <c r="K15" s="48" t="s">
        <v>586</v>
      </c>
      <c r="L15" s="48" t="s">
        <v>245</v>
      </c>
      <c r="M15" s="48" t="s">
        <v>593</v>
      </c>
      <c r="N15" s="48">
        <v>25</v>
      </c>
      <c r="O15" s="48" t="s">
        <v>70</v>
      </c>
      <c r="P15" s="48">
        <v>3</v>
      </c>
      <c r="Q15" s="48">
        <v>3</v>
      </c>
      <c r="R15" s="48">
        <v>10</v>
      </c>
      <c r="S15" s="51"/>
      <c r="T15" s="48" t="s">
        <v>72</v>
      </c>
      <c r="U15" s="48" t="s">
        <v>71</v>
      </c>
      <c r="V15" s="50" t="s">
        <v>520</v>
      </c>
      <c r="W15" s="52">
        <f>IF('CRUDO MARTES'!W15="Si",$N15,)</f>
        <v>0</v>
      </c>
      <c r="X15" s="52">
        <f>IF('CRUDO MARTES'!X15="Si",$N15,)</f>
        <v>0</v>
      </c>
      <c r="Y15" s="52">
        <f>IF('CRUDO MARTES'!Y15="Si",$N15,)</f>
        <v>0</v>
      </c>
      <c r="Z15" s="52">
        <f>IF('CRUDO MARTES'!Z15="Si",$N15,)</f>
        <v>25</v>
      </c>
      <c r="AA15" s="52">
        <f>IF('CRUDO MARTES'!AA15="Si",$N15,)</f>
        <v>0</v>
      </c>
      <c r="AB15" s="52">
        <f>IF('CRUDO MARTES'!AB15="Si",$N15,)</f>
        <v>0</v>
      </c>
      <c r="AC15" s="52">
        <f>IF('CRUDO MARTES'!AC15="Si",$N15,)</f>
        <v>0</v>
      </c>
      <c r="AD15" s="52">
        <f>IF('CRUDO MARTES'!AD15="Si",$N15,)</f>
        <v>25</v>
      </c>
      <c r="AE15" s="52">
        <v>25</v>
      </c>
      <c r="AF15" s="53">
        <v>0</v>
      </c>
      <c r="AG15" s="52">
        <f>IF('CRUDO MARTES'!AG15="Si",$N15,)</f>
        <v>0</v>
      </c>
      <c r="AH15" s="52">
        <f>IF('CRUDO MARTES'!AH15="Si",$N15,)</f>
        <v>0</v>
      </c>
      <c r="AI15" s="52">
        <f>IF('CRUDO MARTES'!AI15="Si",$N15,)</f>
        <v>0</v>
      </c>
      <c r="AJ15" s="53">
        <v>0</v>
      </c>
      <c r="AK15" s="53">
        <v>0</v>
      </c>
      <c r="AL15" s="52">
        <f>IF('CRUDO MARTES'!AL15="Si",$N15,)</f>
        <v>0</v>
      </c>
      <c r="AM15" s="52">
        <f>IF('CRUDO MARTES'!AM15="Si",$N15,)</f>
        <v>0</v>
      </c>
      <c r="AN15" s="53">
        <v>0</v>
      </c>
      <c r="AO15" s="53">
        <v>0</v>
      </c>
      <c r="AP15" s="51"/>
      <c r="AQ15" s="48" t="s">
        <v>1258</v>
      </c>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row>
    <row r="16" spans="1:88" ht="13.2">
      <c r="A16" s="47">
        <v>45363.650400023151</v>
      </c>
      <c r="B16" s="48" t="s">
        <v>586</v>
      </c>
      <c r="C16" s="49" t="s">
        <v>587</v>
      </c>
      <c r="D16" s="50" t="s">
        <v>588</v>
      </c>
      <c r="E16" s="48" t="s">
        <v>133</v>
      </c>
      <c r="F16" s="48" t="s">
        <v>594</v>
      </c>
      <c r="G16" s="48" t="s">
        <v>64</v>
      </c>
      <c r="H16" s="48" t="s">
        <v>595</v>
      </c>
      <c r="I16" s="48" t="s">
        <v>596</v>
      </c>
      <c r="J16" s="48" t="s">
        <v>597</v>
      </c>
      <c r="K16" s="48" t="s">
        <v>586</v>
      </c>
      <c r="L16" s="48" t="s">
        <v>245</v>
      </c>
      <c r="M16" s="48" t="s">
        <v>598</v>
      </c>
      <c r="N16" s="48">
        <v>20</v>
      </c>
      <c r="O16" s="48" t="s">
        <v>70</v>
      </c>
      <c r="P16" s="48">
        <v>3</v>
      </c>
      <c r="Q16" s="48">
        <v>3</v>
      </c>
      <c r="R16" s="48">
        <v>10</v>
      </c>
      <c r="S16" s="51"/>
      <c r="T16" s="48" t="s">
        <v>72</v>
      </c>
      <c r="U16" s="48" t="s">
        <v>71</v>
      </c>
      <c r="V16" s="50" t="s">
        <v>520</v>
      </c>
      <c r="W16" s="52">
        <f>IF('CRUDO MARTES'!W16="Si",$N16,)</f>
        <v>0</v>
      </c>
      <c r="X16" s="52">
        <f>IF('CRUDO MARTES'!X16="Si",$N16,)</f>
        <v>0</v>
      </c>
      <c r="Y16" s="52">
        <f>IF('CRUDO MARTES'!Y16="Si",$N16,)</f>
        <v>0</v>
      </c>
      <c r="Z16" s="52">
        <f>IF('CRUDO MARTES'!Z16="Si",$N16,)</f>
        <v>20</v>
      </c>
      <c r="AA16" s="52">
        <f>IF('CRUDO MARTES'!AA16="Si",$N16,)</f>
        <v>0</v>
      </c>
      <c r="AB16" s="52">
        <f>IF('CRUDO MARTES'!AB16="Si",$N16,)</f>
        <v>0</v>
      </c>
      <c r="AC16" s="52">
        <f>IF('CRUDO MARTES'!AC16="Si",$N16,)</f>
        <v>0</v>
      </c>
      <c r="AD16" s="52">
        <f>IF('CRUDO MARTES'!AD16="Si",$N16,)</f>
        <v>20</v>
      </c>
      <c r="AE16" s="52">
        <v>20</v>
      </c>
      <c r="AF16" s="53">
        <v>0</v>
      </c>
      <c r="AG16" s="52">
        <f>IF('CRUDO MARTES'!AG16="Si",$N16,)</f>
        <v>0</v>
      </c>
      <c r="AH16" s="52">
        <f>IF('CRUDO MARTES'!AH16="Si",$N16,)</f>
        <v>0</v>
      </c>
      <c r="AI16" s="52">
        <f>IF('CRUDO MARTES'!AI16="Si",$N16,)</f>
        <v>0</v>
      </c>
      <c r="AJ16" s="53">
        <v>0</v>
      </c>
      <c r="AK16" s="53">
        <v>0</v>
      </c>
      <c r="AL16" s="52">
        <f>IF('CRUDO MARTES'!AL16="Si",$N16,)</f>
        <v>0</v>
      </c>
      <c r="AM16" s="52">
        <f>IF('CRUDO MARTES'!AM16="Si",$N16,)</f>
        <v>0</v>
      </c>
      <c r="AN16" s="53">
        <v>0</v>
      </c>
      <c r="AO16" s="53">
        <v>0</v>
      </c>
      <c r="AP16" s="51"/>
      <c r="AQ16" s="48" t="s">
        <v>1258</v>
      </c>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row>
    <row r="17" spans="1:88" ht="13.2" hidden="1">
      <c r="A17" s="13">
        <v>45363.683418576387</v>
      </c>
      <c r="B17" s="14" t="s">
        <v>209</v>
      </c>
      <c r="C17" s="28" t="s">
        <v>210</v>
      </c>
      <c r="D17" s="15" t="s">
        <v>211</v>
      </c>
      <c r="E17" s="14" t="s">
        <v>286</v>
      </c>
      <c r="F17" s="14" t="s">
        <v>599</v>
      </c>
      <c r="G17" s="14" t="s">
        <v>105</v>
      </c>
      <c r="H17" s="14" t="s">
        <v>600</v>
      </c>
      <c r="I17" s="14" t="s">
        <v>601</v>
      </c>
      <c r="J17" s="14" t="s">
        <v>602</v>
      </c>
      <c r="K17" s="14" t="s">
        <v>209</v>
      </c>
      <c r="L17" s="14" t="s">
        <v>89</v>
      </c>
      <c r="M17" s="14" t="s">
        <v>217</v>
      </c>
      <c r="N17" s="14">
        <v>0</v>
      </c>
      <c r="O17" s="14" t="s">
        <v>148</v>
      </c>
      <c r="P17" s="14">
        <v>5</v>
      </c>
      <c r="Q17" s="14">
        <v>5</v>
      </c>
      <c r="R17" s="14">
        <v>90</v>
      </c>
      <c r="S17" s="16"/>
      <c r="T17" s="14" t="s">
        <v>71</v>
      </c>
      <c r="U17" s="14" t="s">
        <v>72</v>
      </c>
      <c r="V17" s="15" t="s">
        <v>520</v>
      </c>
      <c r="W17" s="30">
        <f>IF('CRUDO MARTES'!W17="Si",$N17,)</f>
        <v>0</v>
      </c>
      <c r="X17" s="30">
        <f>IF('CRUDO MARTES'!X17="Si",$N17,)</f>
        <v>0</v>
      </c>
      <c r="Y17" s="29">
        <v>22</v>
      </c>
      <c r="Z17" s="30">
        <f>IF('CRUDO MARTES'!Z17="Si",$N17,)</f>
        <v>0</v>
      </c>
      <c r="AA17" s="30">
        <f>IF('CRUDO MARTES'!AA17="Si",$N17,)</f>
        <v>0</v>
      </c>
      <c r="AB17" s="30">
        <f>IF('CRUDO MARTES'!AB17="Si",$N17,)</f>
        <v>0</v>
      </c>
      <c r="AC17" s="30">
        <f>IF('CRUDO MARTES'!AC17="Si",$N17,)</f>
        <v>0</v>
      </c>
      <c r="AD17" s="30">
        <f>IF('CRUDO MARTES'!AD17="Si",$N17,)</f>
        <v>0</v>
      </c>
      <c r="AE17" s="30">
        <f>IF('CRUDO MARTES'!AE17="Si",$N17,)</f>
        <v>0</v>
      </c>
      <c r="AF17" s="30">
        <f>IF('CRUDO MARTES'!AF17="Si",$N17,)</f>
        <v>0</v>
      </c>
      <c r="AG17" s="30">
        <f>IF('CRUDO MARTES'!AG17="Si",$N17,)</f>
        <v>0</v>
      </c>
      <c r="AH17" s="31">
        <f>IF('CRUDO MARTES'!AH17="Si",$N17,)</f>
        <v>0</v>
      </c>
      <c r="AI17" s="30">
        <f>IF('CRUDO MARTES'!AI17="Si",$N17,)</f>
        <v>0</v>
      </c>
      <c r="AJ17" s="30">
        <f>IF('CRUDO MARTES'!AJ17="Si",$N17,)</f>
        <v>0</v>
      </c>
      <c r="AK17" s="30">
        <f>IF('CRUDO MARTES'!AK17="Si",$N17,)</f>
        <v>0</v>
      </c>
      <c r="AL17" s="30">
        <f>IF('CRUDO MARTES'!AL17="Si",$N17,)</f>
        <v>0</v>
      </c>
      <c r="AM17" s="29">
        <v>0</v>
      </c>
      <c r="AN17" s="30">
        <f>IF('CRUDO MARTES'!AN17="Si",$N17,)</f>
        <v>0</v>
      </c>
      <c r="AO17" s="30">
        <f>IF('CRUDO MARTES'!AO17="Si",$N17,)</f>
        <v>0</v>
      </c>
      <c r="AP17" s="16"/>
      <c r="AQ17" s="14" t="s">
        <v>1254</v>
      </c>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row>
    <row r="18" spans="1:88" ht="13.2" hidden="1">
      <c r="A18" s="13">
        <v>45363.707946979164</v>
      </c>
      <c r="B18" s="14" t="s">
        <v>603</v>
      </c>
      <c r="C18" s="28" t="s">
        <v>604</v>
      </c>
      <c r="D18" s="15" t="s">
        <v>605</v>
      </c>
      <c r="E18" s="14" t="s">
        <v>133</v>
      </c>
      <c r="F18" s="14" t="s">
        <v>192</v>
      </c>
      <c r="G18" s="14" t="s">
        <v>64</v>
      </c>
      <c r="H18" s="14" t="s">
        <v>606</v>
      </c>
      <c r="I18" s="14" t="s">
        <v>607</v>
      </c>
      <c r="J18" s="14" t="s">
        <v>608</v>
      </c>
      <c r="K18" s="14" t="s">
        <v>603</v>
      </c>
      <c r="L18" s="14" t="s">
        <v>89</v>
      </c>
      <c r="M18" s="14" t="s">
        <v>190</v>
      </c>
      <c r="N18" s="14">
        <v>0</v>
      </c>
      <c r="O18" s="14" t="s">
        <v>70</v>
      </c>
      <c r="P18" s="14">
        <v>2</v>
      </c>
      <c r="Q18" s="14">
        <v>3</v>
      </c>
      <c r="R18" s="14">
        <v>75</v>
      </c>
      <c r="S18" s="16"/>
      <c r="T18" s="14" t="s">
        <v>71</v>
      </c>
      <c r="U18" s="14" t="s">
        <v>72</v>
      </c>
      <c r="V18" s="15" t="s">
        <v>520</v>
      </c>
      <c r="W18" s="30">
        <f>IF('CRUDO MARTES'!W18="Si",$N18,)</f>
        <v>0</v>
      </c>
      <c r="X18" s="30">
        <f>IF('CRUDO MARTES'!X18="Si",$N18,)</f>
        <v>0</v>
      </c>
      <c r="Y18" s="30">
        <f>IF('CRUDO MARTES'!Y18="Si",$N18,)</f>
        <v>0</v>
      </c>
      <c r="Z18" s="30">
        <f>IF('CRUDO MARTES'!Z18="Si",$N18,)</f>
        <v>0</v>
      </c>
      <c r="AA18" s="30">
        <f>IF('CRUDO MARTES'!AA18="Si",$N18,)</f>
        <v>0</v>
      </c>
      <c r="AB18" s="29">
        <v>0</v>
      </c>
      <c r="AC18" s="29">
        <v>0</v>
      </c>
      <c r="AD18" s="30">
        <f>IF('CRUDO MARTES'!AD18="Si",$N18,)</f>
        <v>0</v>
      </c>
      <c r="AE18" s="30">
        <f>IF('CRUDO MARTES'!AE18="Si",$N18,)</f>
        <v>0</v>
      </c>
      <c r="AF18" s="30">
        <f>IF('CRUDO MARTES'!AF18="Si",$N18,)</f>
        <v>0</v>
      </c>
      <c r="AG18" s="30">
        <f>IF('CRUDO MARTES'!AG18="Si",$N18,)</f>
        <v>0</v>
      </c>
      <c r="AH18" s="30">
        <f>IF('CRUDO MARTES'!AH18="Si",$N18,)</f>
        <v>0</v>
      </c>
      <c r="AI18" s="29">
        <v>0</v>
      </c>
      <c r="AJ18" s="30">
        <f>IF('CRUDO MARTES'!AJ18="Si",$N18,)</f>
        <v>0</v>
      </c>
      <c r="AK18" s="30">
        <f>IF('CRUDO MARTES'!AK18="Si",$N18,)</f>
        <v>0</v>
      </c>
      <c r="AL18" s="31">
        <f>IF('CRUDO MARTES'!AL18="Si",$N18,)</f>
        <v>0</v>
      </c>
      <c r="AM18" s="30">
        <f>IF('CRUDO MARTES'!AM18="Si",$N18,)</f>
        <v>0</v>
      </c>
      <c r="AN18" s="30">
        <f>IF('CRUDO MARTES'!AN18="Si",$N18,)</f>
        <v>0</v>
      </c>
      <c r="AO18" s="30">
        <f>IF('CRUDO MARTES'!AO18="Si",$N18,)</f>
        <v>0</v>
      </c>
      <c r="AP18" s="14" t="s">
        <v>609</v>
      </c>
      <c r="AQ18" s="14" t="s">
        <v>1254</v>
      </c>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row>
    <row r="19" spans="1:88" ht="13.2" hidden="1">
      <c r="A19" s="21">
        <v>45363.710773865736</v>
      </c>
      <c r="B19" s="22" t="s">
        <v>603</v>
      </c>
      <c r="C19" s="22" t="s">
        <v>610</v>
      </c>
      <c r="D19" s="24" t="s">
        <v>605</v>
      </c>
      <c r="E19" s="22" t="s">
        <v>133</v>
      </c>
      <c r="F19" s="22" t="s">
        <v>192</v>
      </c>
      <c r="G19" s="22" t="s">
        <v>64</v>
      </c>
      <c r="H19" s="22" t="s">
        <v>187</v>
      </c>
      <c r="I19" s="22" t="s">
        <v>611</v>
      </c>
      <c r="J19" s="22" t="s">
        <v>612</v>
      </c>
      <c r="K19" s="22" t="s">
        <v>603</v>
      </c>
      <c r="L19" s="22" t="s">
        <v>89</v>
      </c>
      <c r="M19" s="22" t="s">
        <v>190</v>
      </c>
      <c r="N19" s="22">
        <v>0</v>
      </c>
      <c r="O19" s="22" t="s">
        <v>70</v>
      </c>
      <c r="P19" s="22">
        <v>2</v>
      </c>
      <c r="Q19" s="22">
        <v>3</v>
      </c>
      <c r="R19" s="22">
        <v>75</v>
      </c>
      <c r="S19" s="25"/>
      <c r="T19" s="22" t="s">
        <v>71</v>
      </c>
      <c r="U19" s="22" t="s">
        <v>72</v>
      </c>
      <c r="V19" s="24" t="s">
        <v>520</v>
      </c>
      <c r="W19" s="26">
        <f>IF('CRUDO MARTES'!W19="Si",$N19,)</f>
        <v>0</v>
      </c>
      <c r="X19" s="26">
        <f>IF('CRUDO MARTES'!X19="Si",$N19,)</f>
        <v>0</v>
      </c>
      <c r="Y19" s="26">
        <f>IF('CRUDO MARTES'!Y19="Si",$N19,)</f>
        <v>0</v>
      </c>
      <c r="Z19" s="26">
        <f>IF('CRUDO MARTES'!Z19="Si",$N19,)</f>
        <v>0</v>
      </c>
      <c r="AA19" s="26">
        <f>IF('CRUDO MARTES'!AA19="Si",$N19,)</f>
        <v>0</v>
      </c>
      <c r="AB19" s="26">
        <f>IF('CRUDO MARTES'!AB19="Si",$N19,)</f>
        <v>0</v>
      </c>
      <c r="AC19" s="26">
        <f>IF('CRUDO MARTES'!AC19="Si",$N19,)</f>
        <v>0</v>
      </c>
      <c r="AD19" s="26">
        <f>IF('CRUDO MARTES'!AD19="Si",$N19,)</f>
        <v>0</v>
      </c>
      <c r="AE19" s="26">
        <f>IF('CRUDO MARTES'!AE19="Si",$N19,)</f>
        <v>0</v>
      </c>
      <c r="AF19" s="26">
        <f>IF('CRUDO MARTES'!AF19="Si",$N19,)</f>
        <v>0</v>
      </c>
      <c r="AG19" s="26">
        <f>IF('CRUDO MARTES'!AG19="Si",$N19,)</f>
        <v>0</v>
      </c>
      <c r="AH19" s="26">
        <f>IF('CRUDO MARTES'!AH19="Si",$N19,)</f>
        <v>0</v>
      </c>
      <c r="AI19" s="26">
        <f>IF('CRUDO MARTES'!AI19="Si",$N19,)</f>
        <v>0</v>
      </c>
      <c r="AJ19" s="26">
        <f>IF('CRUDO MARTES'!AJ19="Si",$N19,)</f>
        <v>0</v>
      </c>
      <c r="AK19" s="26">
        <f>IF('CRUDO MARTES'!AK19="Si",$N19,)</f>
        <v>0</v>
      </c>
      <c r="AL19" s="26">
        <f>IF('CRUDO MARTES'!AL19="Si",$N19,)</f>
        <v>0</v>
      </c>
      <c r="AM19" s="26">
        <f>IF('CRUDO MARTES'!AM19="Si",$N19,)</f>
        <v>0</v>
      </c>
      <c r="AN19" s="26">
        <f>IF('CRUDO MARTES'!AN19="Si",$N19,)</f>
        <v>0</v>
      </c>
      <c r="AO19" s="26">
        <f>IF('CRUDO MARTES'!AO19="Si",$N19,)</f>
        <v>0</v>
      </c>
      <c r="AP19" s="22" t="s">
        <v>609</v>
      </c>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row>
    <row r="20" spans="1:88" ht="13.2" hidden="1">
      <c r="A20" s="13">
        <v>45363.723644571757</v>
      </c>
      <c r="B20" s="14" t="s">
        <v>195</v>
      </c>
      <c r="C20" s="28" t="s">
        <v>613</v>
      </c>
      <c r="D20" s="14">
        <v>61338200</v>
      </c>
      <c r="E20" s="14" t="s">
        <v>62</v>
      </c>
      <c r="F20" s="14" t="s">
        <v>104</v>
      </c>
      <c r="G20" s="14" t="s">
        <v>64</v>
      </c>
      <c r="H20" s="14" t="s">
        <v>614</v>
      </c>
      <c r="I20" s="14" t="s">
        <v>615</v>
      </c>
      <c r="J20" s="14" t="s">
        <v>616</v>
      </c>
      <c r="K20" s="14" t="s">
        <v>195</v>
      </c>
      <c r="L20" s="14" t="s">
        <v>68</v>
      </c>
      <c r="M20" s="14" t="s">
        <v>617</v>
      </c>
      <c r="N20" s="14">
        <v>0</v>
      </c>
      <c r="O20" s="14" t="s">
        <v>70</v>
      </c>
      <c r="P20" s="14">
        <v>5</v>
      </c>
      <c r="Q20" s="14">
        <v>5</v>
      </c>
      <c r="R20" s="14">
        <v>40</v>
      </c>
      <c r="S20" s="14" t="s">
        <v>200</v>
      </c>
      <c r="T20" s="14" t="s">
        <v>71</v>
      </c>
      <c r="U20" s="14" t="s">
        <v>72</v>
      </c>
      <c r="V20" s="15" t="s">
        <v>520</v>
      </c>
      <c r="W20" s="30">
        <f>IF('CRUDO MARTES'!W20="Si",$N20,)</f>
        <v>0</v>
      </c>
      <c r="X20" s="30">
        <f>IF('CRUDO MARTES'!X20="Si",$N20,)</f>
        <v>0</v>
      </c>
      <c r="Y20" s="30">
        <f>IF('CRUDO MARTES'!Y20="Si",$N20,)</f>
        <v>0</v>
      </c>
      <c r="Z20" s="30">
        <f>IF('CRUDO MARTES'!Z20="Si",$N20,)</f>
        <v>0</v>
      </c>
      <c r="AA20" s="30">
        <f>IF('CRUDO MARTES'!AA20="Si",$N20,)</f>
        <v>0</v>
      </c>
      <c r="AB20" s="29">
        <v>30</v>
      </c>
      <c r="AC20" s="30">
        <f>IF('CRUDO MARTES'!AC20="Si",$N20,)</f>
        <v>0</v>
      </c>
      <c r="AD20" s="30">
        <f>IF('CRUDO MARTES'!AD20="Si",$N20,)</f>
        <v>0</v>
      </c>
      <c r="AE20" s="30">
        <f>IF('CRUDO MARTES'!AE20="Si",$N20,)</f>
        <v>0</v>
      </c>
      <c r="AF20" s="30">
        <f>IF('CRUDO MARTES'!AF20="Si",$N20,)</f>
        <v>0</v>
      </c>
      <c r="AG20" s="30">
        <f>IF('CRUDO MARTES'!AG20="Si",$N20,)</f>
        <v>0</v>
      </c>
      <c r="AH20" s="29">
        <v>0</v>
      </c>
      <c r="AI20" s="30">
        <f>IF('CRUDO MARTES'!AI20="Si",$N20,)</f>
        <v>0</v>
      </c>
      <c r="AJ20" s="30">
        <f>IF('CRUDO MARTES'!AJ20="Si",$N20,)</f>
        <v>0</v>
      </c>
      <c r="AK20" s="30">
        <f>IF('CRUDO MARTES'!AK20="Si",$N20,)</f>
        <v>0</v>
      </c>
      <c r="AL20" s="30">
        <f>IF('CRUDO MARTES'!AL20="Si",$N20,)</f>
        <v>0</v>
      </c>
      <c r="AM20" s="29">
        <v>0</v>
      </c>
      <c r="AN20" s="30">
        <f>IF('CRUDO MARTES'!AN20="Si",$N20,)</f>
        <v>0</v>
      </c>
      <c r="AO20" s="30">
        <f>IF('CRUDO MARTES'!AO20="Si",$N20,)</f>
        <v>0</v>
      </c>
      <c r="AP20" s="16"/>
      <c r="AQ20" s="14" t="s">
        <v>1259</v>
      </c>
      <c r="AR20" s="14" t="s">
        <v>1268</v>
      </c>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row>
    <row r="21" spans="1:88" ht="13.2" hidden="1">
      <c r="A21" s="13">
        <v>45363.726919548615</v>
      </c>
      <c r="B21" s="14" t="s">
        <v>195</v>
      </c>
      <c r="C21" s="28" t="s">
        <v>618</v>
      </c>
      <c r="D21" s="14">
        <v>61338200</v>
      </c>
      <c r="E21" s="14" t="s">
        <v>133</v>
      </c>
      <c r="F21" s="14" t="s">
        <v>619</v>
      </c>
      <c r="G21" s="14" t="s">
        <v>64</v>
      </c>
      <c r="H21" s="14" t="s">
        <v>620</v>
      </c>
      <c r="I21" s="14" t="s">
        <v>621</v>
      </c>
      <c r="J21" s="14" t="s">
        <v>622</v>
      </c>
      <c r="K21" s="14" t="s">
        <v>195</v>
      </c>
      <c r="L21" s="14" t="s">
        <v>68</v>
      </c>
      <c r="M21" s="14" t="s">
        <v>623</v>
      </c>
      <c r="N21" s="14">
        <v>0</v>
      </c>
      <c r="O21" s="14" t="s">
        <v>70</v>
      </c>
      <c r="P21" s="14">
        <v>5</v>
      </c>
      <c r="Q21" s="14">
        <v>5</v>
      </c>
      <c r="R21" s="14">
        <v>40</v>
      </c>
      <c r="S21" s="14" t="s">
        <v>200</v>
      </c>
      <c r="T21" s="14" t="s">
        <v>71</v>
      </c>
      <c r="U21" s="14" t="s">
        <v>71</v>
      </c>
      <c r="V21" s="15" t="s">
        <v>520</v>
      </c>
      <c r="W21" s="30">
        <f>IF('CRUDO MARTES'!W21="Si",$N21,)</f>
        <v>0</v>
      </c>
      <c r="X21" s="30">
        <f>IF('CRUDO MARTES'!X21="Si",$N21,)</f>
        <v>0</v>
      </c>
      <c r="Y21" s="30">
        <f>IF('CRUDO MARTES'!Y21="Si",$N21,)</f>
        <v>0</v>
      </c>
      <c r="Z21" s="30">
        <f>IF('CRUDO MARTES'!Z21="Si",$N21,)</f>
        <v>0</v>
      </c>
      <c r="AA21" s="30">
        <f>IF('CRUDO MARTES'!AA21="Si",$N21,)</f>
        <v>0</v>
      </c>
      <c r="AB21" s="29">
        <v>30</v>
      </c>
      <c r="AC21" s="30">
        <f>IF('CRUDO MARTES'!AC21="Si",$N21,)</f>
        <v>0</v>
      </c>
      <c r="AD21" s="30">
        <f>IF('CRUDO MARTES'!AD21="Si",$N21,)</f>
        <v>0</v>
      </c>
      <c r="AE21" s="30">
        <f>IF('CRUDO MARTES'!AE21="Si",$N21,)</f>
        <v>0</v>
      </c>
      <c r="AF21" s="30">
        <f>IF('CRUDO MARTES'!AF21="Si",$N21,)</f>
        <v>0</v>
      </c>
      <c r="AG21" s="30">
        <f>IF('CRUDO MARTES'!AG21="Si",$N21,)</f>
        <v>0</v>
      </c>
      <c r="AH21" s="29">
        <v>0</v>
      </c>
      <c r="AI21" s="30">
        <f>IF('CRUDO MARTES'!AI21="Si",$N21,)</f>
        <v>0</v>
      </c>
      <c r="AJ21" s="30">
        <f>IF('CRUDO MARTES'!AJ21="Si",$N21,)</f>
        <v>0</v>
      </c>
      <c r="AK21" s="30">
        <f>IF('CRUDO MARTES'!AK21="Si",$N21,)</f>
        <v>0</v>
      </c>
      <c r="AL21" s="30">
        <f>IF('CRUDO MARTES'!AL21="Si",$N21,)</f>
        <v>0</v>
      </c>
      <c r="AM21" s="29">
        <v>0</v>
      </c>
      <c r="AN21" s="30">
        <f>IF('CRUDO MARTES'!AN21="Si",$N21,)</f>
        <v>0</v>
      </c>
      <c r="AO21" s="30">
        <f>IF('CRUDO MARTES'!AO21="Si",$N21,)</f>
        <v>0</v>
      </c>
      <c r="AP21" s="16"/>
      <c r="AQ21" s="14" t="s">
        <v>1259</v>
      </c>
      <c r="AR21" s="14" t="s">
        <v>1268</v>
      </c>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row>
    <row r="22" spans="1:88" ht="13.2">
      <c r="A22" s="47">
        <v>45363.726925532406</v>
      </c>
      <c r="B22" s="48" t="s">
        <v>624</v>
      </c>
      <c r="C22" s="49" t="s">
        <v>625</v>
      </c>
      <c r="D22" s="48">
        <v>1111111</v>
      </c>
      <c r="E22" s="48" t="s">
        <v>62</v>
      </c>
      <c r="F22" s="48" t="s">
        <v>198</v>
      </c>
      <c r="G22" s="48" t="s">
        <v>105</v>
      </c>
      <c r="H22" s="48" t="s">
        <v>626</v>
      </c>
      <c r="I22" s="48" t="s">
        <v>627</v>
      </c>
      <c r="J22" s="51"/>
      <c r="K22" s="48" t="s">
        <v>624</v>
      </c>
      <c r="L22" s="48" t="s">
        <v>138</v>
      </c>
      <c r="M22" s="48" t="s">
        <v>628</v>
      </c>
      <c r="N22" s="48">
        <v>38</v>
      </c>
      <c r="O22" s="48" t="s">
        <v>282</v>
      </c>
      <c r="P22" s="48">
        <v>5</v>
      </c>
      <c r="Q22" s="48">
        <v>5</v>
      </c>
      <c r="R22" s="48">
        <v>0</v>
      </c>
      <c r="S22" s="51"/>
      <c r="T22" s="48" t="s">
        <v>71</v>
      </c>
      <c r="U22" s="48" t="s">
        <v>71</v>
      </c>
      <c r="V22" s="50" t="s">
        <v>520</v>
      </c>
      <c r="W22" s="52">
        <f>IF('CRUDO MARTES'!W22="Si",$N22,)</f>
        <v>38</v>
      </c>
      <c r="X22" s="53">
        <v>38</v>
      </c>
      <c r="Y22" s="53">
        <v>0</v>
      </c>
      <c r="Z22" s="52">
        <f>IF('CRUDO MARTES'!Z22="Si",$N22,)</f>
        <v>38</v>
      </c>
      <c r="AA22" s="53">
        <v>0</v>
      </c>
      <c r="AB22" s="53">
        <v>0</v>
      </c>
      <c r="AC22" s="53">
        <v>0</v>
      </c>
      <c r="AD22" s="53">
        <v>0</v>
      </c>
      <c r="AE22" s="52">
        <v>38</v>
      </c>
      <c r="AF22" s="52">
        <f>IF('CRUDO MARTES'!AF22="Si",$N22,)</f>
        <v>0</v>
      </c>
      <c r="AG22" s="53">
        <v>0</v>
      </c>
      <c r="AH22" s="52">
        <f>IF('CRUDO MARTES'!AH22="Si",$N22,)</f>
        <v>0</v>
      </c>
      <c r="AI22" s="52">
        <f>IF('CRUDO MARTES'!AI22="Si",$N22,)</f>
        <v>0</v>
      </c>
      <c r="AJ22" s="52">
        <f>IF('CRUDO MARTES'!AJ22="Si",$N22,)</f>
        <v>0</v>
      </c>
      <c r="AK22" s="52">
        <f>IF('CRUDO MARTES'!AK22="Si",$N22,)</f>
        <v>0</v>
      </c>
      <c r="AL22" s="55">
        <v>0</v>
      </c>
      <c r="AM22" s="53">
        <v>0</v>
      </c>
      <c r="AN22" s="52">
        <f>IF('CRUDO MARTES'!AN22="Si",$N22,)</f>
        <v>0</v>
      </c>
      <c r="AO22" s="52">
        <f>IF('CRUDO MARTES'!AO22="Si",$N22,)</f>
        <v>0</v>
      </c>
      <c r="AP22" s="51"/>
      <c r="AQ22" s="48" t="s">
        <v>1260</v>
      </c>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row>
    <row r="23" spans="1:88" ht="13.2">
      <c r="A23" s="47">
        <v>45363.729623333333</v>
      </c>
      <c r="B23" s="48" t="s">
        <v>624</v>
      </c>
      <c r="C23" s="49" t="s">
        <v>629</v>
      </c>
      <c r="D23" s="48">
        <v>1111111</v>
      </c>
      <c r="E23" s="48" t="s">
        <v>62</v>
      </c>
      <c r="F23" s="48" t="s">
        <v>630</v>
      </c>
      <c r="G23" s="48" t="s">
        <v>105</v>
      </c>
      <c r="H23" s="48" t="s">
        <v>626</v>
      </c>
      <c r="I23" s="48" t="s">
        <v>631</v>
      </c>
      <c r="J23" s="51"/>
      <c r="K23" s="48" t="s">
        <v>624</v>
      </c>
      <c r="L23" s="48" t="s">
        <v>138</v>
      </c>
      <c r="M23" s="48" t="s">
        <v>628</v>
      </c>
      <c r="N23" s="48">
        <v>35</v>
      </c>
      <c r="O23" s="48" t="s">
        <v>282</v>
      </c>
      <c r="P23" s="48">
        <v>5</v>
      </c>
      <c r="Q23" s="48">
        <v>5</v>
      </c>
      <c r="R23" s="48">
        <v>0</v>
      </c>
      <c r="S23" s="51"/>
      <c r="T23" s="48" t="s">
        <v>71</v>
      </c>
      <c r="U23" s="48" t="s">
        <v>71</v>
      </c>
      <c r="V23" s="50" t="s">
        <v>520</v>
      </c>
      <c r="W23" s="52">
        <f>IF('CRUDO MARTES'!W23="Si",$N23,)</f>
        <v>35</v>
      </c>
      <c r="X23" s="53">
        <v>35</v>
      </c>
      <c r="Y23" s="53">
        <v>0</v>
      </c>
      <c r="Z23" s="52">
        <f>IF('CRUDO MARTES'!Z23="Si",$N23,)</f>
        <v>35</v>
      </c>
      <c r="AA23" s="53">
        <v>0</v>
      </c>
      <c r="AB23" s="53">
        <v>0</v>
      </c>
      <c r="AC23" s="53">
        <v>0</v>
      </c>
      <c r="AD23" s="53">
        <v>0</v>
      </c>
      <c r="AE23" s="52">
        <v>35</v>
      </c>
      <c r="AF23" s="53">
        <v>0</v>
      </c>
      <c r="AG23" s="53">
        <v>0</v>
      </c>
      <c r="AH23" s="53">
        <v>0</v>
      </c>
      <c r="AI23" s="54">
        <f>IF('CRUDO MARTES'!AI23="Si",$N23,)</f>
        <v>35</v>
      </c>
      <c r="AJ23" s="53">
        <v>0</v>
      </c>
      <c r="AK23" s="53">
        <v>0</v>
      </c>
      <c r="AL23" s="53">
        <v>0</v>
      </c>
      <c r="AM23" s="53">
        <v>0</v>
      </c>
      <c r="AN23" s="53">
        <v>0</v>
      </c>
      <c r="AO23" s="53">
        <v>0</v>
      </c>
      <c r="AP23" s="51"/>
      <c r="AQ23" s="48" t="s">
        <v>1260</v>
      </c>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row>
    <row r="24" spans="1:88" ht="26.4">
      <c r="A24" s="47">
        <v>45363.865755532403</v>
      </c>
      <c r="B24" s="48" t="s">
        <v>632</v>
      </c>
      <c r="C24" s="49" t="s">
        <v>633</v>
      </c>
      <c r="D24" s="50" t="s">
        <v>634</v>
      </c>
      <c r="E24" s="48" t="s">
        <v>62</v>
      </c>
      <c r="F24" s="48" t="s">
        <v>635</v>
      </c>
      <c r="G24" s="48" t="s">
        <v>105</v>
      </c>
      <c r="H24" s="48" t="s">
        <v>636</v>
      </c>
      <c r="I24" s="48" t="s">
        <v>637</v>
      </c>
      <c r="J24" s="48" t="s">
        <v>638</v>
      </c>
      <c r="K24" s="48" t="s">
        <v>632</v>
      </c>
      <c r="L24" s="48" t="s">
        <v>245</v>
      </c>
      <c r="M24" s="48" t="s">
        <v>639</v>
      </c>
      <c r="N24" s="48">
        <v>40</v>
      </c>
      <c r="O24" s="48" t="s">
        <v>70</v>
      </c>
      <c r="P24" s="48">
        <v>3</v>
      </c>
      <c r="Q24" s="48">
        <v>5</v>
      </c>
      <c r="R24" s="48">
        <v>40</v>
      </c>
      <c r="S24" s="51"/>
      <c r="T24" s="48" t="s">
        <v>72</v>
      </c>
      <c r="U24" s="48" t="s">
        <v>71</v>
      </c>
      <c r="V24" s="50" t="s">
        <v>520</v>
      </c>
      <c r="W24" s="52">
        <f>IF('CRUDO MARTES'!W24="Si",$N24,)</f>
        <v>0</v>
      </c>
      <c r="X24" s="52">
        <f>IF('CRUDO MARTES'!X24="Si",$N24,)</f>
        <v>0</v>
      </c>
      <c r="Y24" s="52">
        <f>IF('CRUDO MARTES'!Y24="Si",$N24,)</f>
        <v>0</v>
      </c>
      <c r="Z24" s="53">
        <v>40</v>
      </c>
      <c r="AA24" s="52">
        <f>IF('CRUDO MARTES'!AA24="Si",$N24,)</f>
        <v>0</v>
      </c>
      <c r="AB24" s="52">
        <f>IF('CRUDO MARTES'!AB24="Si",$N24,)</f>
        <v>0</v>
      </c>
      <c r="AC24" s="52">
        <f>IF('CRUDO MARTES'!AC24="Si",$N24,)</f>
        <v>0</v>
      </c>
      <c r="AD24" s="52">
        <f>IF('CRUDO MARTES'!AD24="Si",$N24,)</f>
        <v>40</v>
      </c>
      <c r="AE24" s="53">
        <v>40</v>
      </c>
      <c r="AF24" s="52">
        <f>IF('CRUDO MARTES'!AF24="Si",$N24,)</f>
        <v>0</v>
      </c>
      <c r="AG24" s="52">
        <f>IF('CRUDO MARTES'!AG24="Si",$N24,)</f>
        <v>0</v>
      </c>
      <c r="AH24" s="52">
        <f>IF('CRUDO MARTES'!AH24="Si",$N24,)</f>
        <v>0</v>
      </c>
      <c r="AI24" s="52">
        <f>IF('CRUDO MARTES'!AI24="Si",$N24,)</f>
        <v>0</v>
      </c>
      <c r="AJ24" s="53">
        <v>0</v>
      </c>
      <c r="AK24" s="53">
        <v>35</v>
      </c>
      <c r="AL24" s="52">
        <f>IF('CRUDO MARTES'!AL24="Si",$N24,)</f>
        <v>0</v>
      </c>
      <c r="AM24" s="52">
        <f>IF('CRUDO MARTES'!AM24="Si",$N24,)</f>
        <v>0</v>
      </c>
      <c r="AN24" s="52">
        <f>IF('CRUDO MARTES'!AN24="Si",$N24,)</f>
        <v>0</v>
      </c>
      <c r="AO24" s="53">
        <v>0</v>
      </c>
      <c r="AP24" s="48" t="s">
        <v>640</v>
      </c>
      <c r="AQ24" s="48" t="s">
        <v>1261</v>
      </c>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row>
    <row r="25" spans="1:88" ht="26.4" hidden="1">
      <c r="A25" s="13">
        <v>45363.86855363426</v>
      </c>
      <c r="B25" s="14" t="s">
        <v>641</v>
      </c>
      <c r="C25" s="28" t="s">
        <v>642</v>
      </c>
      <c r="D25" s="14">
        <v>20129700</v>
      </c>
      <c r="E25" s="14" t="s">
        <v>62</v>
      </c>
      <c r="F25" s="14" t="s">
        <v>643</v>
      </c>
      <c r="G25" s="14" t="s">
        <v>105</v>
      </c>
      <c r="H25" s="14" t="s">
        <v>644</v>
      </c>
      <c r="I25" s="14" t="s">
        <v>1262</v>
      </c>
      <c r="J25" s="14" t="s">
        <v>646</v>
      </c>
      <c r="K25" s="14" t="s">
        <v>641</v>
      </c>
      <c r="L25" s="14" t="s">
        <v>89</v>
      </c>
      <c r="M25" s="14" t="s">
        <v>208</v>
      </c>
      <c r="N25" s="14">
        <v>0</v>
      </c>
      <c r="O25" s="14" t="s">
        <v>70</v>
      </c>
      <c r="P25" s="14">
        <v>5</v>
      </c>
      <c r="Q25" s="14">
        <v>4</v>
      </c>
      <c r="R25" s="14">
        <v>10</v>
      </c>
      <c r="S25" s="16"/>
      <c r="T25" s="14" t="s">
        <v>71</v>
      </c>
      <c r="U25" s="14" t="s">
        <v>72</v>
      </c>
      <c r="V25" s="15" t="s">
        <v>520</v>
      </c>
      <c r="W25" s="30">
        <f>IF('CRUDO MARTES'!W25="Si",$N25,)</f>
        <v>0</v>
      </c>
      <c r="X25" s="30">
        <f>IF('CRUDO MARTES'!X25="Si",$N25,)</f>
        <v>0</v>
      </c>
      <c r="Y25" s="30">
        <f>IF('CRUDO MARTES'!Y25="Si",$N25,)</f>
        <v>0</v>
      </c>
      <c r="Z25" s="30">
        <f>IF('CRUDO MARTES'!Z25="Si",$N25,)</f>
        <v>0</v>
      </c>
      <c r="AA25" s="30">
        <f>IF('CRUDO MARTES'!AA25="Si",$N25,)</f>
        <v>0</v>
      </c>
      <c r="AB25" s="30">
        <f>IF('CRUDO MARTES'!AB25="Si",$N25,)</f>
        <v>0</v>
      </c>
      <c r="AC25" s="30">
        <f>IF('CRUDO MARTES'!AC25="Si",$N25,)</f>
        <v>0</v>
      </c>
      <c r="AD25" s="30">
        <f>IF('CRUDO MARTES'!AD25="Si",$N25,)</f>
        <v>0</v>
      </c>
      <c r="AE25" s="30">
        <f>IF('CRUDO MARTES'!AE25="Si",$N25,)</f>
        <v>0</v>
      </c>
      <c r="AF25" s="30">
        <f>IF('CRUDO MARTES'!AF25="Si",$N25,)</f>
        <v>0</v>
      </c>
      <c r="AG25" s="30">
        <f>IF('CRUDO MARTES'!AG25="Si",$N25,)</f>
        <v>0</v>
      </c>
      <c r="AH25" s="30">
        <f>IF('CRUDO MARTES'!AH25="Si",$N25,)</f>
        <v>0</v>
      </c>
      <c r="AI25" s="29">
        <v>0</v>
      </c>
      <c r="AJ25" s="30">
        <f>IF('CRUDO MARTES'!AJ25="Si",$N25,)</f>
        <v>0</v>
      </c>
      <c r="AK25" s="30">
        <f>IF('CRUDO MARTES'!AK25="Si",$N25,)</f>
        <v>0</v>
      </c>
      <c r="AL25" s="30">
        <f>IF('CRUDO MARTES'!AL25="Si",$N25,)</f>
        <v>0</v>
      </c>
      <c r="AM25" s="30">
        <f>IF('CRUDO MARTES'!AM25="Si",$N25,)</f>
        <v>0</v>
      </c>
      <c r="AN25" s="30">
        <f>IF('CRUDO MARTES'!AN25="Si",$N25,)</f>
        <v>0</v>
      </c>
      <c r="AO25" s="30">
        <f>IF('CRUDO MARTES'!AO25="Si",$N25,)</f>
        <v>0</v>
      </c>
      <c r="AP25" s="16"/>
      <c r="AQ25" s="14" t="s">
        <v>1254</v>
      </c>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row>
    <row r="26" spans="1:88" ht="13.2" hidden="1">
      <c r="A26" s="21">
        <v>45363.972373113429</v>
      </c>
      <c r="B26" s="22" t="s">
        <v>647</v>
      </c>
      <c r="C26" s="22" t="s">
        <v>648</v>
      </c>
      <c r="D26" s="24" t="s">
        <v>649</v>
      </c>
      <c r="E26" s="22" t="s">
        <v>506</v>
      </c>
      <c r="F26" s="22" t="s">
        <v>650</v>
      </c>
      <c r="G26" s="22" t="s">
        <v>64</v>
      </c>
      <c r="H26" s="22" t="s">
        <v>651</v>
      </c>
      <c r="I26" s="22" t="s">
        <v>652</v>
      </c>
      <c r="J26" s="22" t="s">
        <v>653</v>
      </c>
      <c r="K26" s="22" t="s">
        <v>654</v>
      </c>
      <c r="L26" s="22" t="s">
        <v>138</v>
      </c>
      <c r="M26" s="22" t="s">
        <v>655</v>
      </c>
      <c r="N26" s="22">
        <v>0</v>
      </c>
      <c r="O26" s="22" t="s">
        <v>148</v>
      </c>
      <c r="P26" s="22">
        <v>5</v>
      </c>
      <c r="Q26" s="22">
        <v>3</v>
      </c>
      <c r="R26" s="22">
        <v>0</v>
      </c>
      <c r="S26" s="22" t="s">
        <v>656</v>
      </c>
      <c r="T26" s="22" t="s">
        <v>71</v>
      </c>
      <c r="U26" s="22" t="s">
        <v>71</v>
      </c>
      <c r="V26" s="24" t="s">
        <v>520</v>
      </c>
      <c r="W26" s="26">
        <f>IF('CRUDO MARTES'!W26="Si",$N26,)</f>
        <v>0</v>
      </c>
      <c r="X26" s="26">
        <f>IF('CRUDO MARTES'!X26="Si",$N26,)</f>
        <v>0</v>
      </c>
      <c r="Y26" s="26">
        <f>IF('CRUDO MARTES'!Y26="Si",$N26,)</f>
        <v>0</v>
      </c>
      <c r="Z26" s="26">
        <f>IF('CRUDO MARTES'!Z26="Si",$N26,)</f>
        <v>0</v>
      </c>
      <c r="AA26" s="26">
        <f>IF('CRUDO MARTES'!AA26="Si",$N26,)</f>
        <v>0</v>
      </c>
      <c r="AB26" s="26">
        <f>IF('CRUDO MARTES'!AB26="Si",$N26,)</f>
        <v>0</v>
      </c>
      <c r="AC26" s="26">
        <f>IF('CRUDO MARTES'!AC26="Si",$N26,)</f>
        <v>0</v>
      </c>
      <c r="AD26" s="26">
        <f>IF('CRUDO MARTES'!AD26="Si",$N26,)</f>
        <v>0</v>
      </c>
      <c r="AE26" s="26">
        <f>IF('CRUDO MARTES'!AE26="Si",$N26,)</f>
        <v>0</v>
      </c>
      <c r="AF26" s="26">
        <f>IF('CRUDO MARTES'!AF26="Si",$N26,)</f>
        <v>0</v>
      </c>
      <c r="AG26" s="26">
        <f>IF('CRUDO MARTES'!AG26="Si",$N26,)</f>
        <v>0</v>
      </c>
      <c r="AH26" s="26">
        <f>IF('CRUDO MARTES'!AH26="Si",$N26,)</f>
        <v>0</v>
      </c>
      <c r="AI26" s="26">
        <f>IF('CRUDO MARTES'!AI26="Si",$N26,)</f>
        <v>0</v>
      </c>
      <c r="AJ26" s="26">
        <f>IF('CRUDO MARTES'!AJ26="Si",$N26,)</f>
        <v>0</v>
      </c>
      <c r="AK26" s="26">
        <f>IF('CRUDO MARTES'!AK26="Si",$N26,)</f>
        <v>0</v>
      </c>
      <c r="AL26" s="26">
        <f>IF('CRUDO MARTES'!AL26="Si",$N26,)</f>
        <v>0</v>
      </c>
      <c r="AM26" s="26">
        <f>IF('CRUDO MARTES'!AM26="Si",$N26,)</f>
        <v>0</v>
      </c>
      <c r="AN26" s="26">
        <f>IF('CRUDO MARTES'!AN26="Si",$N26,)</f>
        <v>0</v>
      </c>
      <c r="AO26" s="26">
        <f>IF('CRUDO MARTES'!AO26="Si",$N26,)</f>
        <v>0</v>
      </c>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row>
    <row r="27" spans="1:88" ht="13.2" hidden="1">
      <c r="A27" s="13">
        <v>45364.024851504626</v>
      </c>
      <c r="B27" s="14" t="s">
        <v>657</v>
      </c>
      <c r="C27" s="28" t="s">
        <v>658</v>
      </c>
      <c r="D27" s="15" t="s">
        <v>659</v>
      </c>
      <c r="E27" s="14" t="s">
        <v>62</v>
      </c>
      <c r="F27" s="14" t="s">
        <v>660</v>
      </c>
      <c r="G27" s="14" t="s">
        <v>105</v>
      </c>
      <c r="H27" s="14" t="s">
        <v>221</v>
      </c>
      <c r="I27" s="14" t="s">
        <v>661</v>
      </c>
      <c r="J27" s="14" t="s">
        <v>662</v>
      </c>
      <c r="K27" s="14" t="s">
        <v>663</v>
      </c>
      <c r="L27" s="14" t="s">
        <v>89</v>
      </c>
      <c r="M27" s="14" t="s">
        <v>664</v>
      </c>
      <c r="N27" s="14">
        <v>0</v>
      </c>
      <c r="O27" s="14" t="s">
        <v>70</v>
      </c>
      <c r="P27" s="14">
        <v>3</v>
      </c>
      <c r="Q27" s="14">
        <v>3</v>
      </c>
      <c r="R27" s="14">
        <v>80</v>
      </c>
      <c r="S27" s="14" t="s">
        <v>665</v>
      </c>
      <c r="T27" s="14" t="s">
        <v>71</v>
      </c>
      <c r="U27" s="14" t="s">
        <v>72</v>
      </c>
      <c r="V27" s="15" t="s">
        <v>520</v>
      </c>
      <c r="W27" s="30">
        <f>IF('CRUDO MARTES'!W27="Si",$N27,)</f>
        <v>0</v>
      </c>
      <c r="X27" s="30">
        <f>IF('CRUDO MARTES'!X27="Si",$N27,)</f>
        <v>0</v>
      </c>
      <c r="Y27" s="30">
        <f>IF('CRUDO MARTES'!Y27="Si",$N27,)</f>
        <v>0</v>
      </c>
      <c r="Z27" s="30">
        <f>IF('CRUDO MARTES'!Z27="Si",$N27,)</f>
        <v>0</v>
      </c>
      <c r="AA27" s="30">
        <f>IF('CRUDO MARTES'!AA27="Si",$N27,)</f>
        <v>0</v>
      </c>
      <c r="AB27" s="30">
        <f>IF('CRUDO MARTES'!AB27="Si",$N27,)</f>
        <v>0</v>
      </c>
      <c r="AC27" s="30">
        <f>IF('CRUDO MARTES'!AC27="Si",$N27,)</f>
        <v>0</v>
      </c>
      <c r="AD27" s="30">
        <f>IF('CRUDO MARTES'!AD27="Si",$N27,)</f>
        <v>0</v>
      </c>
      <c r="AE27" s="30">
        <f>IF('CRUDO MARTES'!AE27="Si",$N27,)</f>
        <v>0</v>
      </c>
      <c r="AF27" s="30">
        <f>IF('CRUDO MARTES'!AF27="Si",$N27,)</f>
        <v>0</v>
      </c>
      <c r="AG27" s="29">
        <v>0</v>
      </c>
      <c r="AH27" s="30">
        <f>IF('CRUDO MARTES'!AH27="Si",$N27,)</f>
        <v>0</v>
      </c>
      <c r="AI27" s="30">
        <f>IF('CRUDO MARTES'!AI27="Si",$N27,)</f>
        <v>0</v>
      </c>
      <c r="AJ27" s="30">
        <f>IF('CRUDO MARTES'!AJ27="Si",$N27,)</f>
        <v>0</v>
      </c>
      <c r="AK27" s="30">
        <f>IF('CRUDO MARTES'!AK27="Si",$N27,)</f>
        <v>0</v>
      </c>
      <c r="AL27" s="31">
        <f>IF('CRUDO MARTES'!AL27="Si",$N27,)</f>
        <v>0</v>
      </c>
      <c r="AM27" s="30">
        <f>IF('CRUDO MARTES'!AM27="Si",$N27,)</f>
        <v>0</v>
      </c>
      <c r="AN27" s="30">
        <f>IF('CRUDO MARTES'!AN27="Si",$N27,)</f>
        <v>0</v>
      </c>
      <c r="AO27" s="30">
        <f>IF('CRUDO MARTES'!AO27="Si",$N27,)</f>
        <v>0</v>
      </c>
      <c r="AP27" s="16"/>
      <c r="AQ27" s="14" t="s">
        <v>1263</v>
      </c>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row>
    <row r="28" spans="1:88" ht="13.2" hidden="1">
      <c r="A28" s="13">
        <v>45364.025561747687</v>
      </c>
      <c r="B28" s="14" t="s">
        <v>666</v>
      </c>
      <c r="C28" s="28" t="s">
        <v>667</v>
      </c>
      <c r="D28" s="15" t="s">
        <v>634</v>
      </c>
      <c r="E28" s="14" t="s">
        <v>62</v>
      </c>
      <c r="F28" s="14" t="s">
        <v>198</v>
      </c>
      <c r="G28" s="14" t="s">
        <v>105</v>
      </c>
      <c r="H28" s="14" t="s">
        <v>637</v>
      </c>
      <c r="I28" s="14" t="s">
        <v>668</v>
      </c>
      <c r="J28" s="14" t="s">
        <v>669</v>
      </c>
      <c r="K28" s="14" t="s">
        <v>666</v>
      </c>
      <c r="L28" s="14" t="s">
        <v>245</v>
      </c>
      <c r="M28" s="14" t="s">
        <v>670</v>
      </c>
      <c r="N28" s="14">
        <v>0</v>
      </c>
      <c r="O28" s="14" t="s">
        <v>70</v>
      </c>
      <c r="P28" s="14">
        <v>3</v>
      </c>
      <c r="Q28" s="14">
        <v>4</v>
      </c>
      <c r="R28" s="14">
        <v>40</v>
      </c>
      <c r="S28" s="16"/>
      <c r="T28" s="14" t="s">
        <v>71</v>
      </c>
      <c r="U28" s="14" t="s">
        <v>71</v>
      </c>
      <c r="V28" s="15" t="s">
        <v>520</v>
      </c>
      <c r="W28" s="30">
        <f>IF('CRUDO MARTES'!W28="Si",$N28,)</f>
        <v>0</v>
      </c>
      <c r="X28" s="30">
        <f>IF('CRUDO MARTES'!X28="Si",$N28,)</f>
        <v>0</v>
      </c>
      <c r="Y28" s="29">
        <v>0</v>
      </c>
      <c r="Z28" s="29">
        <v>0</v>
      </c>
      <c r="AA28" s="30">
        <f>IF('CRUDO MARTES'!AA28="Si",$N28,)</f>
        <v>0</v>
      </c>
      <c r="AB28" s="29">
        <v>0</v>
      </c>
      <c r="AC28" s="30">
        <f>IF('CRUDO MARTES'!AC28="Si",$N28,)</f>
        <v>0</v>
      </c>
      <c r="AD28" s="29">
        <v>0</v>
      </c>
      <c r="AE28" s="30">
        <f>IF('CRUDO MARTES'!AE28="Si",$N28,)</f>
        <v>0</v>
      </c>
      <c r="AF28" s="29">
        <v>0</v>
      </c>
      <c r="AG28" s="30">
        <f>IF('CRUDO MARTES'!AG28="Si",$N28,)</f>
        <v>0</v>
      </c>
      <c r="AH28" s="29">
        <v>0</v>
      </c>
      <c r="AI28" s="29">
        <v>0</v>
      </c>
      <c r="AJ28" s="29">
        <v>0</v>
      </c>
      <c r="AK28" s="29">
        <v>0</v>
      </c>
      <c r="AL28" s="29">
        <v>0</v>
      </c>
      <c r="AM28" s="29">
        <v>0</v>
      </c>
      <c r="AN28" s="29">
        <v>0</v>
      </c>
      <c r="AO28" s="29">
        <v>0</v>
      </c>
      <c r="AP28" s="16"/>
      <c r="AQ28" s="14" t="s">
        <v>1264</v>
      </c>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row>
    <row r="29" spans="1:88" ht="13.2" hidden="1">
      <c r="A29" s="13">
        <v>45364.037362789357</v>
      </c>
      <c r="B29" s="14" t="s">
        <v>657</v>
      </c>
      <c r="C29" s="28" t="s">
        <v>671</v>
      </c>
      <c r="D29" s="14">
        <v>201177</v>
      </c>
      <c r="E29" s="14" t="s">
        <v>62</v>
      </c>
      <c r="F29" s="14" t="s">
        <v>672</v>
      </c>
      <c r="G29" s="14" t="s">
        <v>105</v>
      </c>
      <c r="H29" s="14" t="s">
        <v>221</v>
      </c>
      <c r="I29" s="14" t="s">
        <v>673</v>
      </c>
      <c r="J29" s="14" t="s">
        <v>662</v>
      </c>
      <c r="K29" s="14" t="s">
        <v>657</v>
      </c>
      <c r="L29" s="14" t="s">
        <v>89</v>
      </c>
      <c r="M29" s="14" t="s">
        <v>664</v>
      </c>
      <c r="N29" s="14">
        <v>0</v>
      </c>
      <c r="O29" s="14" t="s">
        <v>70</v>
      </c>
      <c r="P29" s="14">
        <v>3</v>
      </c>
      <c r="Q29" s="14">
        <v>3</v>
      </c>
      <c r="R29" s="14">
        <v>85</v>
      </c>
      <c r="S29" s="16"/>
      <c r="T29" s="14" t="s">
        <v>71</v>
      </c>
      <c r="U29" s="14" t="s">
        <v>72</v>
      </c>
      <c r="V29" s="15" t="s">
        <v>520</v>
      </c>
      <c r="W29" s="30">
        <f>IF('CRUDO MARTES'!W29="Si",$N29,)</f>
        <v>0</v>
      </c>
      <c r="X29" s="30">
        <f>IF('CRUDO MARTES'!X29="Si",$N29,)</f>
        <v>0</v>
      </c>
      <c r="Y29" s="30">
        <f>IF('CRUDO MARTES'!Y29="Si",$N29,)</f>
        <v>0</v>
      </c>
      <c r="Z29" s="30">
        <f>IF('CRUDO MARTES'!Z29="Si",$N29,)</f>
        <v>0</v>
      </c>
      <c r="AA29" s="30">
        <f>IF('CRUDO MARTES'!AA29="Si",$N29,)</f>
        <v>0</v>
      </c>
      <c r="AB29" s="29">
        <v>35</v>
      </c>
      <c r="AC29" s="30">
        <f>IF('CRUDO MARTES'!AC29="Si",$N29,)</f>
        <v>0</v>
      </c>
      <c r="AD29" s="30">
        <f>IF('CRUDO MARTES'!AD29="Si",$N29,)</f>
        <v>0</v>
      </c>
      <c r="AE29" s="30">
        <f>IF('CRUDO MARTES'!AE29="Si",$N29,)</f>
        <v>0</v>
      </c>
      <c r="AF29" s="30">
        <f>IF('CRUDO MARTES'!AF29="Si",$N29,)</f>
        <v>0</v>
      </c>
      <c r="AG29" s="29">
        <v>0</v>
      </c>
      <c r="AH29" s="30">
        <f>IF('CRUDO MARTES'!AH29="Si",$N29,)</f>
        <v>0</v>
      </c>
      <c r="AI29" s="30">
        <f>IF('CRUDO MARTES'!AI29="Si",$N29,)</f>
        <v>0</v>
      </c>
      <c r="AJ29" s="30">
        <f>IF('CRUDO MARTES'!AJ29="Si",$N29,)</f>
        <v>0</v>
      </c>
      <c r="AK29" s="30">
        <f>IF('CRUDO MARTES'!AK29="Si",$N29,)</f>
        <v>0</v>
      </c>
      <c r="AL29" s="30">
        <f>IF('CRUDO MARTES'!AL29="Si",$N29,)</f>
        <v>0</v>
      </c>
      <c r="AM29" s="29">
        <v>0</v>
      </c>
      <c r="AN29" s="30">
        <f>IF('CRUDO MARTES'!AN29="Si",$N29,)</f>
        <v>0</v>
      </c>
      <c r="AO29" s="30">
        <f>IF('CRUDO MARTES'!AO29="Si",$N29,)</f>
        <v>0</v>
      </c>
      <c r="AP29" s="16"/>
      <c r="AQ29" s="14" t="s">
        <v>1265</v>
      </c>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row>
    <row r="30" spans="1:88" ht="26.4" hidden="1">
      <c r="A30" s="21">
        <v>45364.391120439817</v>
      </c>
      <c r="B30" s="22" t="s">
        <v>674</v>
      </c>
      <c r="C30" s="23" t="s">
        <v>675</v>
      </c>
      <c r="D30" s="22">
        <v>61</v>
      </c>
      <c r="E30" s="22" t="s">
        <v>133</v>
      </c>
      <c r="F30" s="22" t="s">
        <v>676</v>
      </c>
      <c r="G30" s="22" t="s">
        <v>64</v>
      </c>
      <c r="H30" s="22" t="s">
        <v>677</v>
      </c>
      <c r="I30" s="22" t="s">
        <v>678</v>
      </c>
      <c r="J30" s="22" t="s">
        <v>679</v>
      </c>
      <c r="K30" s="22" t="s">
        <v>680</v>
      </c>
      <c r="L30" s="22" t="s">
        <v>89</v>
      </c>
      <c r="M30" s="22" t="s">
        <v>681</v>
      </c>
      <c r="N30" s="22">
        <v>0</v>
      </c>
      <c r="O30" s="22" t="s">
        <v>70</v>
      </c>
      <c r="P30" s="22">
        <v>4</v>
      </c>
      <c r="Q30" s="22">
        <v>4</v>
      </c>
      <c r="R30" s="22">
        <v>10</v>
      </c>
      <c r="S30" s="25"/>
      <c r="T30" s="22" t="s">
        <v>71</v>
      </c>
      <c r="U30" s="22" t="s">
        <v>72</v>
      </c>
      <c r="V30" s="24" t="s">
        <v>520</v>
      </c>
      <c r="W30" s="27">
        <v>0</v>
      </c>
      <c r="X30" s="27">
        <v>0</v>
      </c>
      <c r="Y30" s="27">
        <v>35</v>
      </c>
      <c r="Z30" s="26">
        <f>IF('CRUDO MARTES'!Z30="Si",$N30,)</f>
        <v>0</v>
      </c>
      <c r="AA30" s="26">
        <f>IF('CRUDO MARTES'!AA30="Si",$N30,)</f>
        <v>0</v>
      </c>
      <c r="AB30" s="26">
        <f>IF('CRUDO MARTES'!AB30="Si",$N30,)</f>
        <v>0</v>
      </c>
      <c r="AC30" s="27">
        <v>0</v>
      </c>
      <c r="AD30" s="26">
        <f>IF('CRUDO MARTES'!AD30="Si",$N30,)</f>
        <v>0</v>
      </c>
      <c r="AE30" s="26">
        <f>IF('CRUDO MARTES'!AE30="Si",$N30,)</f>
        <v>0</v>
      </c>
      <c r="AF30" s="26">
        <f>IF('CRUDO MARTES'!AF30="Si",$N30,)</f>
        <v>0</v>
      </c>
      <c r="AG30" s="26">
        <f>IF('CRUDO MARTES'!AG30="Si",$N30,)</f>
        <v>0</v>
      </c>
      <c r="AH30" s="26">
        <f>IF('CRUDO MARTES'!AH30="Si",$N30,)</f>
        <v>0</v>
      </c>
      <c r="AI30" s="26">
        <f>IF('CRUDO MARTES'!AI30="Si",$N30,)</f>
        <v>0</v>
      </c>
      <c r="AJ30" s="26">
        <f>IF('CRUDO MARTES'!AJ30="Si",$N30,)</f>
        <v>0</v>
      </c>
      <c r="AK30" s="26">
        <f>IF('CRUDO MARTES'!AK30="Si",$N30,)</f>
        <v>0</v>
      </c>
      <c r="AL30" s="26">
        <f>IF('CRUDO MARTES'!AL30="Si",$N30,)</f>
        <v>0</v>
      </c>
      <c r="AM30" s="26">
        <f>IF('CRUDO MARTES'!AM30="Si",$N30,)</f>
        <v>0</v>
      </c>
      <c r="AN30" s="26">
        <f>IF('CRUDO MARTES'!AN30="Si",$N30,)</f>
        <v>0</v>
      </c>
      <c r="AO30" s="26">
        <f>IF('CRUDO MARTES'!AO30="Si",$N30,)</f>
        <v>0</v>
      </c>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row>
    <row r="31" spans="1:88" ht="26.4">
      <c r="A31" s="47">
        <v>45364.40170357639</v>
      </c>
      <c r="B31" s="48" t="s">
        <v>680</v>
      </c>
      <c r="C31" s="49" t="s">
        <v>682</v>
      </c>
      <c r="D31" s="48">
        <v>61</v>
      </c>
      <c r="E31" s="48" t="s">
        <v>133</v>
      </c>
      <c r="F31" s="48" t="s">
        <v>345</v>
      </c>
      <c r="G31" s="48" t="s">
        <v>64</v>
      </c>
      <c r="H31" s="48" t="s">
        <v>683</v>
      </c>
      <c r="I31" s="48" t="s">
        <v>684</v>
      </c>
      <c r="J31" s="48" t="s">
        <v>685</v>
      </c>
      <c r="K31" s="48" t="s">
        <v>680</v>
      </c>
      <c r="L31" s="48" t="s">
        <v>89</v>
      </c>
      <c r="M31" s="48" t="s">
        <v>686</v>
      </c>
      <c r="N31" s="48">
        <v>35</v>
      </c>
      <c r="O31" s="48" t="s">
        <v>70</v>
      </c>
      <c r="P31" s="48">
        <v>4</v>
      </c>
      <c r="Q31" s="48">
        <v>4</v>
      </c>
      <c r="R31" s="48">
        <v>10</v>
      </c>
      <c r="S31" s="51"/>
      <c r="T31" s="48" t="s">
        <v>71</v>
      </c>
      <c r="U31" s="48" t="s">
        <v>72</v>
      </c>
      <c r="V31" s="50" t="s">
        <v>520</v>
      </c>
      <c r="W31" s="53">
        <v>0</v>
      </c>
      <c r="X31" s="53">
        <v>35</v>
      </c>
      <c r="Y31" s="52">
        <f>IF('CRUDO MARTES'!Y31="Si",$N31,)</f>
        <v>35</v>
      </c>
      <c r="Z31" s="52">
        <f>IF('CRUDO MARTES'!Z31="Si",$N31,)</f>
        <v>0</v>
      </c>
      <c r="AA31" s="53">
        <v>0</v>
      </c>
      <c r="AB31" s="53">
        <v>0</v>
      </c>
      <c r="AC31" s="53">
        <v>35</v>
      </c>
      <c r="AD31" s="52">
        <f>IF('CRUDO MARTES'!AD31="Si",$N31,)</f>
        <v>0</v>
      </c>
      <c r="AE31" s="52"/>
      <c r="AF31" s="52">
        <f>IF('CRUDO MARTES'!AF31="Si",$N31,)</f>
        <v>0</v>
      </c>
      <c r="AG31" s="53">
        <v>0</v>
      </c>
      <c r="AH31" s="53">
        <v>0</v>
      </c>
      <c r="AI31" s="53">
        <v>0</v>
      </c>
      <c r="AJ31" s="52">
        <f>IF('CRUDO MARTES'!AJ31="Si",$N31,)</f>
        <v>0</v>
      </c>
      <c r="AK31" s="52">
        <f>IF('CRUDO MARTES'!AK31="Si",$N31,)</f>
        <v>0</v>
      </c>
      <c r="AL31" s="53">
        <v>0</v>
      </c>
      <c r="AM31" s="53">
        <v>0</v>
      </c>
      <c r="AN31" s="52">
        <f>IF('CRUDO MARTES'!AN31="Si",$N31,)</f>
        <v>0</v>
      </c>
      <c r="AO31" s="52">
        <f>IF('CRUDO MARTES'!AO31="Si",$N31,)</f>
        <v>0</v>
      </c>
      <c r="AP31" s="48" t="s">
        <v>687</v>
      </c>
      <c r="AQ31" s="48" t="s">
        <v>1266</v>
      </c>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row>
    <row r="32" spans="1:88" ht="13.2" hidden="1">
      <c r="A32" s="13">
        <v>45364.428571932869</v>
      </c>
      <c r="B32" s="14" t="s">
        <v>688</v>
      </c>
      <c r="C32" s="28" t="s">
        <v>689</v>
      </c>
      <c r="D32" s="15" t="s">
        <v>690</v>
      </c>
      <c r="E32" s="14" t="s">
        <v>62</v>
      </c>
      <c r="F32" s="14" t="s">
        <v>691</v>
      </c>
      <c r="G32" s="14" t="s">
        <v>64</v>
      </c>
      <c r="H32" s="14" t="s">
        <v>692</v>
      </c>
      <c r="I32" s="14" t="s">
        <v>693</v>
      </c>
      <c r="J32" s="14" t="s">
        <v>694</v>
      </c>
      <c r="K32" s="14" t="s">
        <v>688</v>
      </c>
      <c r="L32" s="14" t="s">
        <v>138</v>
      </c>
      <c r="M32" s="14" t="s">
        <v>695</v>
      </c>
      <c r="N32" s="14">
        <v>0</v>
      </c>
      <c r="O32" s="14" t="s">
        <v>70</v>
      </c>
      <c r="P32" s="14">
        <v>5</v>
      </c>
      <c r="Q32" s="14">
        <v>3</v>
      </c>
      <c r="R32" s="14">
        <v>0</v>
      </c>
      <c r="S32" s="16"/>
      <c r="T32" s="14" t="s">
        <v>71</v>
      </c>
      <c r="U32" s="14" t="s">
        <v>72</v>
      </c>
      <c r="V32" s="15" t="s">
        <v>520</v>
      </c>
      <c r="W32" s="29">
        <v>0</v>
      </c>
      <c r="X32" s="29">
        <v>0</v>
      </c>
      <c r="Y32" s="30">
        <f>IF('CRUDO MARTES'!Y32="Si",$N32,)</f>
        <v>0</v>
      </c>
      <c r="Z32" s="30">
        <f>IF('CRUDO MARTES'!Z32="Si",$N32,)</f>
        <v>0</v>
      </c>
      <c r="AA32" s="29">
        <v>0</v>
      </c>
      <c r="AB32" s="30">
        <f>IF('CRUDO MARTES'!AB32="Si",$N32,)</f>
        <v>0</v>
      </c>
      <c r="AC32" s="29">
        <v>0</v>
      </c>
      <c r="AD32" s="30">
        <f>IF('CRUDO MARTES'!AD32="Si",$N32,)</f>
        <v>0</v>
      </c>
      <c r="AE32" s="30">
        <f>IF('CRUDO MARTES'!AE32="Si",$N32,)</f>
        <v>0</v>
      </c>
      <c r="AF32" s="30">
        <f>IF('CRUDO MARTES'!AF32="Si",$N32,)</f>
        <v>0</v>
      </c>
      <c r="AG32" s="29">
        <v>0</v>
      </c>
      <c r="AH32" s="29">
        <v>0</v>
      </c>
      <c r="AI32" s="29">
        <v>0</v>
      </c>
      <c r="AJ32" s="30">
        <f>IF('CRUDO MARTES'!AJ32="Si",$N32,)</f>
        <v>0</v>
      </c>
      <c r="AK32" s="30">
        <f>IF('CRUDO MARTES'!AK32="Si",$N32,)</f>
        <v>0</v>
      </c>
      <c r="AL32" s="29">
        <v>0</v>
      </c>
      <c r="AM32" s="29">
        <v>0</v>
      </c>
      <c r="AN32" s="30">
        <f>IF('CRUDO MARTES'!AN32="Si",$N32,)</f>
        <v>0</v>
      </c>
      <c r="AO32" s="30">
        <f>IF('CRUDO MARTES'!AO32="Si",$N32,)</f>
        <v>0</v>
      </c>
      <c r="AP32" s="16"/>
      <c r="AQ32" s="14" t="s">
        <v>1266</v>
      </c>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row>
    <row r="33" spans="1:88" ht="13.2" hidden="1">
      <c r="A33" s="13">
        <v>45364.428584062502</v>
      </c>
      <c r="B33" s="14" t="s">
        <v>696</v>
      </c>
      <c r="C33" s="28" t="s">
        <v>697</v>
      </c>
      <c r="D33" s="15" t="s">
        <v>690</v>
      </c>
      <c r="E33" s="14" t="s">
        <v>84</v>
      </c>
      <c r="F33" s="14" t="s">
        <v>698</v>
      </c>
      <c r="G33" s="14" t="s">
        <v>64</v>
      </c>
      <c r="H33" s="14" t="s">
        <v>699</v>
      </c>
      <c r="I33" s="14" t="s">
        <v>700</v>
      </c>
      <c r="J33" s="14" t="s">
        <v>701</v>
      </c>
      <c r="K33" s="14" t="s">
        <v>696</v>
      </c>
      <c r="L33" s="14" t="s">
        <v>138</v>
      </c>
      <c r="M33" s="14" t="s">
        <v>695</v>
      </c>
      <c r="N33" s="14">
        <v>0</v>
      </c>
      <c r="O33" s="14" t="s">
        <v>70</v>
      </c>
      <c r="P33" s="14">
        <v>5</v>
      </c>
      <c r="Q33" s="14">
        <v>3</v>
      </c>
      <c r="R33" s="14">
        <v>0</v>
      </c>
      <c r="S33" s="16"/>
      <c r="T33" s="14" t="s">
        <v>71</v>
      </c>
      <c r="U33" s="14" t="s">
        <v>72</v>
      </c>
      <c r="V33" s="15" t="s">
        <v>520</v>
      </c>
      <c r="W33" s="29">
        <v>0</v>
      </c>
      <c r="X33" s="29">
        <v>0</v>
      </c>
      <c r="Y33" s="30">
        <f>IF('CRUDO MARTES'!Y33="Si",$N33,)</f>
        <v>0</v>
      </c>
      <c r="Z33" s="30">
        <f>IF('CRUDO MARTES'!Z33="Si",$N33,)</f>
        <v>0</v>
      </c>
      <c r="AA33" s="29">
        <v>0</v>
      </c>
      <c r="AB33" s="30">
        <f>IF('CRUDO MARTES'!AB33="Si",$N33,)</f>
        <v>0</v>
      </c>
      <c r="AC33" s="29">
        <v>0</v>
      </c>
      <c r="AD33" s="30">
        <f>IF('CRUDO MARTES'!AD33="Si",$N33,)</f>
        <v>0</v>
      </c>
      <c r="AE33" s="30">
        <f>IF('CRUDO MARTES'!AE33="Si",$N33,)</f>
        <v>0</v>
      </c>
      <c r="AF33" s="30">
        <f>IF('CRUDO MARTES'!AF33="Si",$N33,)</f>
        <v>0</v>
      </c>
      <c r="AG33" s="29">
        <v>0</v>
      </c>
      <c r="AH33" s="29">
        <v>0</v>
      </c>
      <c r="AI33" s="29">
        <v>0</v>
      </c>
      <c r="AJ33" s="30">
        <f>IF('CRUDO MARTES'!AJ33="Si",$N33,)</f>
        <v>0</v>
      </c>
      <c r="AK33" s="30">
        <f>IF('CRUDO MARTES'!AK33="Si",$N33,)</f>
        <v>0</v>
      </c>
      <c r="AL33" s="29">
        <v>0</v>
      </c>
      <c r="AM33" s="29">
        <v>0</v>
      </c>
      <c r="AN33" s="30">
        <f>IF('CRUDO MARTES'!AN33="Si",$N33,)</f>
        <v>0</v>
      </c>
      <c r="AO33" s="30">
        <f>IF('CRUDO MARTES'!AO33="Si",$N33,)</f>
        <v>0</v>
      </c>
      <c r="AP33" s="16"/>
      <c r="AQ33" s="14" t="s">
        <v>1266</v>
      </c>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row>
    <row r="34" spans="1:88" ht="13.2" hidden="1">
      <c r="A34" s="21">
        <v>45364.760178344906</v>
      </c>
      <c r="B34" s="22" t="s">
        <v>702</v>
      </c>
      <c r="C34" s="22" t="s">
        <v>703</v>
      </c>
      <c r="D34" s="22">
        <v>641</v>
      </c>
      <c r="E34" s="22" t="s">
        <v>84</v>
      </c>
      <c r="F34" s="22" t="s">
        <v>249</v>
      </c>
      <c r="G34" s="22" t="s">
        <v>64</v>
      </c>
      <c r="H34" s="22" t="s">
        <v>704</v>
      </c>
      <c r="I34" s="22" t="s">
        <v>705</v>
      </c>
      <c r="J34" s="22" t="s">
        <v>706</v>
      </c>
      <c r="K34" s="22" t="s">
        <v>702</v>
      </c>
      <c r="L34" s="22" t="s">
        <v>89</v>
      </c>
      <c r="M34" s="22" t="s">
        <v>707</v>
      </c>
      <c r="N34" s="22">
        <v>0</v>
      </c>
      <c r="O34" s="22" t="s">
        <v>148</v>
      </c>
      <c r="P34" s="22">
        <v>5</v>
      </c>
      <c r="Q34" s="22">
        <v>4</v>
      </c>
      <c r="R34" s="22">
        <v>10</v>
      </c>
      <c r="S34" s="25"/>
      <c r="T34" s="22" t="s">
        <v>71</v>
      </c>
      <c r="U34" s="22" t="s">
        <v>72</v>
      </c>
      <c r="V34" s="24" t="s">
        <v>520</v>
      </c>
      <c r="W34" s="26">
        <f>IF('CRUDO MARTES'!W34="Si",$N34,)</f>
        <v>0</v>
      </c>
      <c r="X34" s="26">
        <f>IF('CRUDO MARTES'!X34="Si",$N34,)</f>
        <v>0</v>
      </c>
      <c r="Y34" s="26">
        <f>IF('CRUDO MARTES'!Y34="Si",$N34,)</f>
        <v>0</v>
      </c>
      <c r="Z34" s="26">
        <f>IF('CRUDO MARTES'!Z34="Si",$N34,)</f>
        <v>0</v>
      </c>
      <c r="AA34" s="26">
        <f>IF('CRUDO MARTES'!AA34="Si",$N34,)</f>
        <v>0</v>
      </c>
      <c r="AB34" s="26">
        <f>IF('CRUDO MARTES'!AB34="Si",$N34,)</f>
        <v>0</v>
      </c>
      <c r="AC34" s="26">
        <f>IF('CRUDO MARTES'!AC34="Si",$N34,)</f>
        <v>0</v>
      </c>
      <c r="AD34" s="26">
        <f>IF('CRUDO MARTES'!AD34="Si",$N34,)</f>
        <v>0</v>
      </c>
      <c r="AE34" s="26">
        <f>IF('CRUDO MARTES'!AE34="Si",$N34,)</f>
        <v>0</v>
      </c>
      <c r="AF34" s="26">
        <f>IF('CRUDO MARTES'!AF34="Si",$N34,)</f>
        <v>0</v>
      </c>
      <c r="AG34" s="26">
        <f>IF('CRUDO MARTES'!AG34="Si",$N34,)</f>
        <v>0</v>
      </c>
      <c r="AH34" s="26">
        <f>IF('CRUDO MARTES'!AH34="Si",$N34,)</f>
        <v>0</v>
      </c>
      <c r="AI34" s="26">
        <f>IF('CRUDO MARTES'!AI34="Si",$N34,)</f>
        <v>0</v>
      </c>
      <c r="AJ34" s="26">
        <f>IF('CRUDO MARTES'!AJ34="Si",$N34,)</f>
        <v>0</v>
      </c>
      <c r="AK34" s="26">
        <f>IF('CRUDO MARTES'!AK34="Si",$N34,)</f>
        <v>0</v>
      </c>
      <c r="AL34" s="26">
        <f>IF('CRUDO MARTES'!AL34="Si",$N34,)</f>
        <v>0</v>
      </c>
      <c r="AM34" s="26">
        <f>IF('CRUDO MARTES'!AM34="Si",$N34,)</f>
        <v>0</v>
      </c>
      <c r="AN34" s="26">
        <f>IF('CRUDO MARTES'!AN34="Si",$N34,)</f>
        <v>0</v>
      </c>
      <c r="AO34" s="26">
        <f>IF('CRUDO MARTES'!AO34="Si",$N34,)</f>
        <v>0</v>
      </c>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row>
    <row r="35" spans="1:88" ht="13.2" hidden="1">
      <c r="A35" s="21">
        <v>45364.763364618055</v>
      </c>
      <c r="B35" s="22" t="s">
        <v>702</v>
      </c>
      <c r="C35" s="22" t="s">
        <v>703</v>
      </c>
      <c r="D35" s="22">
        <v>641</v>
      </c>
      <c r="E35" s="22" t="s">
        <v>84</v>
      </c>
      <c r="F35" s="22" t="s">
        <v>249</v>
      </c>
      <c r="G35" s="22" t="s">
        <v>64</v>
      </c>
      <c r="H35" s="22" t="s">
        <v>704</v>
      </c>
      <c r="I35" s="22" t="s">
        <v>705</v>
      </c>
      <c r="J35" s="22" t="s">
        <v>706</v>
      </c>
      <c r="K35" s="22" t="s">
        <v>702</v>
      </c>
      <c r="L35" s="22" t="s">
        <v>89</v>
      </c>
      <c r="M35" s="22" t="s">
        <v>708</v>
      </c>
      <c r="N35" s="22">
        <v>0</v>
      </c>
      <c r="O35" s="22" t="s">
        <v>148</v>
      </c>
      <c r="P35" s="22">
        <v>5</v>
      </c>
      <c r="Q35" s="22">
        <v>4</v>
      </c>
      <c r="R35" s="22">
        <v>10</v>
      </c>
      <c r="S35" s="25"/>
      <c r="T35" s="22" t="s">
        <v>71</v>
      </c>
      <c r="U35" s="22" t="s">
        <v>72</v>
      </c>
      <c r="V35" s="24" t="s">
        <v>520</v>
      </c>
      <c r="W35" s="26">
        <f>IF('CRUDO MARTES'!W35="Si",$N35,)</f>
        <v>0</v>
      </c>
      <c r="X35" s="26">
        <f>IF('CRUDO MARTES'!X35="Si",$N35,)</f>
        <v>0</v>
      </c>
      <c r="Y35" s="26">
        <f>IF('CRUDO MARTES'!Y35="Si",$N35,)</f>
        <v>0</v>
      </c>
      <c r="Z35" s="26">
        <f>IF('CRUDO MARTES'!Z35="Si",$N35,)</f>
        <v>0</v>
      </c>
      <c r="AA35" s="26">
        <f>IF('CRUDO MARTES'!AA35="Si",$N35,)</f>
        <v>0</v>
      </c>
      <c r="AB35" s="26">
        <f>IF('CRUDO MARTES'!AB35="Si",$N35,)</f>
        <v>0</v>
      </c>
      <c r="AC35" s="26">
        <f>IF('CRUDO MARTES'!AC35="Si",$N35,)</f>
        <v>0</v>
      </c>
      <c r="AD35" s="26">
        <f>IF('CRUDO MARTES'!AD35="Si",$N35,)</f>
        <v>0</v>
      </c>
      <c r="AE35" s="26">
        <f>IF('CRUDO MARTES'!AE35="Si",$N35,)</f>
        <v>0</v>
      </c>
      <c r="AF35" s="26">
        <f>IF('CRUDO MARTES'!AF35="Si",$N35,)</f>
        <v>0</v>
      </c>
      <c r="AG35" s="26">
        <f>IF('CRUDO MARTES'!AG35="Si",$N35,)</f>
        <v>0</v>
      </c>
      <c r="AH35" s="26">
        <f>IF('CRUDO MARTES'!AH35="Si",$N35,)</f>
        <v>0</v>
      </c>
      <c r="AI35" s="26">
        <f>IF('CRUDO MARTES'!AI35="Si",$N35,)</f>
        <v>0</v>
      </c>
      <c r="AJ35" s="26">
        <f>IF('CRUDO MARTES'!AJ35="Si",$N35,)</f>
        <v>0</v>
      </c>
      <c r="AK35" s="26">
        <f>IF('CRUDO MARTES'!AK35="Si",$N35,)</f>
        <v>0</v>
      </c>
      <c r="AL35" s="26">
        <f>IF('CRUDO MARTES'!AL35="Si",$N35,)</f>
        <v>0</v>
      </c>
      <c r="AM35" s="26">
        <f>IF('CRUDO MARTES'!AM35="Si",$N35,)</f>
        <v>0</v>
      </c>
      <c r="AN35" s="26">
        <f>IF('CRUDO MARTES'!AN35="Si",$N35,)</f>
        <v>0</v>
      </c>
      <c r="AO35" s="26">
        <f>IF('CRUDO MARTES'!AO35="Si",$N35,)</f>
        <v>0</v>
      </c>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row>
    <row r="36" spans="1:88" ht="13.2">
      <c r="A36" s="47">
        <v>45364.795378831019</v>
      </c>
      <c r="B36" s="48" t="s">
        <v>709</v>
      </c>
      <c r="C36" s="49" t="s">
        <v>710</v>
      </c>
      <c r="D36" s="50" t="s">
        <v>711</v>
      </c>
      <c r="E36" s="48" t="s">
        <v>133</v>
      </c>
      <c r="F36" s="48" t="s">
        <v>220</v>
      </c>
      <c r="G36" s="48" t="s">
        <v>105</v>
      </c>
      <c r="H36" s="48" t="s">
        <v>712</v>
      </c>
      <c r="I36" s="48" t="s">
        <v>713</v>
      </c>
      <c r="J36" s="48" t="s">
        <v>714</v>
      </c>
      <c r="K36" s="48" t="s">
        <v>709</v>
      </c>
      <c r="L36" s="48" t="s">
        <v>68</v>
      </c>
      <c r="M36" s="48" t="s">
        <v>715</v>
      </c>
      <c r="N36" s="48">
        <v>34</v>
      </c>
      <c r="O36" s="48" t="s">
        <v>70</v>
      </c>
      <c r="P36" s="48">
        <v>3</v>
      </c>
      <c r="Q36" s="48">
        <v>2</v>
      </c>
      <c r="R36" s="48">
        <v>90</v>
      </c>
      <c r="S36" s="48" t="s">
        <v>716</v>
      </c>
      <c r="T36" s="48" t="s">
        <v>71</v>
      </c>
      <c r="U36" s="48" t="s">
        <v>71</v>
      </c>
      <c r="V36" s="50" t="s">
        <v>520</v>
      </c>
      <c r="W36" s="53">
        <v>0</v>
      </c>
      <c r="X36" s="53">
        <v>0</v>
      </c>
      <c r="Y36" s="53">
        <v>0</v>
      </c>
      <c r="Z36" s="52">
        <f>IF('CRUDO MARTES'!Z36="Si",$N36,)</f>
        <v>34</v>
      </c>
      <c r="AA36" s="53">
        <v>0</v>
      </c>
      <c r="AB36" s="53">
        <v>0</v>
      </c>
      <c r="AC36" s="52">
        <f>IF('CRUDO MARTES'!AC36="Si",$N36,)</f>
        <v>34</v>
      </c>
      <c r="AD36" s="53">
        <v>0</v>
      </c>
      <c r="AE36" s="53">
        <v>0</v>
      </c>
      <c r="AF36" s="53">
        <v>0</v>
      </c>
      <c r="AG36" s="53">
        <v>0</v>
      </c>
      <c r="AH36" s="54">
        <f>IF('CRUDO MARTES'!AH36="Si",$N36,)</f>
        <v>34</v>
      </c>
      <c r="AI36" s="53">
        <v>0</v>
      </c>
      <c r="AJ36" s="53">
        <v>0</v>
      </c>
      <c r="AK36" s="53">
        <v>0</v>
      </c>
      <c r="AL36" s="53">
        <v>0</v>
      </c>
      <c r="AM36" s="53">
        <v>0</v>
      </c>
      <c r="AN36" s="53">
        <v>0</v>
      </c>
      <c r="AO36" s="53">
        <v>0</v>
      </c>
      <c r="AP36" s="48" t="s">
        <v>717</v>
      </c>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row>
    <row r="37" spans="1:88" ht="13.2">
      <c r="A37" s="47">
        <v>45365.483354594908</v>
      </c>
      <c r="B37" s="48" t="s">
        <v>725</v>
      </c>
      <c r="C37" s="49" t="s">
        <v>726</v>
      </c>
      <c r="D37" s="50" t="s">
        <v>727</v>
      </c>
      <c r="E37" s="48" t="s">
        <v>133</v>
      </c>
      <c r="F37" s="48" t="s">
        <v>134</v>
      </c>
      <c r="G37" s="48" t="s">
        <v>64</v>
      </c>
      <c r="H37" s="48" t="s">
        <v>728</v>
      </c>
      <c r="I37" s="48" t="s">
        <v>729</v>
      </c>
      <c r="J37" s="51"/>
      <c r="K37" s="48" t="s">
        <v>725</v>
      </c>
      <c r="L37" s="48" t="s">
        <v>138</v>
      </c>
      <c r="M37" s="48" t="s">
        <v>655</v>
      </c>
      <c r="N37" s="48">
        <v>25</v>
      </c>
      <c r="O37" s="48" t="s">
        <v>70</v>
      </c>
      <c r="P37" s="48">
        <v>4</v>
      </c>
      <c r="Q37" s="48">
        <v>2</v>
      </c>
      <c r="R37" s="48">
        <v>0</v>
      </c>
      <c r="S37" s="51"/>
      <c r="T37" s="48" t="s">
        <v>71</v>
      </c>
      <c r="U37" s="48" t="s">
        <v>72</v>
      </c>
      <c r="V37" s="50" t="s">
        <v>520</v>
      </c>
      <c r="W37" s="52">
        <f>IF('CRUDO MARTES'!W37="Si",$N37,)</f>
        <v>25</v>
      </c>
      <c r="X37" s="53">
        <v>25</v>
      </c>
      <c r="Y37" s="52">
        <f>IF('CRUDO MARTES'!Y37="Si",$N37,)</f>
        <v>0</v>
      </c>
      <c r="Z37" s="52">
        <f>IF('CRUDO MARTES'!Z37="Si",$N37,)</f>
        <v>0</v>
      </c>
      <c r="AA37" s="53">
        <v>0</v>
      </c>
      <c r="AB37" s="53">
        <v>0</v>
      </c>
      <c r="AC37" s="52">
        <f>IF('CRUDO MARTES'!AC37="Si",$N37,)</f>
        <v>25</v>
      </c>
      <c r="AD37" s="52">
        <f>IF('CRUDO MARTES'!AD37="Si",$N37,)</f>
        <v>0</v>
      </c>
      <c r="AE37" s="52"/>
      <c r="AF37" s="52">
        <f>IF('CRUDO MARTES'!AF37="Si",$N37,)</f>
        <v>0</v>
      </c>
      <c r="AG37" s="53">
        <v>0</v>
      </c>
      <c r="AH37" s="53">
        <v>0</v>
      </c>
      <c r="AI37" s="52">
        <f>IF('CRUDO MARTES'!AI37="Si",$N37,)</f>
        <v>0</v>
      </c>
      <c r="AJ37" s="52">
        <f>IF('CRUDO MARTES'!AJ37="Si",$N37,)</f>
        <v>0</v>
      </c>
      <c r="AK37" s="52">
        <f>IF('CRUDO MARTES'!AK37="Si",$N37,)</f>
        <v>0</v>
      </c>
      <c r="AL37" s="52">
        <f>IF('CRUDO MARTES'!AL37="Si",$N37,)</f>
        <v>0</v>
      </c>
      <c r="AM37" s="52">
        <f>IF('CRUDO MARTES'!AM37="Si",$N37,)</f>
        <v>0</v>
      </c>
      <c r="AN37" s="52">
        <f>IF('CRUDO MARTES'!AN37="Si",$N37,)</f>
        <v>0</v>
      </c>
      <c r="AO37" s="52">
        <f>IF('CRUDO MARTES'!AO37="Si",$N37,)</f>
        <v>0</v>
      </c>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row>
    <row r="38" spans="1:88" ht="13.2">
      <c r="A38" s="47">
        <v>45365.486939745373</v>
      </c>
      <c r="B38" s="48" t="s">
        <v>725</v>
      </c>
      <c r="C38" s="49" t="s">
        <v>726</v>
      </c>
      <c r="D38" s="50" t="s">
        <v>727</v>
      </c>
      <c r="E38" s="48" t="s">
        <v>84</v>
      </c>
      <c r="F38" s="48" t="s">
        <v>730</v>
      </c>
      <c r="G38" s="48" t="s">
        <v>64</v>
      </c>
      <c r="H38" s="48" t="s">
        <v>728</v>
      </c>
      <c r="I38" s="48" t="s">
        <v>729</v>
      </c>
      <c r="J38" s="51"/>
      <c r="K38" s="48" t="s">
        <v>725</v>
      </c>
      <c r="L38" s="48" t="s">
        <v>138</v>
      </c>
      <c r="M38" s="48" t="s">
        <v>731</v>
      </c>
      <c r="N38" s="48">
        <v>15</v>
      </c>
      <c r="O38" s="48" t="s">
        <v>70</v>
      </c>
      <c r="P38" s="48">
        <v>4</v>
      </c>
      <c r="Q38" s="48">
        <v>2</v>
      </c>
      <c r="R38" s="48">
        <v>0</v>
      </c>
      <c r="S38" s="51"/>
      <c r="T38" s="48" t="s">
        <v>71</v>
      </c>
      <c r="U38" s="48" t="s">
        <v>72</v>
      </c>
      <c r="V38" s="50" t="s">
        <v>520</v>
      </c>
      <c r="W38" s="52">
        <f>IF('CRUDO MARTES'!W38="Si",$N38,)</f>
        <v>15</v>
      </c>
      <c r="X38" s="53">
        <v>15</v>
      </c>
      <c r="Y38" s="52">
        <f>IF('CRUDO MARTES'!Y38="Si",$N38,)</f>
        <v>0</v>
      </c>
      <c r="Z38" s="52">
        <f>IF('CRUDO MARTES'!Z38="Si",$N38,)</f>
        <v>0</v>
      </c>
      <c r="AA38" s="53">
        <v>0</v>
      </c>
      <c r="AB38" s="53">
        <v>0</v>
      </c>
      <c r="AC38" s="52">
        <f>IF('CRUDO MARTES'!AC38="Si",$N38,)</f>
        <v>15</v>
      </c>
      <c r="AD38" s="52">
        <f>IF('CRUDO MARTES'!AD38="Si",$N38,)</f>
        <v>0</v>
      </c>
      <c r="AE38" s="52"/>
      <c r="AF38" s="52">
        <f>IF('CRUDO MARTES'!AF38="Si",$N38,)</f>
        <v>0</v>
      </c>
      <c r="AG38" s="53">
        <v>0</v>
      </c>
      <c r="AH38" s="53">
        <v>0</v>
      </c>
      <c r="AI38" s="52">
        <f>IF('CRUDO MARTES'!AI38="Si",$N38,)</f>
        <v>0</v>
      </c>
      <c r="AJ38" s="52">
        <f>IF('CRUDO MARTES'!AJ38="Si",$N38,)</f>
        <v>0</v>
      </c>
      <c r="AK38" s="52">
        <f>IF('CRUDO MARTES'!AK38="Si",$N38,)</f>
        <v>0</v>
      </c>
      <c r="AL38" s="52">
        <f>IF('CRUDO MARTES'!AL38="Si",$N38,)</f>
        <v>0</v>
      </c>
      <c r="AM38" s="52">
        <f>IF('CRUDO MARTES'!AM38="Si",$N38,)</f>
        <v>0</v>
      </c>
      <c r="AN38" s="52">
        <f>IF('CRUDO MARTES'!AN38="Si",$N38,)</f>
        <v>0</v>
      </c>
      <c r="AO38" s="52">
        <f>IF('CRUDO MARTES'!AO38="Si",$N38,)</f>
        <v>0</v>
      </c>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row>
    <row r="39" spans="1:88" ht="13.2">
      <c r="A39" s="47">
        <v>45365.495644722221</v>
      </c>
      <c r="B39" s="48" t="s">
        <v>732</v>
      </c>
      <c r="C39" s="49" t="s">
        <v>733</v>
      </c>
      <c r="D39" s="48">
        <v>20068000</v>
      </c>
      <c r="E39" s="48" t="s">
        <v>133</v>
      </c>
      <c r="F39" s="48" t="s">
        <v>254</v>
      </c>
      <c r="G39" s="48" t="s">
        <v>105</v>
      </c>
      <c r="H39" s="48" t="s">
        <v>734</v>
      </c>
      <c r="I39" s="48" t="s">
        <v>735</v>
      </c>
      <c r="J39" s="48" t="s">
        <v>736</v>
      </c>
      <c r="K39" s="48" t="s">
        <v>732</v>
      </c>
      <c r="L39" s="48" t="s">
        <v>89</v>
      </c>
      <c r="M39" s="48" t="s">
        <v>737</v>
      </c>
      <c r="N39" s="48">
        <v>33</v>
      </c>
      <c r="O39" s="48" t="s">
        <v>70</v>
      </c>
      <c r="P39" s="48">
        <v>4</v>
      </c>
      <c r="Q39" s="48">
        <v>4</v>
      </c>
      <c r="R39" s="48">
        <v>50</v>
      </c>
      <c r="S39" s="51"/>
      <c r="T39" s="48" t="s">
        <v>72</v>
      </c>
      <c r="U39" s="48" t="s">
        <v>71</v>
      </c>
      <c r="V39" s="50" t="s">
        <v>520</v>
      </c>
      <c r="W39" s="52">
        <f>IF('CRUDO MARTES'!W39="Si",$N39,)</f>
        <v>0</v>
      </c>
      <c r="X39" s="52">
        <f>IF('CRUDO MARTES'!X39="Si",$N39,)</f>
        <v>0</v>
      </c>
      <c r="Y39" s="52">
        <f>IF('CRUDO MARTES'!Y39="Si",$N39,)</f>
        <v>0</v>
      </c>
      <c r="Z39" s="52">
        <f>IF('CRUDO MARTES'!Z39="Si",$N39,)</f>
        <v>33</v>
      </c>
      <c r="AA39" s="52">
        <f>IF('CRUDO MARTES'!AA39="Si",$N39,)</f>
        <v>0</v>
      </c>
      <c r="AB39" s="52">
        <f>IF('CRUDO MARTES'!AB39="Si",$N39,)</f>
        <v>0</v>
      </c>
      <c r="AC39" s="52">
        <f>IF('CRUDO MARTES'!AC39="Si",$N39,)</f>
        <v>0</v>
      </c>
      <c r="AD39" s="52">
        <f>IF('CRUDO MARTES'!AD39="Si",$N39,)</f>
        <v>0</v>
      </c>
      <c r="AE39" s="52">
        <v>33</v>
      </c>
      <c r="AF39" s="53">
        <v>0</v>
      </c>
      <c r="AG39" s="52">
        <f>IF('CRUDO MARTES'!AG39="Si",$N39,)</f>
        <v>0</v>
      </c>
      <c r="AH39" s="52">
        <f>IF('CRUDO MARTES'!AH39="Si",$N39,)</f>
        <v>0</v>
      </c>
      <c r="AI39" s="52">
        <f>IF('CRUDO MARTES'!AI39="Si",$N39,)</f>
        <v>0</v>
      </c>
      <c r="AJ39" s="52">
        <f>IF('CRUDO MARTES'!AJ39="Si",$N39,)</f>
        <v>0</v>
      </c>
      <c r="AK39" s="53">
        <v>0</v>
      </c>
      <c r="AL39" s="52">
        <f>IF('CRUDO MARTES'!AL39="Si",$N39,)</f>
        <v>0</v>
      </c>
      <c r="AM39" s="52">
        <f>IF('CRUDO MARTES'!AM39="Si",$N39,)</f>
        <v>0</v>
      </c>
      <c r="AN39" s="52">
        <f>IF('CRUDO MARTES'!AN39="Si",$N39,)</f>
        <v>0</v>
      </c>
      <c r="AO39" s="52">
        <f>IF('CRUDO MARTES'!AO39="Si",$N39,)</f>
        <v>0</v>
      </c>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row>
    <row r="40" spans="1:88" ht="13.2">
      <c r="A40" s="47">
        <v>45365.538917025464</v>
      </c>
      <c r="B40" s="48" t="s">
        <v>738</v>
      </c>
      <c r="C40" s="49" t="s">
        <v>739</v>
      </c>
      <c r="D40" s="50" t="s">
        <v>740</v>
      </c>
      <c r="E40" s="48" t="s">
        <v>84</v>
      </c>
      <c r="F40" s="48" t="s">
        <v>741</v>
      </c>
      <c r="G40" s="48" t="s">
        <v>64</v>
      </c>
      <c r="H40" s="48" t="s">
        <v>742</v>
      </c>
      <c r="I40" s="48" t="s">
        <v>743</v>
      </c>
      <c r="J40" s="51"/>
      <c r="K40" s="48" t="s">
        <v>744</v>
      </c>
      <c r="L40" s="48" t="s">
        <v>89</v>
      </c>
      <c r="M40" s="48" t="s">
        <v>536</v>
      </c>
      <c r="N40" s="48">
        <v>30</v>
      </c>
      <c r="O40" s="48" t="s">
        <v>70</v>
      </c>
      <c r="P40" s="48">
        <v>3</v>
      </c>
      <c r="Q40" s="48">
        <v>1</v>
      </c>
      <c r="R40" s="48">
        <v>30</v>
      </c>
      <c r="S40" s="51"/>
      <c r="T40" s="48" t="s">
        <v>71</v>
      </c>
      <c r="U40" s="48" t="s">
        <v>72</v>
      </c>
      <c r="V40" s="50" t="s">
        <v>520</v>
      </c>
      <c r="W40" s="52">
        <f>IF('CRUDO MARTES'!W40="Si",$N40,)</f>
        <v>30</v>
      </c>
      <c r="X40" s="53">
        <v>30</v>
      </c>
      <c r="Y40" s="53">
        <v>0</v>
      </c>
      <c r="Z40" s="52">
        <f>IF('CRUDO MARTES'!Z40="Si",$N40,)</f>
        <v>0</v>
      </c>
      <c r="AA40" s="52">
        <f>IF('CRUDO MARTES'!AA40="Si",$N40,)</f>
        <v>0</v>
      </c>
      <c r="AB40" s="53">
        <v>0</v>
      </c>
      <c r="AC40" s="52">
        <f>IF('CRUDO MARTES'!AC40="Si",$N40,)</f>
        <v>0</v>
      </c>
      <c r="AD40" s="52">
        <f>IF('CRUDO MARTES'!AD40="Si",$N40,)</f>
        <v>0</v>
      </c>
      <c r="AE40" s="53">
        <v>30</v>
      </c>
      <c r="AF40" s="52">
        <f>IF('CRUDO MARTES'!AF40="Si",$N40,)</f>
        <v>0</v>
      </c>
      <c r="AG40" s="52">
        <f>IF('CRUDO MARTES'!AG40="Si",$N40,)</f>
        <v>0</v>
      </c>
      <c r="AH40" s="52">
        <f>IF('CRUDO MARTES'!AH40="Si",$N40,)</f>
        <v>0</v>
      </c>
      <c r="AI40" s="52">
        <f>IF('CRUDO MARTES'!AI40="Si",$N40,)</f>
        <v>0</v>
      </c>
      <c r="AJ40" s="53">
        <v>0</v>
      </c>
      <c r="AK40" s="52">
        <f>IF('CRUDO MARTES'!AK40="Si",$N40,)</f>
        <v>0</v>
      </c>
      <c r="AL40" s="52">
        <f>IF('CRUDO MARTES'!AL40="Si",$N40,)</f>
        <v>0</v>
      </c>
      <c r="AM40" s="52">
        <f>IF('CRUDO MARTES'!AM40="Si",$N40,)</f>
        <v>0</v>
      </c>
      <c r="AN40" s="52">
        <f>IF('CRUDO MARTES'!AN40="Si",$N40,)</f>
        <v>0</v>
      </c>
      <c r="AO40" s="53">
        <v>0</v>
      </c>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row>
    <row r="41" spans="1:88" ht="13.2">
      <c r="A41" s="47">
        <v>45365.564028564811</v>
      </c>
      <c r="B41" s="48" t="s">
        <v>738</v>
      </c>
      <c r="C41" s="49" t="s">
        <v>739</v>
      </c>
      <c r="D41" s="50" t="s">
        <v>740</v>
      </c>
      <c r="E41" s="48" t="s">
        <v>84</v>
      </c>
      <c r="F41" s="48" t="s">
        <v>745</v>
      </c>
      <c r="G41" s="48" t="s">
        <v>64</v>
      </c>
      <c r="H41" s="48" t="s">
        <v>746</v>
      </c>
      <c r="I41" s="48" t="s">
        <v>747</v>
      </c>
      <c r="J41" s="51"/>
      <c r="K41" s="48" t="s">
        <v>738</v>
      </c>
      <c r="L41" s="48" t="s">
        <v>89</v>
      </c>
      <c r="M41" s="48" t="s">
        <v>536</v>
      </c>
      <c r="N41" s="48">
        <v>28</v>
      </c>
      <c r="O41" s="48" t="s">
        <v>70</v>
      </c>
      <c r="P41" s="48">
        <v>3</v>
      </c>
      <c r="Q41" s="48">
        <v>3</v>
      </c>
      <c r="R41" s="48">
        <v>30</v>
      </c>
      <c r="S41" s="51"/>
      <c r="T41" s="48" t="s">
        <v>71</v>
      </c>
      <c r="U41" s="48" t="s">
        <v>72</v>
      </c>
      <c r="V41" s="50" t="s">
        <v>520</v>
      </c>
      <c r="W41" s="52">
        <f>IF('CRUDO MARTES'!W41="Si",$N41,)</f>
        <v>28</v>
      </c>
      <c r="X41" s="53">
        <v>28</v>
      </c>
      <c r="Y41" s="52">
        <f>IF('CRUDO MARTES'!Y41="Si",$N41,)</f>
        <v>0</v>
      </c>
      <c r="Z41" s="52">
        <f>IF('CRUDO MARTES'!Z41="Si",$N41,)</f>
        <v>0</v>
      </c>
      <c r="AA41" s="52">
        <f>IF('CRUDO MARTES'!AA41="Si",$N41,)</f>
        <v>0</v>
      </c>
      <c r="AB41" s="53">
        <v>0</v>
      </c>
      <c r="AC41" s="52">
        <f>IF('CRUDO MARTES'!AC41="Si",$N41,)</f>
        <v>0</v>
      </c>
      <c r="AD41" s="52">
        <f>IF('CRUDO MARTES'!AD41="Si",$N41,)</f>
        <v>0</v>
      </c>
      <c r="AE41" s="53">
        <v>28</v>
      </c>
      <c r="AF41" s="53">
        <v>0</v>
      </c>
      <c r="AG41" s="52">
        <f>IF('CRUDO MARTES'!AG41="Si",$N41,)</f>
        <v>0</v>
      </c>
      <c r="AH41" s="52">
        <f>IF('CRUDO MARTES'!AH41="Si",$N41,)</f>
        <v>0</v>
      </c>
      <c r="AI41" s="53">
        <v>0</v>
      </c>
      <c r="AJ41" s="52">
        <f>IF('CRUDO MARTES'!AJ41="Si",$N41,)</f>
        <v>0</v>
      </c>
      <c r="AK41" s="52">
        <f>IF('CRUDO MARTES'!AK41="Si",$N41,)</f>
        <v>0</v>
      </c>
      <c r="AL41" s="52">
        <f>IF('CRUDO MARTES'!AL41="Si",$N41,)</f>
        <v>0</v>
      </c>
      <c r="AM41" s="52">
        <f>IF('CRUDO MARTES'!AM41="Si",$N41,)</f>
        <v>0</v>
      </c>
      <c r="AN41" s="54">
        <f>IF('CRUDO MARTES'!AN41="Si",$N41,)</f>
        <v>28</v>
      </c>
      <c r="AO41" s="52">
        <f>IF('CRUDO MARTES'!AO41="Si",$N41,)</f>
        <v>0</v>
      </c>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row>
    <row r="42" spans="1:88" ht="13.2">
      <c r="A42" s="47">
        <v>45365.572495393513</v>
      </c>
      <c r="B42" s="48" t="s">
        <v>315</v>
      </c>
      <c r="C42" s="49" t="s">
        <v>748</v>
      </c>
      <c r="D42" s="48">
        <v>60627100</v>
      </c>
      <c r="E42" s="48" t="s">
        <v>84</v>
      </c>
      <c r="F42" s="48" t="s">
        <v>589</v>
      </c>
      <c r="G42" s="48" t="s">
        <v>64</v>
      </c>
      <c r="H42" s="48" t="s">
        <v>319</v>
      </c>
      <c r="I42" s="48" t="s">
        <v>749</v>
      </c>
      <c r="J42" s="48" t="s">
        <v>750</v>
      </c>
      <c r="K42" s="48" t="s">
        <v>315</v>
      </c>
      <c r="L42" s="48" t="s">
        <v>245</v>
      </c>
      <c r="M42" s="48" t="s">
        <v>321</v>
      </c>
      <c r="N42" s="48">
        <v>35</v>
      </c>
      <c r="O42" s="48" t="s">
        <v>70</v>
      </c>
      <c r="P42" s="48">
        <v>5</v>
      </c>
      <c r="Q42" s="48">
        <v>3</v>
      </c>
      <c r="R42" s="48">
        <v>15</v>
      </c>
      <c r="S42" s="51"/>
      <c r="T42" s="48" t="s">
        <v>71</v>
      </c>
      <c r="U42" s="48" t="s">
        <v>72</v>
      </c>
      <c r="V42" s="50" t="s">
        <v>520</v>
      </c>
      <c r="W42" s="52">
        <f>IF('CRUDO MARTES'!W42="Si",$N42,)</f>
        <v>35</v>
      </c>
      <c r="X42" s="53">
        <v>35</v>
      </c>
      <c r="Y42" s="52">
        <f>IF('CRUDO MARTES'!Y42="Si",$N42,)</f>
        <v>0</v>
      </c>
      <c r="Z42" s="52">
        <f>IF('CRUDO MARTES'!Z42="Si",$N42,)</f>
        <v>0</v>
      </c>
      <c r="AA42" s="52">
        <f>IF('CRUDO MARTES'!AA42="Si",$N42,)</f>
        <v>0</v>
      </c>
      <c r="AB42" s="53">
        <v>0</v>
      </c>
      <c r="AC42" s="52">
        <f>IF('CRUDO MARTES'!AC42="Si",$N42,)</f>
        <v>0</v>
      </c>
      <c r="AD42" s="52">
        <f>IF('CRUDO MARTES'!AD42="Si",$N42,)</f>
        <v>0</v>
      </c>
      <c r="AE42" s="52"/>
      <c r="AF42" s="52">
        <f>IF('CRUDO MARTES'!AF42="Si",$N42,)</f>
        <v>0</v>
      </c>
      <c r="AG42" s="52">
        <f>IF('CRUDO MARTES'!AG42="Si",$N42,)</f>
        <v>0</v>
      </c>
      <c r="AH42" s="52">
        <f>IF('CRUDO MARTES'!AH42="Si",$N42,)</f>
        <v>0</v>
      </c>
      <c r="AI42" s="52">
        <f>IF('CRUDO MARTES'!AI42="Si",$N42,)</f>
        <v>0</v>
      </c>
      <c r="AJ42" s="53">
        <v>0</v>
      </c>
      <c r="AK42" s="52">
        <f>IF('CRUDO MARTES'!AK42="Si",$N42,)</f>
        <v>0</v>
      </c>
      <c r="AL42" s="52">
        <f>IF('CRUDO MARTES'!AL42="Si",$N42,)</f>
        <v>0</v>
      </c>
      <c r="AM42" s="54">
        <f>IF('CRUDO MARTES'!AM42="Si",$N42,)</f>
        <v>35</v>
      </c>
      <c r="AN42" s="52">
        <f>IF('CRUDO MARTES'!AN42="Si",$N42,)</f>
        <v>0</v>
      </c>
      <c r="AO42" s="52">
        <f>IF('CRUDO MARTES'!AO42="Si",$N42,)</f>
        <v>0</v>
      </c>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row>
    <row r="43" spans="1:88" ht="26.4">
      <c r="A43" s="47">
        <v>45365.63207655093</v>
      </c>
      <c r="B43" s="48" t="s">
        <v>574</v>
      </c>
      <c r="C43" s="49" t="s">
        <v>751</v>
      </c>
      <c r="D43" s="48">
        <v>20059400</v>
      </c>
      <c r="E43" s="48" t="s">
        <v>276</v>
      </c>
      <c r="F43" s="48" t="s">
        <v>752</v>
      </c>
      <c r="G43" s="48" t="s">
        <v>64</v>
      </c>
      <c r="H43" s="48" t="s">
        <v>753</v>
      </c>
      <c r="I43" s="48" t="s">
        <v>754</v>
      </c>
      <c r="J43" s="48" t="s">
        <v>679</v>
      </c>
      <c r="K43" s="48" t="s">
        <v>574</v>
      </c>
      <c r="L43" s="48" t="s">
        <v>89</v>
      </c>
      <c r="M43" s="48" t="s">
        <v>755</v>
      </c>
      <c r="N43" s="48">
        <v>30</v>
      </c>
      <c r="O43" s="48" t="s">
        <v>70</v>
      </c>
      <c r="P43" s="48">
        <v>4</v>
      </c>
      <c r="Q43" s="48">
        <v>5</v>
      </c>
      <c r="R43" s="48">
        <v>50</v>
      </c>
      <c r="S43" s="51"/>
      <c r="T43" s="48" t="s">
        <v>71</v>
      </c>
      <c r="U43" s="48" t="s">
        <v>72</v>
      </c>
      <c r="V43" s="50" t="s">
        <v>520</v>
      </c>
      <c r="W43" s="53">
        <v>0</v>
      </c>
      <c r="X43" s="53">
        <v>0</v>
      </c>
      <c r="Y43" s="52">
        <f>IF('CRUDO MARTES'!Y43="Si",$N43,)</f>
        <v>30</v>
      </c>
      <c r="Z43" s="52">
        <f>IF('CRUDO MARTES'!Z43="Si",$N43,)</f>
        <v>0</v>
      </c>
      <c r="AA43" s="53">
        <v>0</v>
      </c>
      <c r="AB43" s="53">
        <v>0</v>
      </c>
      <c r="AC43" s="53">
        <v>0</v>
      </c>
      <c r="AD43" s="53">
        <v>0</v>
      </c>
      <c r="AE43" s="52"/>
      <c r="AF43" s="52">
        <f>IF('CRUDO MARTES'!AF43="Si",$N43,)</f>
        <v>0</v>
      </c>
      <c r="AG43" s="53">
        <v>0</v>
      </c>
      <c r="AH43" s="53">
        <v>0</v>
      </c>
      <c r="AI43" s="53">
        <v>0</v>
      </c>
      <c r="AJ43" s="52">
        <f>IF('CRUDO MARTES'!AJ43="Si",$N43,)</f>
        <v>0</v>
      </c>
      <c r="AK43" s="52">
        <f>IF('CRUDO MARTES'!AK43="Si",$N43,)</f>
        <v>0</v>
      </c>
      <c r="AL43" s="53">
        <v>0</v>
      </c>
      <c r="AM43" s="53">
        <v>0</v>
      </c>
      <c r="AN43" s="52">
        <f>IF('CRUDO MARTES'!AN43="Si",$N43,)</f>
        <v>0</v>
      </c>
      <c r="AO43" s="52">
        <f>IF('CRUDO MARTES'!AO43="Si",$N43,)</f>
        <v>0</v>
      </c>
      <c r="AP43" s="48" t="s">
        <v>756</v>
      </c>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row>
    <row r="44" spans="1:88" ht="13.2" hidden="1">
      <c r="A44" s="21">
        <v>45365.635810624997</v>
      </c>
      <c r="B44" s="22" t="s">
        <v>574</v>
      </c>
      <c r="C44" s="22" t="s">
        <v>757</v>
      </c>
      <c r="D44" s="22">
        <v>20059400</v>
      </c>
      <c r="E44" s="22" t="s">
        <v>133</v>
      </c>
      <c r="F44" s="22" t="s">
        <v>730</v>
      </c>
      <c r="G44" s="22" t="s">
        <v>64</v>
      </c>
      <c r="H44" s="22" t="s">
        <v>753</v>
      </c>
      <c r="I44" s="22" t="s">
        <v>754</v>
      </c>
      <c r="J44" s="22" t="s">
        <v>758</v>
      </c>
      <c r="K44" s="22" t="s">
        <v>574</v>
      </c>
      <c r="L44" s="22" t="s">
        <v>89</v>
      </c>
      <c r="M44" s="22" t="s">
        <v>755</v>
      </c>
      <c r="N44" s="22">
        <v>0</v>
      </c>
      <c r="O44" s="22" t="s">
        <v>70</v>
      </c>
      <c r="P44" s="22">
        <v>4</v>
      </c>
      <c r="Q44" s="22">
        <v>5</v>
      </c>
      <c r="R44" s="22">
        <v>50</v>
      </c>
      <c r="S44" s="25"/>
      <c r="T44" s="22" t="s">
        <v>71</v>
      </c>
      <c r="U44" s="22" t="s">
        <v>72</v>
      </c>
      <c r="V44" s="24" t="s">
        <v>520</v>
      </c>
      <c r="W44" s="26">
        <f>IF('CRUDO MARTES'!W44="Si",$N44,)</f>
        <v>0</v>
      </c>
      <c r="X44" s="26">
        <f>IF('CRUDO MARTES'!X44="Si",$N44,)</f>
        <v>0</v>
      </c>
      <c r="Y44" s="26">
        <f>IF('CRUDO MARTES'!Y44="Si",$N44,)</f>
        <v>0</v>
      </c>
      <c r="Z44" s="26">
        <f>IF('CRUDO MARTES'!Z44="Si",$N44,)</f>
        <v>0</v>
      </c>
      <c r="AA44" s="26">
        <f>IF('CRUDO MARTES'!AA44="Si",$N44,)</f>
        <v>0</v>
      </c>
      <c r="AB44" s="26">
        <f>IF('CRUDO MARTES'!AB44="Si",$N44,)</f>
        <v>0</v>
      </c>
      <c r="AC44" s="26">
        <f>IF('CRUDO MARTES'!AC44="Si",$N44,)</f>
        <v>0</v>
      </c>
      <c r="AD44" s="26">
        <f>IF('CRUDO MARTES'!AD44="Si",$N44,)</f>
        <v>0</v>
      </c>
      <c r="AE44" s="26">
        <f>IF('CRUDO MARTES'!AE44="Si",$N44,)</f>
        <v>0</v>
      </c>
      <c r="AF44" s="26">
        <f>IF('CRUDO MARTES'!AF44="Si",$N44,)</f>
        <v>0</v>
      </c>
      <c r="AG44" s="26">
        <f>IF('CRUDO MARTES'!AG44="Si",$N44,)</f>
        <v>0</v>
      </c>
      <c r="AH44" s="26">
        <f>IF('CRUDO MARTES'!AH44="Si",$N44,)</f>
        <v>0</v>
      </c>
      <c r="AI44" s="26">
        <f>IF('CRUDO MARTES'!AI44="Si",$N44,)</f>
        <v>0</v>
      </c>
      <c r="AJ44" s="26">
        <f>IF('CRUDO MARTES'!AJ44="Si",$N44,)</f>
        <v>0</v>
      </c>
      <c r="AK44" s="26">
        <f>IF('CRUDO MARTES'!AK44="Si",$N44,)</f>
        <v>0</v>
      </c>
      <c r="AL44" s="26">
        <f>IF('CRUDO MARTES'!AL44="Si",$N44,)</f>
        <v>0</v>
      </c>
      <c r="AM44" s="26">
        <f>IF('CRUDO MARTES'!AM44="Si",$N44,)</f>
        <v>0</v>
      </c>
      <c r="AN44" s="26">
        <f>IF('CRUDO MARTES'!AN44="Si",$N44,)</f>
        <v>0</v>
      </c>
      <c r="AO44" s="26">
        <f>IF('CRUDO MARTES'!AO44="Si",$N44,)</f>
        <v>0</v>
      </c>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row>
    <row r="45" spans="1:88" ht="13.2" hidden="1">
      <c r="A45" s="21">
        <v>45365.664200740735</v>
      </c>
      <c r="B45" s="22" t="s">
        <v>759</v>
      </c>
      <c r="C45" s="23" t="s">
        <v>760</v>
      </c>
      <c r="D45" s="24" t="s">
        <v>761</v>
      </c>
      <c r="E45" s="22" t="s">
        <v>133</v>
      </c>
      <c r="F45" s="22" t="s">
        <v>762</v>
      </c>
      <c r="G45" s="22" t="s">
        <v>64</v>
      </c>
      <c r="H45" s="22" t="s">
        <v>763</v>
      </c>
      <c r="I45" s="22" t="s">
        <v>764</v>
      </c>
      <c r="J45" s="22" t="s">
        <v>765</v>
      </c>
      <c r="K45" s="22" t="s">
        <v>759</v>
      </c>
      <c r="L45" s="22" t="s">
        <v>138</v>
      </c>
      <c r="M45" s="22" t="s">
        <v>766</v>
      </c>
      <c r="N45" s="22">
        <v>0</v>
      </c>
      <c r="O45" s="22" t="s">
        <v>70</v>
      </c>
      <c r="P45" s="22">
        <v>5</v>
      </c>
      <c r="Q45" s="22">
        <v>5</v>
      </c>
      <c r="R45" s="22">
        <v>10</v>
      </c>
      <c r="S45" s="25"/>
      <c r="T45" s="22" t="s">
        <v>71</v>
      </c>
      <c r="U45" s="22" t="s">
        <v>72</v>
      </c>
      <c r="V45" s="24" t="s">
        <v>520</v>
      </c>
      <c r="W45" s="26">
        <f>IF('CRUDO MARTES'!W45="Si",$N45,)</f>
        <v>0</v>
      </c>
      <c r="X45" s="26">
        <f>IF('CRUDO MARTES'!X45="Si",$N45,)</f>
        <v>0</v>
      </c>
      <c r="Y45" s="27">
        <v>0</v>
      </c>
      <c r="Z45" s="26">
        <f>IF('CRUDO MARTES'!Z45="Si",$N45,)</f>
        <v>0</v>
      </c>
      <c r="AA45" s="26">
        <f>IF('CRUDO MARTES'!AA45="Si",$N45,)</f>
        <v>0</v>
      </c>
      <c r="AB45" s="27">
        <v>0</v>
      </c>
      <c r="AC45" s="26">
        <f>IF('CRUDO MARTES'!AC45="Si",$N45,)</f>
        <v>0</v>
      </c>
      <c r="AD45" s="26">
        <f>IF('CRUDO MARTES'!AD45="Si",$N45,)</f>
        <v>0</v>
      </c>
      <c r="AE45" s="26">
        <f>IF('CRUDO MARTES'!AE45="Si",$N45,)</f>
        <v>0</v>
      </c>
      <c r="AF45" s="26">
        <f>IF('CRUDO MARTES'!AF45="Si",$N45,)</f>
        <v>0</v>
      </c>
      <c r="AG45" s="27">
        <v>0</v>
      </c>
      <c r="AH45" s="27">
        <v>0</v>
      </c>
      <c r="AI45" s="27">
        <v>0</v>
      </c>
      <c r="AJ45" s="26">
        <f>IF('CRUDO MARTES'!AJ45="Si",$N45,)</f>
        <v>0</v>
      </c>
      <c r="AK45" s="26">
        <f>IF('CRUDO MARTES'!AK45="Si",$N45,)</f>
        <v>0</v>
      </c>
      <c r="AL45" s="27">
        <v>0</v>
      </c>
      <c r="AM45" s="27">
        <v>0</v>
      </c>
      <c r="AN45" s="26">
        <f>IF('CRUDO MARTES'!AN45="Si",$N45,)</f>
        <v>0</v>
      </c>
      <c r="AO45" s="26">
        <f>IF('CRUDO MARTES'!AO45="Si",$N45,)</f>
        <v>0</v>
      </c>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row>
    <row r="46" spans="1:88" ht="13.2">
      <c r="A46" s="47">
        <v>45365.81678079861</v>
      </c>
      <c r="B46" s="48" t="s">
        <v>767</v>
      </c>
      <c r="C46" s="49" t="s">
        <v>768</v>
      </c>
      <c r="D46" s="50" t="s">
        <v>442</v>
      </c>
      <c r="E46" s="48" t="s">
        <v>62</v>
      </c>
      <c r="F46" s="48" t="s">
        <v>769</v>
      </c>
      <c r="G46" s="48" t="s">
        <v>64</v>
      </c>
      <c r="H46" s="48" t="s">
        <v>770</v>
      </c>
      <c r="I46" s="48" t="s">
        <v>771</v>
      </c>
      <c r="J46" s="51"/>
      <c r="K46" s="48" t="s">
        <v>772</v>
      </c>
      <c r="L46" s="48" t="s">
        <v>89</v>
      </c>
      <c r="M46" s="48" t="s">
        <v>773</v>
      </c>
      <c r="N46" s="48">
        <v>32</v>
      </c>
      <c r="O46" s="48" t="s">
        <v>70</v>
      </c>
      <c r="P46" s="48">
        <v>5</v>
      </c>
      <c r="Q46" s="48">
        <v>5</v>
      </c>
      <c r="R46" s="48">
        <v>5</v>
      </c>
      <c r="S46" s="48" t="s">
        <v>774</v>
      </c>
      <c r="T46" s="48" t="s">
        <v>71</v>
      </c>
      <c r="U46" s="48" t="s">
        <v>72</v>
      </c>
      <c r="V46" s="50" t="s">
        <v>520</v>
      </c>
      <c r="W46" s="52">
        <f>IF('CRUDO MARTES'!W46="Si",$N46,)</f>
        <v>32</v>
      </c>
      <c r="X46" s="53">
        <v>32</v>
      </c>
      <c r="Y46" s="52">
        <f>IF('CRUDO MARTES'!Y46="Si",$N46,)</f>
        <v>0</v>
      </c>
      <c r="Z46" s="52">
        <f>IF('CRUDO MARTES'!Z46="Si",$N46,)</f>
        <v>0</v>
      </c>
      <c r="AA46" s="53">
        <v>0</v>
      </c>
      <c r="AB46" s="53">
        <v>0</v>
      </c>
      <c r="AC46" s="52">
        <f>IF('CRUDO MARTES'!AC46="Si",$N46,)</f>
        <v>32</v>
      </c>
      <c r="AD46" s="52">
        <f>IF('CRUDO MARTES'!AD46="Si",$N46,)</f>
        <v>0</v>
      </c>
      <c r="AE46" s="52"/>
      <c r="AF46" s="52">
        <f>IF('CRUDO MARTES'!AF46="Si",$N46,)</f>
        <v>0</v>
      </c>
      <c r="AG46" s="53">
        <v>0</v>
      </c>
      <c r="AH46" s="53">
        <v>0</v>
      </c>
      <c r="AI46" s="53">
        <v>0</v>
      </c>
      <c r="AJ46" s="52">
        <f>IF('CRUDO MARTES'!AJ46="Si",$N46,)</f>
        <v>0</v>
      </c>
      <c r="AK46" s="52">
        <f>IF('CRUDO MARTES'!AK46="Si",$N46,)</f>
        <v>0</v>
      </c>
      <c r="AL46" s="53">
        <v>0</v>
      </c>
      <c r="AM46" s="53">
        <v>0</v>
      </c>
      <c r="AN46" s="52">
        <f>IF('CRUDO MARTES'!AN46="Si",$N46,)</f>
        <v>0</v>
      </c>
      <c r="AO46" s="52">
        <f>IF('CRUDO MARTES'!AO46="Si",$N46,)</f>
        <v>0</v>
      </c>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row>
    <row r="47" spans="1:88" ht="13.2" hidden="1">
      <c r="A47" s="13">
        <v>45365.882291770831</v>
      </c>
      <c r="B47" s="14" t="s">
        <v>647</v>
      </c>
      <c r="C47" s="28" t="s">
        <v>648</v>
      </c>
      <c r="D47" s="15" t="s">
        <v>649</v>
      </c>
      <c r="E47" s="14" t="s">
        <v>133</v>
      </c>
      <c r="F47" s="14" t="s">
        <v>775</v>
      </c>
      <c r="G47" s="14" t="s">
        <v>64</v>
      </c>
      <c r="H47" s="14" t="s">
        <v>651</v>
      </c>
      <c r="I47" s="14" t="s">
        <v>652</v>
      </c>
      <c r="J47" s="14" t="s">
        <v>776</v>
      </c>
      <c r="K47" s="14" t="s">
        <v>654</v>
      </c>
      <c r="L47" s="14" t="s">
        <v>138</v>
      </c>
      <c r="M47" s="14" t="s">
        <v>655</v>
      </c>
      <c r="N47" s="14">
        <v>0</v>
      </c>
      <c r="O47" s="14" t="s">
        <v>70</v>
      </c>
      <c r="P47" s="14">
        <v>5</v>
      </c>
      <c r="Q47" s="14">
        <v>3</v>
      </c>
      <c r="R47" s="14">
        <v>0</v>
      </c>
      <c r="S47" s="14" t="s">
        <v>777</v>
      </c>
      <c r="T47" s="14" t="s">
        <v>71</v>
      </c>
      <c r="U47" s="14" t="s">
        <v>71</v>
      </c>
      <c r="V47" s="15" t="s">
        <v>520</v>
      </c>
      <c r="W47" s="29">
        <v>0</v>
      </c>
      <c r="X47" s="29">
        <v>0</v>
      </c>
      <c r="Y47" s="30">
        <f>IF('CRUDO MARTES'!Y47="Si",$N47,)</f>
        <v>0</v>
      </c>
      <c r="Z47" s="30">
        <f>IF('CRUDO MARTES'!Z47="Si",$N47,)</f>
        <v>0</v>
      </c>
      <c r="AA47" s="30">
        <f>IF('CRUDO MARTES'!AA47="Si",$N47,)</f>
        <v>0</v>
      </c>
      <c r="AB47" s="29">
        <v>0</v>
      </c>
      <c r="AC47" s="29">
        <v>0</v>
      </c>
      <c r="AD47" s="29">
        <v>0</v>
      </c>
      <c r="AE47" s="30">
        <f>IF('CRUDO MARTES'!AE47="Si",$N47,)</f>
        <v>0</v>
      </c>
      <c r="AF47" s="30">
        <f>IF('CRUDO MARTES'!AF47="Si",$N47,)</f>
        <v>0</v>
      </c>
      <c r="AG47" s="29">
        <v>0</v>
      </c>
      <c r="AH47" s="31">
        <f>IF('CRUDO MARTES'!AH47="Si",$N47,)</f>
        <v>0</v>
      </c>
      <c r="AI47" s="29">
        <v>0</v>
      </c>
      <c r="AJ47" s="29">
        <v>0</v>
      </c>
      <c r="AK47" s="30">
        <f>IF('CRUDO MARTES'!AK47="Si",$N47,)</f>
        <v>0</v>
      </c>
      <c r="AL47" s="29">
        <v>0</v>
      </c>
      <c r="AM47" s="29">
        <v>0</v>
      </c>
      <c r="AN47" s="30">
        <f>IF('CRUDO MARTES'!AN47="Si",$N47,)</f>
        <v>0</v>
      </c>
      <c r="AO47" s="30">
        <f>IF('CRUDO MARTES'!AO47="Si",$N47,)</f>
        <v>0</v>
      </c>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row>
    <row r="48" spans="1:88" ht="13.2">
      <c r="A48" s="47">
        <v>45366.487628009258</v>
      </c>
      <c r="B48" s="48" t="s">
        <v>778</v>
      </c>
      <c r="C48" s="49" t="s">
        <v>779</v>
      </c>
      <c r="D48" s="50" t="s">
        <v>780</v>
      </c>
      <c r="E48" s="48" t="s">
        <v>62</v>
      </c>
      <c r="F48" s="48" t="s">
        <v>781</v>
      </c>
      <c r="G48" s="48" t="s">
        <v>105</v>
      </c>
      <c r="H48" s="48" t="s">
        <v>782</v>
      </c>
      <c r="I48" s="48" t="s">
        <v>783</v>
      </c>
      <c r="J48" s="48" t="s">
        <v>784</v>
      </c>
      <c r="K48" s="48" t="s">
        <v>778</v>
      </c>
      <c r="L48" s="48" t="s">
        <v>89</v>
      </c>
      <c r="M48" s="48" t="s">
        <v>785</v>
      </c>
      <c r="N48" s="48">
        <v>28</v>
      </c>
      <c r="O48" s="48" t="s">
        <v>282</v>
      </c>
      <c r="P48" s="48">
        <v>5</v>
      </c>
      <c r="Q48" s="48">
        <v>4</v>
      </c>
      <c r="R48" s="48">
        <v>60</v>
      </c>
      <c r="S48" s="51"/>
      <c r="T48" s="48" t="s">
        <v>71</v>
      </c>
      <c r="U48" s="48" t="s">
        <v>72</v>
      </c>
      <c r="V48" s="50" t="s">
        <v>520</v>
      </c>
      <c r="W48" s="52">
        <f>IF('CRUDO MARTES'!W48="Si",$N48,)</f>
        <v>28</v>
      </c>
      <c r="X48" s="53">
        <v>28</v>
      </c>
      <c r="Y48" s="52">
        <f>IF('CRUDO MARTES'!Y48="Si",$N48,)</f>
        <v>0</v>
      </c>
      <c r="Z48" s="52">
        <f>IF('CRUDO MARTES'!Z48="Si",$N48,)</f>
        <v>0</v>
      </c>
      <c r="AA48" s="53">
        <v>28</v>
      </c>
      <c r="AB48" s="53">
        <v>0</v>
      </c>
      <c r="AC48" s="52">
        <f>IF('CRUDO MARTES'!AC48="Si",$N48,)</f>
        <v>0</v>
      </c>
      <c r="AD48" s="52">
        <f>IF('CRUDO MARTES'!AD48="Si",$N48,)</f>
        <v>0</v>
      </c>
      <c r="AE48" s="52"/>
      <c r="AF48" s="52">
        <f>IF('CRUDO MARTES'!AF48="Si",$N48,)</f>
        <v>0</v>
      </c>
      <c r="AG48" s="52">
        <f>IF('CRUDO MARTES'!AG48="Si",$N48,)</f>
        <v>0</v>
      </c>
      <c r="AH48" s="52">
        <f>IF('CRUDO MARTES'!AH48="Si",$N48,)</f>
        <v>0</v>
      </c>
      <c r="AI48" s="52">
        <f>IF('CRUDO MARTES'!AI48="Si",$N48,)</f>
        <v>0</v>
      </c>
      <c r="AJ48" s="52">
        <f>IF('CRUDO MARTES'!AJ48="Si",$N48,)</f>
        <v>0</v>
      </c>
      <c r="AK48" s="52">
        <f>IF('CRUDO MARTES'!AK48="Si",$N48,)</f>
        <v>0</v>
      </c>
      <c r="AL48" s="52">
        <f>IF('CRUDO MARTES'!AL48="Si",$N48,)</f>
        <v>0</v>
      </c>
      <c r="AM48" s="52">
        <f>IF('CRUDO MARTES'!AM48="Si",$N48,)</f>
        <v>0</v>
      </c>
      <c r="AN48" s="52">
        <f>IF('CRUDO MARTES'!AN48="Si",$N48,)</f>
        <v>0</v>
      </c>
      <c r="AO48" s="52">
        <f>IF('CRUDO MARTES'!AO48="Si",$N48,)</f>
        <v>0</v>
      </c>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row>
    <row r="49" spans="1:88" ht="13.2" hidden="1">
      <c r="A49" s="13">
        <v>45366.611727268522</v>
      </c>
      <c r="B49" s="14" t="s">
        <v>786</v>
      </c>
      <c r="C49" s="28" t="s">
        <v>787</v>
      </c>
      <c r="D49" s="14">
        <v>20063700</v>
      </c>
      <c r="E49" s="14" t="s">
        <v>387</v>
      </c>
      <c r="F49" s="14" t="s">
        <v>788</v>
      </c>
      <c r="G49" s="14" t="s">
        <v>105</v>
      </c>
      <c r="H49" s="14" t="s">
        <v>789</v>
      </c>
      <c r="I49" s="14" t="s">
        <v>790</v>
      </c>
      <c r="J49" s="14" t="s">
        <v>791</v>
      </c>
      <c r="K49" s="14" t="s">
        <v>792</v>
      </c>
      <c r="L49" s="14" t="s">
        <v>89</v>
      </c>
      <c r="M49" s="14" t="s">
        <v>392</v>
      </c>
      <c r="N49" s="14">
        <v>0</v>
      </c>
      <c r="O49" s="14" t="s">
        <v>70</v>
      </c>
      <c r="P49" s="14">
        <v>4</v>
      </c>
      <c r="Q49" s="14">
        <v>4</v>
      </c>
      <c r="R49" s="14">
        <v>70</v>
      </c>
      <c r="S49" s="14" t="s">
        <v>793</v>
      </c>
      <c r="T49" s="14" t="s">
        <v>71</v>
      </c>
      <c r="U49" s="14" t="s">
        <v>72</v>
      </c>
      <c r="V49" s="15" t="s">
        <v>520</v>
      </c>
      <c r="W49" s="30">
        <f>IF('CRUDO MARTES'!W49="Si",$N49,)</f>
        <v>0</v>
      </c>
      <c r="X49" s="30">
        <f>IF('CRUDO MARTES'!X49="Si",$N49,)</f>
        <v>0</v>
      </c>
      <c r="Y49" s="30">
        <f>IF('CRUDO MARTES'!Y49="Si",$N49,)</f>
        <v>0</v>
      </c>
      <c r="Z49" s="30">
        <f>IF('CRUDO MARTES'!Z49="Si",$N49,)</f>
        <v>0</v>
      </c>
      <c r="AA49" s="30">
        <f>IF('CRUDO MARTES'!AA49="Si",$N49,)</f>
        <v>0</v>
      </c>
      <c r="AB49" s="30">
        <f>IF('CRUDO MARTES'!AB49="Si",$N49,)</f>
        <v>0</v>
      </c>
      <c r="AC49" s="30">
        <f>IF('CRUDO MARTES'!AC49="Si",$N49,)</f>
        <v>0</v>
      </c>
      <c r="AD49" s="30">
        <f>IF('CRUDO MARTES'!AD49="Si",$N49,)</f>
        <v>0</v>
      </c>
      <c r="AE49" s="30">
        <f>IF('CRUDO MARTES'!AE49="Si",$N49,)</f>
        <v>0</v>
      </c>
      <c r="AF49" s="30">
        <f>IF('CRUDO MARTES'!AF49="Si",$N49,)</f>
        <v>0</v>
      </c>
      <c r="AG49" s="30">
        <f>IF('CRUDO MARTES'!AG49="Si",$N49,)</f>
        <v>0</v>
      </c>
      <c r="AH49" s="30">
        <f>IF('CRUDO MARTES'!AH49="Si",$N49,)</f>
        <v>0</v>
      </c>
      <c r="AI49" s="31">
        <f>IF('CRUDO MARTES'!AI49="Si",$N49,)</f>
        <v>0</v>
      </c>
      <c r="AJ49" s="30">
        <f>IF('CRUDO MARTES'!AJ49="Si",$N49,)</f>
        <v>0</v>
      </c>
      <c r="AK49" s="30">
        <f>IF('CRUDO MARTES'!AK49="Si",$N49,)</f>
        <v>0</v>
      </c>
      <c r="AL49" s="30">
        <f>IF('CRUDO MARTES'!AL49="Si",$N49,)</f>
        <v>0</v>
      </c>
      <c r="AM49" s="30">
        <f>IF('CRUDO MARTES'!AM49="Si",$N49,)</f>
        <v>0</v>
      </c>
      <c r="AN49" s="30">
        <f>IF('CRUDO MARTES'!AN49="Si",$N49,)</f>
        <v>0</v>
      </c>
      <c r="AO49" s="30">
        <f>IF('CRUDO MARTES'!AO49="Si",$N49,)</f>
        <v>0</v>
      </c>
      <c r="AP49" s="14" t="s">
        <v>794</v>
      </c>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row>
    <row r="50" spans="1:88" ht="13.2" hidden="1">
      <c r="A50" s="13">
        <v>45366.64229427083</v>
      </c>
      <c r="B50" s="14" t="s">
        <v>795</v>
      </c>
      <c r="C50" s="28" t="s">
        <v>796</v>
      </c>
      <c r="D50" s="14">
        <v>20063700</v>
      </c>
      <c r="E50" s="14" t="s">
        <v>387</v>
      </c>
      <c r="F50" s="14" t="s">
        <v>797</v>
      </c>
      <c r="G50" s="14" t="s">
        <v>105</v>
      </c>
      <c r="H50" s="14" t="s">
        <v>798</v>
      </c>
      <c r="I50" s="14" t="s">
        <v>799</v>
      </c>
      <c r="J50" s="14" t="s">
        <v>800</v>
      </c>
      <c r="K50" s="14" t="s">
        <v>795</v>
      </c>
      <c r="L50" s="14" t="s">
        <v>89</v>
      </c>
      <c r="M50" s="14" t="s">
        <v>392</v>
      </c>
      <c r="N50" s="14">
        <v>0</v>
      </c>
      <c r="O50" s="14" t="s">
        <v>70</v>
      </c>
      <c r="P50" s="14">
        <v>5</v>
      </c>
      <c r="Q50" s="14">
        <v>4</v>
      </c>
      <c r="R50" s="14">
        <v>80</v>
      </c>
      <c r="S50" s="14" t="s">
        <v>801</v>
      </c>
      <c r="T50" s="14" t="s">
        <v>72</v>
      </c>
      <c r="U50" s="14" t="s">
        <v>71</v>
      </c>
      <c r="V50" s="15" t="s">
        <v>520</v>
      </c>
      <c r="W50" s="30">
        <f>IF('CRUDO MARTES'!W50="Si",$N50,)</f>
        <v>0</v>
      </c>
      <c r="X50" s="30">
        <f>IF('CRUDO MARTES'!X50="Si",$N50,)</f>
        <v>0</v>
      </c>
      <c r="Y50" s="30">
        <f>IF('CRUDO MARTES'!Y50="Si",$N50,)</f>
        <v>0</v>
      </c>
      <c r="Z50" s="30">
        <f>IF('CRUDO MARTES'!Z50="Si",$N50,)</f>
        <v>0</v>
      </c>
      <c r="AA50" s="30">
        <f>IF('CRUDO MARTES'!AA50="Si",$N50,)</f>
        <v>0</v>
      </c>
      <c r="AB50" s="30">
        <f>IF('CRUDO MARTES'!AB50="Si",$N50,)</f>
        <v>0</v>
      </c>
      <c r="AC50" s="30">
        <f>IF('CRUDO MARTES'!AC50="Si",$N50,)</f>
        <v>0</v>
      </c>
      <c r="AD50" s="30">
        <f>IF('CRUDO MARTES'!AD50="Si",$N50,)</f>
        <v>0</v>
      </c>
      <c r="AE50" s="30">
        <f>IF('CRUDO MARTES'!AE50="Si",$N50,)</f>
        <v>0</v>
      </c>
      <c r="AF50" s="30">
        <f>IF('CRUDO MARTES'!AF50="Si",$N50,)</f>
        <v>0</v>
      </c>
      <c r="AG50" s="30">
        <f>IF('CRUDO MARTES'!AG50="Si",$N50,)</f>
        <v>0</v>
      </c>
      <c r="AH50" s="30">
        <f>IF('CRUDO MARTES'!AH50="Si",$N50,)</f>
        <v>0</v>
      </c>
      <c r="AI50" s="30">
        <f>IF('CRUDO MARTES'!AI50="Si",$N50,)</f>
        <v>0</v>
      </c>
      <c r="AJ50" s="30">
        <f>IF('CRUDO MARTES'!AJ50="Si",$N50,)</f>
        <v>0</v>
      </c>
      <c r="AK50" s="30">
        <f>IF('CRUDO MARTES'!AK50="Si",$N50,)</f>
        <v>0</v>
      </c>
      <c r="AL50" s="30">
        <f>IF('CRUDO MARTES'!AL50="Si",$N50,)</f>
        <v>0</v>
      </c>
      <c r="AM50" s="30">
        <f>IF('CRUDO MARTES'!AM50="Si",$N50,)</f>
        <v>0</v>
      </c>
      <c r="AN50" s="30">
        <f>IF('CRUDO MARTES'!AN50="Si",$N50,)</f>
        <v>0</v>
      </c>
      <c r="AO50" s="29">
        <v>0</v>
      </c>
      <c r="AP50" s="14" t="s">
        <v>802</v>
      </c>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row>
    <row r="51" spans="1:88" ht="13.2" hidden="1">
      <c r="A51" s="13">
        <v>45366.64803232639</v>
      </c>
      <c r="B51" s="14" t="s">
        <v>795</v>
      </c>
      <c r="C51" s="28" t="s">
        <v>803</v>
      </c>
      <c r="D51" s="14">
        <v>20063700</v>
      </c>
      <c r="E51" s="14" t="s">
        <v>387</v>
      </c>
      <c r="F51" s="14" t="s">
        <v>804</v>
      </c>
      <c r="G51" s="14" t="s">
        <v>105</v>
      </c>
      <c r="H51" s="14" t="s">
        <v>805</v>
      </c>
      <c r="I51" s="14" t="s">
        <v>798</v>
      </c>
      <c r="J51" s="14" t="s">
        <v>800</v>
      </c>
      <c r="K51" s="14" t="s">
        <v>795</v>
      </c>
      <c r="L51" s="14" t="s">
        <v>89</v>
      </c>
      <c r="M51" s="14" t="s">
        <v>392</v>
      </c>
      <c r="N51" s="14">
        <v>0</v>
      </c>
      <c r="O51" s="14" t="s">
        <v>70</v>
      </c>
      <c r="P51" s="14">
        <v>5</v>
      </c>
      <c r="Q51" s="14">
        <v>4</v>
      </c>
      <c r="R51" s="14">
        <v>80</v>
      </c>
      <c r="S51" s="14" t="s">
        <v>806</v>
      </c>
      <c r="T51" s="14" t="s">
        <v>72</v>
      </c>
      <c r="U51" s="14" t="s">
        <v>71</v>
      </c>
      <c r="V51" s="15" t="s">
        <v>520</v>
      </c>
      <c r="W51" s="30">
        <f>IF('CRUDO MARTES'!W51="Si",$N51,)</f>
        <v>0</v>
      </c>
      <c r="X51" s="30">
        <f>IF('CRUDO MARTES'!X51="Si",$N51,)</f>
        <v>0</v>
      </c>
      <c r="Y51" s="30">
        <f>IF('CRUDO MARTES'!Y51="Si",$N51,)</f>
        <v>0</v>
      </c>
      <c r="Z51" s="30">
        <f>IF('CRUDO MARTES'!Z51="Si",$N51,)</f>
        <v>0</v>
      </c>
      <c r="AA51" s="30">
        <f>IF('CRUDO MARTES'!AA51="Si",$N51,)</f>
        <v>0</v>
      </c>
      <c r="AB51" s="30">
        <f>IF('CRUDO MARTES'!AB51="Si",$N51,)</f>
        <v>0</v>
      </c>
      <c r="AC51" s="30">
        <f>IF('CRUDO MARTES'!AC51="Si",$N51,)</f>
        <v>0</v>
      </c>
      <c r="AD51" s="30">
        <f>IF('CRUDO MARTES'!AD51="Si",$N51,)</f>
        <v>0</v>
      </c>
      <c r="AE51" s="30">
        <f>IF('CRUDO MARTES'!AE51="Si",$N51,)</f>
        <v>0</v>
      </c>
      <c r="AF51" s="30">
        <f>IF('CRUDO MARTES'!AF51="Si",$N51,)</f>
        <v>0</v>
      </c>
      <c r="AG51" s="30">
        <f>IF('CRUDO MARTES'!AG51="Si",$N51,)</f>
        <v>0</v>
      </c>
      <c r="AH51" s="30">
        <f>IF('CRUDO MARTES'!AH51="Si",$N51,)</f>
        <v>0</v>
      </c>
      <c r="AI51" s="30">
        <f>IF('CRUDO MARTES'!AI51="Si",$N51,)</f>
        <v>0</v>
      </c>
      <c r="AJ51" s="30">
        <f>IF('CRUDO MARTES'!AJ51="Si",$N51,)</f>
        <v>0</v>
      </c>
      <c r="AK51" s="29">
        <v>0</v>
      </c>
      <c r="AL51" s="30">
        <f>IF('CRUDO MARTES'!AL51="Si",$N51,)</f>
        <v>0</v>
      </c>
      <c r="AM51" s="30">
        <f>IF('CRUDO MARTES'!AM51="Si",$N51,)</f>
        <v>0</v>
      </c>
      <c r="AN51" s="30">
        <f>IF('CRUDO MARTES'!AN51="Si",$N51,)</f>
        <v>0</v>
      </c>
      <c r="AO51" s="29">
        <v>0</v>
      </c>
      <c r="AP51" s="14" t="s">
        <v>807</v>
      </c>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row>
    <row r="52" spans="1:88" ht="26.4" hidden="1">
      <c r="A52" s="13">
        <v>45367.535389722223</v>
      </c>
      <c r="B52" s="14" t="s">
        <v>808</v>
      </c>
      <c r="C52" s="28" t="s">
        <v>421</v>
      </c>
      <c r="D52" s="14">
        <v>20116900</v>
      </c>
      <c r="E52" s="14" t="s">
        <v>286</v>
      </c>
      <c r="F52" s="14" t="s">
        <v>810</v>
      </c>
      <c r="G52" s="14" t="s">
        <v>105</v>
      </c>
      <c r="H52" s="14" t="s">
        <v>811</v>
      </c>
      <c r="I52" s="14" t="s">
        <v>812</v>
      </c>
      <c r="J52" s="14" t="s">
        <v>809</v>
      </c>
      <c r="K52" s="14" t="s">
        <v>808</v>
      </c>
      <c r="L52" s="14" t="s">
        <v>89</v>
      </c>
      <c r="M52" s="14" t="s">
        <v>425</v>
      </c>
      <c r="N52" s="14">
        <v>0</v>
      </c>
      <c r="O52" s="14" t="s">
        <v>282</v>
      </c>
      <c r="P52" s="14">
        <v>5</v>
      </c>
      <c r="Q52" s="14">
        <v>4</v>
      </c>
      <c r="R52" s="14">
        <v>50</v>
      </c>
      <c r="S52" s="16"/>
      <c r="T52" s="14" t="s">
        <v>72</v>
      </c>
      <c r="U52" s="14" t="s">
        <v>71</v>
      </c>
      <c r="V52" s="15" t="s">
        <v>520</v>
      </c>
      <c r="W52" s="30">
        <f>IF('CRUDO MARTES'!W52="Si",$N52,)</f>
        <v>0</v>
      </c>
      <c r="X52" s="30">
        <f>IF('CRUDO MARTES'!X52="Si",$N52,)</f>
        <v>0</v>
      </c>
      <c r="Y52" s="30">
        <f>IF('CRUDO MARTES'!Y52="Si",$N52,)</f>
        <v>0</v>
      </c>
      <c r="Z52" s="30">
        <f>IF('CRUDO MARTES'!Z52="Si",$N52,)</f>
        <v>0</v>
      </c>
      <c r="AA52" s="30">
        <f>IF('CRUDO MARTES'!AA52="Si",$N52,)</f>
        <v>0</v>
      </c>
      <c r="AB52" s="30">
        <f>IF('CRUDO MARTES'!AB52="Si",$N52,)</f>
        <v>0</v>
      </c>
      <c r="AC52" s="30">
        <f>IF('CRUDO MARTES'!AC52="Si",$N52,)</f>
        <v>0</v>
      </c>
      <c r="AD52" s="30">
        <f>IF('CRUDO MARTES'!AD52="Si",$N52,)</f>
        <v>0</v>
      </c>
      <c r="AE52" s="29">
        <v>0</v>
      </c>
      <c r="AF52" s="30">
        <f>IF('CRUDO MARTES'!AF52="Si",$N52,)</f>
        <v>0</v>
      </c>
      <c r="AG52" s="30">
        <f>IF('CRUDO MARTES'!AG52="Si",$N52,)</f>
        <v>0</v>
      </c>
      <c r="AH52" s="30">
        <f>IF('CRUDO MARTES'!AH52="Si",$N52,)</f>
        <v>0</v>
      </c>
      <c r="AI52" s="30">
        <f>IF('CRUDO MARTES'!AI52="Si",$N52,)</f>
        <v>0</v>
      </c>
      <c r="AJ52" s="29">
        <v>0</v>
      </c>
      <c r="AK52" s="29">
        <v>0</v>
      </c>
      <c r="AL52" s="30">
        <f>IF('CRUDO MARTES'!AL52="Si",$N52,)</f>
        <v>0</v>
      </c>
      <c r="AM52" s="30">
        <f>IF('CRUDO MARTES'!AM52="Si",$N52,)</f>
        <v>0</v>
      </c>
      <c r="AN52" s="29">
        <v>0</v>
      </c>
      <c r="AO52" s="29">
        <v>0</v>
      </c>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row>
    <row r="53" spans="1:88" ht="13.2" hidden="1">
      <c r="A53" s="13">
        <v>45367.586076747684</v>
      </c>
      <c r="B53" s="14" t="s">
        <v>813</v>
      </c>
      <c r="C53" s="28" t="s">
        <v>814</v>
      </c>
      <c r="D53" s="14">
        <v>30640241698</v>
      </c>
      <c r="E53" s="14" t="s">
        <v>815</v>
      </c>
      <c r="F53" s="14" t="s">
        <v>676</v>
      </c>
      <c r="G53" s="14" t="s">
        <v>64</v>
      </c>
      <c r="H53" s="14" t="s">
        <v>816</v>
      </c>
      <c r="I53" s="14" t="s">
        <v>817</v>
      </c>
      <c r="J53" s="16"/>
      <c r="K53" s="14" t="s">
        <v>818</v>
      </c>
      <c r="L53" s="14" t="s">
        <v>89</v>
      </c>
      <c r="M53" s="14" t="s">
        <v>819</v>
      </c>
      <c r="N53" s="14">
        <v>0</v>
      </c>
      <c r="O53" s="14" t="s">
        <v>70</v>
      </c>
      <c r="P53" s="14">
        <v>4</v>
      </c>
      <c r="Q53" s="14">
        <v>3</v>
      </c>
      <c r="R53" s="14">
        <v>70</v>
      </c>
      <c r="S53" s="16"/>
      <c r="T53" s="14" t="s">
        <v>72</v>
      </c>
      <c r="U53" s="14" t="s">
        <v>71</v>
      </c>
      <c r="V53" s="15" t="s">
        <v>520</v>
      </c>
      <c r="W53" s="30">
        <f>IF('CRUDO MARTES'!W53="Si",$N53,)</f>
        <v>0</v>
      </c>
      <c r="X53" s="30">
        <f>IF('CRUDO MARTES'!X53="Si",$N53,)</f>
        <v>0</v>
      </c>
      <c r="Y53" s="30">
        <f>IF('CRUDO MARTES'!Y53="Si",$N53,)</f>
        <v>0</v>
      </c>
      <c r="Z53" s="30">
        <f>IF('CRUDO MARTES'!Z53="Si",$N53,)</f>
        <v>0</v>
      </c>
      <c r="AA53" s="30">
        <f>IF('CRUDO MARTES'!AA53="Si",$N53,)</f>
        <v>0</v>
      </c>
      <c r="AB53" s="30">
        <f>IF('CRUDO MARTES'!AB53="Si",$N53,)</f>
        <v>0</v>
      </c>
      <c r="AC53" s="30">
        <f>IF('CRUDO MARTES'!AC53="Si",$N53,)</f>
        <v>0</v>
      </c>
      <c r="AD53" s="29">
        <v>0</v>
      </c>
      <c r="AE53" s="29">
        <v>0</v>
      </c>
      <c r="AF53" s="29">
        <v>0</v>
      </c>
      <c r="AG53" s="30">
        <f>IF('CRUDO MARTES'!AG53="Si",$N53,)</f>
        <v>0</v>
      </c>
      <c r="AH53" s="30">
        <f>IF('CRUDO MARTES'!AH53="Si",$N53,)</f>
        <v>0</v>
      </c>
      <c r="AI53" s="30">
        <f>IF('CRUDO MARTES'!AI53="Si",$N53,)</f>
        <v>0</v>
      </c>
      <c r="AJ53" s="29">
        <v>0</v>
      </c>
      <c r="AK53" s="29">
        <v>0</v>
      </c>
      <c r="AL53" s="30">
        <f>IF('CRUDO MARTES'!AL53="Si",$N53,)</f>
        <v>0</v>
      </c>
      <c r="AM53" s="30">
        <f>IF('CRUDO MARTES'!AM53="Si",$N53,)</f>
        <v>0</v>
      </c>
      <c r="AN53" s="29">
        <v>0</v>
      </c>
      <c r="AO53" s="31">
        <f>IF('CRUDO MARTES'!AO53="Si",$N53,)</f>
        <v>0</v>
      </c>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row>
    <row r="54" spans="1:88" ht="13.2" hidden="1">
      <c r="A54" s="21">
        <v>45367.586436516205</v>
      </c>
      <c r="B54" s="22" t="s">
        <v>820</v>
      </c>
      <c r="C54" s="22" t="s">
        <v>821</v>
      </c>
      <c r="D54" s="22">
        <v>605413</v>
      </c>
      <c r="E54" s="22" t="s">
        <v>84</v>
      </c>
      <c r="F54" s="22" t="s">
        <v>249</v>
      </c>
      <c r="G54" s="22" t="s">
        <v>64</v>
      </c>
      <c r="H54" s="22" t="s">
        <v>822</v>
      </c>
      <c r="I54" s="22" t="s">
        <v>823</v>
      </c>
      <c r="J54" s="22" t="s">
        <v>824</v>
      </c>
      <c r="K54" s="22" t="s">
        <v>820</v>
      </c>
      <c r="L54" s="22" t="s">
        <v>68</v>
      </c>
      <c r="M54" s="22" t="s">
        <v>825</v>
      </c>
      <c r="N54" s="22">
        <v>0</v>
      </c>
      <c r="O54" s="22" t="s">
        <v>148</v>
      </c>
      <c r="P54" s="22">
        <v>2</v>
      </c>
      <c r="Q54" s="22">
        <v>2</v>
      </c>
      <c r="R54" s="22">
        <v>10</v>
      </c>
      <c r="S54" s="22" t="s">
        <v>826</v>
      </c>
      <c r="T54" s="22" t="s">
        <v>71</v>
      </c>
      <c r="U54" s="22" t="s">
        <v>72</v>
      </c>
      <c r="V54" s="24" t="s">
        <v>520</v>
      </c>
      <c r="W54" s="26">
        <f>IF('CRUDO MARTES'!W54="Si",$N54,)</f>
        <v>0</v>
      </c>
      <c r="X54" s="26">
        <f>IF('CRUDO MARTES'!X54="Si",$N54,)</f>
        <v>0</v>
      </c>
      <c r="Y54" s="26">
        <f>IF('CRUDO MARTES'!Y54="Si",$N54,)</f>
        <v>0</v>
      </c>
      <c r="Z54" s="26">
        <f>IF('CRUDO MARTES'!Z54="Si",$N54,)</f>
        <v>0</v>
      </c>
      <c r="AA54" s="26">
        <f>IF('CRUDO MARTES'!AA54="Si",$N54,)</f>
        <v>0</v>
      </c>
      <c r="AB54" s="26">
        <f>IF('CRUDO MARTES'!AB54="Si",$N54,)</f>
        <v>0</v>
      </c>
      <c r="AC54" s="26">
        <f>IF('CRUDO MARTES'!AC54="Si",$N54,)</f>
        <v>0</v>
      </c>
      <c r="AD54" s="26">
        <f>IF('CRUDO MARTES'!AD54="Si",$N54,)</f>
        <v>0</v>
      </c>
      <c r="AE54" s="26">
        <f>IF('CRUDO MARTES'!AE54="Si",$N54,)</f>
        <v>0</v>
      </c>
      <c r="AF54" s="26">
        <f>IF('CRUDO MARTES'!AF54="Si",$N54,)</f>
        <v>0</v>
      </c>
      <c r="AG54" s="26">
        <f>IF('CRUDO MARTES'!AG54="Si",$N54,)</f>
        <v>0</v>
      </c>
      <c r="AH54" s="26">
        <f>IF('CRUDO MARTES'!AH54="Si",$N54,)</f>
        <v>0</v>
      </c>
      <c r="AI54" s="26">
        <f>IF('CRUDO MARTES'!AI54="Si",$N54,)</f>
        <v>0</v>
      </c>
      <c r="AJ54" s="26">
        <f>IF('CRUDO MARTES'!AJ54="Si",$N54,)</f>
        <v>0</v>
      </c>
      <c r="AK54" s="26">
        <f>IF('CRUDO MARTES'!AK54="Si",$N54,)</f>
        <v>0</v>
      </c>
      <c r="AL54" s="26">
        <f>IF('CRUDO MARTES'!AL54="Si",$N54,)</f>
        <v>0</v>
      </c>
      <c r="AM54" s="26">
        <f>IF('CRUDO MARTES'!AM54="Si",$N54,)</f>
        <v>0</v>
      </c>
      <c r="AN54" s="26">
        <f>IF('CRUDO MARTES'!AN54="Si",$N54,)</f>
        <v>0</v>
      </c>
      <c r="AO54" s="26">
        <f>IF('CRUDO MARTES'!AO54="Si",$N54,)</f>
        <v>0</v>
      </c>
      <c r="AP54" s="22" t="s">
        <v>827</v>
      </c>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row>
    <row r="55" spans="1:88" ht="13.2" hidden="1">
      <c r="A55" s="21">
        <v>45367.590295416667</v>
      </c>
      <c r="B55" s="22" t="s">
        <v>820</v>
      </c>
      <c r="C55" s="22" t="s">
        <v>828</v>
      </c>
      <c r="D55" s="22">
        <v>605413</v>
      </c>
      <c r="E55" s="22" t="s">
        <v>506</v>
      </c>
      <c r="F55" s="22" t="s">
        <v>630</v>
      </c>
      <c r="G55" s="22" t="s">
        <v>64</v>
      </c>
      <c r="H55" s="22" t="s">
        <v>822</v>
      </c>
      <c r="I55" s="22" t="s">
        <v>823</v>
      </c>
      <c r="J55" s="22" t="s">
        <v>824</v>
      </c>
      <c r="K55" s="22" t="s">
        <v>820</v>
      </c>
      <c r="L55" s="22" t="s">
        <v>68</v>
      </c>
      <c r="M55" s="22" t="s">
        <v>825</v>
      </c>
      <c r="N55" s="22">
        <v>0</v>
      </c>
      <c r="O55" s="22" t="s">
        <v>148</v>
      </c>
      <c r="P55" s="22">
        <v>2</v>
      </c>
      <c r="Q55" s="22">
        <v>2</v>
      </c>
      <c r="R55" s="22">
        <v>10</v>
      </c>
      <c r="S55" s="22" t="s">
        <v>829</v>
      </c>
      <c r="T55" s="22" t="s">
        <v>71</v>
      </c>
      <c r="U55" s="22" t="s">
        <v>72</v>
      </c>
      <c r="V55" s="24" t="s">
        <v>520</v>
      </c>
      <c r="W55" s="26">
        <f>IF('CRUDO MARTES'!W55="Si",$N55,)</f>
        <v>0</v>
      </c>
      <c r="X55" s="26">
        <f>IF('CRUDO MARTES'!X55="Si",$N55,)</f>
        <v>0</v>
      </c>
      <c r="Y55" s="26">
        <f>IF('CRUDO MARTES'!Y55="Si",$N55,)</f>
        <v>0</v>
      </c>
      <c r="Z55" s="26">
        <f>IF('CRUDO MARTES'!Z55="Si",$N55,)</f>
        <v>0</v>
      </c>
      <c r="AA55" s="26">
        <f>IF('CRUDO MARTES'!AA55="Si",$N55,)</f>
        <v>0</v>
      </c>
      <c r="AB55" s="26">
        <f>IF('CRUDO MARTES'!AB55="Si",$N55,)</f>
        <v>0</v>
      </c>
      <c r="AC55" s="26">
        <f>IF('CRUDO MARTES'!AC55="Si",$N55,)</f>
        <v>0</v>
      </c>
      <c r="AD55" s="26">
        <f>IF('CRUDO MARTES'!AD55="Si",$N55,)</f>
        <v>0</v>
      </c>
      <c r="AE55" s="26">
        <f>IF('CRUDO MARTES'!AE55="Si",$N55,)</f>
        <v>0</v>
      </c>
      <c r="AF55" s="26">
        <f>IF('CRUDO MARTES'!AF55="Si",$N55,)</f>
        <v>0</v>
      </c>
      <c r="AG55" s="26">
        <f>IF('CRUDO MARTES'!AG55="Si",$N55,)</f>
        <v>0</v>
      </c>
      <c r="AH55" s="26">
        <f>IF('CRUDO MARTES'!AH55="Si",$N55,)</f>
        <v>0</v>
      </c>
      <c r="AI55" s="26">
        <f>IF('CRUDO MARTES'!AI55="Si",$N55,)</f>
        <v>0</v>
      </c>
      <c r="AJ55" s="26">
        <f>IF('CRUDO MARTES'!AJ55="Si",$N55,)</f>
        <v>0</v>
      </c>
      <c r="AK55" s="26">
        <f>IF('CRUDO MARTES'!AK55="Si",$N55,)</f>
        <v>0</v>
      </c>
      <c r="AL55" s="26">
        <f>IF('CRUDO MARTES'!AL55="Si",$N55,)</f>
        <v>0</v>
      </c>
      <c r="AM55" s="26">
        <f>IF('CRUDO MARTES'!AM55="Si",$N55,)</f>
        <v>0</v>
      </c>
      <c r="AN55" s="26">
        <f>IF('CRUDO MARTES'!AN55="Si",$N55,)</f>
        <v>0</v>
      </c>
      <c r="AO55" s="26">
        <f>IF('CRUDO MARTES'!AO55="Si",$N55,)</f>
        <v>0</v>
      </c>
      <c r="AP55" s="22" t="s">
        <v>827</v>
      </c>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row>
    <row r="56" spans="1:88" ht="13.2" hidden="1">
      <c r="A56" s="13">
        <v>45368.450414085644</v>
      </c>
      <c r="B56" s="14" t="s">
        <v>830</v>
      </c>
      <c r="C56" s="28" t="s">
        <v>496</v>
      </c>
      <c r="D56" s="15" t="s">
        <v>831</v>
      </c>
      <c r="E56" s="14" t="s">
        <v>276</v>
      </c>
      <c r="F56" s="14" t="s">
        <v>832</v>
      </c>
      <c r="G56" s="14" t="s">
        <v>64</v>
      </c>
      <c r="H56" s="14" t="s">
        <v>833</v>
      </c>
      <c r="I56" s="14" t="s">
        <v>834</v>
      </c>
      <c r="J56" s="14" t="s">
        <v>835</v>
      </c>
      <c r="K56" s="14" t="s">
        <v>830</v>
      </c>
      <c r="L56" s="14" t="s">
        <v>89</v>
      </c>
      <c r="M56" s="14" t="s">
        <v>217</v>
      </c>
      <c r="N56" s="14">
        <v>0</v>
      </c>
      <c r="O56" s="14" t="s">
        <v>70</v>
      </c>
      <c r="P56" s="14">
        <v>5</v>
      </c>
      <c r="Q56" s="14">
        <v>5</v>
      </c>
      <c r="R56" s="14">
        <v>30</v>
      </c>
      <c r="S56" s="16"/>
      <c r="T56" s="14" t="s">
        <v>71</v>
      </c>
      <c r="U56" s="14" t="s">
        <v>72</v>
      </c>
      <c r="V56" s="15" t="s">
        <v>520</v>
      </c>
      <c r="W56" s="29">
        <v>0</v>
      </c>
      <c r="X56" s="29">
        <v>0</v>
      </c>
      <c r="Y56" s="30">
        <f>IF('CRUDO MARTES'!Y56="Si",$N56,)</f>
        <v>0</v>
      </c>
      <c r="Z56" s="30">
        <f>IF('CRUDO MARTES'!Z56="Si",$N56,)</f>
        <v>0</v>
      </c>
      <c r="AA56" s="29">
        <v>0</v>
      </c>
      <c r="AB56" s="30">
        <f>IF('CRUDO MARTES'!AB56="Si",$N56,)</f>
        <v>0</v>
      </c>
      <c r="AC56" s="29">
        <v>0</v>
      </c>
      <c r="AD56" s="30">
        <f>IF('CRUDO MARTES'!AD56="Si",$N56,)</f>
        <v>0</v>
      </c>
      <c r="AE56" s="30">
        <f>IF('CRUDO MARTES'!AE56="Si",$N56,)</f>
        <v>0</v>
      </c>
      <c r="AF56" s="30">
        <f>IF('CRUDO MARTES'!AF56="Si",$N56,)</f>
        <v>0</v>
      </c>
      <c r="AG56" s="29">
        <v>0</v>
      </c>
      <c r="AH56" s="29">
        <v>0</v>
      </c>
      <c r="AI56" s="29">
        <v>0</v>
      </c>
      <c r="AJ56" s="30">
        <f>IF('CRUDO MARTES'!AJ56="Si",$N56,)</f>
        <v>0</v>
      </c>
      <c r="AK56" s="30">
        <f>IF('CRUDO MARTES'!AK56="Si",$N56,)</f>
        <v>0</v>
      </c>
      <c r="AL56" s="29">
        <v>0</v>
      </c>
      <c r="AM56" s="29">
        <v>0</v>
      </c>
      <c r="AN56" s="30">
        <f>IF('CRUDO MARTES'!AN56="Si",$N56,)</f>
        <v>0</v>
      </c>
      <c r="AO56" s="30">
        <f>IF('CRUDO MARTES'!AO56="Si",$N56,)</f>
        <v>0</v>
      </c>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row>
    <row r="57" spans="1:88" ht="26.4">
      <c r="A57" s="47">
        <v>45368.466132592592</v>
      </c>
      <c r="B57" s="48" t="s">
        <v>830</v>
      </c>
      <c r="C57" s="49" t="s">
        <v>836</v>
      </c>
      <c r="D57" s="48">
        <v>20036400</v>
      </c>
      <c r="E57" s="48" t="s">
        <v>133</v>
      </c>
      <c r="F57" s="48" t="s">
        <v>837</v>
      </c>
      <c r="G57" s="48" t="s">
        <v>105</v>
      </c>
      <c r="H57" s="48" t="s">
        <v>833</v>
      </c>
      <c r="I57" s="48" t="s">
        <v>838</v>
      </c>
      <c r="J57" s="48" t="s">
        <v>839</v>
      </c>
      <c r="K57" s="48" t="s">
        <v>830</v>
      </c>
      <c r="L57" s="48" t="s">
        <v>89</v>
      </c>
      <c r="M57" s="48" t="s">
        <v>840</v>
      </c>
      <c r="N57" s="48">
        <v>24</v>
      </c>
      <c r="O57" s="48" t="s">
        <v>70</v>
      </c>
      <c r="P57" s="48">
        <v>5</v>
      </c>
      <c r="Q57" s="48">
        <v>4</v>
      </c>
      <c r="R57" s="48">
        <v>80</v>
      </c>
      <c r="S57" s="48" t="s">
        <v>841</v>
      </c>
      <c r="T57" s="48" t="s">
        <v>72</v>
      </c>
      <c r="U57" s="48" t="s">
        <v>71</v>
      </c>
      <c r="V57" s="50" t="s">
        <v>520</v>
      </c>
      <c r="W57" s="52">
        <f>IF('CRUDO MARTES'!W57="Si",$N57,)</f>
        <v>0</v>
      </c>
      <c r="X57" s="52">
        <f>IF('CRUDO MARTES'!X57="Si",$N57,)</f>
        <v>0</v>
      </c>
      <c r="Y57" s="52">
        <f>IF('CRUDO MARTES'!Y57="Si",$N57,)</f>
        <v>0</v>
      </c>
      <c r="Z57" s="52">
        <f>IF('CRUDO MARTES'!Z57="Si",$N57,)</f>
        <v>24</v>
      </c>
      <c r="AA57" s="52">
        <f>IF('CRUDO MARTES'!AA57="Si",$N57,)</f>
        <v>0</v>
      </c>
      <c r="AB57" s="52">
        <f>IF('CRUDO MARTES'!AB57="Si",$N57,)</f>
        <v>0</v>
      </c>
      <c r="AC57" s="52">
        <f>IF('CRUDO MARTES'!AC57="Si",$N57,)</f>
        <v>0</v>
      </c>
      <c r="AD57" s="52">
        <f>IF('CRUDO MARTES'!AD57="Si",$N57,)</f>
        <v>24</v>
      </c>
      <c r="AE57" s="52">
        <v>24</v>
      </c>
      <c r="AF57" s="53">
        <v>0</v>
      </c>
      <c r="AG57" s="52">
        <f>IF('CRUDO MARTES'!AG57="Si",$N57,)</f>
        <v>0</v>
      </c>
      <c r="AH57" s="52">
        <f>IF('CRUDO MARTES'!AH57="Si",$N57,)</f>
        <v>0</v>
      </c>
      <c r="AI57" s="52">
        <f>IF('CRUDO MARTES'!AI57="Si",$N57,)</f>
        <v>0</v>
      </c>
      <c r="AJ57" s="53">
        <v>0</v>
      </c>
      <c r="AK57" s="53">
        <v>0</v>
      </c>
      <c r="AL57" s="52">
        <f>IF('CRUDO MARTES'!AL57="Si",$N57,)</f>
        <v>0</v>
      </c>
      <c r="AM57" s="52">
        <f>IF('CRUDO MARTES'!AM57="Si",$N57,)</f>
        <v>0</v>
      </c>
      <c r="AN57" s="53">
        <v>0</v>
      </c>
      <c r="AO57" s="54">
        <f>IF('CRUDO MARTES'!AO57="Si",$N57,)</f>
        <v>24</v>
      </c>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row>
    <row r="58" spans="1:88" ht="13.2" hidden="1">
      <c r="A58" s="13">
        <v>45368.6555041088</v>
      </c>
      <c r="B58" s="14" t="s">
        <v>842</v>
      </c>
      <c r="C58" s="28" t="s">
        <v>843</v>
      </c>
      <c r="D58" s="14">
        <v>20097800</v>
      </c>
      <c r="E58" s="14" t="s">
        <v>133</v>
      </c>
      <c r="F58" s="14" t="s">
        <v>844</v>
      </c>
      <c r="G58" s="14" t="s">
        <v>64</v>
      </c>
      <c r="H58" s="14" t="s">
        <v>845</v>
      </c>
      <c r="I58" s="14" t="s">
        <v>845</v>
      </c>
      <c r="J58" s="16"/>
      <c r="K58" s="14" t="s">
        <v>842</v>
      </c>
      <c r="L58" s="14" t="s">
        <v>89</v>
      </c>
      <c r="M58" s="14" t="s">
        <v>846</v>
      </c>
      <c r="N58" s="14">
        <v>0</v>
      </c>
      <c r="O58" s="14" t="s">
        <v>70</v>
      </c>
      <c r="P58" s="14">
        <v>4</v>
      </c>
      <c r="Q58" s="14">
        <v>4</v>
      </c>
      <c r="R58" s="14">
        <v>0</v>
      </c>
      <c r="S58" s="16"/>
      <c r="T58" s="14" t="s">
        <v>72</v>
      </c>
      <c r="U58" s="14" t="s">
        <v>71</v>
      </c>
      <c r="V58" s="15" t="s">
        <v>520</v>
      </c>
      <c r="W58" s="30">
        <f>IF('CRUDO MARTES'!W58="Si",$N58,)</f>
        <v>0</v>
      </c>
      <c r="X58" s="30">
        <f>IF('CRUDO MARTES'!X58="Si",$N58,)</f>
        <v>0</v>
      </c>
      <c r="Y58" s="30">
        <f>IF('CRUDO MARTES'!Y58="Si",$N58,)</f>
        <v>0</v>
      </c>
      <c r="Z58" s="30">
        <f>IF('CRUDO MARTES'!Z58="Si",$N58,)</f>
        <v>0</v>
      </c>
      <c r="AA58" s="30">
        <f>IF('CRUDO MARTES'!AA58="Si",$N58,)</f>
        <v>0</v>
      </c>
      <c r="AB58" s="30">
        <f>IF('CRUDO MARTES'!AB58="Si",$N58,)</f>
        <v>0</v>
      </c>
      <c r="AC58" s="30">
        <f>IF('CRUDO MARTES'!AC58="Si",$N58,)</f>
        <v>0</v>
      </c>
      <c r="AD58" s="30">
        <f>IF('CRUDO MARTES'!AD58="Si",$N58,)</f>
        <v>0</v>
      </c>
      <c r="AE58" s="29">
        <v>0</v>
      </c>
      <c r="AF58" s="29">
        <v>0</v>
      </c>
      <c r="AG58" s="30">
        <f>IF('CRUDO MARTES'!AG58="Si",$N58,)</f>
        <v>0</v>
      </c>
      <c r="AH58" s="30">
        <f>IF('CRUDO MARTES'!AH58="Si",$N58,)</f>
        <v>0</v>
      </c>
      <c r="AI58" s="30">
        <f>IF('CRUDO MARTES'!AI58="Si",$N58,)</f>
        <v>0</v>
      </c>
      <c r="AJ58" s="29">
        <v>0</v>
      </c>
      <c r="AK58" s="29">
        <v>0</v>
      </c>
      <c r="AL58" s="30">
        <f>IF('CRUDO MARTES'!AL58="Si",$N58,)</f>
        <v>0</v>
      </c>
      <c r="AM58" s="30">
        <f>IF('CRUDO MARTES'!AM58="Si",$N58,)</f>
        <v>0</v>
      </c>
      <c r="AN58" s="29">
        <v>0</v>
      </c>
      <c r="AO58" s="31">
        <f>IF('CRUDO MARTES'!AO58="Si",$N58,)</f>
        <v>0</v>
      </c>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row>
    <row r="59" spans="1:88" ht="13.2">
      <c r="A59" s="21">
        <v>45368.832537881943</v>
      </c>
      <c r="B59" s="22" t="s">
        <v>847</v>
      </c>
      <c r="C59" s="23" t="s">
        <v>848</v>
      </c>
      <c r="D59" s="24" t="s">
        <v>849</v>
      </c>
      <c r="E59" s="22" t="s">
        <v>62</v>
      </c>
      <c r="F59" s="22" t="s">
        <v>235</v>
      </c>
      <c r="G59" s="22" t="s">
        <v>64</v>
      </c>
      <c r="H59" s="22" t="s">
        <v>460</v>
      </c>
      <c r="I59" s="22" t="s">
        <v>850</v>
      </c>
      <c r="J59" s="22" t="s">
        <v>851</v>
      </c>
      <c r="K59" s="22" t="s">
        <v>847</v>
      </c>
      <c r="L59" s="22" t="s">
        <v>68</v>
      </c>
      <c r="M59" s="22" t="s">
        <v>852</v>
      </c>
      <c r="N59" s="22">
        <v>0</v>
      </c>
      <c r="O59" s="22" t="s">
        <v>70</v>
      </c>
      <c r="P59" s="22">
        <v>3</v>
      </c>
      <c r="Q59" s="22">
        <v>3</v>
      </c>
      <c r="R59" s="22">
        <v>50</v>
      </c>
      <c r="S59" s="25"/>
      <c r="T59" s="22" t="s">
        <v>71</v>
      </c>
      <c r="U59" s="22" t="s">
        <v>71</v>
      </c>
      <c r="V59" s="24" t="s">
        <v>520</v>
      </c>
      <c r="W59" s="26">
        <f>IF('CRUDO MARTES'!W59="Si",$N59,)</f>
        <v>0</v>
      </c>
      <c r="X59" s="26">
        <f>IF('CRUDO MARTES'!X59="Si",$N59,)</f>
        <v>0</v>
      </c>
      <c r="Y59" s="27">
        <v>0</v>
      </c>
      <c r="Z59" s="26">
        <f>IF('CRUDO MARTES'!Z59="Si",$N59,)</f>
        <v>0</v>
      </c>
      <c r="AA59" s="26">
        <f>IF('CRUDO MARTES'!AA59="Si",$N59,)</f>
        <v>0</v>
      </c>
      <c r="AB59" s="26">
        <f>IF('CRUDO MARTES'!AB59="Si",$N59,)</f>
        <v>0</v>
      </c>
      <c r="AC59" s="26">
        <f>IF('CRUDO MARTES'!AC59="Si",$N59,)</f>
        <v>0</v>
      </c>
      <c r="AD59" s="27">
        <v>0</v>
      </c>
      <c r="AE59" s="27">
        <v>0</v>
      </c>
      <c r="AF59" s="27">
        <v>0</v>
      </c>
      <c r="AG59" s="26">
        <f>IF('CRUDO MARTES'!AG59="Si",$N59,)</f>
        <v>0</v>
      </c>
      <c r="AH59" s="26">
        <f>IF('CRUDO MARTES'!AH59="Si",$N59,)</f>
        <v>0</v>
      </c>
      <c r="AI59" s="27">
        <v>0</v>
      </c>
      <c r="AJ59" s="27">
        <v>0</v>
      </c>
      <c r="AK59" s="56">
        <v>0</v>
      </c>
      <c r="AL59" s="26">
        <f>IF('CRUDO MARTES'!AL59="Si",$N59,)</f>
        <v>0</v>
      </c>
      <c r="AM59" s="57">
        <f>IF('CRUDO MARTES'!AM59="Si",$N59,)</f>
        <v>0</v>
      </c>
      <c r="AN59" s="27">
        <v>0</v>
      </c>
      <c r="AO59" s="27">
        <v>0</v>
      </c>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row>
    <row r="60" spans="1:88" ht="13.2" hidden="1">
      <c r="A60" s="13">
        <v>45369.501063009258</v>
      </c>
      <c r="B60" s="14" t="s">
        <v>861</v>
      </c>
      <c r="C60" s="28" t="s">
        <v>862</v>
      </c>
      <c r="D60" s="14">
        <v>20086000</v>
      </c>
      <c r="E60" s="14" t="s">
        <v>84</v>
      </c>
      <c r="F60" s="14" t="s">
        <v>269</v>
      </c>
      <c r="G60" s="14" t="s">
        <v>64</v>
      </c>
      <c r="H60" s="14" t="s">
        <v>863</v>
      </c>
      <c r="I60" s="14" t="s">
        <v>864</v>
      </c>
      <c r="J60" s="14" t="s">
        <v>865</v>
      </c>
      <c r="K60" s="14" t="s">
        <v>861</v>
      </c>
      <c r="L60" s="14" t="s">
        <v>89</v>
      </c>
      <c r="M60" s="14" t="s">
        <v>313</v>
      </c>
      <c r="N60" s="14">
        <v>0</v>
      </c>
      <c r="O60" s="14" t="s">
        <v>70</v>
      </c>
      <c r="P60" s="14">
        <v>5</v>
      </c>
      <c r="Q60" s="14">
        <v>5</v>
      </c>
      <c r="R60" s="14">
        <v>0</v>
      </c>
      <c r="S60" s="16"/>
      <c r="T60" s="14" t="s">
        <v>71</v>
      </c>
      <c r="U60" s="14" t="s">
        <v>72</v>
      </c>
      <c r="V60" s="15" t="s">
        <v>520</v>
      </c>
      <c r="W60" s="30">
        <f>IF('CRUDO MARTES'!W60="Si",$N60,)</f>
        <v>0</v>
      </c>
      <c r="X60" s="30">
        <f>IF('CRUDO MARTES'!X60="Si",$N60,)</f>
        <v>0</v>
      </c>
      <c r="Y60" s="29">
        <v>10</v>
      </c>
      <c r="Z60" s="30">
        <f>IF('CRUDO MARTES'!Z60="Si",$N60,)</f>
        <v>0</v>
      </c>
      <c r="AA60" s="30">
        <f>IF('CRUDO MARTES'!AA60="Si",$N60,)</f>
        <v>0</v>
      </c>
      <c r="AB60" s="30">
        <f>IF('CRUDO MARTES'!AB60="Si",$N60,)</f>
        <v>0</v>
      </c>
      <c r="AC60" s="30">
        <f>IF('CRUDO MARTES'!AC60="Si",$N60,)</f>
        <v>0</v>
      </c>
      <c r="AD60" s="30">
        <f>IF('CRUDO MARTES'!AD60="Si",$N60,)</f>
        <v>0</v>
      </c>
      <c r="AE60" s="30">
        <f>IF('CRUDO MARTES'!AE60="Si",$N60,)</f>
        <v>0</v>
      </c>
      <c r="AF60" s="30">
        <f>IF('CRUDO MARTES'!AF60="Si",$N60,)</f>
        <v>0</v>
      </c>
      <c r="AG60" s="30">
        <f>IF('CRUDO MARTES'!AG60="Si",$N60,)</f>
        <v>0</v>
      </c>
      <c r="AH60" s="30">
        <f>IF('CRUDO MARTES'!AH60="Si",$N60,)</f>
        <v>0</v>
      </c>
      <c r="AI60" s="29">
        <v>0</v>
      </c>
      <c r="AJ60" s="30">
        <f>IF('CRUDO MARTES'!AJ60="Si",$N60,)</f>
        <v>0</v>
      </c>
      <c r="AK60" s="30">
        <f>IF('CRUDO MARTES'!AK60="Si",$N60,)</f>
        <v>0</v>
      </c>
      <c r="AL60" s="29">
        <v>0</v>
      </c>
      <c r="AM60" s="30">
        <f>IF('CRUDO MARTES'!AM60="Si",$N60,)</f>
        <v>0</v>
      </c>
      <c r="AN60" s="30">
        <f>IF('CRUDO MARTES'!AN60="Si",$N60,)</f>
        <v>0</v>
      </c>
      <c r="AO60" s="30">
        <f>IF('CRUDO MARTES'!AO60="Si",$N60,)</f>
        <v>0</v>
      </c>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row>
    <row r="61" spans="1:88" ht="13.2" hidden="1">
      <c r="A61" s="13">
        <v>45369.567177847217</v>
      </c>
      <c r="B61" s="14" t="s">
        <v>813</v>
      </c>
      <c r="C61" s="28" t="s">
        <v>866</v>
      </c>
      <c r="D61" s="15" t="s">
        <v>867</v>
      </c>
      <c r="E61" s="14" t="s">
        <v>815</v>
      </c>
      <c r="F61" s="14" t="s">
        <v>676</v>
      </c>
      <c r="G61" s="14" t="s">
        <v>64</v>
      </c>
      <c r="H61" s="14" t="s">
        <v>816</v>
      </c>
      <c r="I61" s="14" t="s">
        <v>868</v>
      </c>
      <c r="J61" s="16"/>
      <c r="K61" s="14" t="s">
        <v>813</v>
      </c>
      <c r="L61" s="14" t="s">
        <v>89</v>
      </c>
      <c r="M61" s="14" t="s">
        <v>819</v>
      </c>
      <c r="N61" s="14">
        <v>0</v>
      </c>
      <c r="O61" s="14" t="s">
        <v>70</v>
      </c>
      <c r="P61" s="14">
        <v>3</v>
      </c>
      <c r="Q61" s="14">
        <v>3</v>
      </c>
      <c r="R61" s="14">
        <v>70</v>
      </c>
      <c r="S61" s="16"/>
      <c r="T61" s="14" t="s">
        <v>72</v>
      </c>
      <c r="U61" s="14" t="s">
        <v>71</v>
      </c>
      <c r="V61" s="15" t="s">
        <v>520</v>
      </c>
      <c r="W61" s="30">
        <f>IF('CRUDO MARTES'!W61="Si",$N61,)</f>
        <v>0</v>
      </c>
      <c r="X61" s="30">
        <f>IF('CRUDO MARTES'!X61="Si",$N61,)</f>
        <v>0</v>
      </c>
      <c r="Y61" s="30">
        <f>IF('CRUDO MARTES'!Y61="Si",$N61,)</f>
        <v>0</v>
      </c>
      <c r="Z61" s="30">
        <f>IF('CRUDO MARTES'!Z61="Si",$N61,)</f>
        <v>0</v>
      </c>
      <c r="AA61" s="30">
        <f>IF('CRUDO MARTES'!AA61="Si",$N61,)</f>
        <v>0</v>
      </c>
      <c r="AB61" s="30">
        <f>IF('CRUDO MARTES'!AB61="Si",$N61,)</f>
        <v>0</v>
      </c>
      <c r="AC61" s="30">
        <f>IF('CRUDO MARTES'!AC61="Si",$N61,)</f>
        <v>0</v>
      </c>
      <c r="AD61" s="30">
        <f>IF('CRUDO MARTES'!AD61="Si",$N61,)</f>
        <v>0</v>
      </c>
      <c r="AE61" s="29">
        <v>0</v>
      </c>
      <c r="AF61" s="29">
        <v>0</v>
      </c>
      <c r="AG61" s="30">
        <f>IF('CRUDO MARTES'!AG61="Si",$N61,)</f>
        <v>0</v>
      </c>
      <c r="AH61" s="30">
        <f>IF('CRUDO MARTES'!AH61="Si",$N61,)</f>
        <v>0</v>
      </c>
      <c r="AI61" s="30">
        <f>IF('CRUDO MARTES'!AI61="Si",$N61,)</f>
        <v>0</v>
      </c>
      <c r="AJ61" s="29">
        <v>0</v>
      </c>
      <c r="AK61" s="29">
        <v>0</v>
      </c>
      <c r="AL61" s="30">
        <f>IF('CRUDO MARTES'!AL61="Si",$N61,)</f>
        <v>0</v>
      </c>
      <c r="AM61" s="30">
        <f>IF('CRUDO MARTES'!AM61="Si",$N61,)</f>
        <v>0</v>
      </c>
      <c r="AN61" s="29">
        <v>0</v>
      </c>
      <c r="AO61" s="31">
        <f>IF('CRUDO MARTES'!AO61="Si",$N61,)</f>
        <v>0</v>
      </c>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row>
    <row r="62" spans="1:88" ht="13.2" hidden="1">
      <c r="A62" s="13">
        <v>45369.583257303238</v>
      </c>
      <c r="B62" s="14" t="s">
        <v>869</v>
      </c>
      <c r="C62" s="28" t="s">
        <v>870</v>
      </c>
      <c r="D62" s="15" t="s">
        <v>871</v>
      </c>
      <c r="E62" s="14" t="s">
        <v>62</v>
      </c>
      <c r="F62" s="14" t="s">
        <v>872</v>
      </c>
      <c r="G62" s="14" t="s">
        <v>64</v>
      </c>
      <c r="H62" s="14" t="s">
        <v>873</v>
      </c>
      <c r="I62" s="14" t="s">
        <v>874</v>
      </c>
      <c r="J62" s="14" t="s">
        <v>875</v>
      </c>
      <c r="K62" s="14" t="s">
        <v>869</v>
      </c>
      <c r="L62" s="14" t="s">
        <v>138</v>
      </c>
      <c r="M62" s="14" t="s">
        <v>876</v>
      </c>
      <c r="N62" s="14">
        <v>0</v>
      </c>
      <c r="O62" s="14" t="s">
        <v>70</v>
      </c>
      <c r="P62" s="14">
        <v>5</v>
      </c>
      <c r="Q62" s="14">
        <v>5</v>
      </c>
      <c r="R62" s="14">
        <v>0</v>
      </c>
      <c r="S62" s="16"/>
      <c r="T62" s="14" t="s">
        <v>71</v>
      </c>
      <c r="U62" s="14" t="s">
        <v>72</v>
      </c>
      <c r="V62" s="15" t="s">
        <v>520</v>
      </c>
      <c r="W62" s="29">
        <v>0</v>
      </c>
      <c r="X62" s="30">
        <f>IF('CRUDO MARTES'!X62="Si",$N62,)</f>
        <v>0</v>
      </c>
      <c r="Y62" s="29">
        <v>0</v>
      </c>
      <c r="Z62" s="30">
        <f>IF('CRUDO MARTES'!Z62="Si",$N62,)</f>
        <v>0</v>
      </c>
      <c r="AA62" s="30">
        <f>IF('CRUDO MARTES'!AA62="Si",$N62,)</f>
        <v>0</v>
      </c>
      <c r="AB62" s="29">
        <v>0</v>
      </c>
      <c r="AC62" s="30">
        <f>IF('CRUDO MARTES'!AC62="Si",$N62,)</f>
        <v>0</v>
      </c>
      <c r="AD62" s="30">
        <f>IF('CRUDO MARTES'!AD62="Si",$N62,)</f>
        <v>0</v>
      </c>
      <c r="AE62" s="30">
        <f>IF('CRUDO MARTES'!AE62="Si",$N62,)</f>
        <v>0</v>
      </c>
      <c r="AF62" s="30">
        <f>IF('CRUDO MARTES'!AF62="Si",$N62,)</f>
        <v>0</v>
      </c>
      <c r="AG62" s="29">
        <v>0</v>
      </c>
      <c r="AH62" s="29">
        <v>0</v>
      </c>
      <c r="AI62" s="29">
        <v>0</v>
      </c>
      <c r="AJ62" s="30">
        <f>IF('CRUDO MARTES'!AJ62="Si",$N62,)</f>
        <v>0</v>
      </c>
      <c r="AK62" s="30">
        <f>IF('CRUDO MARTES'!AK62="Si",$N62,)</f>
        <v>0</v>
      </c>
      <c r="AL62" s="29">
        <v>0</v>
      </c>
      <c r="AM62" s="29">
        <v>0</v>
      </c>
      <c r="AN62" s="30">
        <f>IF('CRUDO MARTES'!AN62="Si",$N62,)</f>
        <v>0</v>
      </c>
      <c r="AO62" s="30">
        <f>IF('CRUDO MARTES'!AO62="Si",$N62,)</f>
        <v>0</v>
      </c>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row>
    <row r="63" spans="1:88" ht="13.2" hidden="1">
      <c r="A63" s="13">
        <v>45369.684196400463</v>
      </c>
      <c r="B63" s="14" t="s">
        <v>877</v>
      </c>
      <c r="C63" s="28" t="s">
        <v>878</v>
      </c>
      <c r="D63" s="14">
        <v>2001920</v>
      </c>
      <c r="E63" s="14" t="s">
        <v>387</v>
      </c>
      <c r="F63" s="14" t="s">
        <v>879</v>
      </c>
      <c r="G63" s="14" t="s">
        <v>105</v>
      </c>
      <c r="H63" s="14" t="s">
        <v>880</v>
      </c>
      <c r="I63" s="14" t="s">
        <v>881</v>
      </c>
      <c r="J63" s="14" t="s">
        <v>882</v>
      </c>
      <c r="K63" s="14" t="s">
        <v>877</v>
      </c>
      <c r="L63" s="14" t="s">
        <v>89</v>
      </c>
      <c r="M63" s="14" t="s">
        <v>883</v>
      </c>
      <c r="N63" s="14">
        <v>0</v>
      </c>
      <c r="O63" s="14" t="s">
        <v>148</v>
      </c>
      <c r="P63" s="14">
        <v>4</v>
      </c>
      <c r="Q63" s="14">
        <v>4</v>
      </c>
      <c r="R63" s="14">
        <v>40</v>
      </c>
      <c r="S63" s="16"/>
      <c r="T63" s="14" t="s">
        <v>72</v>
      </c>
      <c r="U63" s="14" t="s">
        <v>71</v>
      </c>
      <c r="V63" s="15" t="s">
        <v>520</v>
      </c>
      <c r="W63" s="30">
        <f>IF('CRUDO MARTES'!W63="Si",$N63,)</f>
        <v>0</v>
      </c>
      <c r="X63" s="30">
        <f>IF('CRUDO MARTES'!X63="Si",$N63,)</f>
        <v>0</v>
      </c>
      <c r="Y63" s="30">
        <f>IF('CRUDO MARTES'!Y63="Si",$N63,)</f>
        <v>0</v>
      </c>
      <c r="Z63" s="30">
        <f>IF('CRUDO MARTES'!Z63="Si",$N63,)</f>
        <v>0</v>
      </c>
      <c r="AA63" s="30">
        <f>IF('CRUDO MARTES'!AA63="Si",$N63,)</f>
        <v>0</v>
      </c>
      <c r="AB63" s="30">
        <f>IF('CRUDO MARTES'!AB63="Si",$N63,)</f>
        <v>0</v>
      </c>
      <c r="AC63" s="30">
        <f>IF('CRUDO MARTES'!AC63="Si",$N63,)</f>
        <v>0</v>
      </c>
      <c r="AD63" s="30">
        <f>IF('CRUDO MARTES'!AD63="Si",$N63,)</f>
        <v>0</v>
      </c>
      <c r="AE63" s="30">
        <f>IF('CRUDO MARTES'!AE63="Si",$N63,)</f>
        <v>0</v>
      </c>
      <c r="AF63" s="30">
        <f>IF('CRUDO MARTES'!AF63="Si",$N63,)</f>
        <v>0</v>
      </c>
      <c r="AG63" s="30">
        <f>IF('CRUDO MARTES'!AG63="Si",$N63,)</f>
        <v>0</v>
      </c>
      <c r="AH63" s="30">
        <f>IF('CRUDO MARTES'!AH63="Si",$N63,)</f>
        <v>0</v>
      </c>
      <c r="AI63" s="30">
        <f>IF('CRUDO MARTES'!AI63="Si",$N63,)</f>
        <v>0</v>
      </c>
      <c r="AJ63" s="31">
        <f>IF('CRUDO MARTES'!AJ63="Si",$N63,)</f>
        <v>0</v>
      </c>
      <c r="AK63" s="30">
        <f>IF('CRUDO MARTES'!AK63="Si",$N63,)</f>
        <v>0</v>
      </c>
      <c r="AL63" s="30">
        <f>IF('CRUDO MARTES'!AL63="Si",$N63,)</f>
        <v>0</v>
      </c>
      <c r="AM63" s="30">
        <f>IF('CRUDO MARTES'!AM63="Si",$N63,)</f>
        <v>0</v>
      </c>
      <c r="AN63" s="30">
        <f>IF('CRUDO MARTES'!AN63="Si",$N63,)</f>
        <v>0</v>
      </c>
      <c r="AO63" s="30">
        <f>IF('CRUDO MARTES'!AO63="Si",$N63,)</f>
        <v>0</v>
      </c>
      <c r="AP63" s="14" t="s">
        <v>884</v>
      </c>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row>
    <row r="64" spans="1:88" ht="13.2">
      <c r="A64" s="47">
        <v>45369.806593969908</v>
      </c>
      <c r="B64" s="48" t="s">
        <v>885</v>
      </c>
      <c r="C64" s="49" t="s">
        <v>886</v>
      </c>
      <c r="D64" s="50" t="s">
        <v>887</v>
      </c>
      <c r="E64" s="48" t="s">
        <v>84</v>
      </c>
      <c r="F64" s="48" t="s">
        <v>888</v>
      </c>
      <c r="G64" s="48" t="s">
        <v>64</v>
      </c>
      <c r="H64" s="48" t="s">
        <v>889</v>
      </c>
      <c r="I64" s="48" t="s">
        <v>890</v>
      </c>
      <c r="J64" s="51"/>
      <c r="K64" s="48" t="s">
        <v>885</v>
      </c>
      <c r="L64" s="48" t="s">
        <v>89</v>
      </c>
      <c r="M64" s="48" t="s">
        <v>846</v>
      </c>
      <c r="N64" s="48">
        <v>20</v>
      </c>
      <c r="O64" s="48" t="s">
        <v>70</v>
      </c>
      <c r="P64" s="48">
        <v>5</v>
      </c>
      <c r="Q64" s="48">
        <v>4</v>
      </c>
      <c r="R64" s="48">
        <v>0</v>
      </c>
      <c r="S64" s="51"/>
      <c r="T64" s="48" t="s">
        <v>71</v>
      </c>
      <c r="U64" s="48" t="s">
        <v>72</v>
      </c>
      <c r="V64" s="50" t="s">
        <v>520</v>
      </c>
      <c r="W64" s="53">
        <v>0</v>
      </c>
      <c r="X64" s="52">
        <f>IF('CRUDO MARTES'!X64="Si",$N64,)</f>
        <v>20</v>
      </c>
      <c r="Y64" s="53">
        <v>0</v>
      </c>
      <c r="Z64" s="52">
        <f>IF('CRUDO MARTES'!Z64="Si",$N64,)</f>
        <v>0</v>
      </c>
      <c r="AA64" s="52">
        <f>IF('CRUDO MARTES'!AA64="Si",$N64,)</f>
        <v>20</v>
      </c>
      <c r="AB64" s="53">
        <v>0</v>
      </c>
      <c r="AC64" s="52">
        <f>IF('CRUDO MARTES'!AC64="Si",$N64,)</f>
        <v>20</v>
      </c>
      <c r="AD64" s="53">
        <v>0</v>
      </c>
      <c r="AE64" s="52"/>
      <c r="AF64" s="52">
        <f>IF('CRUDO MARTES'!AF64="Si",$N64,)</f>
        <v>0</v>
      </c>
      <c r="AG64" s="53">
        <v>0</v>
      </c>
      <c r="AH64" s="53">
        <v>0</v>
      </c>
      <c r="AI64" s="53">
        <v>0</v>
      </c>
      <c r="AJ64" s="52">
        <f>IF('CRUDO MARTES'!AJ64="Si",$N64,)</f>
        <v>0</v>
      </c>
      <c r="AK64" s="52">
        <f>IF('CRUDO MARTES'!AK64="Si",$N64,)</f>
        <v>0</v>
      </c>
      <c r="AL64" s="53">
        <v>0</v>
      </c>
      <c r="AM64" s="53">
        <v>0</v>
      </c>
      <c r="AN64" s="52">
        <f>IF('CRUDO MARTES'!AN64="Si",$N64,)</f>
        <v>0</v>
      </c>
      <c r="AO64" s="52">
        <f>IF('CRUDO MARTES'!AO64="Si",$N64,)</f>
        <v>0</v>
      </c>
      <c r="AP64" s="48" t="s">
        <v>891</v>
      </c>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row>
    <row r="65" spans="1:88" ht="13.2" hidden="1">
      <c r="A65" s="13">
        <v>45369.811967349538</v>
      </c>
      <c r="B65" s="14" t="s">
        <v>892</v>
      </c>
      <c r="C65" s="28" t="s">
        <v>893</v>
      </c>
      <c r="D65" s="14">
        <v>20000100</v>
      </c>
      <c r="E65" s="14" t="s">
        <v>133</v>
      </c>
      <c r="F65" s="14" t="s">
        <v>894</v>
      </c>
      <c r="G65" s="14" t="s">
        <v>64</v>
      </c>
      <c r="H65" s="14" t="s">
        <v>895</v>
      </c>
      <c r="I65" s="14" t="s">
        <v>896</v>
      </c>
      <c r="J65" s="14" t="s">
        <v>897</v>
      </c>
      <c r="K65" s="14" t="s">
        <v>892</v>
      </c>
      <c r="L65" s="14" t="s">
        <v>89</v>
      </c>
      <c r="M65" s="14" t="s">
        <v>898</v>
      </c>
      <c r="N65" s="14">
        <v>0</v>
      </c>
      <c r="O65" s="14" t="s">
        <v>70</v>
      </c>
      <c r="P65" s="14">
        <v>3</v>
      </c>
      <c r="Q65" s="14">
        <v>2</v>
      </c>
      <c r="R65" s="14">
        <v>15</v>
      </c>
      <c r="S65" s="16"/>
      <c r="T65" s="14" t="s">
        <v>71</v>
      </c>
      <c r="U65" s="14" t="s">
        <v>72</v>
      </c>
      <c r="V65" s="15" t="s">
        <v>520</v>
      </c>
      <c r="W65" s="29">
        <v>0</v>
      </c>
      <c r="X65" s="30">
        <f>IF('CRUDO MARTES'!X65="Si",$N65,)</f>
        <v>0</v>
      </c>
      <c r="Y65" s="30">
        <f>IF('CRUDO MARTES'!Y65="Si",$N65,)</f>
        <v>0</v>
      </c>
      <c r="Z65" s="30">
        <f>IF('CRUDO MARTES'!Z65="Si",$N65,)</f>
        <v>0</v>
      </c>
      <c r="AA65" s="30">
        <f>IF('CRUDO MARTES'!AA65="Si",$N65,)</f>
        <v>0</v>
      </c>
      <c r="AB65" s="30">
        <f>IF('CRUDO MARTES'!AB65="Si",$N65,)</f>
        <v>0</v>
      </c>
      <c r="AC65" s="30">
        <f>IF('CRUDO MARTES'!AC65="Si",$N65,)</f>
        <v>0</v>
      </c>
      <c r="AD65" s="30">
        <f>IF('CRUDO MARTES'!AD65="Si",$N65,)</f>
        <v>0</v>
      </c>
      <c r="AE65" s="30">
        <f>IF('CRUDO MARTES'!AE65="Si",$N65,)</f>
        <v>0</v>
      </c>
      <c r="AF65" s="30">
        <f>IF('CRUDO MARTES'!AF65="Si",$N65,)</f>
        <v>0</v>
      </c>
      <c r="AG65" s="30">
        <f>IF('CRUDO MARTES'!AG65="Si",$N65,)</f>
        <v>0</v>
      </c>
      <c r="AH65" s="30">
        <f>IF('CRUDO MARTES'!AH65="Si",$N65,)</f>
        <v>0</v>
      </c>
      <c r="AI65" s="30">
        <f>IF('CRUDO MARTES'!AI65="Si",$N65,)</f>
        <v>0</v>
      </c>
      <c r="AJ65" s="30">
        <f>IF('CRUDO MARTES'!AJ65="Si",$N65,)</f>
        <v>0</v>
      </c>
      <c r="AK65" s="30">
        <f>IF('CRUDO MARTES'!AK65="Si",$N65,)</f>
        <v>0</v>
      </c>
      <c r="AL65" s="30">
        <f>IF('CRUDO MARTES'!AL65="Si",$N65,)</f>
        <v>0</v>
      </c>
      <c r="AM65" s="30">
        <f>IF('CRUDO MARTES'!AM65="Si",$N65,)</f>
        <v>0</v>
      </c>
      <c r="AN65" s="30">
        <f>IF('CRUDO MARTES'!AN65="Si",$N65,)</f>
        <v>0</v>
      </c>
      <c r="AO65" s="30">
        <f>IF('CRUDO MARTES'!AO65="Si",$N65,)</f>
        <v>0</v>
      </c>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row>
    <row r="66" spans="1:88" ht="13.2" hidden="1">
      <c r="A66" s="13">
        <v>45369.949660613427</v>
      </c>
      <c r="B66" s="14" t="s">
        <v>899</v>
      </c>
      <c r="C66" s="28" t="s">
        <v>900</v>
      </c>
      <c r="D66" s="14">
        <v>200740</v>
      </c>
      <c r="E66" s="14" t="s">
        <v>133</v>
      </c>
      <c r="F66" s="14" t="s">
        <v>901</v>
      </c>
      <c r="G66" s="14" t="s">
        <v>64</v>
      </c>
      <c r="H66" s="14" t="s">
        <v>902</v>
      </c>
      <c r="I66" s="14" t="s">
        <v>903</v>
      </c>
      <c r="J66" s="16"/>
      <c r="K66" s="14" t="s">
        <v>899</v>
      </c>
      <c r="L66" s="14" t="s">
        <v>89</v>
      </c>
      <c r="M66" s="14" t="s">
        <v>446</v>
      </c>
      <c r="N66" s="14">
        <v>0</v>
      </c>
      <c r="O66" s="14" t="s">
        <v>70</v>
      </c>
      <c r="P66" s="14">
        <v>4</v>
      </c>
      <c r="Q66" s="14">
        <v>4</v>
      </c>
      <c r="R66" s="14">
        <v>10</v>
      </c>
      <c r="S66" s="16"/>
      <c r="T66" s="14" t="s">
        <v>71</v>
      </c>
      <c r="U66" s="14" t="s">
        <v>72</v>
      </c>
      <c r="V66" s="15" t="s">
        <v>520</v>
      </c>
      <c r="W66" s="30">
        <f>IF('CRUDO MARTES'!W66="Si",$N66,)</f>
        <v>0</v>
      </c>
      <c r="X66" s="30">
        <f>IF('CRUDO MARTES'!X66="Si",$N66,)</f>
        <v>0</v>
      </c>
      <c r="Y66" s="30">
        <f>IF('CRUDO MARTES'!Y66="Si",$N66,)</f>
        <v>0</v>
      </c>
      <c r="Z66" s="30">
        <f>IF('CRUDO MARTES'!Z66="Si",$N66,)</f>
        <v>0</v>
      </c>
      <c r="AA66" s="30">
        <f>IF('CRUDO MARTES'!AA66="Si",$N66,)</f>
        <v>0</v>
      </c>
      <c r="AB66" s="30">
        <f>IF('CRUDO MARTES'!AB66="Si",$N66,)</f>
        <v>0</v>
      </c>
      <c r="AC66" s="30">
        <f>IF('CRUDO MARTES'!AC66="Si",$N66,)</f>
        <v>0</v>
      </c>
      <c r="AD66" s="30">
        <f>IF('CRUDO MARTES'!AD66="Si",$N66,)</f>
        <v>0</v>
      </c>
      <c r="AE66" s="30">
        <f>IF('CRUDO MARTES'!AE66="Si",$N66,)</f>
        <v>0</v>
      </c>
      <c r="AF66" s="30">
        <f>IF('CRUDO MARTES'!AF66="Si",$N66,)</f>
        <v>0</v>
      </c>
      <c r="AG66" s="30">
        <f>IF('CRUDO MARTES'!AG66="Si",$N66,)</f>
        <v>0</v>
      </c>
      <c r="AH66" s="29">
        <v>0</v>
      </c>
      <c r="AI66" s="30">
        <f>IF('CRUDO MARTES'!AI66="Si",$N66,)</f>
        <v>0</v>
      </c>
      <c r="AJ66" s="30">
        <f>IF('CRUDO MARTES'!AJ66="Si",$N66,)</f>
        <v>0</v>
      </c>
      <c r="AK66" s="30">
        <f>IF('CRUDO MARTES'!AK66="Si",$N66,)</f>
        <v>0</v>
      </c>
      <c r="AL66" s="30">
        <f>IF('CRUDO MARTES'!AL66="Si",$N66,)</f>
        <v>0</v>
      </c>
      <c r="AM66" s="29">
        <v>0</v>
      </c>
      <c r="AN66" s="30">
        <f>IF('CRUDO MARTES'!AN66="Si",$N66,)</f>
        <v>0</v>
      </c>
      <c r="AO66" s="30">
        <f>IF('CRUDO MARTES'!AO66="Si",$N66,)</f>
        <v>0</v>
      </c>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row>
    <row r="67" spans="1:88" ht="13.2" hidden="1">
      <c r="A67" s="13">
        <v>45369.970670740746</v>
      </c>
      <c r="B67" s="14" t="s">
        <v>904</v>
      </c>
      <c r="C67" s="28" t="s">
        <v>905</v>
      </c>
      <c r="D67" s="14">
        <v>201690</v>
      </c>
      <c r="E67" s="14" t="s">
        <v>84</v>
      </c>
      <c r="F67" s="14" t="s">
        <v>304</v>
      </c>
      <c r="G67" s="14" t="s">
        <v>64</v>
      </c>
      <c r="H67" s="14" t="s">
        <v>906</v>
      </c>
      <c r="I67" s="14" t="s">
        <v>907</v>
      </c>
      <c r="J67" s="14" t="s">
        <v>908</v>
      </c>
      <c r="K67" s="14" t="s">
        <v>904</v>
      </c>
      <c r="L67" s="14" t="s">
        <v>89</v>
      </c>
      <c r="M67" s="14" t="s">
        <v>446</v>
      </c>
      <c r="N67" s="14">
        <v>0</v>
      </c>
      <c r="O67" s="14" t="s">
        <v>70</v>
      </c>
      <c r="P67" s="14">
        <v>5</v>
      </c>
      <c r="Q67" s="14">
        <v>5</v>
      </c>
      <c r="R67" s="14">
        <v>0</v>
      </c>
      <c r="S67" s="16"/>
      <c r="T67" s="14" t="s">
        <v>71</v>
      </c>
      <c r="U67" s="14" t="s">
        <v>72</v>
      </c>
      <c r="V67" s="15" t="s">
        <v>520</v>
      </c>
      <c r="W67" s="29">
        <v>0</v>
      </c>
      <c r="X67" s="29">
        <v>0</v>
      </c>
      <c r="Y67" s="30">
        <f>IF('CRUDO MARTES'!Y67="Si",$N67,)</f>
        <v>0</v>
      </c>
      <c r="Z67" s="30">
        <f>IF('CRUDO MARTES'!Z67="Si",$N67,)</f>
        <v>0</v>
      </c>
      <c r="AA67" s="30">
        <f>IF('CRUDO MARTES'!AA67="Si",$N67,)</f>
        <v>0</v>
      </c>
      <c r="AB67" s="29">
        <v>0</v>
      </c>
      <c r="AC67" s="29">
        <v>0</v>
      </c>
      <c r="AD67" s="30">
        <f>IF('CRUDO MARTES'!AD67="Si",$N67,)</f>
        <v>0</v>
      </c>
      <c r="AE67" s="30">
        <f>IF('CRUDO MARTES'!AE67="Si",$N67,)</f>
        <v>0</v>
      </c>
      <c r="AF67" s="30">
        <f>IF('CRUDO MARTES'!AF67="Si",$N67,)</f>
        <v>0</v>
      </c>
      <c r="AG67" s="29">
        <v>0</v>
      </c>
      <c r="AH67" s="29">
        <v>0</v>
      </c>
      <c r="AI67" s="29">
        <v>0</v>
      </c>
      <c r="AJ67" s="30">
        <f>IF('CRUDO MARTES'!AJ67="Si",$N67,)</f>
        <v>0</v>
      </c>
      <c r="AK67" s="30">
        <f>IF('CRUDO MARTES'!AK67="Si",$N67,)</f>
        <v>0</v>
      </c>
      <c r="AL67" s="31">
        <f>IF('CRUDO MARTES'!AL67="Si",$N67,)</f>
        <v>0</v>
      </c>
      <c r="AM67" s="29">
        <v>0</v>
      </c>
      <c r="AN67" s="30">
        <f>IF('CRUDO MARTES'!AN67="Si",$N67,)</f>
        <v>0</v>
      </c>
      <c r="AO67" s="30">
        <f>IF('CRUDO MARTES'!AO67="Si",$N67,)</f>
        <v>0</v>
      </c>
      <c r="AP67" s="14" t="s">
        <v>909</v>
      </c>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row>
    <row r="68" spans="1:88" ht="13.2" hidden="1">
      <c r="A68" s="13">
        <v>45369.973896504627</v>
      </c>
      <c r="B68" s="14" t="s">
        <v>904</v>
      </c>
      <c r="C68" s="28" t="s">
        <v>910</v>
      </c>
      <c r="D68" s="14">
        <v>201690</v>
      </c>
      <c r="E68" s="14" t="s">
        <v>84</v>
      </c>
      <c r="F68" s="14" t="s">
        <v>304</v>
      </c>
      <c r="G68" s="14" t="s">
        <v>64</v>
      </c>
      <c r="H68" s="14" t="s">
        <v>906</v>
      </c>
      <c r="I68" s="14" t="s">
        <v>911</v>
      </c>
      <c r="J68" s="14" t="s">
        <v>908</v>
      </c>
      <c r="K68" s="14" t="s">
        <v>904</v>
      </c>
      <c r="L68" s="14" t="s">
        <v>89</v>
      </c>
      <c r="M68" s="14" t="s">
        <v>446</v>
      </c>
      <c r="N68" s="14">
        <v>0</v>
      </c>
      <c r="O68" s="14" t="s">
        <v>70</v>
      </c>
      <c r="P68" s="14">
        <v>5</v>
      </c>
      <c r="Q68" s="14">
        <v>5</v>
      </c>
      <c r="R68" s="14">
        <v>0</v>
      </c>
      <c r="S68" s="16"/>
      <c r="T68" s="14" t="s">
        <v>71</v>
      </c>
      <c r="U68" s="14" t="s">
        <v>72</v>
      </c>
      <c r="V68" s="15" t="s">
        <v>520</v>
      </c>
      <c r="W68" s="29">
        <v>0</v>
      </c>
      <c r="X68" s="29">
        <v>0</v>
      </c>
      <c r="Y68" s="30">
        <f>IF('CRUDO MARTES'!Y68="Si",$N68,)</f>
        <v>0</v>
      </c>
      <c r="Z68" s="30">
        <f>IF('CRUDO MARTES'!Z68="Si",$N68,)</f>
        <v>0</v>
      </c>
      <c r="AA68" s="30">
        <f>IF('CRUDO MARTES'!AA68="Si",$N68,)</f>
        <v>0</v>
      </c>
      <c r="AB68" s="29">
        <v>0</v>
      </c>
      <c r="AC68" s="29">
        <v>0</v>
      </c>
      <c r="AD68" s="30">
        <f>IF('CRUDO MARTES'!AD68="Si",$N68,)</f>
        <v>0</v>
      </c>
      <c r="AE68" s="30">
        <f>IF('CRUDO MARTES'!AE68="Si",$N68,)</f>
        <v>0</v>
      </c>
      <c r="AF68" s="30">
        <f>IF('CRUDO MARTES'!AF68="Si",$N68,)</f>
        <v>0</v>
      </c>
      <c r="AG68" s="29">
        <v>0</v>
      </c>
      <c r="AH68" s="29">
        <v>0</v>
      </c>
      <c r="AI68" s="29">
        <v>0</v>
      </c>
      <c r="AJ68" s="30">
        <f>IF('CRUDO MARTES'!AJ68="Si",$N68,)</f>
        <v>0</v>
      </c>
      <c r="AK68" s="30">
        <f>IF('CRUDO MARTES'!AK68="Si",$N68,)</f>
        <v>0</v>
      </c>
      <c r="AL68" s="31">
        <f>IF('CRUDO MARTES'!AL68="Si",$N68,)</f>
        <v>0</v>
      </c>
      <c r="AM68" s="29">
        <v>0</v>
      </c>
      <c r="AN68" s="30">
        <f>IF('CRUDO MARTES'!AN68="Si",$N68,)</f>
        <v>0</v>
      </c>
      <c r="AO68" s="30">
        <f>IF('CRUDO MARTES'!AO68="Si",$N68,)</f>
        <v>0</v>
      </c>
      <c r="AP68" s="14" t="s">
        <v>909</v>
      </c>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row>
    <row r="69" spans="1:88" ht="13.2" hidden="1">
      <c r="A69" s="21">
        <v>45369.976511724541</v>
      </c>
      <c r="B69" s="22" t="s">
        <v>904</v>
      </c>
      <c r="C69" s="22" t="s">
        <v>910</v>
      </c>
      <c r="D69" s="22">
        <v>201690</v>
      </c>
      <c r="E69" s="22" t="s">
        <v>84</v>
      </c>
      <c r="F69" s="22" t="s">
        <v>304</v>
      </c>
      <c r="G69" s="22" t="s">
        <v>64</v>
      </c>
      <c r="H69" s="22" t="s">
        <v>906</v>
      </c>
      <c r="I69" s="22" t="s">
        <v>911</v>
      </c>
      <c r="J69" s="22" t="s">
        <v>908</v>
      </c>
      <c r="K69" s="22" t="s">
        <v>904</v>
      </c>
      <c r="L69" s="22" t="s">
        <v>89</v>
      </c>
      <c r="M69" s="22" t="s">
        <v>446</v>
      </c>
      <c r="N69" s="22">
        <v>0</v>
      </c>
      <c r="O69" s="22" t="s">
        <v>148</v>
      </c>
      <c r="P69" s="22">
        <v>5</v>
      </c>
      <c r="Q69" s="22">
        <v>5</v>
      </c>
      <c r="R69" s="22">
        <v>0</v>
      </c>
      <c r="S69" s="25"/>
      <c r="T69" s="22" t="s">
        <v>71</v>
      </c>
      <c r="U69" s="22" t="s">
        <v>72</v>
      </c>
      <c r="V69" s="24" t="s">
        <v>520</v>
      </c>
      <c r="W69" s="26">
        <f>IF('CRUDO MARTES'!W69="Si",$N69,)</f>
        <v>0</v>
      </c>
      <c r="X69" s="26">
        <f>IF('CRUDO MARTES'!X69="Si",$N69,)</f>
        <v>0</v>
      </c>
      <c r="Y69" s="26">
        <f>IF('CRUDO MARTES'!Y69="Si",$N69,)</f>
        <v>0</v>
      </c>
      <c r="Z69" s="26">
        <f>IF('CRUDO MARTES'!Z69="Si",$N69,)</f>
        <v>0</v>
      </c>
      <c r="AA69" s="26">
        <f>IF('CRUDO MARTES'!AA69="Si",$N69,)</f>
        <v>0</v>
      </c>
      <c r="AB69" s="26">
        <f>IF('CRUDO MARTES'!AB69="Si",$N69,)</f>
        <v>0</v>
      </c>
      <c r="AC69" s="26">
        <f>IF('CRUDO MARTES'!AC69="Si",$N69,)</f>
        <v>0</v>
      </c>
      <c r="AD69" s="26">
        <f>IF('CRUDO MARTES'!AD69="Si",$N69,)</f>
        <v>0</v>
      </c>
      <c r="AE69" s="26">
        <f>IF('CRUDO MARTES'!AE69="Si",$N69,)</f>
        <v>0</v>
      </c>
      <c r="AF69" s="26">
        <f>IF('CRUDO MARTES'!AF69="Si",$N69,)</f>
        <v>0</v>
      </c>
      <c r="AG69" s="26">
        <f>IF('CRUDO MARTES'!AG69="Si",$N69,)</f>
        <v>0</v>
      </c>
      <c r="AH69" s="26">
        <f>IF('CRUDO MARTES'!AH69="Si",$N69,)</f>
        <v>0</v>
      </c>
      <c r="AI69" s="26">
        <f>IF('CRUDO MARTES'!AI69="Si",$N69,)</f>
        <v>0</v>
      </c>
      <c r="AJ69" s="26">
        <f>IF('CRUDO MARTES'!AJ69="Si",$N69,)</f>
        <v>0</v>
      </c>
      <c r="AK69" s="26">
        <f>IF('CRUDO MARTES'!AK69="Si",$N69,)</f>
        <v>0</v>
      </c>
      <c r="AL69" s="26">
        <f>IF('CRUDO MARTES'!AL69="Si",$N69,)</f>
        <v>0</v>
      </c>
      <c r="AM69" s="26">
        <f>IF('CRUDO MARTES'!AM69="Si",$N69,)</f>
        <v>0</v>
      </c>
      <c r="AN69" s="26">
        <f>IF('CRUDO MARTES'!AN69="Si",$N69,)</f>
        <v>0</v>
      </c>
      <c r="AO69" s="26">
        <f>IF('CRUDO MARTES'!AO69="Si",$N69,)</f>
        <v>0</v>
      </c>
      <c r="AP69" s="22" t="s">
        <v>909</v>
      </c>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row>
    <row r="70" spans="1:88" ht="13.2" hidden="1">
      <c r="A70" s="21">
        <v>45369.978644664356</v>
      </c>
      <c r="B70" s="22" t="s">
        <v>904</v>
      </c>
      <c r="C70" s="22" t="s">
        <v>910</v>
      </c>
      <c r="D70" s="22">
        <v>201690</v>
      </c>
      <c r="E70" s="22" t="s">
        <v>84</v>
      </c>
      <c r="F70" s="22" t="s">
        <v>304</v>
      </c>
      <c r="G70" s="22" t="s">
        <v>64</v>
      </c>
      <c r="H70" s="22" t="s">
        <v>906</v>
      </c>
      <c r="I70" s="22" t="s">
        <v>911</v>
      </c>
      <c r="J70" s="22" t="s">
        <v>908</v>
      </c>
      <c r="K70" s="22" t="s">
        <v>904</v>
      </c>
      <c r="L70" s="22" t="s">
        <v>89</v>
      </c>
      <c r="M70" s="22" t="s">
        <v>446</v>
      </c>
      <c r="N70" s="22">
        <v>0</v>
      </c>
      <c r="O70" s="22" t="s">
        <v>148</v>
      </c>
      <c r="P70" s="22">
        <v>5</v>
      </c>
      <c r="Q70" s="22">
        <v>5</v>
      </c>
      <c r="R70" s="22">
        <v>0</v>
      </c>
      <c r="S70" s="25"/>
      <c r="T70" s="22" t="s">
        <v>71</v>
      </c>
      <c r="U70" s="22" t="s">
        <v>72</v>
      </c>
      <c r="V70" s="24" t="s">
        <v>520</v>
      </c>
      <c r="W70" s="26">
        <f>IF('CRUDO MARTES'!W70="Si",$N70,)</f>
        <v>0</v>
      </c>
      <c r="X70" s="26">
        <f>IF('CRUDO MARTES'!X70="Si",$N70,)</f>
        <v>0</v>
      </c>
      <c r="Y70" s="26">
        <f>IF('CRUDO MARTES'!Y70="Si",$N70,)</f>
        <v>0</v>
      </c>
      <c r="Z70" s="26">
        <f>IF('CRUDO MARTES'!Z70="Si",$N70,)</f>
        <v>0</v>
      </c>
      <c r="AA70" s="26">
        <f>IF('CRUDO MARTES'!AA70="Si",$N70,)</f>
        <v>0</v>
      </c>
      <c r="AB70" s="26">
        <f>IF('CRUDO MARTES'!AB70="Si",$N70,)</f>
        <v>0</v>
      </c>
      <c r="AC70" s="26">
        <f>IF('CRUDO MARTES'!AC70="Si",$N70,)</f>
        <v>0</v>
      </c>
      <c r="AD70" s="26">
        <f>IF('CRUDO MARTES'!AD70="Si",$N70,)</f>
        <v>0</v>
      </c>
      <c r="AE70" s="26">
        <f>IF('CRUDO MARTES'!AE70="Si",$N70,)</f>
        <v>0</v>
      </c>
      <c r="AF70" s="26">
        <f>IF('CRUDO MARTES'!AF70="Si",$N70,)</f>
        <v>0</v>
      </c>
      <c r="AG70" s="26">
        <f>IF('CRUDO MARTES'!AG70="Si",$N70,)</f>
        <v>0</v>
      </c>
      <c r="AH70" s="26">
        <f>IF('CRUDO MARTES'!AH70="Si",$N70,)</f>
        <v>0</v>
      </c>
      <c r="AI70" s="26">
        <f>IF('CRUDO MARTES'!AI70="Si",$N70,)</f>
        <v>0</v>
      </c>
      <c r="AJ70" s="26">
        <f>IF('CRUDO MARTES'!AJ70="Si",$N70,)</f>
        <v>0</v>
      </c>
      <c r="AK70" s="26">
        <f>IF('CRUDO MARTES'!AK70="Si",$N70,)</f>
        <v>0</v>
      </c>
      <c r="AL70" s="26">
        <f>IF('CRUDO MARTES'!AL70="Si",$N70,)</f>
        <v>0</v>
      </c>
      <c r="AM70" s="26">
        <f>IF('CRUDO MARTES'!AM70="Si",$N70,)</f>
        <v>0</v>
      </c>
      <c r="AN70" s="26">
        <f>IF('CRUDO MARTES'!AN70="Si",$N70,)</f>
        <v>0</v>
      </c>
      <c r="AO70" s="26">
        <f>IF('CRUDO MARTES'!AO70="Si",$N70,)</f>
        <v>0</v>
      </c>
      <c r="AP70" s="22" t="s">
        <v>909</v>
      </c>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row>
    <row r="71" spans="1:88" ht="13.2" hidden="1">
      <c r="A71" s="13">
        <v>45369.989024675924</v>
      </c>
      <c r="B71" s="14" t="s">
        <v>912</v>
      </c>
      <c r="C71" s="28" t="s">
        <v>913</v>
      </c>
      <c r="D71" s="14">
        <v>61726900</v>
      </c>
      <c r="E71" s="14" t="s">
        <v>62</v>
      </c>
      <c r="F71" s="14" t="s">
        <v>914</v>
      </c>
      <c r="G71" s="14" t="s">
        <v>105</v>
      </c>
      <c r="H71" s="14" t="s">
        <v>915</v>
      </c>
      <c r="I71" s="14" t="s">
        <v>916</v>
      </c>
      <c r="J71" s="16"/>
      <c r="K71" s="14" t="s">
        <v>912</v>
      </c>
      <c r="L71" s="14" t="s">
        <v>245</v>
      </c>
      <c r="M71" s="14" t="s">
        <v>246</v>
      </c>
      <c r="N71" s="14">
        <v>0</v>
      </c>
      <c r="O71" s="14" t="s">
        <v>70</v>
      </c>
      <c r="P71" s="14">
        <v>2</v>
      </c>
      <c r="Q71" s="14">
        <v>1</v>
      </c>
      <c r="R71" s="14">
        <v>15</v>
      </c>
      <c r="S71" s="14" t="s">
        <v>917</v>
      </c>
      <c r="T71" s="14" t="s">
        <v>71</v>
      </c>
      <c r="U71" s="14" t="s">
        <v>72</v>
      </c>
      <c r="V71" s="15" t="s">
        <v>520</v>
      </c>
      <c r="W71" s="29">
        <v>0</v>
      </c>
      <c r="X71" s="30">
        <f>IF('CRUDO MARTES'!X71="Si",$N71,)</f>
        <v>0</v>
      </c>
      <c r="Y71" s="30">
        <f>IF('CRUDO MARTES'!Y71="Si",$N71,)</f>
        <v>0</v>
      </c>
      <c r="Z71" s="30">
        <f>IF('CRUDO MARTES'!Z71="Si",$N71,)</f>
        <v>0</v>
      </c>
      <c r="AA71" s="30">
        <f>IF('CRUDO MARTES'!AA71="Si",$N71,)</f>
        <v>0</v>
      </c>
      <c r="AB71" s="29">
        <v>0</v>
      </c>
      <c r="AC71" s="30">
        <f>IF('CRUDO MARTES'!AC71="Si",$N71,)</f>
        <v>0</v>
      </c>
      <c r="AD71" s="30">
        <f>IF('CRUDO MARTES'!AD71="Si",$N71,)</f>
        <v>0</v>
      </c>
      <c r="AE71" s="30">
        <f>IF('CRUDO MARTES'!AE71="Si",$N71,)</f>
        <v>0</v>
      </c>
      <c r="AF71" s="30">
        <f>IF('CRUDO MARTES'!AF71="Si",$N71,)</f>
        <v>0</v>
      </c>
      <c r="AG71" s="29">
        <v>0</v>
      </c>
      <c r="AH71" s="29">
        <v>0</v>
      </c>
      <c r="AI71" s="29">
        <v>0</v>
      </c>
      <c r="AJ71" s="30">
        <f>IF('CRUDO MARTES'!AJ71="Si",$N71,)</f>
        <v>0</v>
      </c>
      <c r="AK71" s="30">
        <f>IF('CRUDO MARTES'!AK71="Si",$N71,)</f>
        <v>0</v>
      </c>
      <c r="AL71" s="29">
        <v>0</v>
      </c>
      <c r="AM71" s="30">
        <f>IF('CRUDO MARTES'!AM71="Si",$N71,)</f>
        <v>0</v>
      </c>
      <c r="AN71" s="30">
        <f>IF('CRUDO MARTES'!AN71="Si",$N71,)</f>
        <v>0</v>
      </c>
      <c r="AO71" s="30">
        <f>IF('CRUDO MARTES'!AO71="Si",$N71,)</f>
        <v>0</v>
      </c>
      <c r="AP71" s="14" t="s">
        <v>918</v>
      </c>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row>
    <row r="72" spans="1:88" ht="13.2" hidden="1">
      <c r="A72" s="13">
        <v>45365.419531574073</v>
      </c>
      <c r="B72" s="14" t="s">
        <v>718</v>
      </c>
      <c r="C72" s="28" t="s">
        <v>719</v>
      </c>
      <c r="D72" s="15" t="s">
        <v>720</v>
      </c>
      <c r="E72" s="14" t="s">
        <v>286</v>
      </c>
      <c r="F72" s="14" t="s">
        <v>721</v>
      </c>
      <c r="G72" s="14" t="s">
        <v>105</v>
      </c>
      <c r="H72" s="14" t="s">
        <v>722</v>
      </c>
      <c r="I72" s="14" t="s">
        <v>723</v>
      </c>
      <c r="J72" s="16"/>
      <c r="K72" s="14" t="s">
        <v>718</v>
      </c>
      <c r="L72" s="14" t="s">
        <v>138</v>
      </c>
      <c r="M72" s="14" t="s">
        <v>281</v>
      </c>
      <c r="N72" s="14">
        <v>0</v>
      </c>
      <c r="O72" s="14" t="s">
        <v>282</v>
      </c>
      <c r="P72" s="14">
        <v>5</v>
      </c>
      <c r="Q72" s="14">
        <v>5</v>
      </c>
      <c r="R72" s="14">
        <v>45</v>
      </c>
      <c r="S72" s="14" t="s">
        <v>200</v>
      </c>
      <c r="T72" s="14" t="s">
        <v>71</v>
      </c>
      <c r="U72" s="14" t="s">
        <v>72</v>
      </c>
      <c r="V72" s="15" t="s">
        <v>520</v>
      </c>
      <c r="W72" s="30">
        <f>IF('CRUDO MARTES'!W72="Si",$N72,)</f>
        <v>0</v>
      </c>
      <c r="X72" s="30">
        <f>IF('CRUDO MARTES'!X72="Si",$N72,)</f>
        <v>0</v>
      </c>
      <c r="Y72" s="30">
        <f>IF('CRUDO MARTES'!Y72="Si",$N72,)</f>
        <v>0</v>
      </c>
      <c r="Z72" s="30">
        <f>IF('CRUDO MARTES'!Z72="Si",$N72,)</f>
        <v>0</v>
      </c>
      <c r="AA72" s="30">
        <f>IF('CRUDO MARTES'!AA72="Si",$N72,)</f>
        <v>0</v>
      </c>
      <c r="AB72" s="30">
        <f>IF('CRUDO MARTES'!AB72="Si",$N72,)</f>
        <v>0</v>
      </c>
      <c r="AC72" s="30">
        <f>IF('CRUDO MARTES'!AC72="Si",$N72,)</f>
        <v>0</v>
      </c>
      <c r="AD72" s="30">
        <f>IF('CRUDO MARTES'!AD72="Si",$N72,)</f>
        <v>0</v>
      </c>
      <c r="AE72" s="30">
        <f>IF('CRUDO MARTES'!AE72="Si",$N72,)</f>
        <v>0</v>
      </c>
      <c r="AF72" s="30">
        <f>IF('CRUDO MARTES'!AF72="Si",$N72,)</f>
        <v>0</v>
      </c>
      <c r="AG72" s="30">
        <f>IF('CRUDO MARTES'!AG72="Si",$N72,)</f>
        <v>0</v>
      </c>
      <c r="AH72" s="30">
        <f>IF('CRUDO MARTES'!AH72="Si",$N72,)</f>
        <v>0</v>
      </c>
      <c r="AI72" s="31">
        <f>IF('CRUDO MARTES'!AI72="Si",$N72,)</f>
        <v>0</v>
      </c>
      <c r="AJ72" s="30">
        <f>IF('CRUDO MARTES'!AJ72="Si",$N72,)</f>
        <v>0</v>
      </c>
      <c r="AK72" s="30">
        <f>IF('CRUDO MARTES'!AK72="Si",$N72,)</f>
        <v>0</v>
      </c>
      <c r="AL72" s="29">
        <v>0</v>
      </c>
      <c r="AM72" s="30">
        <f>IF('CRUDO MARTES'!AM72="Si",$N72,)</f>
        <v>0</v>
      </c>
      <c r="AN72" s="30">
        <f>IF('CRUDO MARTES'!AN72="Si",$N72,)</f>
        <v>0</v>
      </c>
      <c r="AO72" s="30">
        <f>IF('CRUDO MARTES'!AO72="Si",$N72,)</f>
        <v>0</v>
      </c>
      <c r="AP72" s="14" t="s">
        <v>724</v>
      </c>
    </row>
    <row r="73" spans="1:88" ht="26.4">
      <c r="A73" s="47">
        <v>45367.5013937037</v>
      </c>
      <c r="B73" s="48" t="s">
        <v>808</v>
      </c>
      <c r="C73" s="49" t="s">
        <v>421</v>
      </c>
      <c r="D73" s="48">
        <v>20116900</v>
      </c>
      <c r="E73" s="48" t="s">
        <v>286</v>
      </c>
      <c r="F73" s="48" t="s">
        <v>422</v>
      </c>
      <c r="G73" s="48" t="s">
        <v>105</v>
      </c>
      <c r="H73" s="48" t="s">
        <v>423</v>
      </c>
      <c r="I73" s="48" t="s">
        <v>423</v>
      </c>
      <c r="J73" s="48" t="s">
        <v>809</v>
      </c>
      <c r="K73" s="48" t="s">
        <v>808</v>
      </c>
      <c r="L73" s="48" t="s">
        <v>89</v>
      </c>
      <c r="M73" s="48" t="s">
        <v>425</v>
      </c>
      <c r="N73" s="48">
        <v>35</v>
      </c>
      <c r="O73" s="48" t="s">
        <v>282</v>
      </c>
      <c r="P73" s="48">
        <v>5</v>
      </c>
      <c r="Q73" s="48">
        <v>4</v>
      </c>
      <c r="R73" s="48">
        <v>60</v>
      </c>
      <c r="S73" s="51"/>
      <c r="T73" s="48" t="s">
        <v>71</v>
      </c>
      <c r="U73" s="48" t="s">
        <v>72</v>
      </c>
      <c r="V73" s="50" t="s">
        <v>520</v>
      </c>
      <c r="W73" s="52">
        <f>IF('CRUDO MARTES'!W73="Si",$N73,)</f>
        <v>35</v>
      </c>
      <c r="X73" s="53">
        <v>0</v>
      </c>
      <c r="Y73" s="53">
        <v>0</v>
      </c>
      <c r="Z73" s="52">
        <f>IF('CRUDO MARTES'!Z73="Si",$N73,)</f>
        <v>0</v>
      </c>
      <c r="AA73" s="53">
        <v>0</v>
      </c>
      <c r="AB73" s="53">
        <v>0</v>
      </c>
      <c r="AC73" s="52">
        <f>IF('CRUDO MARTES'!AC73="Si",$N73,)</f>
        <v>35</v>
      </c>
      <c r="AD73" s="52">
        <f>IF('CRUDO MARTES'!AD73="Si",$N73,)</f>
        <v>0</v>
      </c>
      <c r="AE73" s="52"/>
      <c r="AF73" s="52">
        <f>IF('CRUDO MARTES'!AF73="Si",$N73,)</f>
        <v>0</v>
      </c>
      <c r="AG73" s="53">
        <v>0</v>
      </c>
      <c r="AH73" s="54">
        <f>IF('CRUDO MARTES'!AH73="Si",$N73,)</f>
        <v>35</v>
      </c>
      <c r="AI73" s="53">
        <v>0</v>
      </c>
      <c r="AJ73" s="52">
        <f>IF('CRUDO MARTES'!AJ73="Si",$N73,)</f>
        <v>0</v>
      </c>
      <c r="AK73" s="52">
        <f>IF('CRUDO MARTES'!AK73="Si",$N73,)</f>
        <v>0</v>
      </c>
      <c r="AL73" s="53">
        <v>0</v>
      </c>
      <c r="AM73" s="53">
        <v>0</v>
      </c>
      <c r="AN73" s="52">
        <f>IF('CRUDO MARTES'!AN73="Si",$N73,)</f>
        <v>0</v>
      </c>
      <c r="AO73" s="52">
        <f>IF('CRUDO MARTES'!AO73="Si",$N73,)</f>
        <v>0</v>
      </c>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row>
    <row r="74" spans="1:88" ht="13.2" hidden="1">
      <c r="A74" s="13">
        <v>45369.031134166667</v>
      </c>
      <c r="B74" s="14" t="s">
        <v>853</v>
      </c>
      <c r="C74" s="28" t="s">
        <v>854</v>
      </c>
      <c r="D74" s="14">
        <v>61114200</v>
      </c>
      <c r="E74" s="14" t="s">
        <v>62</v>
      </c>
      <c r="F74" s="14" t="s">
        <v>855</v>
      </c>
      <c r="G74" s="14" t="s">
        <v>105</v>
      </c>
      <c r="H74" s="14" t="s">
        <v>856</v>
      </c>
      <c r="I74" s="14" t="s">
        <v>857</v>
      </c>
      <c r="J74" s="16"/>
      <c r="K74" s="14" t="s">
        <v>853</v>
      </c>
      <c r="L74" s="14" t="s">
        <v>245</v>
      </c>
      <c r="M74" s="14" t="s">
        <v>858</v>
      </c>
      <c r="N74" s="14">
        <v>0</v>
      </c>
      <c r="O74" s="14" t="s">
        <v>282</v>
      </c>
      <c r="P74" s="14">
        <v>1</v>
      </c>
      <c r="Q74" s="14">
        <v>1</v>
      </c>
      <c r="R74" s="14">
        <v>50</v>
      </c>
      <c r="S74" s="14" t="s">
        <v>859</v>
      </c>
      <c r="T74" s="14" t="s">
        <v>71</v>
      </c>
      <c r="U74" s="14" t="s">
        <v>72</v>
      </c>
      <c r="V74" s="15" t="s">
        <v>520</v>
      </c>
      <c r="W74" s="30">
        <f>IF('CRUDO MARTES'!W74="Si",$N74,)</f>
        <v>0</v>
      </c>
      <c r="X74" s="30">
        <f>IF('CRUDO MARTES'!X74="Si",$N74,)</f>
        <v>0</v>
      </c>
      <c r="Y74" s="30">
        <f>IF('CRUDO MARTES'!Y74="Si",$N74,)</f>
        <v>0</v>
      </c>
      <c r="Z74" s="30">
        <f>IF('CRUDO MARTES'!Z74="Si",$N74,)</f>
        <v>0</v>
      </c>
      <c r="AA74" s="30">
        <f>IF('CRUDO MARTES'!AA74="Si",$N74,)</f>
        <v>0</v>
      </c>
      <c r="AB74" s="30">
        <f>IF('CRUDO MARTES'!AB74="Si",$N74,)</f>
        <v>0</v>
      </c>
      <c r="AC74" s="30">
        <f>IF('CRUDO MARTES'!AC74="Si",$N74,)</f>
        <v>0</v>
      </c>
      <c r="AD74" s="30">
        <f>IF('CRUDO MARTES'!AD74="Si",$N74,)</f>
        <v>0</v>
      </c>
      <c r="AE74" s="29">
        <v>0</v>
      </c>
      <c r="AF74" s="30">
        <f>IF('CRUDO MARTES'!AF74="Si",$N74,)</f>
        <v>0</v>
      </c>
      <c r="AG74" s="30">
        <f>IF('CRUDO MARTES'!AG74="Si",$N74,)</f>
        <v>0</v>
      </c>
      <c r="AH74" s="30">
        <f>IF('CRUDO MARTES'!AH74="Si",$N74,)</f>
        <v>0</v>
      </c>
      <c r="AI74" s="30">
        <f>IF('CRUDO MARTES'!AI74="Si",$N74,)</f>
        <v>0</v>
      </c>
      <c r="AJ74" s="29">
        <v>0</v>
      </c>
      <c r="AK74" s="30">
        <f>IF('CRUDO MARTES'!AK74="Si",$N74,)</f>
        <v>0</v>
      </c>
      <c r="AL74" s="30">
        <f>IF('CRUDO MARTES'!AL74="Si",$N74,)</f>
        <v>0</v>
      </c>
      <c r="AM74" s="30">
        <f>IF('CRUDO MARTES'!AM74="Si",$N74,)</f>
        <v>0</v>
      </c>
      <c r="AN74" s="30">
        <f>IF('CRUDO MARTES'!AN74="Si",$N74,)</f>
        <v>0</v>
      </c>
      <c r="AO74" s="31">
        <f>IF('CRUDO MARTES'!AO74="Si",$N74,)</f>
        <v>0</v>
      </c>
      <c r="AP74" s="14" t="s">
        <v>860</v>
      </c>
    </row>
    <row r="75" spans="1:88" ht="13.2" hidden="1"/>
    <row r="76" spans="1:88" ht="13.2">
      <c r="C76" s="35"/>
      <c r="N76" s="17">
        <f>SUM(N2:N73)</f>
        <v>587</v>
      </c>
    </row>
    <row r="77" spans="1:88" ht="13.2">
      <c r="C77" s="35"/>
    </row>
    <row r="78" spans="1:88" ht="13.2">
      <c r="C78" s="35"/>
      <c r="W78" s="12">
        <f t="shared" ref="W78:AO78" si="0">SUM(W1:W74)</f>
        <v>301</v>
      </c>
      <c r="X78" s="12">
        <f t="shared" si="0"/>
        <v>346</v>
      </c>
      <c r="Y78" s="12">
        <f t="shared" si="0"/>
        <v>180</v>
      </c>
      <c r="Z78" s="12">
        <f t="shared" si="0"/>
        <v>249</v>
      </c>
      <c r="AA78" s="12">
        <f t="shared" si="0"/>
        <v>73</v>
      </c>
      <c r="AB78" s="12">
        <f t="shared" si="0"/>
        <v>95</v>
      </c>
      <c r="AC78" s="12">
        <f t="shared" si="0"/>
        <v>221</v>
      </c>
      <c r="AD78" s="12">
        <f t="shared" si="0"/>
        <v>109</v>
      </c>
      <c r="AE78" s="12">
        <f t="shared" si="0"/>
        <v>273</v>
      </c>
      <c r="AF78" s="12">
        <f t="shared" si="0"/>
        <v>35</v>
      </c>
      <c r="AG78" s="12">
        <f t="shared" si="0"/>
        <v>0</v>
      </c>
      <c r="AH78" s="12">
        <f t="shared" si="0"/>
        <v>69</v>
      </c>
      <c r="AI78" s="12">
        <f t="shared" si="0"/>
        <v>35</v>
      </c>
      <c r="AJ78" s="12">
        <f t="shared" si="0"/>
        <v>0</v>
      </c>
      <c r="AK78" s="12">
        <f t="shared" si="0"/>
        <v>60</v>
      </c>
      <c r="AL78" s="12">
        <f t="shared" si="0"/>
        <v>0</v>
      </c>
      <c r="AM78" s="12">
        <f t="shared" si="0"/>
        <v>35</v>
      </c>
      <c r="AN78" s="12">
        <f t="shared" si="0"/>
        <v>28</v>
      </c>
      <c r="AO78" s="12">
        <f t="shared" si="0"/>
        <v>24</v>
      </c>
    </row>
    <row r="79" spans="1:88" ht="13.2">
      <c r="C79" s="35"/>
      <c r="V79" s="6" t="s">
        <v>1269</v>
      </c>
      <c r="W79" s="17">
        <f>450+90</f>
        <v>540</v>
      </c>
      <c r="X79" s="6">
        <v>450</v>
      </c>
      <c r="Y79" s="6">
        <v>450</v>
      </c>
      <c r="Z79" s="6">
        <v>450</v>
      </c>
      <c r="AA79" s="6">
        <v>300</v>
      </c>
      <c r="AB79" s="6">
        <v>500</v>
      </c>
      <c r="AC79" s="6">
        <v>400</v>
      </c>
      <c r="AD79" s="6">
        <v>400</v>
      </c>
      <c r="AE79" s="6">
        <v>400</v>
      </c>
      <c r="AF79" s="6">
        <v>400</v>
      </c>
      <c r="AG79" s="6">
        <v>0</v>
      </c>
      <c r="AH79" s="17">
        <f>45+45+30+30</f>
        <v>150</v>
      </c>
      <c r="AI79" s="17">
        <f>45+45</f>
        <v>90</v>
      </c>
      <c r="AJ79" s="6">
        <v>45</v>
      </c>
      <c r="AK79" s="6">
        <f>30+30</f>
        <v>60</v>
      </c>
      <c r="AL79" s="6">
        <v>90</v>
      </c>
      <c r="AM79" s="6">
        <f t="shared" ref="AM79:AN79" si="1">30+30</f>
        <v>60</v>
      </c>
      <c r="AN79" s="6">
        <f t="shared" si="1"/>
        <v>60</v>
      </c>
      <c r="AO79" s="6">
        <f>30+30+30</f>
        <v>90</v>
      </c>
    </row>
    <row r="80" spans="1:88" ht="13.2">
      <c r="C80" s="35"/>
      <c r="W80" s="17">
        <f t="shared" ref="W80:AO80" si="2">W79-W78</f>
        <v>239</v>
      </c>
      <c r="X80" s="17">
        <f t="shared" si="2"/>
        <v>104</v>
      </c>
      <c r="Y80" s="17">
        <f t="shared" si="2"/>
        <v>270</v>
      </c>
      <c r="Z80" s="17">
        <f t="shared" si="2"/>
        <v>201</v>
      </c>
      <c r="AA80" s="17">
        <f t="shared" si="2"/>
        <v>227</v>
      </c>
      <c r="AB80" s="17">
        <f t="shared" si="2"/>
        <v>405</v>
      </c>
      <c r="AC80" s="17">
        <f t="shared" si="2"/>
        <v>179</v>
      </c>
      <c r="AD80" s="17">
        <f t="shared" si="2"/>
        <v>291</v>
      </c>
      <c r="AE80" s="17">
        <f t="shared" si="2"/>
        <v>127</v>
      </c>
      <c r="AF80" s="17">
        <f t="shared" si="2"/>
        <v>365</v>
      </c>
      <c r="AG80" s="17">
        <f t="shared" si="2"/>
        <v>0</v>
      </c>
      <c r="AH80" s="17">
        <f t="shared" si="2"/>
        <v>81</v>
      </c>
      <c r="AI80" s="17">
        <f t="shared" si="2"/>
        <v>55</v>
      </c>
      <c r="AJ80" s="17">
        <f t="shared" si="2"/>
        <v>45</v>
      </c>
      <c r="AK80" s="17">
        <f t="shared" si="2"/>
        <v>0</v>
      </c>
      <c r="AL80" s="17">
        <f t="shared" si="2"/>
        <v>90</v>
      </c>
      <c r="AM80" s="17">
        <f t="shared" si="2"/>
        <v>25</v>
      </c>
      <c r="AN80" s="17">
        <f t="shared" si="2"/>
        <v>32</v>
      </c>
      <c r="AO80" s="17">
        <f t="shared" si="2"/>
        <v>66</v>
      </c>
    </row>
    <row r="81" spans="3:3" ht="13.2">
      <c r="C81" s="35"/>
    </row>
    <row r="82" spans="3:3" ht="13.2">
      <c r="C82" s="35"/>
    </row>
    <row r="83" spans="3:3" ht="13.2">
      <c r="C83" s="35"/>
    </row>
    <row r="84" spans="3:3" ht="13.2">
      <c r="C84" s="35"/>
    </row>
    <row r="85" spans="3:3" ht="13.2">
      <c r="C85" s="35"/>
    </row>
    <row r="86" spans="3:3" ht="13.2">
      <c r="C86" s="35"/>
    </row>
    <row r="87" spans="3:3" ht="13.2">
      <c r="C87" s="35"/>
    </row>
    <row r="88" spans="3:3" ht="13.2">
      <c r="C88" s="35"/>
    </row>
    <row r="89" spans="3:3" ht="13.2">
      <c r="C89" s="35"/>
    </row>
    <row r="90" spans="3:3" ht="13.2">
      <c r="C90" s="35"/>
    </row>
    <row r="91" spans="3:3" ht="13.2">
      <c r="C91" s="35"/>
    </row>
    <row r="92" spans="3:3" ht="13.2">
      <c r="C92" s="35"/>
    </row>
    <row r="93" spans="3:3" ht="13.2">
      <c r="C93" s="35"/>
    </row>
    <row r="94" spans="3:3" ht="13.2">
      <c r="C94" s="35"/>
    </row>
    <row r="95" spans="3:3" ht="13.2">
      <c r="C95" s="35"/>
    </row>
    <row r="96" spans="3:3" ht="13.2">
      <c r="C96" s="35"/>
    </row>
    <row r="97" spans="3:3" ht="13.2">
      <c r="C97" s="35"/>
    </row>
    <row r="98" spans="3:3" ht="13.2">
      <c r="C98" s="35"/>
    </row>
    <row r="99" spans="3:3" ht="13.2">
      <c r="C99" s="35"/>
    </row>
    <row r="100" spans="3:3" ht="13.2">
      <c r="C100" s="35"/>
    </row>
    <row r="101" spans="3:3" ht="13.2">
      <c r="C101" s="35"/>
    </row>
    <row r="102" spans="3:3" ht="13.2">
      <c r="C102" s="35"/>
    </row>
    <row r="103" spans="3:3" ht="13.2">
      <c r="C103" s="35"/>
    </row>
    <row r="104" spans="3:3" ht="13.2">
      <c r="C104" s="35"/>
    </row>
    <row r="105" spans="3:3" ht="13.2">
      <c r="C105" s="35"/>
    </row>
    <row r="106" spans="3:3" ht="13.2">
      <c r="C106" s="35"/>
    </row>
    <row r="107" spans="3:3" ht="13.2">
      <c r="C107" s="35"/>
    </row>
    <row r="108" spans="3:3" ht="13.2">
      <c r="C108" s="35"/>
    </row>
    <row r="109" spans="3:3" ht="13.2">
      <c r="C109" s="35"/>
    </row>
    <row r="110" spans="3:3" ht="13.2">
      <c r="C110" s="35"/>
    </row>
    <row r="111" spans="3:3" ht="13.2">
      <c r="C111" s="35"/>
    </row>
    <row r="112" spans="3:3" ht="13.2">
      <c r="C112" s="35"/>
    </row>
    <row r="113" spans="3:3" ht="13.2">
      <c r="C113" s="35"/>
    </row>
    <row r="114" spans="3:3" ht="13.2">
      <c r="C114" s="35"/>
    </row>
    <row r="115" spans="3:3" ht="13.2">
      <c r="C115" s="35"/>
    </row>
    <row r="116" spans="3:3" ht="13.2">
      <c r="C116" s="35"/>
    </row>
    <row r="117" spans="3:3" ht="13.2">
      <c r="C117" s="35"/>
    </row>
    <row r="118" spans="3:3" ht="13.2">
      <c r="C118" s="35"/>
    </row>
    <row r="119" spans="3:3" ht="13.2">
      <c r="C119" s="35"/>
    </row>
    <row r="120" spans="3:3" ht="13.2">
      <c r="C120" s="35"/>
    </row>
    <row r="121" spans="3:3" ht="13.2">
      <c r="C121" s="35"/>
    </row>
    <row r="122" spans="3:3" ht="13.2">
      <c r="C122" s="35"/>
    </row>
    <row r="123" spans="3:3" ht="13.2">
      <c r="C123" s="35"/>
    </row>
    <row r="124" spans="3:3" ht="13.2">
      <c r="C124" s="35"/>
    </row>
    <row r="125" spans="3:3" ht="13.2">
      <c r="C125" s="35"/>
    </row>
    <row r="126" spans="3:3" ht="13.2">
      <c r="C126" s="35"/>
    </row>
    <row r="127" spans="3:3" ht="13.2">
      <c r="C127" s="35"/>
    </row>
    <row r="128" spans="3:3" ht="13.2">
      <c r="C128" s="35"/>
    </row>
    <row r="129" spans="3:3" ht="13.2">
      <c r="C129" s="35"/>
    </row>
    <row r="130" spans="3:3" ht="13.2">
      <c r="C130" s="35"/>
    </row>
    <row r="131" spans="3:3" ht="13.2">
      <c r="C131" s="35"/>
    </row>
    <row r="132" spans="3:3" ht="13.2">
      <c r="C132" s="35"/>
    </row>
    <row r="133" spans="3:3" ht="13.2">
      <c r="C133" s="35"/>
    </row>
    <row r="134" spans="3:3" ht="13.2">
      <c r="C134" s="35"/>
    </row>
    <row r="135" spans="3:3" ht="13.2">
      <c r="C135" s="35"/>
    </row>
    <row r="136" spans="3:3" ht="13.2">
      <c r="C136" s="35"/>
    </row>
    <row r="137" spans="3:3" ht="13.2">
      <c r="C137" s="35"/>
    </row>
    <row r="138" spans="3:3" ht="13.2">
      <c r="C138" s="35"/>
    </row>
    <row r="139" spans="3:3" ht="13.2">
      <c r="C139" s="35"/>
    </row>
    <row r="140" spans="3:3" ht="13.2">
      <c r="C140" s="35"/>
    </row>
    <row r="141" spans="3:3" ht="13.2">
      <c r="C141" s="35"/>
    </row>
    <row r="142" spans="3:3" ht="13.2">
      <c r="C142" s="35"/>
    </row>
    <row r="143" spans="3:3" ht="13.2">
      <c r="C143" s="35"/>
    </row>
    <row r="144" spans="3:3" ht="13.2">
      <c r="C144" s="35"/>
    </row>
    <row r="145" spans="3:3" ht="13.2">
      <c r="C145" s="35"/>
    </row>
    <row r="146" spans="3:3" ht="13.2">
      <c r="C146" s="35"/>
    </row>
    <row r="147" spans="3:3" ht="13.2">
      <c r="C147" s="35"/>
    </row>
    <row r="148" spans="3:3" ht="13.2">
      <c r="C148" s="35"/>
    </row>
    <row r="149" spans="3:3" ht="13.2">
      <c r="C149" s="35"/>
    </row>
    <row r="150" spans="3:3" ht="13.2">
      <c r="C150" s="35"/>
    </row>
    <row r="151" spans="3:3" ht="13.2">
      <c r="C151" s="35"/>
    </row>
    <row r="152" spans="3:3" ht="13.2">
      <c r="C152" s="35"/>
    </row>
    <row r="153" spans="3:3" ht="13.2">
      <c r="C153" s="35"/>
    </row>
    <row r="154" spans="3:3" ht="13.2">
      <c r="C154" s="35"/>
    </row>
    <row r="155" spans="3:3" ht="13.2">
      <c r="C155" s="35"/>
    </row>
    <row r="156" spans="3:3" ht="13.2">
      <c r="C156" s="35"/>
    </row>
    <row r="157" spans="3:3" ht="13.2">
      <c r="C157" s="35"/>
    </row>
    <row r="158" spans="3:3" ht="13.2">
      <c r="C158" s="35"/>
    </row>
    <row r="159" spans="3:3" ht="13.2">
      <c r="C159" s="35"/>
    </row>
    <row r="160" spans="3:3" ht="13.2">
      <c r="C160" s="35"/>
    </row>
    <row r="161" spans="3:3" ht="13.2">
      <c r="C161" s="35"/>
    </row>
    <row r="162" spans="3:3" ht="13.2">
      <c r="C162" s="35"/>
    </row>
    <row r="163" spans="3:3" ht="13.2">
      <c r="C163" s="35"/>
    </row>
    <row r="164" spans="3:3" ht="13.2">
      <c r="C164" s="35"/>
    </row>
    <row r="165" spans="3:3" ht="13.2">
      <c r="C165" s="35"/>
    </row>
    <row r="166" spans="3:3" ht="13.2">
      <c r="C166" s="35"/>
    </row>
    <row r="167" spans="3:3" ht="13.2">
      <c r="C167" s="35"/>
    </row>
    <row r="168" spans="3:3" ht="13.2">
      <c r="C168" s="35"/>
    </row>
    <row r="169" spans="3:3" ht="13.2">
      <c r="C169" s="35"/>
    </row>
    <row r="170" spans="3:3" ht="13.2">
      <c r="C170" s="35"/>
    </row>
    <row r="171" spans="3:3" ht="13.2">
      <c r="C171" s="35"/>
    </row>
    <row r="172" spans="3:3" ht="13.2">
      <c r="C172" s="35"/>
    </row>
    <row r="173" spans="3:3" ht="13.2">
      <c r="C173" s="35"/>
    </row>
    <row r="174" spans="3:3" ht="13.2">
      <c r="C174" s="35"/>
    </row>
    <row r="175" spans="3:3" ht="13.2">
      <c r="C175" s="35"/>
    </row>
    <row r="176" spans="3:3" ht="13.2">
      <c r="C176" s="35"/>
    </row>
    <row r="177" spans="3:3" ht="13.2">
      <c r="C177" s="35"/>
    </row>
    <row r="178" spans="3:3" ht="13.2">
      <c r="C178" s="35"/>
    </row>
    <row r="179" spans="3:3" ht="13.2">
      <c r="C179" s="35"/>
    </row>
    <row r="180" spans="3:3" ht="13.2">
      <c r="C180" s="35"/>
    </row>
    <row r="181" spans="3:3" ht="13.2">
      <c r="C181" s="35"/>
    </row>
    <row r="182" spans="3:3" ht="13.2">
      <c r="C182" s="35"/>
    </row>
    <row r="183" spans="3:3" ht="13.2">
      <c r="C183" s="35"/>
    </row>
    <row r="184" spans="3:3" ht="13.2">
      <c r="C184" s="35"/>
    </row>
    <row r="185" spans="3:3" ht="13.2">
      <c r="C185" s="35"/>
    </row>
    <row r="186" spans="3:3" ht="13.2">
      <c r="C186" s="35"/>
    </row>
    <row r="187" spans="3:3" ht="13.2">
      <c r="C187" s="35"/>
    </row>
    <row r="188" spans="3:3" ht="13.2">
      <c r="C188" s="35"/>
    </row>
    <row r="189" spans="3:3" ht="13.2">
      <c r="C189" s="35"/>
    </row>
    <row r="190" spans="3:3" ht="13.2">
      <c r="C190" s="35"/>
    </row>
    <row r="191" spans="3:3" ht="13.2">
      <c r="C191" s="35"/>
    </row>
    <row r="192" spans="3:3" ht="13.2">
      <c r="C192" s="35"/>
    </row>
    <row r="193" spans="3:3" ht="13.2">
      <c r="C193" s="35"/>
    </row>
    <row r="194" spans="3:3" ht="13.2">
      <c r="C194" s="35"/>
    </row>
    <row r="195" spans="3:3" ht="13.2">
      <c r="C195" s="35"/>
    </row>
    <row r="196" spans="3:3" ht="13.2">
      <c r="C196" s="35"/>
    </row>
    <row r="197" spans="3:3" ht="13.2">
      <c r="C197" s="35"/>
    </row>
    <row r="198" spans="3:3" ht="13.2">
      <c r="C198" s="35"/>
    </row>
    <row r="199" spans="3:3" ht="13.2">
      <c r="C199" s="35"/>
    </row>
    <row r="200" spans="3:3" ht="13.2">
      <c r="C200" s="35"/>
    </row>
    <row r="201" spans="3:3" ht="13.2">
      <c r="C201" s="35"/>
    </row>
    <row r="202" spans="3:3" ht="13.2">
      <c r="C202" s="35"/>
    </row>
    <row r="203" spans="3:3" ht="13.2">
      <c r="C203" s="35"/>
    </row>
    <row r="204" spans="3:3" ht="13.2">
      <c r="C204" s="35"/>
    </row>
    <row r="205" spans="3:3" ht="13.2">
      <c r="C205" s="35"/>
    </row>
    <row r="206" spans="3:3" ht="13.2">
      <c r="C206" s="35"/>
    </row>
    <row r="207" spans="3:3" ht="13.2">
      <c r="C207" s="35"/>
    </row>
    <row r="208" spans="3:3" ht="13.2">
      <c r="C208" s="35"/>
    </row>
    <row r="209" spans="3:3" ht="13.2">
      <c r="C209" s="35"/>
    </row>
    <row r="210" spans="3:3" ht="13.2">
      <c r="C210" s="35"/>
    </row>
    <row r="211" spans="3:3" ht="13.2">
      <c r="C211" s="35"/>
    </row>
    <row r="212" spans="3:3" ht="13.2">
      <c r="C212" s="35"/>
    </row>
    <row r="213" spans="3:3" ht="13.2">
      <c r="C213" s="35"/>
    </row>
    <row r="214" spans="3:3" ht="13.2">
      <c r="C214" s="35"/>
    </row>
    <row r="215" spans="3:3" ht="13.2">
      <c r="C215" s="35"/>
    </row>
    <row r="216" spans="3:3" ht="13.2">
      <c r="C216" s="35"/>
    </row>
    <row r="217" spans="3:3" ht="13.2">
      <c r="C217" s="35"/>
    </row>
    <row r="218" spans="3:3" ht="13.2">
      <c r="C218" s="35"/>
    </row>
    <row r="219" spans="3:3" ht="13.2">
      <c r="C219" s="35"/>
    </row>
    <row r="220" spans="3:3" ht="13.2">
      <c r="C220" s="35"/>
    </row>
    <row r="221" spans="3:3" ht="13.2">
      <c r="C221" s="35"/>
    </row>
    <row r="222" spans="3:3" ht="13.2">
      <c r="C222" s="35"/>
    </row>
    <row r="223" spans="3:3" ht="13.2">
      <c r="C223" s="35"/>
    </row>
    <row r="224" spans="3:3" ht="13.2">
      <c r="C224" s="35"/>
    </row>
    <row r="225" spans="3:3" ht="13.2">
      <c r="C225" s="35"/>
    </row>
    <row r="226" spans="3:3" ht="13.2">
      <c r="C226" s="35"/>
    </row>
    <row r="227" spans="3:3" ht="13.2">
      <c r="C227" s="35"/>
    </row>
    <row r="228" spans="3:3" ht="13.2">
      <c r="C228" s="35"/>
    </row>
    <row r="229" spans="3:3" ht="13.2">
      <c r="C229" s="35"/>
    </row>
    <row r="230" spans="3:3" ht="13.2">
      <c r="C230" s="35"/>
    </row>
    <row r="231" spans="3:3" ht="13.2">
      <c r="C231" s="35"/>
    </row>
    <row r="232" spans="3:3" ht="13.2">
      <c r="C232" s="35"/>
    </row>
    <row r="233" spans="3:3" ht="13.2">
      <c r="C233" s="35"/>
    </row>
    <row r="234" spans="3:3" ht="13.2">
      <c r="C234" s="35"/>
    </row>
    <row r="235" spans="3:3" ht="13.2">
      <c r="C235" s="35"/>
    </row>
    <row r="236" spans="3:3" ht="13.2">
      <c r="C236" s="35"/>
    </row>
    <row r="237" spans="3:3" ht="13.2">
      <c r="C237" s="35"/>
    </row>
    <row r="238" spans="3:3" ht="13.2">
      <c r="C238" s="35"/>
    </row>
    <row r="239" spans="3:3" ht="13.2">
      <c r="C239" s="35"/>
    </row>
    <row r="240" spans="3:3" ht="13.2">
      <c r="C240" s="35"/>
    </row>
    <row r="241" spans="3:3" ht="13.2">
      <c r="C241" s="35"/>
    </row>
    <row r="242" spans="3:3" ht="13.2">
      <c r="C242" s="35"/>
    </row>
    <row r="243" spans="3:3" ht="13.2">
      <c r="C243" s="35"/>
    </row>
    <row r="244" spans="3:3" ht="13.2">
      <c r="C244" s="35"/>
    </row>
    <row r="245" spans="3:3" ht="13.2">
      <c r="C245" s="35"/>
    </row>
    <row r="246" spans="3:3" ht="13.2">
      <c r="C246" s="35"/>
    </row>
    <row r="247" spans="3:3" ht="13.2">
      <c r="C247" s="35"/>
    </row>
    <row r="248" spans="3:3" ht="13.2">
      <c r="C248" s="35"/>
    </row>
    <row r="249" spans="3:3" ht="13.2">
      <c r="C249" s="35"/>
    </row>
    <row r="250" spans="3:3" ht="13.2">
      <c r="C250" s="35"/>
    </row>
    <row r="251" spans="3:3" ht="13.2">
      <c r="C251" s="35"/>
    </row>
    <row r="252" spans="3:3" ht="13.2">
      <c r="C252" s="35"/>
    </row>
    <row r="253" spans="3:3" ht="13.2">
      <c r="C253" s="35"/>
    </row>
    <row r="254" spans="3:3" ht="13.2">
      <c r="C254" s="35"/>
    </row>
    <row r="255" spans="3:3" ht="13.2">
      <c r="C255" s="35"/>
    </row>
    <row r="256" spans="3:3" ht="13.2">
      <c r="C256" s="35"/>
    </row>
    <row r="257" spans="3:3" ht="13.2">
      <c r="C257" s="35"/>
    </row>
    <row r="258" spans="3:3" ht="13.2">
      <c r="C258" s="35"/>
    </row>
    <row r="259" spans="3:3" ht="13.2">
      <c r="C259" s="35"/>
    </row>
    <row r="260" spans="3:3" ht="13.2">
      <c r="C260" s="35"/>
    </row>
    <row r="261" spans="3:3" ht="13.2">
      <c r="C261" s="35"/>
    </row>
    <row r="262" spans="3:3" ht="13.2">
      <c r="C262" s="35"/>
    </row>
    <row r="263" spans="3:3" ht="13.2">
      <c r="C263" s="35"/>
    </row>
    <row r="264" spans="3:3" ht="13.2">
      <c r="C264" s="35"/>
    </row>
    <row r="265" spans="3:3" ht="13.2">
      <c r="C265" s="35"/>
    </row>
    <row r="266" spans="3:3" ht="13.2">
      <c r="C266" s="35"/>
    </row>
    <row r="267" spans="3:3" ht="13.2">
      <c r="C267" s="35"/>
    </row>
    <row r="268" spans="3:3" ht="13.2">
      <c r="C268" s="35"/>
    </row>
    <row r="269" spans="3:3" ht="13.2">
      <c r="C269" s="35"/>
    </row>
    <row r="270" spans="3:3" ht="13.2">
      <c r="C270" s="35"/>
    </row>
    <row r="271" spans="3:3" ht="13.2">
      <c r="C271" s="35"/>
    </row>
    <row r="272" spans="3:3" ht="13.2">
      <c r="C272" s="35"/>
    </row>
    <row r="273" spans="3:3" ht="13.2">
      <c r="C273" s="35"/>
    </row>
    <row r="274" spans="3:3" ht="13.2">
      <c r="C274" s="35"/>
    </row>
    <row r="275" spans="3:3" ht="13.2">
      <c r="C275" s="35"/>
    </row>
    <row r="276" spans="3:3" ht="13.2">
      <c r="C276" s="35"/>
    </row>
    <row r="277" spans="3:3" ht="13.2">
      <c r="C277" s="35"/>
    </row>
    <row r="278" spans="3:3" ht="13.2">
      <c r="C278" s="35"/>
    </row>
    <row r="279" spans="3:3" ht="13.2">
      <c r="C279" s="35"/>
    </row>
    <row r="280" spans="3:3" ht="13.2">
      <c r="C280" s="35"/>
    </row>
    <row r="281" spans="3:3" ht="13.2">
      <c r="C281" s="35"/>
    </row>
    <row r="282" spans="3:3" ht="13.2">
      <c r="C282" s="35"/>
    </row>
    <row r="283" spans="3:3" ht="13.2">
      <c r="C283" s="35"/>
    </row>
    <row r="284" spans="3:3" ht="13.2">
      <c r="C284" s="35"/>
    </row>
    <row r="285" spans="3:3" ht="13.2">
      <c r="C285" s="35"/>
    </row>
    <row r="286" spans="3:3" ht="13.2">
      <c r="C286" s="35"/>
    </row>
    <row r="287" spans="3:3" ht="13.2">
      <c r="C287" s="35"/>
    </row>
    <row r="288" spans="3:3" ht="13.2">
      <c r="C288" s="35"/>
    </row>
    <row r="289" spans="3:3" ht="13.2">
      <c r="C289" s="35"/>
    </row>
    <row r="290" spans="3:3" ht="13.2">
      <c r="C290" s="35"/>
    </row>
    <row r="291" spans="3:3" ht="13.2">
      <c r="C291" s="35"/>
    </row>
    <row r="292" spans="3:3" ht="13.2">
      <c r="C292" s="35"/>
    </row>
    <row r="293" spans="3:3" ht="13.2">
      <c r="C293" s="35"/>
    </row>
    <row r="294" spans="3:3" ht="13.2">
      <c r="C294" s="35"/>
    </row>
    <row r="295" spans="3:3" ht="13.2">
      <c r="C295" s="35"/>
    </row>
    <row r="296" spans="3:3" ht="13.2">
      <c r="C296" s="35"/>
    </row>
    <row r="297" spans="3:3" ht="13.2">
      <c r="C297" s="35"/>
    </row>
    <row r="298" spans="3:3" ht="13.2">
      <c r="C298" s="35"/>
    </row>
    <row r="299" spans="3:3" ht="13.2">
      <c r="C299" s="35"/>
    </row>
    <row r="300" spans="3:3" ht="13.2">
      <c r="C300" s="35"/>
    </row>
    <row r="301" spans="3:3" ht="13.2">
      <c r="C301" s="35"/>
    </row>
    <row r="302" spans="3:3" ht="13.2">
      <c r="C302" s="35"/>
    </row>
    <row r="303" spans="3:3" ht="13.2">
      <c r="C303" s="35"/>
    </row>
    <row r="304" spans="3:3" ht="13.2">
      <c r="C304" s="35"/>
    </row>
    <row r="305" spans="3:3" ht="13.2">
      <c r="C305" s="35"/>
    </row>
    <row r="306" spans="3:3" ht="13.2">
      <c r="C306" s="35"/>
    </row>
    <row r="307" spans="3:3" ht="13.2">
      <c r="C307" s="35"/>
    </row>
    <row r="308" spans="3:3" ht="13.2">
      <c r="C308" s="35"/>
    </row>
    <row r="309" spans="3:3" ht="13.2">
      <c r="C309" s="35"/>
    </row>
    <row r="310" spans="3:3" ht="13.2">
      <c r="C310" s="35"/>
    </row>
    <row r="311" spans="3:3" ht="13.2">
      <c r="C311" s="35"/>
    </row>
    <row r="312" spans="3:3" ht="13.2">
      <c r="C312" s="35"/>
    </row>
    <row r="313" spans="3:3" ht="13.2">
      <c r="C313" s="35"/>
    </row>
    <row r="314" spans="3:3" ht="13.2">
      <c r="C314" s="35"/>
    </row>
    <row r="315" spans="3:3" ht="13.2">
      <c r="C315" s="35"/>
    </row>
    <row r="316" spans="3:3" ht="13.2">
      <c r="C316" s="35"/>
    </row>
    <row r="317" spans="3:3" ht="13.2">
      <c r="C317" s="35"/>
    </row>
    <row r="318" spans="3:3" ht="13.2">
      <c r="C318" s="35"/>
    </row>
    <row r="319" spans="3:3" ht="13.2">
      <c r="C319" s="35"/>
    </row>
    <row r="320" spans="3:3" ht="13.2">
      <c r="C320" s="35"/>
    </row>
    <row r="321" spans="3:3" ht="13.2">
      <c r="C321" s="35"/>
    </row>
    <row r="322" spans="3:3" ht="13.2">
      <c r="C322" s="35"/>
    </row>
    <row r="323" spans="3:3" ht="13.2">
      <c r="C323" s="35"/>
    </row>
    <row r="324" spans="3:3" ht="13.2">
      <c r="C324" s="35"/>
    </row>
    <row r="325" spans="3:3" ht="13.2">
      <c r="C325" s="35"/>
    </row>
    <row r="326" spans="3:3" ht="13.2">
      <c r="C326" s="35"/>
    </row>
    <row r="327" spans="3:3" ht="13.2">
      <c r="C327" s="35"/>
    </row>
    <row r="328" spans="3:3" ht="13.2">
      <c r="C328" s="35"/>
    </row>
    <row r="329" spans="3:3" ht="13.2">
      <c r="C329" s="35"/>
    </row>
    <row r="330" spans="3:3" ht="13.2">
      <c r="C330" s="35"/>
    </row>
    <row r="331" spans="3:3" ht="13.2">
      <c r="C331" s="35"/>
    </row>
    <row r="332" spans="3:3" ht="13.2">
      <c r="C332" s="35"/>
    </row>
    <row r="333" spans="3:3" ht="13.2">
      <c r="C333" s="35"/>
    </row>
    <row r="334" spans="3:3" ht="13.2">
      <c r="C334" s="35"/>
    </row>
    <row r="335" spans="3:3" ht="13.2">
      <c r="C335" s="35"/>
    </row>
    <row r="336" spans="3:3" ht="13.2">
      <c r="C336" s="35"/>
    </row>
    <row r="337" spans="3:3" ht="13.2">
      <c r="C337" s="35"/>
    </row>
    <row r="338" spans="3:3" ht="13.2">
      <c r="C338" s="35"/>
    </row>
    <row r="339" spans="3:3" ht="13.2">
      <c r="C339" s="35"/>
    </row>
    <row r="340" spans="3:3" ht="13.2">
      <c r="C340" s="35"/>
    </row>
    <row r="341" spans="3:3" ht="13.2">
      <c r="C341" s="35"/>
    </row>
    <row r="342" spans="3:3" ht="13.2">
      <c r="C342" s="35"/>
    </row>
    <row r="343" spans="3:3" ht="13.2">
      <c r="C343" s="35"/>
    </row>
    <row r="344" spans="3:3" ht="13.2">
      <c r="C344" s="35"/>
    </row>
    <row r="345" spans="3:3" ht="13.2">
      <c r="C345" s="35"/>
    </row>
    <row r="346" spans="3:3" ht="13.2">
      <c r="C346" s="35"/>
    </row>
    <row r="347" spans="3:3" ht="13.2">
      <c r="C347" s="35"/>
    </row>
    <row r="348" spans="3:3" ht="13.2">
      <c r="C348" s="35"/>
    </row>
    <row r="349" spans="3:3" ht="13.2">
      <c r="C349" s="35"/>
    </row>
    <row r="350" spans="3:3" ht="13.2">
      <c r="C350" s="35"/>
    </row>
    <row r="351" spans="3:3" ht="13.2">
      <c r="C351" s="35"/>
    </row>
    <row r="352" spans="3:3" ht="13.2">
      <c r="C352" s="35"/>
    </row>
    <row r="353" spans="3:3" ht="13.2">
      <c r="C353" s="35"/>
    </row>
    <row r="354" spans="3:3" ht="13.2">
      <c r="C354" s="35"/>
    </row>
    <row r="355" spans="3:3" ht="13.2">
      <c r="C355" s="35"/>
    </row>
    <row r="356" spans="3:3" ht="13.2">
      <c r="C356" s="35"/>
    </row>
    <row r="357" spans="3:3" ht="13.2">
      <c r="C357" s="35"/>
    </row>
    <row r="358" spans="3:3" ht="13.2">
      <c r="C358" s="35"/>
    </row>
    <row r="359" spans="3:3" ht="13.2">
      <c r="C359" s="35"/>
    </row>
    <row r="360" spans="3:3" ht="13.2">
      <c r="C360" s="35"/>
    </row>
    <row r="361" spans="3:3" ht="13.2">
      <c r="C361" s="35"/>
    </row>
    <row r="362" spans="3:3" ht="13.2">
      <c r="C362" s="35"/>
    </row>
    <row r="363" spans="3:3" ht="13.2">
      <c r="C363" s="35"/>
    </row>
    <row r="364" spans="3:3" ht="13.2">
      <c r="C364" s="35"/>
    </row>
    <row r="365" spans="3:3" ht="13.2">
      <c r="C365" s="35"/>
    </row>
    <row r="366" spans="3:3" ht="13.2">
      <c r="C366" s="35"/>
    </row>
    <row r="367" spans="3:3" ht="13.2">
      <c r="C367" s="35"/>
    </row>
    <row r="368" spans="3:3" ht="13.2">
      <c r="C368" s="35"/>
    </row>
    <row r="369" spans="3:3" ht="13.2">
      <c r="C369" s="35"/>
    </row>
    <row r="370" spans="3:3" ht="13.2">
      <c r="C370" s="35"/>
    </row>
    <row r="371" spans="3:3" ht="13.2">
      <c r="C371" s="35"/>
    </row>
    <row r="372" spans="3:3" ht="13.2">
      <c r="C372" s="35"/>
    </row>
    <row r="373" spans="3:3" ht="13.2">
      <c r="C373" s="35"/>
    </row>
    <row r="374" spans="3:3" ht="13.2">
      <c r="C374" s="35"/>
    </row>
    <row r="375" spans="3:3" ht="13.2">
      <c r="C375" s="35"/>
    </row>
    <row r="376" spans="3:3" ht="13.2">
      <c r="C376" s="35"/>
    </row>
    <row r="377" spans="3:3" ht="13.2">
      <c r="C377" s="35"/>
    </row>
    <row r="378" spans="3:3" ht="13.2">
      <c r="C378" s="35"/>
    </row>
    <row r="379" spans="3:3" ht="13.2">
      <c r="C379" s="35"/>
    </row>
    <row r="380" spans="3:3" ht="13.2">
      <c r="C380" s="35"/>
    </row>
    <row r="381" spans="3:3" ht="13.2">
      <c r="C381" s="35"/>
    </row>
    <row r="382" spans="3:3" ht="13.2">
      <c r="C382" s="35"/>
    </row>
    <row r="383" spans="3:3" ht="13.2">
      <c r="C383" s="35"/>
    </row>
    <row r="384" spans="3:3" ht="13.2">
      <c r="C384" s="35"/>
    </row>
    <row r="385" spans="3:3" ht="13.2">
      <c r="C385" s="35"/>
    </row>
    <row r="386" spans="3:3" ht="13.2">
      <c r="C386" s="35"/>
    </row>
    <row r="387" spans="3:3" ht="13.2">
      <c r="C387" s="35"/>
    </row>
    <row r="388" spans="3:3" ht="13.2">
      <c r="C388" s="35"/>
    </row>
    <row r="389" spans="3:3" ht="13.2">
      <c r="C389" s="35"/>
    </row>
    <row r="390" spans="3:3" ht="13.2">
      <c r="C390" s="35"/>
    </row>
    <row r="391" spans="3:3" ht="13.2">
      <c r="C391" s="35"/>
    </row>
    <row r="392" spans="3:3" ht="13.2">
      <c r="C392" s="35"/>
    </row>
    <row r="393" spans="3:3" ht="13.2">
      <c r="C393" s="35"/>
    </row>
    <row r="394" spans="3:3" ht="13.2">
      <c r="C394" s="35"/>
    </row>
    <row r="395" spans="3:3" ht="13.2">
      <c r="C395" s="35"/>
    </row>
    <row r="396" spans="3:3" ht="13.2">
      <c r="C396" s="35"/>
    </row>
    <row r="397" spans="3:3" ht="13.2">
      <c r="C397" s="35"/>
    </row>
    <row r="398" spans="3:3" ht="13.2">
      <c r="C398" s="35"/>
    </row>
    <row r="399" spans="3:3" ht="13.2">
      <c r="C399" s="35"/>
    </row>
    <row r="400" spans="3:3" ht="13.2">
      <c r="C400" s="35"/>
    </row>
    <row r="401" spans="3:3" ht="13.2">
      <c r="C401" s="35"/>
    </row>
    <row r="402" spans="3:3" ht="13.2">
      <c r="C402" s="35"/>
    </row>
    <row r="403" spans="3:3" ht="13.2">
      <c r="C403" s="35"/>
    </row>
    <row r="404" spans="3:3" ht="13.2">
      <c r="C404" s="35"/>
    </row>
    <row r="405" spans="3:3" ht="13.2">
      <c r="C405" s="35"/>
    </row>
    <row r="406" spans="3:3" ht="13.2">
      <c r="C406" s="35"/>
    </row>
    <row r="407" spans="3:3" ht="13.2">
      <c r="C407" s="35"/>
    </row>
    <row r="408" spans="3:3" ht="13.2">
      <c r="C408" s="35"/>
    </row>
    <row r="409" spans="3:3" ht="13.2">
      <c r="C409" s="35"/>
    </row>
    <row r="410" spans="3:3" ht="13.2">
      <c r="C410" s="35"/>
    </row>
    <row r="411" spans="3:3" ht="13.2">
      <c r="C411" s="35"/>
    </row>
    <row r="412" spans="3:3" ht="13.2">
      <c r="C412" s="35"/>
    </row>
    <row r="413" spans="3:3" ht="13.2">
      <c r="C413" s="35"/>
    </row>
    <row r="414" spans="3:3" ht="13.2">
      <c r="C414" s="35"/>
    </row>
    <row r="415" spans="3:3" ht="13.2">
      <c r="C415" s="35"/>
    </row>
    <row r="416" spans="3:3" ht="13.2">
      <c r="C416" s="35"/>
    </row>
    <row r="417" spans="3:3" ht="13.2">
      <c r="C417" s="35"/>
    </row>
    <row r="418" spans="3:3" ht="13.2">
      <c r="C418" s="35"/>
    </row>
    <row r="419" spans="3:3" ht="13.2">
      <c r="C419" s="35"/>
    </row>
    <row r="420" spans="3:3" ht="13.2">
      <c r="C420" s="35"/>
    </row>
    <row r="421" spans="3:3" ht="13.2">
      <c r="C421" s="35"/>
    </row>
    <row r="422" spans="3:3" ht="13.2">
      <c r="C422" s="35"/>
    </row>
    <row r="423" spans="3:3" ht="13.2">
      <c r="C423" s="35"/>
    </row>
    <row r="424" spans="3:3" ht="13.2">
      <c r="C424" s="35"/>
    </row>
    <row r="425" spans="3:3" ht="13.2">
      <c r="C425" s="35"/>
    </row>
    <row r="426" spans="3:3" ht="13.2">
      <c r="C426" s="35"/>
    </row>
    <row r="427" spans="3:3" ht="13.2">
      <c r="C427" s="35"/>
    </row>
    <row r="428" spans="3:3" ht="13.2">
      <c r="C428" s="35"/>
    </row>
    <row r="429" spans="3:3" ht="13.2">
      <c r="C429" s="35"/>
    </row>
    <row r="430" spans="3:3" ht="13.2">
      <c r="C430" s="35"/>
    </row>
    <row r="431" spans="3:3" ht="13.2">
      <c r="C431" s="35"/>
    </row>
    <row r="432" spans="3:3" ht="13.2">
      <c r="C432" s="35"/>
    </row>
    <row r="433" spans="3:3" ht="13.2">
      <c r="C433" s="35"/>
    </row>
    <row r="434" spans="3:3" ht="13.2">
      <c r="C434" s="35"/>
    </row>
    <row r="435" spans="3:3" ht="13.2">
      <c r="C435" s="35"/>
    </row>
    <row r="436" spans="3:3" ht="13.2">
      <c r="C436" s="35"/>
    </row>
    <row r="437" spans="3:3" ht="13.2">
      <c r="C437" s="35"/>
    </row>
    <row r="438" spans="3:3" ht="13.2">
      <c r="C438" s="35"/>
    </row>
    <row r="439" spans="3:3" ht="13.2">
      <c r="C439" s="35"/>
    </row>
    <row r="440" spans="3:3" ht="13.2">
      <c r="C440" s="35"/>
    </row>
    <row r="441" spans="3:3" ht="13.2">
      <c r="C441" s="35"/>
    </row>
    <row r="442" spans="3:3" ht="13.2">
      <c r="C442" s="35"/>
    </row>
    <row r="443" spans="3:3" ht="13.2">
      <c r="C443" s="35"/>
    </row>
    <row r="444" spans="3:3" ht="13.2">
      <c r="C444" s="35"/>
    </row>
    <row r="445" spans="3:3" ht="13.2">
      <c r="C445" s="35"/>
    </row>
    <row r="446" spans="3:3" ht="13.2">
      <c r="C446" s="35"/>
    </row>
    <row r="447" spans="3:3" ht="13.2">
      <c r="C447" s="35"/>
    </row>
    <row r="448" spans="3:3" ht="13.2">
      <c r="C448" s="35"/>
    </row>
    <row r="449" spans="3:3" ht="13.2">
      <c r="C449" s="35"/>
    </row>
    <row r="450" spans="3:3" ht="13.2">
      <c r="C450" s="35"/>
    </row>
    <row r="451" spans="3:3" ht="13.2">
      <c r="C451" s="35"/>
    </row>
    <row r="452" spans="3:3" ht="13.2">
      <c r="C452" s="35"/>
    </row>
    <row r="453" spans="3:3" ht="13.2">
      <c r="C453" s="35"/>
    </row>
    <row r="454" spans="3:3" ht="13.2">
      <c r="C454" s="35"/>
    </row>
    <row r="455" spans="3:3" ht="13.2">
      <c r="C455" s="35"/>
    </row>
    <row r="456" spans="3:3" ht="13.2">
      <c r="C456" s="35"/>
    </row>
    <row r="457" spans="3:3" ht="13.2">
      <c r="C457" s="35"/>
    </row>
    <row r="458" spans="3:3" ht="13.2">
      <c r="C458" s="35"/>
    </row>
    <row r="459" spans="3:3" ht="13.2">
      <c r="C459" s="35"/>
    </row>
    <row r="460" spans="3:3" ht="13.2">
      <c r="C460" s="35"/>
    </row>
    <row r="461" spans="3:3" ht="13.2">
      <c r="C461" s="35"/>
    </row>
    <row r="462" spans="3:3" ht="13.2">
      <c r="C462" s="35"/>
    </row>
    <row r="463" spans="3:3" ht="13.2">
      <c r="C463" s="35"/>
    </row>
    <row r="464" spans="3:3" ht="13.2">
      <c r="C464" s="35"/>
    </row>
    <row r="465" spans="3:3" ht="13.2">
      <c r="C465" s="35"/>
    </row>
    <row r="466" spans="3:3" ht="13.2">
      <c r="C466" s="35"/>
    </row>
    <row r="467" spans="3:3" ht="13.2">
      <c r="C467" s="35"/>
    </row>
    <row r="468" spans="3:3" ht="13.2">
      <c r="C468" s="35"/>
    </row>
    <row r="469" spans="3:3" ht="13.2">
      <c r="C469" s="35"/>
    </row>
    <row r="470" spans="3:3" ht="13.2">
      <c r="C470" s="35"/>
    </row>
    <row r="471" spans="3:3" ht="13.2">
      <c r="C471" s="35"/>
    </row>
    <row r="472" spans="3:3" ht="13.2">
      <c r="C472" s="35"/>
    </row>
    <row r="473" spans="3:3" ht="13.2">
      <c r="C473" s="35"/>
    </row>
    <row r="474" spans="3:3" ht="13.2">
      <c r="C474" s="35"/>
    </row>
    <row r="475" spans="3:3" ht="13.2">
      <c r="C475" s="35"/>
    </row>
    <row r="476" spans="3:3" ht="13.2">
      <c r="C476" s="35"/>
    </row>
    <row r="477" spans="3:3" ht="13.2">
      <c r="C477" s="35"/>
    </row>
    <row r="478" spans="3:3" ht="13.2">
      <c r="C478" s="35"/>
    </row>
    <row r="479" spans="3:3" ht="13.2">
      <c r="C479" s="35"/>
    </row>
    <row r="480" spans="3:3" ht="13.2">
      <c r="C480" s="35"/>
    </row>
    <row r="481" spans="3:3" ht="13.2">
      <c r="C481" s="35"/>
    </row>
    <row r="482" spans="3:3" ht="13.2">
      <c r="C482" s="35"/>
    </row>
    <row r="483" spans="3:3" ht="13.2">
      <c r="C483" s="35"/>
    </row>
    <row r="484" spans="3:3" ht="13.2">
      <c r="C484" s="35"/>
    </row>
    <row r="485" spans="3:3" ht="13.2">
      <c r="C485" s="35"/>
    </row>
    <row r="486" spans="3:3" ht="13.2">
      <c r="C486" s="35"/>
    </row>
    <row r="487" spans="3:3" ht="13.2">
      <c r="C487" s="35"/>
    </row>
    <row r="488" spans="3:3" ht="13.2">
      <c r="C488" s="35"/>
    </row>
    <row r="489" spans="3:3" ht="13.2">
      <c r="C489" s="35"/>
    </row>
    <row r="490" spans="3:3" ht="13.2">
      <c r="C490" s="35"/>
    </row>
    <row r="491" spans="3:3" ht="13.2">
      <c r="C491" s="35"/>
    </row>
    <row r="492" spans="3:3" ht="13.2">
      <c r="C492" s="35"/>
    </row>
    <row r="493" spans="3:3" ht="13.2">
      <c r="C493" s="35"/>
    </row>
    <row r="494" spans="3:3" ht="13.2">
      <c r="C494" s="35"/>
    </row>
    <row r="495" spans="3:3" ht="13.2">
      <c r="C495" s="35"/>
    </row>
    <row r="496" spans="3:3" ht="13.2">
      <c r="C496" s="35"/>
    </row>
    <row r="497" spans="3:3" ht="13.2">
      <c r="C497" s="35"/>
    </row>
    <row r="498" spans="3:3" ht="13.2">
      <c r="C498" s="35"/>
    </row>
    <row r="499" spans="3:3" ht="13.2">
      <c r="C499" s="35"/>
    </row>
    <row r="500" spans="3:3" ht="13.2">
      <c r="C500" s="35"/>
    </row>
    <row r="501" spans="3:3" ht="13.2">
      <c r="C501" s="35"/>
    </row>
    <row r="502" spans="3:3" ht="13.2">
      <c r="C502" s="35"/>
    </row>
    <row r="503" spans="3:3" ht="13.2">
      <c r="C503" s="35"/>
    </row>
    <row r="504" spans="3:3" ht="13.2">
      <c r="C504" s="35"/>
    </row>
    <row r="505" spans="3:3" ht="13.2">
      <c r="C505" s="35"/>
    </row>
    <row r="506" spans="3:3" ht="13.2">
      <c r="C506" s="35"/>
    </row>
    <row r="507" spans="3:3" ht="13.2">
      <c r="C507" s="35"/>
    </row>
    <row r="508" spans="3:3" ht="13.2">
      <c r="C508" s="35"/>
    </row>
    <row r="509" spans="3:3" ht="13.2">
      <c r="C509" s="35"/>
    </row>
    <row r="510" spans="3:3" ht="13.2">
      <c r="C510" s="35"/>
    </row>
    <row r="511" spans="3:3" ht="13.2">
      <c r="C511" s="35"/>
    </row>
    <row r="512" spans="3:3" ht="13.2">
      <c r="C512" s="35"/>
    </row>
    <row r="513" spans="3:3" ht="13.2">
      <c r="C513" s="35"/>
    </row>
    <row r="514" spans="3:3" ht="13.2">
      <c r="C514" s="35"/>
    </row>
    <row r="515" spans="3:3" ht="13.2">
      <c r="C515" s="35"/>
    </row>
    <row r="516" spans="3:3" ht="13.2">
      <c r="C516" s="35"/>
    </row>
    <row r="517" spans="3:3" ht="13.2">
      <c r="C517" s="35"/>
    </row>
    <row r="518" spans="3:3" ht="13.2">
      <c r="C518" s="35"/>
    </row>
    <row r="519" spans="3:3" ht="13.2">
      <c r="C519" s="35"/>
    </row>
    <row r="520" spans="3:3" ht="13.2">
      <c r="C520" s="35"/>
    </row>
    <row r="521" spans="3:3" ht="13.2">
      <c r="C521" s="35"/>
    </row>
    <row r="522" spans="3:3" ht="13.2">
      <c r="C522" s="35"/>
    </row>
    <row r="523" spans="3:3" ht="13.2">
      <c r="C523" s="35"/>
    </row>
    <row r="524" spans="3:3" ht="13.2">
      <c r="C524" s="35"/>
    </row>
    <row r="525" spans="3:3" ht="13.2">
      <c r="C525" s="35"/>
    </row>
    <row r="526" spans="3:3" ht="13.2">
      <c r="C526" s="35"/>
    </row>
    <row r="527" spans="3:3" ht="13.2">
      <c r="C527" s="35"/>
    </row>
    <row r="528" spans="3:3" ht="13.2">
      <c r="C528" s="35"/>
    </row>
    <row r="529" spans="3:3" ht="13.2">
      <c r="C529" s="35"/>
    </row>
    <row r="530" spans="3:3" ht="13.2">
      <c r="C530" s="35"/>
    </row>
    <row r="531" spans="3:3" ht="13.2">
      <c r="C531" s="35"/>
    </row>
    <row r="532" spans="3:3" ht="13.2">
      <c r="C532" s="35"/>
    </row>
    <row r="533" spans="3:3" ht="13.2">
      <c r="C533" s="35"/>
    </row>
    <row r="534" spans="3:3" ht="13.2">
      <c r="C534" s="35"/>
    </row>
    <row r="535" spans="3:3" ht="13.2">
      <c r="C535" s="35"/>
    </row>
    <row r="536" spans="3:3" ht="13.2">
      <c r="C536" s="35"/>
    </row>
    <row r="537" spans="3:3" ht="13.2">
      <c r="C537" s="35"/>
    </row>
    <row r="538" spans="3:3" ht="13.2">
      <c r="C538" s="35"/>
    </row>
    <row r="539" spans="3:3" ht="13.2">
      <c r="C539" s="35"/>
    </row>
    <row r="540" spans="3:3" ht="13.2">
      <c r="C540" s="35"/>
    </row>
    <row r="541" spans="3:3" ht="13.2">
      <c r="C541" s="35"/>
    </row>
    <row r="542" spans="3:3" ht="13.2">
      <c r="C542" s="35"/>
    </row>
    <row r="543" spans="3:3" ht="13.2">
      <c r="C543" s="35"/>
    </row>
    <row r="544" spans="3:3" ht="13.2">
      <c r="C544" s="35"/>
    </row>
    <row r="545" spans="3:3" ht="13.2">
      <c r="C545" s="35"/>
    </row>
    <row r="546" spans="3:3" ht="13.2">
      <c r="C546" s="35"/>
    </row>
    <row r="547" spans="3:3" ht="13.2">
      <c r="C547" s="35"/>
    </row>
    <row r="548" spans="3:3" ht="13.2">
      <c r="C548" s="35"/>
    </row>
    <row r="549" spans="3:3" ht="13.2">
      <c r="C549" s="35"/>
    </row>
    <row r="550" spans="3:3" ht="13.2">
      <c r="C550" s="35"/>
    </row>
    <row r="551" spans="3:3" ht="13.2">
      <c r="C551" s="35"/>
    </row>
    <row r="552" spans="3:3" ht="13.2">
      <c r="C552" s="35"/>
    </row>
    <row r="553" spans="3:3" ht="13.2">
      <c r="C553" s="35"/>
    </row>
    <row r="554" spans="3:3" ht="13.2">
      <c r="C554" s="35"/>
    </row>
    <row r="555" spans="3:3" ht="13.2">
      <c r="C555" s="35"/>
    </row>
    <row r="556" spans="3:3" ht="13.2">
      <c r="C556" s="35"/>
    </row>
    <row r="557" spans="3:3" ht="13.2">
      <c r="C557" s="35"/>
    </row>
    <row r="558" spans="3:3" ht="13.2">
      <c r="C558" s="35"/>
    </row>
    <row r="559" spans="3:3" ht="13.2">
      <c r="C559" s="35"/>
    </row>
    <row r="560" spans="3:3" ht="13.2">
      <c r="C560" s="35"/>
    </row>
    <row r="561" spans="3:3" ht="13.2">
      <c r="C561" s="35"/>
    </row>
    <row r="562" spans="3:3" ht="13.2">
      <c r="C562" s="35"/>
    </row>
    <row r="563" spans="3:3" ht="13.2">
      <c r="C563" s="35"/>
    </row>
    <row r="564" spans="3:3" ht="13.2">
      <c r="C564" s="35"/>
    </row>
    <row r="565" spans="3:3" ht="13.2">
      <c r="C565" s="35"/>
    </row>
    <row r="566" spans="3:3" ht="13.2">
      <c r="C566" s="35"/>
    </row>
    <row r="567" spans="3:3" ht="13.2">
      <c r="C567" s="35"/>
    </row>
    <row r="568" spans="3:3" ht="13.2">
      <c r="C568" s="35"/>
    </row>
    <row r="569" spans="3:3" ht="13.2">
      <c r="C569" s="35"/>
    </row>
    <row r="570" spans="3:3" ht="13.2">
      <c r="C570" s="35"/>
    </row>
    <row r="571" spans="3:3" ht="13.2">
      <c r="C571" s="35"/>
    </row>
    <row r="572" spans="3:3" ht="13.2">
      <c r="C572" s="35"/>
    </row>
    <row r="573" spans="3:3" ht="13.2">
      <c r="C573" s="35"/>
    </row>
    <row r="574" spans="3:3" ht="13.2">
      <c r="C574" s="35"/>
    </row>
    <row r="575" spans="3:3" ht="13.2">
      <c r="C575" s="35"/>
    </row>
    <row r="576" spans="3:3" ht="13.2">
      <c r="C576" s="35"/>
    </row>
    <row r="577" spans="3:3" ht="13.2">
      <c r="C577" s="35"/>
    </row>
    <row r="578" spans="3:3" ht="13.2">
      <c r="C578" s="35"/>
    </row>
    <row r="579" spans="3:3" ht="13.2">
      <c r="C579" s="35"/>
    </row>
    <row r="580" spans="3:3" ht="13.2">
      <c r="C580" s="35"/>
    </row>
    <row r="581" spans="3:3" ht="13.2">
      <c r="C581" s="35"/>
    </row>
    <row r="582" spans="3:3" ht="13.2">
      <c r="C582" s="35"/>
    </row>
    <row r="583" spans="3:3" ht="13.2">
      <c r="C583" s="35"/>
    </row>
    <row r="584" spans="3:3" ht="13.2">
      <c r="C584" s="35"/>
    </row>
    <row r="585" spans="3:3" ht="13.2">
      <c r="C585" s="35"/>
    </row>
    <row r="586" spans="3:3" ht="13.2">
      <c r="C586" s="35"/>
    </row>
    <row r="587" spans="3:3" ht="13.2">
      <c r="C587" s="35"/>
    </row>
    <row r="588" spans="3:3" ht="13.2">
      <c r="C588" s="35"/>
    </row>
    <row r="589" spans="3:3" ht="13.2">
      <c r="C589" s="35"/>
    </row>
    <row r="590" spans="3:3" ht="13.2">
      <c r="C590" s="35"/>
    </row>
    <row r="591" spans="3:3" ht="13.2">
      <c r="C591" s="35"/>
    </row>
    <row r="592" spans="3:3" ht="13.2">
      <c r="C592" s="35"/>
    </row>
    <row r="593" spans="3:3" ht="13.2">
      <c r="C593" s="35"/>
    </row>
    <row r="594" spans="3:3" ht="13.2">
      <c r="C594" s="35"/>
    </row>
    <row r="595" spans="3:3" ht="13.2">
      <c r="C595" s="35"/>
    </row>
    <row r="596" spans="3:3" ht="13.2">
      <c r="C596" s="35"/>
    </row>
    <row r="597" spans="3:3" ht="13.2">
      <c r="C597" s="35"/>
    </row>
    <row r="598" spans="3:3" ht="13.2">
      <c r="C598" s="35"/>
    </row>
    <row r="599" spans="3:3" ht="13.2">
      <c r="C599" s="35"/>
    </row>
    <row r="600" spans="3:3" ht="13.2">
      <c r="C600" s="35"/>
    </row>
    <row r="601" spans="3:3" ht="13.2">
      <c r="C601" s="35"/>
    </row>
    <row r="602" spans="3:3" ht="13.2">
      <c r="C602" s="35"/>
    </row>
    <row r="603" spans="3:3" ht="13.2">
      <c r="C603" s="35"/>
    </row>
    <row r="604" spans="3:3" ht="13.2">
      <c r="C604" s="35"/>
    </row>
    <row r="605" spans="3:3" ht="13.2">
      <c r="C605" s="35"/>
    </row>
    <row r="606" spans="3:3" ht="13.2">
      <c r="C606" s="35"/>
    </row>
    <row r="607" spans="3:3" ht="13.2">
      <c r="C607" s="35"/>
    </row>
    <row r="608" spans="3:3" ht="13.2">
      <c r="C608" s="35"/>
    </row>
    <row r="609" spans="3:3" ht="13.2">
      <c r="C609" s="35"/>
    </row>
    <row r="610" spans="3:3" ht="13.2">
      <c r="C610" s="35"/>
    </row>
    <row r="611" spans="3:3" ht="13.2">
      <c r="C611" s="35"/>
    </row>
    <row r="612" spans="3:3" ht="13.2">
      <c r="C612" s="35"/>
    </row>
    <row r="613" spans="3:3" ht="13.2">
      <c r="C613" s="35"/>
    </row>
    <row r="614" spans="3:3" ht="13.2">
      <c r="C614" s="35"/>
    </row>
    <row r="615" spans="3:3" ht="13.2">
      <c r="C615" s="35"/>
    </row>
    <row r="616" spans="3:3" ht="13.2">
      <c r="C616" s="35"/>
    </row>
    <row r="617" spans="3:3" ht="13.2">
      <c r="C617" s="35"/>
    </row>
    <row r="618" spans="3:3" ht="13.2">
      <c r="C618" s="35"/>
    </row>
    <row r="619" spans="3:3" ht="13.2">
      <c r="C619" s="35"/>
    </row>
    <row r="620" spans="3:3" ht="13.2">
      <c r="C620" s="35"/>
    </row>
    <row r="621" spans="3:3" ht="13.2">
      <c r="C621" s="35"/>
    </row>
    <row r="622" spans="3:3" ht="13.2">
      <c r="C622" s="35"/>
    </row>
    <row r="623" spans="3:3" ht="13.2">
      <c r="C623" s="35"/>
    </row>
    <row r="624" spans="3:3" ht="13.2">
      <c r="C624" s="35"/>
    </row>
    <row r="625" spans="3:3" ht="13.2">
      <c r="C625" s="35"/>
    </row>
    <row r="626" spans="3:3" ht="13.2">
      <c r="C626" s="35"/>
    </row>
    <row r="627" spans="3:3" ht="13.2">
      <c r="C627" s="35"/>
    </row>
    <row r="628" spans="3:3" ht="13.2">
      <c r="C628" s="35"/>
    </row>
    <row r="629" spans="3:3" ht="13.2">
      <c r="C629" s="35"/>
    </row>
    <row r="630" spans="3:3" ht="13.2">
      <c r="C630" s="35"/>
    </row>
    <row r="631" spans="3:3" ht="13.2">
      <c r="C631" s="35"/>
    </row>
    <row r="632" spans="3:3" ht="13.2">
      <c r="C632" s="35"/>
    </row>
    <row r="633" spans="3:3" ht="13.2">
      <c r="C633" s="35"/>
    </row>
    <row r="634" spans="3:3" ht="13.2">
      <c r="C634" s="35"/>
    </row>
    <row r="635" spans="3:3" ht="13.2">
      <c r="C635" s="35"/>
    </row>
    <row r="636" spans="3:3" ht="13.2">
      <c r="C636" s="35"/>
    </row>
    <row r="637" spans="3:3" ht="13.2">
      <c r="C637" s="35"/>
    </row>
    <row r="638" spans="3:3" ht="13.2">
      <c r="C638" s="35"/>
    </row>
    <row r="639" spans="3:3" ht="13.2">
      <c r="C639" s="35"/>
    </row>
    <row r="640" spans="3:3" ht="13.2">
      <c r="C640" s="35"/>
    </row>
    <row r="641" spans="3:3" ht="13.2">
      <c r="C641" s="35"/>
    </row>
    <row r="642" spans="3:3" ht="13.2">
      <c r="C642" s="35"/>
    </row>
    <row r="643" spans="3:3" ht="13.2">
      <c r="C643" s="35"/>
    </row>
    <row r="644" spans="3:3" ht="13.2">
      <c r="C644" s="35"/>
    </row>
    <row r="645" spans="3:3" ht="13.2">
      <c r="C645" s="35"/>
    </row>
    <row r="646" spans="3:3" ht="13.2">
      <c r="C646" s="35"/>
    </row>
    <row r="647" spans="3:3" ht="13.2">
      <c r="C647" s="35"/>
    </row>
    <row r="648" spans="3:3" ht="13.2">
      <c r="C648" s="35"/>
    </row>
    <row r="649" spans="3:3" ht="13.2">
      <c r="C649" s="35"/>
    </row>
    <row r="650" spans="3:3" ht="13.2">
      <c r="C650" s="35"/>
    </row>
    <row r="651" spans="3:3" ht="13.2">
      <c r="C651" s="35"/>
    </row>
    <row r="652" spans="3:3" ht="13.2">
      <c r="C652" s="35"/>
    </row>
    <row r="653" spans="3:3" ht="13.2">
      <c r="C653" s="35"/>
    </row>
    <row r="654" spans="3:3" ht="13.2">
      <c r="C654" s="35"/>
    </row>
    <row r="655" spans="3:3" ht="13.2">
      <c r="C655" s="35"/>
    </row>
    <row r="656" spans="3:3" ht="13.2">
      <c r="C656" s="35"/>
    </row>
    <row r="657" spans="3:3" ht="13.2">
      <c r="C657" s="35"/>
    </row>
    <row r="658" spans="3:3" ht="13.2">
      <c r="C658" s="35"/>
    </row>
    <row r="659" spans="3:3" ht="13.2">
      <c r="C659" s="35"/>
    </row>
    <row r="660" spans="3:3" ht="13.2">
      <c r="C660" s="35"/>
    </row>
    <row r="661" spans="3:3" ht="13.2">
      <c r="C661" s="35"/>
    </row>
    <row r="662" spans="3:3" ht="13.2">
      <c r="C662" s="35"/>
    </row>
    <row r="663" spans="3:3" ht="13.2">
      <c r="C663" s="35"/>
    </row>
    <row r="664" spans="3:3" ht="13.2">
      <c r="C664" s="35"/>
    </row>
    <row r="665" spans="3:3" ht="13.2">
      <c r="C665" s="35"/>
    </row>
    <row r="666" spans="3:3" ht="13.2">
      <c r="C666" s="35"/>
    </row>
    <row r="667" spans="3:3" ht="13.2">
      <c r="C667" s="35"/>
    </row>
    <row r="668" spans="3:3" ht="13.2">
      <c r="C668" s="35"/>
    </row>
    <row r="669" spans="3:3" ht="13.2">
      <c r="C669" s="35"/>
    </row>
    <row r="670" spans="3:3" ht="13.2">
      <c r="C670" s="35"/>
    </row>
    <row r="671" spans="3:3" ht="13.2">
      <c r="C671" s="35"/>
    </row>
    <row r="672" spans="3:3" ht="13.2">
      <c r="C672" s="35"/>
    </row>
    <row r="673" spans="3:3" ht="13.2">
      <c r="C673" s="35"/>
    </row>
    <row r="674" spans="3:3" ht="13.2">
      <c r="C674" s="35"/>
    </row>
    <row r="675" spans="3:3" ht="13.2">
      <c r="C675" s="35"/>
    </row>
    <row r="676" spans="3:3" ht="13.2">
      <c r="C676" s="35"/>
    </row>
    <row r="677" spans="3:3" ht="13.2">
      <c r="C677" s="35"/>
    </row>
    <row r="678" spans="3:3" ht="13.2">
      <c r="C678" s="35"/>
    </row>
    <row r="679" spans="3:3" ht="13.2">
      <c r="C679" s="35"/>
    </row>
    <row r="680" spans="3:3" ht="13.2">
      <c r="C680" s="35"/>
    </row>
    <row r="681" spans="3:3" ht="13.2">
      <c r="C681" s="35"/>
    </row>
    <row r="682" spans="3:3" ht="13.2">
      <c r="C682" s="35"/>
    </row>
    <row r="683" spans="3:3" ht="13.2">
      <c r="C683" s="35"/>
    </row>
    <row r="684" spans="3:3" ht="13.2">
      <c r="C684" s="35"/>
    </row>
    <row r="685" spans="3:3" ht="13.2">
      <c r="C685" s="35"/>
    </row>
    <row r="686" spans="3:3" ht="13.2">
      <c r="C686" s="35"/>
    </row>
    <row r="687" spans="3:3" ht="13.2">
      <c r="C687" s="35"/>
    </row>
    <row r="688" spans="3:3" ht="13.2">
      <c r="C688" s="35"/>
    </row>
    <row r="689" spans="3:3" ht="13.2">
      <c r="C689" s="35"/>
    </row>
    <row r="690" spans="3:3" ht="13.2">
      <c r="C690" s="35"/>
    </row>
    <row r="691" spans="3:3" ht="13.2">
      <c r="C691" s="35"/>
    </row>
    <row r="692" spans="3:3" ht="13.2">
      <c r="C692" s="35"/>
    </row>
    <row r="693" spans="3:3" ht="13.2">
      <c r="C693" s="35"/>
    </row>
    <row r="694" spans="3:3" ht="13.2">
      <c r="C694" s="35"/>
    </row>
    <row r="695" spans="3:3" ht="13.2">
      <c r="C695" s="35"/>
    </row>
    <row r="696" spans="3:3" ht="13.2">
      <c r="C696" s="35"/>
    </row>
    <row r="697" spans="3:3" ht="13.2">
      <c r="C697" s="35"/>
    </row>
    <row r="698" spans="3:3" ht="13.2">
      <c r="C698" s="35"/>
    </row>
    <row r="699" spans="3:3" ht="13.2">
      <c r="C699" s="35"/>
    </row>
    <row r="700" spans="3:3" ht="13.2">
      <c r="C700" s="35"/>
    </row>
    <row r="701" spans="3:3" ht="13.2">
      <c r="C701" s="35"/>
    </row>
    <row r="702" spans="3:3" ht="13.2">
      <c r="C702" s="35"/>
    </row>
    <row r="703" spans="3:3" ht="13.2">
      <c r="C703" s="35"/>
    </row>
    <row r="704" spans="3:3" ht="13.2">
      <c r="C704" s="35"/>
    </row>
    <row r="705" spans="3:3" ht="13.2">
      <c r="C705" s="35"/>
    </row>
    <row r="706" spans="3:3" ht="13.2">
      <c r="C706" s="35"/>
    </row>
    <row r="707" spans="3:3" ht="13.2">
      <c r="C707" s="35"/>
    </row>
    <row r="708" spans="3:3" ht="13.2">
      <c r="C708" s="35"/>
    </row>
    <row r="709" spans="3:3" ht="13.2">
      <c r="C709" s="35"/>
    </row>
    <row r="710" spans="3:3" ht="13.2">
      <c r="C710" s="35"/>
    </row>
    <row r="711" spans="3:3" ht="13.2">
      <c r="C711" s="35"/>
    </row>
    <row r="712" spans="3:3" ht="13.2">
      <c r="C712" s="35"/>
    </row>
    <row r="713" spans="3:3" ht="13.2">
      <c r="C713" s="35"/>
    </row>
    <row r="714" spans="3:3" ht="13.2">
      <c r="C714" s="35"/>
    </row>
    <row r="715" spans="3:3" ht="13.2">
      <c r="C715" s="35"/>
    </row>
    <row r="716" spans="3:3" ht="13.2">
      <c r="C716" s="35"/>
    </row>
    <row r="717" spans="3:3" ht="13.2">
      <c r="C717" s="35"/>
    </row>
    <row r="718" spans="3:3" ht="13.2">
      <c r="C718" s="35"/>
    </row>
    <row r="719" spans="3:3" ht="13.2">
      <c r="C719" s="35"/>
    </row>
    <row r="720" spans="3:3" ht="13.2">
      <c r="C720" s="35"/>
    </row>
    <row r="721" spans="3:3" ht="13.2">
      <c r="C721" s="35"/>
    </row>
    <row r="722" spans="3:3" ht="13.2">
      <c r="C722" s="35"/>
    </row>
    <row r="723" spans="3:3" ht="13.2">
      <c r="C723" s="35"/>
    </row>
    <row r="724" spans="3:3" ht="13.2">
      <c r="C724" s="35"/>
    </row>
    <row r="725" spans="3:3" ht="13.2">
      <c r="C725" s="35"/>
    </row>
    <row r="726" spans="3:3" ht="13.2">
      <c r="C726" s="35"/>
    </row>
    <row r="727" spans="3:3" ht="13.2">
      <c r="C727" s="35"/>
    </row>
    <row r="728" spans="3:3" ht="13.2">
      <c r="C728" s="35"/>
    </row>
    <row r="729" spans="3:3" ht="13.2">
      <c r="C729" s="35"/>
    </row>
    <row r="730" spans="3:3" ht="13.2">
      <c r="C730" s="35"/>
    </row>
    <row r="731" spans="3:3" ht="13.2">
      <c r="C731" s="35"/>
    </row>
    <row r="732" spans="3:3" ht="13.2">
      <c r="C732" s="35"/>
    </row>
    <row r="733" spans="3:3" ht="13.2">
      <c r="C733" s="35"/>
    </row>
    <row r="734" spans="3:3" ht="13.2">
      <c r="C734" s="35"/>
    </row>
    <row r="735" spans="3:3" ht="13.2">
      <c r="C735" s="35"/>
    </row>
    <row r="736" spans="3:3" ht="13.2">
      <c r="C736" s="35"/>
    </row>
    <row r="737" spans="3:3" ht="13.2">
      <c r="C737" s="35"/>
    </row>
    <row r="738" spans="3:3" ht="13.2">
      <c r="C738" s="35"/>
    </row>
    <row r="739" spans="3:3" ht="13.2">
      <c r="C739" s="35"/>
    </row>
    <row r="740" spans="3:3" ht="13.2">
      <c r="C740" s="35"/>
    </row>
    <row r="741" spans="3:3" ht="13.2">
      <c r="C741" s="35"/>
    </row>
    <row r="742" spans="3:3" ht="13.2">
      <c r="C742" s="35"/>
    </row>
    <row r="743" spans="3:3" ht="13.2">
      <c r="C743" s="35"/>
    </row>
    <row r="744" spans="3:3" ht="13.2">
      <c r="C744" s="35"/>
    </row>
    <row r="745" spans="3:3" ht="13.2">
      <c r="C745" s="35"/>
    </row>
    <row r="746" spans="3:3" ht="13.2">
      <c r="C746" s="35"/>
    </row>
    <row r="747" spans="3:3" ht="13.2">
      <c r="C747" s="35"/>
    </row>
    <row r="748" spans="3:3" ht="13.2">
      <c r="C748" s="35"/>
    </row>
    <row r="749" spans="3:3" ht="13.2">
      <c r="C749" s="35"/>
    </row>
    <row r="750" spans="3:3" ht="13.2">
      <c r="C750" s="35"/>
    </row>
    <row r="751" spans="3:3" ht="13.2">
      <c r="C751" s="35"/>
    </row>
    <row r="752" spans="3:3" ht="13.2">
      <c r="C752" s="35"/>
    </row>
    <row r="753" spans="3:3" ht="13.2">
      <c r="C753" s="35"/>
    </row>
    <row r="754" spans="3:3" ht="13.2">
      <c r="C754" s="35"/>
    </row>
    <row r="755" spans="3:3" ht="13.2">
      <c r="C755" s="35"/>
    </row>
    <row r="756" spans="3:3" ht="13.2">
      <c r="C756" s="35"/>
    </row>
    <row r="757" spans="3:3" ht="13.2">
      <c r="C757" s="35"/>
    </row>
    <row r="758" spans="3:3" ht="13.2">
      <c r="C758" s="35"/>
    </row>
    <row r="759" spans="3:3" ht="13.2">
      <c r="C759" s="35"/>
    </row>
    <row r="760" spans="3:3" ht="13.2">
      <c r="C760" s="35"/>
    </row>
    <row r="761" spans="3:3" ht="13.2">
      <c r="C761" s="35"/>
    </row>
    <row r="762" spans="3:3" ht="13.2">
      <c r="C762" s="35"/>
    </row>
    <row r="763" spans="3:3" ht="13.2">
      <c r="C763" s="35"/>
    </row>
    <row r="764" spans="3:3" ht="13.2">
      <c r="C764" s="35"/>
    </row>
    <row r="765" spans="3:3" ht="13.2">
      <c r="C765" s="35"/>
    </row>
    <row r="766" spans="3:3" ht="13.2">
      <c r="C766" s="35"/>
    </row>
    <row r="767" spans="3:3" ht="13.2">
      <c r="C767" s="35"/>
    </row>
    <row r="768" spans="3:3" ht="13.2">
      <c r="C768" s="35"/>
    </row>
    <row r="769" spans="3:3" ht="13.2">
      <c r="C769" s="35"/>
    </row>
    <row r="770" spans="3:3" ht="13.2">
      <c r="C770" s="35"/>
    </row>
    <row r="771" spans="3:3" ht="13.2">
      <c r="C771" s="35"/>
    </row>
    <row r="772" spans="3:3" ht="13.2">
      <c r="C772" s="35"/>
    </row>
    <row r="773" spans="3:3" ht="13.2">
      <c r="C773" s="35"/>
    </row>
    <row r="774" spans="3:3" ht="13.2">
      <c r="C774" s="35"/>
    </row>
    <row r="775" spans="3:3" ht="13.2">
      <c r="C775" s="35"/>
    </row>
    <row r="776" spans="3:3" ht="13.2">
      <c r="C776" s="35"/>
    </row>
    <row r="777" spans="3:3" ht="13.2">
      <c r="C777" s="35"/>
    </row>
    <row r="778" spans="3:3" ht="13.2">
      <c r="C778" s="35"/>
    </row>
    <row r="779" spans="3:3" ht="13.2">
      <c r="C779" s="35"/>
    </row>
    <row r="780" spans="3:3" ht="13.2">
      <c r="C780" s="35"/>
    </row>
    <row r="781" spans="3:3" ht="13.2">
      <c r="C781" s="35"/>
    </row>
    <row r="782" spans="3:3" ht="13.2">
      <c r="C782" s="35"/>
    </row>
    <row r="783" spans="3:3" ht="13.2">
      <c r="C783" s="35"/>
    </row>
    <row r="784" spans="3:3" ht="13.2">
      <c r="C784" s="35"/>
    </row>
    <row r="785" spans="3:3" ht="13.2">
      <c r="C785" s="35"/>
    </row>
    <row r="786" spans="3:3" ht="13.2">
      <c r="C786" s="35"/>
    </row>
    <row r="787" spans="3:3" ht="13.2">
      <c r="C787" s="35"/>
    </row>
    <row r="788" spans="3:3" ht="13.2">
      <c r="C788" s="35"/>
    </row>
    <row r="789" spans="3:3" ht="13.2">
      <c r="C789" s="35"/>
    </row>
    <row r="790" spans="3:3" ht="13.2">
      <c r="C790" s="35"/>
    </row>
    <row r="791" spans="3:3" ht="13.2">
      <c r="C791" s="35"/>
    </row>
    <row r="792" spans="3:3" ht="13.2">
      <c r="C792" s="35"/>
    </row>
    <row r="793" spans="3:3" ht="13.2">
      <c r="C793" s="35"/>
    </row>
    <row r="794" spans="3:3" ht="13.2">
      <c r="C794" s="35"/>
    </row>
    <row r="795" spans="3:3" ht="13.2">
      <c r="C795" s="35"/>
    </row>
    <row r="796" spans="3:3" ht="13.2">
      <c r="C796" s="35"/>
    </row>
    <row r="797" spans="3:3" ht="13.2">
      <c r="C797" s="35"/>
    </row>
    <row r="798" spans="3:3" ht="13.2">
      <c r="C798" s="35"/>
    </row>
    <row r="799" spans="3:3" ht="13.2">
      <c r="C799" s="35"/>
    </row>
    <row r="800" spans="3:3" ht="13.2">
      <c r="C800" s="35"/>
    </row>
    <row r="801" spans="3:3" ht="13.2">
      <c r="C801" s="35"/>
    </row>
    <row r="802" spans="3:3" ht="13.2">
      <c r="C802" s="35"/>
    </row>
    <row r="803" spans="3:3" ht="13.2">
      <c r="C803" s="35"/>
    </row>
    <row r="804" spans="3:3" ht="13.2">
      <c r="C804" s="35"/>
    </row>
    <row r="805" spans="3:3" ht="13.2">
      <c r="C805" s="35"/>
    </row>
    <row r="806" spans="3:3" ht="13.2">
      <c r="C806" s="35"/>
    </row>
    <row r="807" spans="3:3" ht="13.2">
      <c r="C807" s="35"/>
    </row>
    <row r="808" spans="3:3" ht="13.2">
      <c r="C808" s="35"/>
    </row>
    <row r="809" spans="3:3" ht="13.2">
      <c r="C809" s="35"/>
    </row>
    <row r="810" spans="3:3" ht="13.2">
      <c r="C810" s="35"/>
    </row>
    <row r="811" spans="3:3" ht="13.2">
      <c r="C811" s="35"/>
    </row>
    <row r="812" spans="3:3" ht="13.2">
      <c r="C812" s="35"/>
    </row>
    <row r="813" spans="3:3" ht="13.2">
      <c r="C813" s="35"/>
    </row>
    <row r="814" spans="3:3" ht="13.2">
      <c r="C814" s="35"/>
    </row>
    <row r="815" spans="3:3" ht="13.2">
      <c r="C815" s="35"/>
    </row>
    <row r="816" spans="3:3" ht="13.2">
      <c r="C816" s="35"/>
    </row>
    <row r="817" spans="3:3" ht="13.2">
      <c r="C817" s="35"/>
    </row>
    <row r="818" spans="3:3" ht="13.2">
      <c r="C818" s="35"/>
    </row>
    <row r="819" spans="3:3" ht="13.2">
      <c r="C819" s="35"/>
    </row>
    <row r="820" spans="3:3" ht="13.2">
      <c r="C820" s="35"/>
    </row>
    <row r="821" spans="3:3" ht="13.2">
      <c r="C821" s="35"/>
    </row>
    <row r="822" spans="3:3" ht="13.2">
      <c r="C822" s="35"/>
    </row>
    <row r="823" spans="3:3" ht="13.2">
      <c r="C823" s="35"/>
    </row>
    <row r="824" spans="3:3" ht="13.2">
      <c r="C824" s="35"/>
    </row>
    <row r="825" spans="3:3" ht="13.2">
      <c r="C825" s="35"/>
    </row>
    <row r="826" spans="3:3" ht="13.2">
      <c r="C826" s="35"/>
    </row>
    <row r="827" spans="3:3" ht="13.2">
      <c r="C827" s="35"/>
    </row>
    <row r="828" spans="3:3" ht="13.2">
      <c r="C828" s="35"/>
    </row>
    <row r="829" spans="3:3" ht="13.2">
      <c r="C829" s="35"/>
    </row>
    <row r="830" spans="3:3" ht="13.2">
      <c r="C830" s="35"/>
    </row>
    <row r="831" spans="3:3" ht="13.2">
      <c r="C831" s="35"/>
    </row>
    <row r="832" spans="3:3" ht="13.2">
      <c r="C832" s="35"/>
    </row>
    <row r="833" spans="3:3" ht="13.2">
      <c r="C833" s="35"/>
    </row>
    <row r="834" spans="3:3" ht="13.2">
      <c r="C834" s="35"/>
    </row>
    <row r="835" spans="3:3" ht="13.2">
      <c r="C835" s="35"/>
    </row>
    <row r="836" spans="3:3" ht="13.2">
      <c r="C836" s="35"/>
    </row>
    <row r="837" spans="3:3" ht="13.2">
      <c r="C837" s="35"/>
    </row>
    <row r="838" spans="3:3" ht="13.2">
      <c r="C838" s="35"/>
    </row>
    <row r="839" spans="3:3" ht="13.2">
      <c r="C839" s="35"/>
    </row>
    <row r="840" spans="3:3" ht="13.2">
      <c r="C840" s="35"/>
    </row>
    <row r="841" spans="3:3" ht="13.2">
      <c r="C841" s="35"/>
    </row>
    <row r="842" spans="3:3" ht="13.2">
      <c r="C842" s="35"/>
    </row>
    <row r="843" spans="3:3" ht="13.2">
      <c r="C843" s="35"/>
    </row>
    <row r="844" spans="3:3" ht="13.2">
      <c r="C844" s="35"/>
    </row>
    <row r="845" spans="3:3" ht="13.2">
      <c r="C845" s="35"/>
    </row>
    <row r="846" spans="3:3" ht="13.2">
      <c r="C846" s="35"/>
    </row>
    <row r="847" spans="3:3" ht="13.2">
      <c r="C847" s="35"/>
    </row>
    <row r="848" spans="3:3" ht="13.2">
      <c r="C848" s="35"/>
    </row>
    <row r="849" spans="3:3" ht="13.2">
      <c r="C849" s="35"/>
    </row>
    <row r="850" spans="3:3" ht="13.2">
      <c r="C850" s="35"/>
    </row>
    <row r="851" spans="3:3" ht="13.2">
      <c r="C851" s="35"/>
    </row>
    <row r="852" spans="3:3" ht="13.2">
      <c r="C852" s="35"/>
    </row>
    <row r="853" spans="3:3" ht="13.2">
      <c r="C853" s="35"/>
    </row>
    <row r="854" spans="3:3" ht="13.2">
      <c r="C854" s="35"/>
    </row>
    <row r="855" spans="3:3" ht="13.2">
      <c r="C855" s="35"/>
    </row>
    <row r="856" spans="3:3" ht="13.2">
      <c r="C856" s="35"/>
    </row>
    <row r="857" spans="3:3" ht="13.2">
      <c r="C857" s="35"/>
    </row>
    <row r="858" spans="3:3" ht="13.2">
      <c r="C858" s="35"/>
    </row>
    <row r="859" spans="3:3" ht="13.2">
      <c r="C859" s="35"/>
    </row>
    <row r="860" spans="3:3" ht="13.2">
      <c r="C860" s="35"/>
    </row>
    <row r="861" spans="3:3" ht="13.2">
      <c r="C861" s="35"/>
    </row>
    <row r="862" spans="3:3" ht="13.2">
      <c r="C862" s="35"/>
    </row>
    <row r="863" spans="3:3" ht="13.2">
      <c r="C863" s="35"/>
    </row>
    <row r="864" spans="3:3" ht="13.2">
      <c r="C864" s="35"/>
    </row>
    <row r="865" spans="3:3" ht="13.2">
      <c r="C865" s="35"/>
    </row>
    <row r="866" spans="3:3" ht="13.2">
      <c r="C866" s="35"/>
    </row>
    <row r="867" spans="3:3" ht="13.2">
      <c r="C867" s="35"/>
    </row>
    <row r="868" spans="3:3" ht="13.2">
      <c r="C868" s="35"/>
    </row>
    <row r="869" spans="3:3" ht="13.2">
      <c r="C869" s="35"/>
    </row>
    <row r="870" spans="3:3" ht="13.2">
      <c r="C870" s="35"/>
    </row>
    <row r="871" spans="3:3" ht="13.2">
      <c r="C871" s="35"/>
    </row>
    <row r="872" spans="3:3" ht="13.2">
      <c r="C872" s="35"/>
    </row>
    <row r="873" spans="3:3" ht="13.2">
      <c r="C873" s="35"/>
    </row>
    <row r="874" spans="3:3" ht="13.2">
      <c r="C874" s="35"/>
    </row>
    <row r="875" spans="3:3" ht="13.2">
      <c r="C875" s="35"/>
    </row>
    <row r="876" spans="3:3" ht="13.2">
      <c r="C876" s="35"/>
    </row>
    <row r="877" spans="3:3" ht="13.2">
      <c r="C877" s="35"/>
    </row>
    <row r="878" spans="3:3" ht="13.2">
      <c r="C878" s="35"/>
    </row>
    <row r="879" spans="3:3" ht="13.2">
      <c r="C879" s="35"/>
    </row>
    <row r="880" spans="3:3" ht="13.2">
      <c r="C880" s="35"/>
    </row>
    <row r="881" spans="3:3" ht="13.2">
      <c r="C881" s="35"/>
    </row>
    <row r="882" spans="3:3" ht="13.2">
      <c r="C882" s="35"/>
    </row>
    <row r="883" spans="3:3" ht="13.2">
      <c r="C883" s="35"/>
    </row>
    <row r="884" spans="3:3" ht="13.2">
      <c r="C884" s="35"/>
    </row>
    <row r="885" spans="3:3" ht="13.2">
      <c r="C885" s="35"/>
    </row>
    <row r="886" spans="3:3" ht="13.2">
      <c r="C886" s="35"/>
    </row>
    <row r="887" spans="3:3" ht="13.2">
      <c r="C887" s="35"/>
    </row>
    <row r="888" spans="3:3" ht="13.2">
      <c r="C888" s="35"/>
    </row>
    <row r="889" spans="3:3" ht="13.2">
      <c r="C889" s="35"/>
    </row>
    <row r="890" spans="3:3" ht="13.2">
      <c r="C890" s="35"/>
    </row>
    <row r="891" spans="3:3" ht="13.2">
      <c r="C891" s="35"/>
    </row>
    <row r="892" spans="3:3" ht="13.2">
      <c r="C892" s="35"/>
    </row>
    <row r="893" spans="3:3" ht="13.2">
      <c r="C893" s="35"/>
    </row>
    <row r="894" spans="3:3" ht="13.2">
      <c r="C894" s="35"/>
    </row>
    <row r="895" spans="3:3" ht="13.2">
      <c r="C895" s="35"/>
    </row>
    <row r="896" spans="3:3" ht="13.2">
      <c r="C896" s="35"/>
    </row>
    <row r="897" spans="3:3" ht="13.2">
      <c r="C897" s="35"/>
    </row>
    <row r="898" spans="3:3" ht="13.2">
      <c r="C898" s="35"/>
    </row>
    <row r="899" spans="3:3" ht="13.2">
      <c r="C899" s="35"/>
    </row>
    <row r="900" spans="3:3" ht="13.2">
      <c r="C900" s="35"/>
    </row>
    <row r="901" spans="3:3" ht="13.2">
      <c r="C901" s="35"/>
    </row>
    <row r="902" spans="3:3" ht="13.2">
      <c r="C902" s="35"/>
    </row>
    <row r="903" spans="3:3" ht="13.2">
      <c r="C903" s="35"/>
    </row>
    <row r="904" spans="3:3" ht="13.2">
      <c r="C904" s="35"/>
    </row>
    <row r="905" spans="3:3" ht="13.2">
      <c r="C905" s="35"/>
    </row>
    <row r="906" spans="3:3" ht="13.2">
      <c r="C906" s="35"/>
    </row>
    <row r="907" spans="3:3" ht="13.2">
      <c r="C907" s="35"/>
    </row>
    <row r="908" spans="3:3" ht="13.2">
      <c r="C908" s="35"/>
    </row>
    <row r="909" spans="3:3" ht="13.2">
      <c r="C909" s="35"/>
    </row>
    <row r="910" spans="3:3" ht="13.2">
      <c r="C910" s="35"/>
    </row>
    <row r="911" spans="3:3" ht="13.2">
      <c r="C911" s="35"/>
    </row>
    <row r="912" spans="3:3" ht="13.2">
      <c r="C912" s="35"/>
    </row>
    <row r="913" spans="3:3" ht="13.2">
      <c r="C913" s="35"/>
    </row>
    <row r="914" spans="3:3" ht="13.2">
      <c r="C914" s="35"/>
    </row>
    <row r="915" spans="3:3" ht="13.2">
      <c r="C915" s="35"/>
    </row>
    <row r="916" spans="3:3" ht="13.2">
      <c r="C916" s="35"/>
    </row>
    <row r="917" spans="3:3" ht="13.2">
      <c r="C917" s="35"/>
    </row>
    <row r="918" spans="3:3" ht="13.2">
      <c r="C918" s="35"/>
    </row>
    <row r="919" spans="3:3" ht="13.2">
      <c r="C919" s="35"/>
    </row>
    <row r="920" spans="3:3" ht="13.2">
      <c r="C920" s="35"/>
    </row>
    <row r="921" spans="3:3" ht="13.2">
      <c r="C921" s="35"/>
    </row>
    <row r="922" spans="3:3" ht="13.2">
      <c r="C922" s="35"/>
    </row>
    <row r="923" spans="3:3" ht="13.2">
      <c r="C923" s="35"/>
    </row>
    <row r="924" spans="3:3" ht="13.2">
      <c r="C924" s="35"/>
    </row>
    <row r="925" spans="3:3" ht="13.2">
      <c r="C925" s="35"/>
    </row>
    <row r="926" spans="3:3" ht="13.2">
      <c r="C926" s="35"/>
    </row>
    <row r="927" spans="3:3" ht="13.2">
      <c r="C927" s="35"/>
    </row>
    <row r="928" spans="3:3" ht="13.2">
      <c r="C928" s="35"/>
    </row>
    <row r="929" spans="3:3" ht="13.2">
      <c r="C929" s="35"/>
    </row>
    <row r="930" spans="3:3" ht="13.2">
      <c r="C930" s="35"/>
    </row>
    <row r="931" spans="3:3" ht="13.2">
      <c r="C931" s="35"/>
    </row>
    <row r="932" spans="3:3" ht="13.2">
      <c r="C932" s="35"/>
    </row>
    <row r="933" spans="3:3" ht="13.2">
      <c r="C933" s="35"/>
    </row>
    <row r="934" spans="3:3" ht="13.2">
      <c r="C934" s="35"/>
    </row>
    <row r="935" spans="3:3" ht="13.2">
      <c r="C935" s="35"/>
    </row>
    <row r="936" spans="3:3" ht="13.2">
      <c r="C936" s="35"/>
    </row>
    <row r="937" spans="3:3" ht="13.2">
      <c r="C937" s="35"/>
    </row>
    <row r="938" spans="3:3" ht="13.2">
      <c r="C938" s="35"/>
    </row>
    <row r="939" spans="3:3" ht="13.2">
      <c r="C939" s="35"/>
    </row>
    <row r="940" spans="3:3" ht="13.2">
      <c r="C940" s="35"/>
    </row>
    <row r="941" spans="3:3" ht="13.2">
      <c r="C941" s="35"/>
    </row>
    <row r="942" spans="3:3" ht="13.2">
      <c r="C942" s="35"/>
    </row>
    <row r="943" spans="3:3" ht="13.2">
      <c r="C943" s="35"/>
    </row>
    <row r="944" spans="3:3" ht="13.2">
      <c r="C944" s="35"/>
    </row>
    <row r="945" spans="3:3" ht="13.2">
      <c r="C945" s="35"/>
    </row>
    <row r="946" spans="3:3" ht="13.2">
      <c r="C946" s="35"/>
    </row>
    <row r="947" spans="3:3" ht="13.2">
      <c r="C947" s="35"/>
    </row>
    <row r="948" spans="3:3" ht="13.2">
      <c r="C948" s="35"/>
    </row>
    <row r="949" spans="3:3" ht="13.2">
      <c r="C949" s="35"/>
    </row>
    <row r="950" spans="3:3" ht="13.2">
      <c r="C950" s="35"/>
    </row>
    <row r="951" spans="3:3" ht="13.2">
      <c r="C951" s="35"/>
    </row>
    <row r="952" spans="3:3" ht="13.2">
      <c r="C952" s="35"/>
    </row>
    <row r="953" spans="3:3" ht="13.2">
      <c r="C953" s="35"/>
    </row>
    <row r="954" spans="3:3" ht="13.2">
      <c r="C954" s="35"/>
    </row>
    <row r="955" spans="3:3" ht="13.2">
      <c r="C955" s="35"/>
    </row>
    <row r="956" spans="3:3" ht="13.2">
      <c r="C956" s="35"/>
    </row>
    <row r="957" spans="3:3" ht="13.2">
      <c r="C957" s="35"/>
    </row>
    <row r="958" spans="3:3" ht="13.2">
      <c r="C958" s="35"/>
    </row>
    <row r="959" spans="3:3" ht="13.2">
      <c r="C959" s="35"/>
    </row>
    <row r="960" spans="3:3" ht="13.2">
      <c r="C960" s="35"/>
    </row>
    <row r="961" spans="3:3" ht="13.2">
      <c r="C961" s="35"/>
    </row>
    <row r="962" spans="3:3" ht="13.2">
      <c r="C962" s="35"/>
    </row>
    <row r="963" spans="3:3" ht="13.2">
      <c r="C963" s="35"/>
    </row>
    <row r="964" spans="3:3" ht="13.2">
      <c r="C964" s="35"/>
    </row>
    <row r="965" spans="3:3" ht="13.2">
      <c r="C965" s="35"/>
    </row>
    <row r="966" spans="3:3" ht="13.2">
      <c r="C966" s="35"/>
    </row>
    <row r="967" spans="3:3" ht="13.2">
      <c r="C967" s="35"/>
    </row>
    <row r="968" spans="3:3" ht="13.2">
      <c r="C968" s="35"/>
    </row>
    <row r="969" spans="3:3" ht="13.2">
      <c r="C969" s="35"/>
    </row>
    <row r="970" spans="3:3" ht="13.2">
      <c r="C970" s="35"/>
    </row>
    <row r="971" spans="3:3" ht="13.2">
      <c r="C971" s="35"/>
    </row>
    <row r="972" spans="3:3" ht="13.2">
      <c r="C972" s="35"/>
    </row>
    <row r="973" spans="3:3" ht="13.2">
      <c r="C973" s="35"/>
    </row>
    <row r="974" spans="3:3" ht="13.2">
      <c r="C974" s="35"/>
    </row>
    <row r="975" spans="3:3" ht="13.2">
      <c r="C975" s="35"/>
    </row>
    <row r="976" spans="3:3" ht="13.2">
      <c r="C976" s="35"/>
    </row>
    <row r="977" spans="3:3" ht="13.2">
      <c r="C977" s="35"/>
    </row>
    <row r="978" spans="3:3" ht="13.2">
      <c r="C978" s="35"/>
    </row>
    <row r="979" spans="3:3" ht="13.2">
      <c r="C979" s="35"/>
    </row>
    <row r="980" spans="3:3" ht="13.2">
      <c r="C980" s="35"/>
    </row>
    <row r="981" spans="3:3" ht="13.2">
      <c r="C981" s="35"/>
    </row>
    <row r="982" spans="3:3" ht="13.2">
      <c r="C982" s="35"/>
    </row>
    <row r="983" spans="3:3" ht="13.2">
      <c r="C983" s="35"/>
    </row>
    <row r="984" spans="3:3" ht="13.2">
      <c r="C984" s="35"/>
    </row>
    <row r="985" spans="3:3" ht="13.2">
      <c r="C985" s="35"/>
    </row>
    <row r="986" spans="3:3" ht="13.2">
      <c r="C986" s="35"/>
    </row>
    <row r="987" spans="3:3" ht="13.2">
      <c r="C987" s="35"/>
    </row>
    <row r="988" spans="3:3" ht="13.2">
      <c r="C988" s="35"/>
    </row>
    <row r="989" spans="3:3" ht="13.2">
      <c r="C989" s="35"/>
    </row>
    <row r="990" spans="3:3" ht="13.2">
      <c r="C990" s="35"/>
    </row>
    <row r="991" spans="3:3" ht="13.2">
      <c r="C991" s="35"/>
    </row>
    <row r="992" spans="3:3" ht="13.2">
      <c r="C992" s="35"/>
    </row>
    <row r="993" spans="3:3" ht="13.2">
      <c r="C993" s="35"/>
    </row>
    <row r="994" spans="3:3" ht="13.2">
      <c r="C994" s="35"/>
    </row>
    <row r="995" spans="3:3" ht="13.2">
      <c r="C995" s="35"/>
    </row>
    <row r="996" spans="3:3" ht="13.2">
      <c r="C996" s="35"/>
    </row>
    <row r="997" spans="3:3" ht="13.2">
      <c r="C997" s="35"/>
    </row>
    <row r="998" spans="3:3" ht="13.2">
      <c r="C998" s="35"/>
    </row>
    <row r="999" spans="3:3" ht="13.2">
      <c r="C999" s="35"/>
    </row>
    <row r="1000" spans="3:3" ht="13.2">
      <c r="C1000" s="35"/>
    </row>
    <row r="1001" spans="3:3" ht="13.2">
      <c r="C1001" s="35"/>
    </row>
    <row r="1002" spans="3:3" ht="13.2">
      <c r="C1002" s="35"/>
    </row>
  </sheetData>
  <autoFilter ref="A1:AP75">
    <filterColumn colId="2">
      <colorFilter dxfId="0"/>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Q8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3" max="3" width="41.77734375" customWidth="1"/>
    <col min="6" max="6" width="17.77734375" customWidth="1"/>
  </cols>
  <sheetData>
    <row r="1" spans="1:43" ht="67.5" customHeight="1">
      <c r="A1" s="19" t="s">
        <v>0</v>
      </c>
      <c r="B1" s="19" t="s">
        <v>1</v>
      </c>
      <c r="C1" s="19" t="s">
        <v>2</v>
      </c>
      <c r="D1" s="19" t="s">
        <v>1241</v>
      </c>
      <c r="E1" s="19" t="s">
        <v>1242</v>
      </c>
      <c r="F1" s="19" t="s">
        <v>5</v>
      </c>
      <c r="G1" s="19" t="s">
        <v>6</v>
      </c>
      <c r="H1" s="19" t="s">
        <v>7</v>
      </c>
      <c r="I1" s="19" t="s">
        <v>8</v>
      </c>
      <c r="J1" s="19" t="s">
        <v>9</v>
      </c>
      <c r="K1" s="19" t="s">
        <v>10</v>
      </c>
      <c r="L1" s="19" t="s">
        <v>1243</v>
      </c>
      <c r="M1" s="19" t="s">
        <v>12</v>
      </c>
      <c r="N1" s="19" t="s">
        <v>1244</v>
      </c>
      <c r="O1" s="19" t="s">
        <v>1245</v>
      </c>
      <c r="P1" s="19" t="s">
        <v>15</v>
      </c>
      <c r="Q1" s="19" t="s">
        <v>16</v>
      </c>
      <c r="R1" s="19" t="s">
        <v>1246</v>
      </c>
      <c r="S1" s="19" t="s">
        <v>18</v>
      </c>
      <c r="T1" s="19" t="s">
        <v>19</v>
      </c>
      <c r="U1" s="19" t="s">
        <v>20</v>
      </c>
      <c r="V1" s="19" t="s">
        <v>1247</v>
      </c>
      <c r="W1" s="19" t="s">
        <v>1248</v>
      </c>
      <c r="X1" s="19" t="s">
        <v>1249</v>
      </c>
      <c r="Y1" s="19" t="s">
        <v>1250</v>
      </c>
      <c r="Z1" s="19" t="s">
        <v>1251</v>
      </c>
      <c r="AA1" s="19" t="s">
        <v>26</v>
      </c>
      <c r="AB1" s="19" t="s">
        <v>27</v>
      </c>
      <c r="AC1" s="19" t="s">
        <v>28</v>
      </c>
      <c r="AD1" s="19" t="s">
        <v>29</v>
      </c>
      <c r="AE1" s="19" t="s">
        <v>30</v>
      </c>
      <c r="AF1" s="19" t="s">
        <v>31</v>
      </c>
      <c r="AG1" s="19" t="s">
        <v>32</v>
      </c>
      <c r="AH1" s="19" t="s">
        <v>33</v>
      </c>
      <c r="AI1" s="19" t="s">
        <v>34</v>
      </c>
      <c r="AJ1" s="19" t="s">
        <v>35</v>
      </c>
      <c r="AK1" s="19" t="s">
        <v>36</v>
      </c>
      <c r="AL1" s="19" t="s">
        <v>42</v>
      </c>
      <c r="AM1" s="19" t="s">
        <v>43</v>
      </c>
      <c r="AN1" s="19" t="s">
        <v>44</v>
      </c>
      <c r="AO1" s="19" t="s">
        <v>45</v>
      </c>
      <c r="AP1" s="19"/>
      <c r="AQ1" s="19" t="s">
        <v>46</v>
      </c>
    </row>
    <row r="2" spans="1:43" ht="13.2">
      <c r="A2" s="13">
        <v>45364.032977152776</v>
      </c>
      <c r="B2" s="14" t="s">
        <v>218</v>
      </c>
      <c r="C2" s="14" t="s">
        <v>1271</v>
      </c>
      <c r="D2" s="14">
        <v>200958</v>
      </c>
      <c r="E2" s="14" t="s">
        <v>133</v>
      </c>
      <c r="F2" s="14" t="s">
        <v>220</v>
      </c>
      <c r="G2" s="14" t="s">
        <v>64</v>
      </c>
      <c r="H2" s="14" t="s">
        <v>221</v>
      </c>
      <c r="I2" s="14" t="s">
        <v>222</v>
      </c>
      <c r="J2" s="14" t="s">
        <v>223</v>
      </c>
      <c r="K2" s="14" t="s">
        <v>218</v>
      </c>
      <c r="L2" s="14" t="s">
        <v>89</v>
      </c>
      <c r="M2" s="14" t="s">
        <v>224</v>
      </c>
      <c r="N2" s="14">
        <v>35</v>
      </c>
      <c r="O2" s="14" t="s">
        <v>70</v>
      </c>
      <c r="P2" s="14">
        <v>4</v>
      </c>
      <c r="Q2" s="14">
        <v>4</v>
      </c>
      <c r="R2" s="14">
        <v>5</v>
      </c>
      <c r="S2" s="16"/>
      <c r="T2" s="14" t="s">
        <v>71</v>
      </c>
      <c r="U2" s="14" t="s">
        <v>72</v>
      </c>
      <c r="V2" s="15" t="s">
        <v>74</v>
      </c>
      <c r="W2" s="30">
        <f>IF('CRUDO MIÉRCOLES'!AQ23="Si",$N2,)</f>
        <v>35</v>
      </c>
      <c r="X2" s="29">
        <v>0</v>
      </c>
      <c r="Y2" s="30">
        <f>IF('CRUDO MIÉRCOLES'!AS23="Si",$N2,)</f>
        <v>0</v>
      </c>
      <c r="Z2" s="29">
        <v>0</v>
      </c>
      <c r="AA2" s="30">
        <f>IF('CRUDO MIÉRCOLES'!AU23="Si",$N2,)</f>
        <v>0</v>
      </c>
      <c r="AB2" s="30">
        <f>IF('CRUDO MIÉRCOLES'!AV23="Si",$N2,)</f>
        <v>0</v>
      </c>
      <c r="AC2" s="29">
        <v>35</v>
      </c>
      <c r="AD2" s="30">
        <f>IF('CRUDO MIÉRCOLES'!AX23="Si",$N2,)</f>
        <v>0</v>
      </c>
      <c r="AE2" s="30">
        <f>IF('CRUDO MIÉRCOLES'!AY23="Si",$N2,)</f>
        <v>0</v>
      </c>
      <c r="AF2" s="30">
        <f>IF('CRUDO MIÉRCOLES'!AZ23="Si",$N2,)</f>
        <v>0</v>
      </c>
      <c r="AG2" s="29">
        <v>0</v>
      </c>
      <c r="AH2" s="30">
        <f>IF('CRUDO MIÉRCOLES'!BB23="Si",$N2,)</f>
        <v>0</v>
      </c>
      <c r="AI2" s="30">
        <f>IF('CRUDO MIÉRCOLES'!BC23="Si",$N2,)</f>
        <v>0</v>
      </c>
      <c r="AJ2" s="30">
        <f>IF('CRUDO MIÉRCOLES'!BD23="Si",$N2,)</f>
        <v>0</v>
      </c>
      <c r="AK2" s="30">
        <f>IF('CRUDO MIÉRCOLES'!BE23="Si",$N2,)</f>
        <v>0</v>
      </c>
      <c r="AL2" s="29">
        <v>0</v>
      </c>
      <c r="AM2" s="30">
        <f>IF('CRUDO MIÉRCOLES'!BG23="Si",$N2,)</f>
        <v>0</v>
      </c>
      <c r="AN2" s="29">
        <v>0</v>
      </c>
      <c r="AO2" s="29">
        <v>0</v>
      </c>
      <c r="AP2" s="14">
        <v>1</v>
      </c>
      <c r="AQ2" s="16"/>
    </row>
    <row r="3" spans="1:43" ht="13.2">
      <c r="A3" s="13">
        <v>45367.486158252315</v>
      </c>
      <c r="B3" s="14" t="s">
        <v>411</v>
      </c>
      <c r="C3" s="14" t="s">
        <v>412</v>
      </c>
      <c r="D3" s="14">
        <v>201041</v>
      </c>
      <c r="E3" s="14" t="s">
        <v>62</v>
      </c>
      <c r="F3" s="14" t="s">
        <v>413</v>
      </c>
      <c r="G3" s="14" t="s">
        <v>105</v>
      </c>
      <c r="H3" s="14" t="s">
        <v>414</v>
      </c>
      <c r="I3" s="14" t="s">
        <v>415</v>
      </c>
      <c r="J3" s="14" t="s">
        <v>416</v>
      </c>
      <c r="K3" s="14" t="s">
        <v>411</v>
      </c>
      <c r="L3" s="14" t="s">
        <v>89</v>
      </c>
      <c r="M3" s="14" t="s">
        <v>417</v>
      </c>
      <c r="N3" s="14">
        <v>25</v>
      </c>
      <c r="O3" s="14" t="s">
        <v>70</v>
      </c>
      <c r="P3" s="14">
        <v>3</v>
      </c>
      <c r="Q3" s="14">
        <v>3</v>
      </c>
      <c r="R3" s="14">
        <v>60</v>
      </c>
      <c r="S3" s="16"/>
      <c r="T3" s="14" t="s">
        <v>71</v>
      </c>
      <c r="U3" s="14" t="s">
        <v>72</v>
      </c>
      <c r="V3" s="15" t="s">
        <v>74</v>
      </c>
      <c r="W3" s="29">
        <v>0</v>
      </c>
      <c r="X3" s="29">
        <v>0</v>
      </c>
      <c r="Y3" s="29">
        <v>25</v>
      </c>
      <c r="Z3" s="30">
        <f>IF('CRUDO MIÉRCOLES'!AT52="Si",$N3,)</f>
        <v>0</v>
      </c>
      <c r="AA3" s="30">
        <f>IF('CRUDO MIÉRCOLES'!AU52="Si",$N3,)</f>
        <v>25</v>
      </c>
      <c r="AB3" s="29">
        <v>0</v>
      </c>
      <c r="AC3" s="29">
        <v>0</v>
      </c>
      <c r="AD3" s="30">
        <f>IF('CRUDO MIÉRCOLES'!AX52="Si",$N3,)</f>
        <v>0</v>
      </c>
      <c r="AE3" s="30">
        <f>IF('CRUDO MIÉRCOLES'!AY52="Si",$N3,)</f>
        <v>0</v>
      </c>
      <c r="AF3" s="30">
        <f>IF('CRUDO MIÉRCOLES'!AZ52="Si",$N3,)</f>
        <v>0</v>
      </c>
      <c r="AG3" s="29">
        <v>0</v>
      </c>
      <c r="AH3" s="29">
        <v>0</v>
      </c>
      <c r="AI3" s="30">
        <f>IF('CRUDO MIÉRCOLES'!BC52="Si",$N3,)</f>
        <v>0</v>
      </c>
      <c r="AJ3" s="30">
        <f>IF('CRUDO MIÉRCOLES'!BD52="Si",$N3,)</f>
        <v>0</v>
      </c>
      <c r="AK3" s="30">
        <f>IF('CRUDO MIÉRCOLES'!BE52="Si",$N3,)</f>
        <v>0</v>
      </c>
      <c r="AL3" s="31">
        <f>IF('CRUDO MIÉRCOLES'!BF52="Si",$N3,)</f>
        <v>25</v>
      </c>
      <c r="AM3" s="29">
        <v>0</v>
      </c>
      <c r="AN3" s="30">
        <f>IF('CRUDO MIÉRCOLES'!BH52="Si",$N3,)</f>
        <v>0</v>
      </c>
      <c r="AO3" s="30">
        <f>IF('CRUDO MIÉRCOLES'!BI52="Si",$N3,)</f>
        <v>0</v>
      </c>
      <c r="AP3" s="14">
        <v>1</v>
      </c>
      <c r="AQ3" s="16"/>
    </row>
    <row r="4" spans="1:43" ht="13.2">
      <c r="A4" s="13">
        <v>45367.489362268519</v>
      </c>
      <c r="B4" s="14" t="s">
        <v>411</v>
      </c>
      <c r="C4" s="14" t="s">
        <v>418</v>
      </c>
      <c r="D4" s="14">
        <v>201041</v>
      </c>
      <c r="E4" s="14" t="s">
        <v>62</v>
      </c>
      <c r="F4" s="14" t="s">
        <v>413</v>
      </c>
      <c r="G4" s="14" t="s">
        <v>105</v>
      </c>
      <c r="H4" s="14" t="s">
        <v>414</v>
      </c>
      <c r="I4" s="14" t="s">
        <v>415</v>
      </c>
      <c r="J4" s="14" t="s">
        <v>416</v>
      </c>
      <c r="K4" s="14" t="s">
        <v>411</v>
      </c>
      <c r="L4" s="14" t="s">
        <v>89</v>
      </c>
      <c r="M4" s="14" t="s">
        <v>417</v>
      </c>
      <c r="N4" s="14">
        <v>20</v>
      </c>
      <c r="O4" s="14" t="s">
        <v>148</v>
      </c>
      <c r="P4" s="14">
        <v>3</v>
      </c>
      <c r="Q4" s="14">
        <v>3</v>
      </c>
      <c r="R4" s="14">
        <v>60</v>
      </c>
      <c r="S4" s="16"/>
      <c r="T4" s="14" t="s">
        <v>71</v>
      </c>
      <c r="U4" s="14" t="s">
        <v>72</v>
      </c>
      <c r="V4" s="15" t="s">
        <v>74</v>
      </c>
      <c r="W4" s="29">
        <v>0</v>
      </c>
      <c r="X4" s="29">
        <v>0</v>
      </c>
      <c r="Y4" s="29">
        <v>20</v>
      </c>
      <c r="Z4" s="30">
        <f>IF('CRUDO MIÉRCOLES'!AT53="Si",$N4,)</f>
        <v>0</v>
      </c>
      <c r="AA4" s="30">
        <f>IF('CRUDO MIÉRCOLES'!AU53="Si",$N4,)</f>
        <v>20</v>
      </c>
      <c r="AB4" s="29">
        <v>0</v>
      </c>
      <c r="AC4" s="29">
        <v>0</v>
      </c>
      <c r="AD4" s="30">
        <f>IF('CRUDO MIÉRCOLES'!AX53="Si",$N4,)</f>
        <v>0</v>
      </c>
      <c r="AE4" s="30">
        <f>IF('CRUDO MIÉRCOLES'!AY53="Si",$N4,)</f>
        <v>0</v>
      </c>
      <c r="AF4" s="30">
        <f>IF('CRUDO MIÉRCOLES'!AZ53="Si",$N4,)</f>
        <v>0</v>
      </c>
      <c r="AG4" s="29">
        <v>0</v>
      </c>
      <c r="AH4" s="29">
        <v>0</v>
      </c>
      <c r="AI4" s="30">
        <f>IF('CRUDO MIÉRCOLES'!BC53="Si",$N4,)</f>
        <v>0</v>
      </c>
      <c r="AJ4" s="30">
        <f>IF('CRUDO MIÉRCOLES'!BD53="Si",$N4,)</f>
        <v>0</v>
      </c>
      <c r="AK4" s="30">
        <f>IF('CRUDO MIÉRCOLES'!BE53="Si",$N4,)</f>
        <v>0</v>
      </c>
      <c r="AL4" s="31">
        <f>IF('CRUDO MIÉRCOLES'!BF53="Si",$N4,)</f>
        <v>20</v>
      </c>
      <c r="AM4" s="29">
        <v>0</v>
      </c>
      <c r="AN4" s="30">
        <f>IF('CRUDO MIÉRCOLES'!BH53="Si",$N4,)</f>
        <v>0</v>
      </c>
      <c r="AO4" s="30">
        <f>IF('CRUDO MIÉRCOLES'!BI53="Si",$N4,)</f>
        <v>0</v>
      </c>
      <c r="AP4" s="14">
        <v>1</v>
      </c>
      <c r="AQ4" s="16"/>
    </row>
    <row r="5" spans="1:43" ht="13.2">
      <c r="A5" s="13">
        <v>45364.441343668979</v>
      </c>
      <c r="B5" s="14" t="s">
        <v>252</v>
      </c>
      <c r="C5" s="14" t="s">
        <v>253</v>
      </c>
      <c r="D5" s="14">
        <v>20015900</v>
      </c>
      <c r="E5" s="14" t="s">
        <v>133</v>
      </c>
      <c r="F5" s="14" t="s">
        <v>254</v>
      </c>
      <c r="G5" s="14" t="s">
        <v>105</v>
      </c>
      <c r="H5" s="14" t="s">
        <v>255</v>
      </c>
      <c r="I5" s="14" t="s">
        <v>256</v>
      </c>
      <c r="J5" s="16"/>
      <c r="K5" s="14" t="s">
        <v>252</v>
      </c>
      <c r="L5" s="14" t="s">
        <v>89</v>
      </c>
      <c r="M5" s="14" t="s">
        <v>257</v>
      </c>
      <c r="N5" s="14">
        <v>35</v>
      </c>
      <c r="O5" s="14" t="s">
        <v>70</v>
      </c>
      <c r="P5" s="14">
        <v>4</v>
      </c>
      <c r="Q5" s="14">
        <v>3</v>
      </c>
      <c r="R5" s="14">
        <v>50</v>
      </c>
      <c r="S5" s="16"/>
      <c r="T5" s="14" t="s">
        <v>71</v>
      </c>
      <c r="U5" s="14" t="s">
        <v>72</v>
      </c>
      <c r="V5" s="15" t="s">
        <v>74</v>
      </c>
      <c r="W5" s="29">
        <v>0</v>
      </c>
      <c r="X5" s="30">
        <f>IF('CRUDO MIÉRCOLES'!AR29="Si",$N5,)</f>
        <v>35</v>
      </c>
      <c r="Y5" s="30">
        <f>IF('CRUDO MIÉRCOLES'!AS29="Si",$N5,)</f>
        <v>0</v>
      </c>
      <c r="Z5" s="30">
        <f>IF('CRUDO MIÉRCOLES'!AT29="Si",$N5,)</f>
        <v>0</v>
      </c>
      <c r="AA5" s="30">
        <f>IF('CRUDO MIÉRCOLES'!AU29="Si",$N5,)</f>
        <v>0</v>
      </c>
      <c r="AB5" s="29">
        <v>0</v>
      </c>
      <c r="AC5" s="29">
        <v>0</v>
      </c>
      <c r="AD5" s="30">
        <f>IF('CRUDO MIÉRCOLES'!AX29="Si",$N5,)</f>
        <v>0</v>
      </c>
      <c r="AE5" s="30">
        <f>IF('CRUDO MIÉRCOLES'!AY29="Si",$N5,)</f>
        <v>0</v>
      </c>
      <c r="AF5" s="30">
        <f>IF('CRUDO MIÉRCOLES'!AZ29="Si",$N5,)</f>
        <v>0</v>
      </c>
      <c r="AG5" s="30">
        <f>IF('CRUDO MIÉRCOLES'!BA29="Si",$N5,)</f>
        <v>0</v>
      </c>
      <c r="AH5" s="29">
        <v>0</v>
      </c>
      <c r="AI5" s="31">
        <f>IF('CRUDO MIÉRCOLES'!BC29="Si",$N5,)</f>
        <v>35</v>
      </c>
      <c r="AJ5" s="30">
        <f>IF('CRUDO MIÉRCOLES'!BD29="Si",$N5,)</f>
        <v>0</v>
      </c>
      <c r="AK5" s="30">
        <f>IF('CRUDO MIÉRCOLES'!BE29="Si",$N5,)</f>
        <v>0</v>
      </c>
      <c r="AL5" s="30">
        <f>IF('CRUDO MIÉRCOLES'!BF29="Si",$N5,)</f>
        <v>0</v>
      </c>
      <c r="AM5" s="30">
        <f>IF('CRUDO MIÉRCOLES'!BG29="Si",$N5,)</f>
        <v>0</v>
      </c>
      <c r="AN5" s="30">
        <f>IF('CRUDO MIÉRCOLES'!BH29="Si",$N5,)</f>
        <v>0</v>
      </c>
      <c r="AO5" s="30">
        <f>IF('CRUDO MIÉRCOLES'!BI29="Si",$N5,)</f>
        <v>0</v>
      </c>
      <c r="AP5" s="14">
        <v>1</v>
      </c>
      <c r="AQ5" s="14" t="s">
        <v>258</v>
      </c>
    </row>
    <row r="6" spans="1:43" ht="13.2">
      <c r="A6" s="13">
        <v>45365.417539652779</v>
      </c>
      <c r="B6" s="14" t="s">
        <v>302</v>
      </c>
      <c r="C6" s="14" t="s">
        <v>1272</v>
      </c>
      <c r="D6" s="14">
        <v>20056200</v>
      </c>
      <c r="E6" s="14" t="s">
        <v>84</v>
      </c>
      <c r="F6" s="14" t="s">
        <v>304</v>
      </c>
      <c r="G6" s="14" t="s">
        <v>64</v>
      </c>
      <c r="H6" s="14" t="s">
        <v>305</v>
      </c>
      <c r="I6" s="14" t="s">
        <v>306</v>
      </c>
      <c r="J6" s="16"/>
      <c r="K6" s="14" t="s">
        <v>302</v>
      </c>
      <c r="L6" s="14" t="s">
        <v>89</v>
      </c>
      <c r="M6" s="14" t="s">
        <v>307</v>
      </c>
      <c r="N6" s="14">
        <v>11</v>
      </c>
      <c r="O6" s="14" t="s">
        <v>70</v>
      </c>
      <c r="P6" s="14">
        <v>3</v>
      </c>
      <c r="Q6" s="14">
        <v>4</v>
      </c>
      <c r="R6" s="14">
        <v>10</v>
      </c>
      <c r="S6" s="16"/>
      <c r="T6" s="14" t="s">
        <v>71</v>
      </c>
      <c r="U6" s="14" t="s">
        <v>72</v>
      </c>
      <c r="V6" s="15" t="s">
        <v>74</v>
      </c>
      <c r="W6" s="29">
        <v>11</v>
      </c>
      <c r="X6" s="29">
        <v>0</v>
      </c>
      <c r="Y6" s="29">
        <v>0</v>
      </c>
      <c r="Z6" s="30">
        <f>IF('CRUDO MIÉRCOLES'!AT36="Si",$N6,)</f>
        <v>0</v>
      </c>
      <c r="AA6" s="29">
        <v>0</v>
      </c>
      <c r="AB6" s="30">
        <f>IF('CRUDO MIÉRCOLES'!AV36="Si",$N6,)</f>
        <v>11</v>
      </c>
      <c r="AC6" s="29">
        <v>0</v>
      </c>
      <c r="AD6" s="29">
        <v>0</v>
      </c>
      <c r="AE6" s="30">
        <f>IF('CRUDO MIÉRCOLES'!AY36="Si",$N6,)</f>
        <v>0</v>
      </c>
      <c r="AF6" s="30">
        <f>IF('CRUDO MIÉRCOLES'!AZ36="Si",$N6,)</f>
        <v>0</v>
      </c>
      <c r="AG6" s="29">
        <v>0</v>
      </c>
      <c r="AH6" s="29">
        <v>0</v>
      </c>
      <c r="AI6" s="29">
        <v>0</v>
      </c>
      <c r="AJ6" s="30">
        <f>IF('CRUDO MIÉRCOLES'!BD36="Si",$N6,)</f>
        <v>0</v>
      </c>
      <c r="AK6" s="30">
        <f>IF('CRUDO MIÉRCOLES'!BE36="Si",$N6,)</f>
        <v>0</v>
      </c>
      <c r="AL6" s="30">
        <f>IF('CRUDO MIÉRCOLES'!BF36="Si",$N6,)</f>
        <v>0</v>
      </c>
      <c r="AM6" s="30">
        <f>IF('CRUDO MIÉRCOLES'!BG36="Si",$N6,)</f>
        <v>0</v>
      </c>
      <c r="AN6" s="30">
        <f>IF('CRUDO MIÉRCOLES'!BH36="Si",$N6,)</f>
        <v>0</v>
      </c>
      <c r="AO6" s="30">
        <f>IF('CRUDO MIÉRCOLES'!BI36="Si",$N6,)</f>
        <v>0</v>
      </c>
      <c r="AP6" s="14">
        <v>1</v>
      </c>
      <c r="AQ6" s="16"/>
    </row>
    <row r="7" spans="1:43" ht="13.2">
      <c r="A7" s="13">
        <v>45366.67817741898</v>
      </c>
      <c r="B7" s="14" t="s">
        <v>385</v>
      </c>
      <c r="C7" s="14" t="s">
        <v>386</v>
      </c>
      <c r="D7" s="14">
        <v>20063700</v>
      </c>
      <c r="E7" s="14" t="s">
        <v>387</v>
      </c>
      <c r="F7" s="14" t="s">
        <v>388</v>
      </c>
      <c r="G7" s="14" t="s">
        <v>105</v>
      </c>
      <c r="H7" s="14" t="s">
        <v>389</v>
      </c>
      <c r="I7" s="14" t="s">
        <v>390</v>
      </c>
      <c r="J7" s="14" t="s">
        <v>391</v>
      </c>
      <c r="K7" s="14" t="s">
        <v>385</v>
      </c>
      <c r="L7" s="14" t="s">
        <v>89</v>
      </c>
      <c r="M7" s="14" t="s">
        <v>392</v>
      </c>
      <c r="N7" s="14">
        <v>35</v>
      </c>
      <c r="O7" s="14" t="s">
        <v>148</v>
      </c>
      <c r="P7" s="14">
        <v>4</v>
      </c>
      <c r="Q7" s="14">
        <v>4</v>
      </c>
      <c r="R7" s="14">
        <v>80</v>
      </c>
      <c r="S7" s="14" t="s">
        <v>393</v>
      </c>
      <c r="T7" s="14" t="s">
        <v>72</v>
      </c>
      <c r="U7" s="14" t="s">
        <v>71</v>
      </c>
      <c r="V7" s="15" t="s">
        <v>74</v>
      </c>
      <c r="W7" s="30">
        <f>IF('CRUDO MIÉRCOLES'!AQ49="Si",$N7,)</f>
        <v>0</v>
      </c>
      <c r="X7" s="30">
        <f>IF('CRUDO MIÉRCOLES'!AR49="Si",$N7,)</f>
        <v>0</v>
      </c>
      <c r="Y7" s="30">
        <f>IF('CRUDO MIÉRCOLES'!AS49="Si",$N7,)</f>
        <v>0</v>
      </c>
      <c r="Z7" s="30">
        <f>IF('CRUDO MIÉRCOLES'!AT49="Si",$N7,)</f>
        <v>35</v>
      </c>
      <c r="AA7" s="30">
        <f>IF('CRUDO MIÉRCOLES'!AU49="Si",$N7,)</f>
        <v>0</v>
      </c>
      <c r="AB7" s="30">
        <f>IF('CRUDO MIÉRCOLES'!AV49="Si",$N7,)</f>
        <v>0</v>
      </c>
      <c r="AC7" s="30">
        <f>IF('CRUDO MIÉRCOLES'!AW49="Si",$N7,)</f>
        <v>0</v>
      </c>
      <c r="AD7" s="30">
        <f>IF('CRUDO MIÉRCOLES'!AX49="Si",$N7,)</f>
        <v>0</v>
      </c>
      <c r="AE7" s="30">
        <f>IF('CRUDO MIÉRCOLES'!AY49="Si",$N7,)</f>
        <v>0</v>
      </c>
      <c r="AF7" s="29">
        <v>0</v>
      </c>
      <c r="AG7" s="30"/>
      <c r="AH7" s="30">
        <f>IF('CRUDO MIÉRCOLES'!BB49="Si",$N7,)</f>
        <v>0</v>
      </c>
      <c r="AI7" s="30">
        <f>IF('CRUDO MIÉRCOLES'!BC49="Si",$N7,)</f>
        <v>0</v>
      </c>
      <c r="AJ7" s="30">
        <f>IF('CRUDO MIÉRCOLES'!BD49="Si",$N7,)</f>
        <v>0</v>
      </c>
      <c r="AK7" s="30">
        <f>IF('CRUDO MIÉRCOLES'!BE49="Si",$N7,)</f>
        <v>0</v>
      </c>
      <c r="AL7" s="30">
        <f>IF('CRUDO MIÉRCOLES'!BF49="Si",$N7,)</f>
        <v>0</v>
      </c>
      <c r="AM7" s="30">
        <f>IF('CRUDO MIÉRCOLES'!BG49="Si",$N7,)</f>
        <v>0</v>
      </c>
      <c r="AN7" s="30">
        <f>IF('CRUDO MIÉRCOLES'!BH49="Si",$N7,)</f>
        <v>0</v>
      </c>
      <c r="AO7" s="31">
        <f>IF('CRUDO MIÉRCOLES'!BI49="Si",$N7,)</f>
        <v>35</v>
      </c>
      <c r="AP7" s="14">
        <v>1</v>
      </c>
      <c r="AQ7" s="14" t="s">
        <v>394</v>
      </c>
    </row>
    <row r="8" spans="1:43" ht="13.2">
      <c r="A8" s="21">
        <v>45365.487903437504</v>
      </c>
      <c r="B8" s="22" t="s">
        <v>308</v>
      </c>
      <c r="C8" s="22" t="s">
        <v>309</v>
      </c>
      <c r="D8" s="22">
        <v>20086200</v>
      </c>
      <c r="E8" s="22" t="s">
        <v>84</v>
      </c>
      <c r="F8" s="22" t="s">
        <v>310</v>
      </c>
      <c r="G8" s="22" t="s">
        <v>64</v>
      </c>
      <c r="H8" s="22" t="s">
        <v>311</v>
      </c>
      <c r="I8" s="22" t="s">
        <v>312</v>
      </c>
      <c r="J8" s="25"/>
      <c r="K8" s="22" t="s">
        <v>308</v>
      </c>
      <c r="L8" s="22" t="s">
        <v>89</v>
      </c>
      <c r="M8" s="22" t="s">
        <v>313</v>
      </c>
      <c r="N8" s="22">
        <v>0</v>
      </c>
      <c r="O8" s="22" t="s">
        <v>148</v>
      </c>
      <c r="P8" s="22">
        <v>5</v>
      </c>
      <c r="Q8" s="22">
        <v>3</v>
      </c>
      <c r="R8" s="22">
        <v>5</v>
      </c>
      <c r="S8" s="25"/>
      <c r="T8" s="22" t="s">
        <v>71</v>
      </c>
      <c r="U8" s="22" t="s">
        <v>72</v>
      </c>
      <c r="V8" s="24" t="s">
        <v>74</v>
      </c>
      <c r="W8" s="26">
        <f>IF('CRUDO MIÉRCOLES'!AQ37="Si",$N8,)</f>
        <v>0</v>
      </c>
      <c r="X8" s="26">
        <f>IF('CRUDO MIÉRCOLES'!AR37="Si",$N8,)</f>
        <v>0</v>
      </c>
      <c r="Y8" s="26">
        <f>IF('CRUDO MIÉRCOLES'!AS37="Si",$N8,)</f>
        <v>0</v>
      </c>
      <c r="Z8" s="26">
        <f>IF('CRUDO MIÉRCOLES'!AT37="Si",$N8,)</f>
        <v>0</v>
      </c>
      <c r="AA8" s="26">
        <f>IF('CRUDO MIÉRCOLES'!AU37="Si",$N8,)</f>
        <v>0</v>
      </c>
      <c r="AB8" s="26">
        <f>IF('CRUDO MIÉRCOLES'!AV37="Si",$N8,)</f>
        <v>0</v>
      </c>
      <c r="AC8" s="26">
        <f>IF('CRUDO MIÉRCOLES'!AW37="Si",$N8,)</f>
        <v>0</v>
      </c>
      <c r="AD8" s="26">
        <f>IF('CRUDO MIÉRCOLES'!AX37="Si",$N8,)</f>
        <v>0</v>
      </c>
      <c r="AE8" s="26">
        <f>IF('CRUDO MIÉRCOLES'!AY37="Si",$N8,)</f>
        <v>0</v>
      </c>
      <c r="AF8" s="26">
        <f>IF('CRUDO MIÉRCOLES'!AZ37="Si",$N8,)</f>
        <v>0</v>
      </c>
      <c r="AG8" s="26">
        <f>IF('CRUDO MIÉRCOLES'!BA37="Si",$N8,)</f>
        <v>0</v>
      </c>
      <c r="AH8" s="26">
        <f>IF('CRUDO MIÉRCOLES'!BB37="Si",$N8,)</f>
        <v>0</v>
      </c>
      <c r="AI8" s="26">
        <f>IF('CRUDO MIÉRCOLES'!BC37="Si",$N8,)</f>
        <v>0</v>
      </c>
      <c r="AJ8" s="26">
        <f>IF('CRUDO MIÉRCOLES'!BD37="Si",$N8,)</f>
        <v>0</v>
      </c>
      <c r="AK8" s="26">
        <f>IF('CRUDO MIÉRCOLES'!BE37="Si",$N8,)</f>
        <v>0</v>
      </c>
      <c r="AL8" s="26">
        <f>IF('CRUDO MIÉRCOLES'!BF37="Si",$N8,)</f>
        <v>0</v>
      </c>
      <c r="AM8" s="26">
        <f>IF('CRUDO MIÉRCOLES'!BG37="Si",$N8,)</f>
        <v>0</v>
      </c>
      <c r="AN8" s="26">
        <f>IF('CRUDO MIÉRCOLES'!BH37="Si",$N8,)</f>
        <v>0</v>
      </c>
      <c r="AO8" s="26">
        <f>IF('CRUDO MIÉRCOLES'!BI37="Si",$N8,)</f>
        <v>0</v>
      </c>
      <c r="AP8" s="25"/>
      <c r="AQ8" s="25"/>
    </row>
    <row r="9" spans="1:43" ht="13.2">
      <c r="A9" s="13">
        <v>45365.49015813657</v>
      </c>
      <c r="B9" s="14" t="s">
        <v>308</v>
      </c>
      <c r="C9" s="14" t="s">
        <v>1273</v>
      </c>
      <c r="D9" s="14">
        <v>20086200</v>
      </c>
      <c r="E9" s="14" t="s">
        <v>84</v>
      </c>
      <c r="F9" s="14" t="s">
        <v>310</v>
      </c>
      <c r="G9" s="14" t="s">
        <v>64</v>
      </c>
      <c r="H9" s="14" t="s">
        <v>311</v>
      </c>
      <c r="I9" s="14" t="s">
        <v>314</v>
      </c>
      <c r="J9" s="16"/>
      <c r="K9" s="14" t="s">
        <v>308</v>
      </c>
      <c r="L9" s="14" t="s">
        <v>89</v>
      </c>
      <c r="M9" s="14" t="s">
        <v>313</v>
      </c>
      <c r="N9" s="14">
        <v>24</v>
      </c>
      <c r="O9" s="14" t="s">
        <v>70</v>
      </c>
      <c r="P9" s="14">
        <v>5</v>
      </c>
      <c r="Q9" s="14">
        <v>3</v>
      </c>
      <c r="R9" s="14">
        <v>5</v>
      </c>
      <c r="S9" s="16"/>
      <c r="T9" s="14" t="s">
        <v>71</v>
      </c>
      <c r="U9" s="14" t="s">
        <v>72</v>
      </c>
      <c r="V9" s="15" t="s">
        <v>74</v>
      </c>
      <c r="W9" s="30">
        <f>IF('CRUDO MIÉRCOLES'!AQ38="Si",$N9,)</f>
        <v>24</v>
      </c>
      <c r="X9" s="30">
        <f>IF('CRUDO MIÉRCOLES'!AR38="Si",$N9,)</f>
        <v>0</v>
      </c>
      <c r="Y9" s="30">
        <f>IF('CRUDO MIÉRCOLES'!AS38="Si",$N9,)</f>
        <v>0</v>
      </c>
      <c r="Z9" s="30">
        <f>IF('CRUDO MIÉRCOLES'!AT38="Si",$N9,)</f>
        <v>0</v>
      </c>
      <c r="AA9" s="30">
        <f>IF('CRUDO MIÉRCOLES'!AU38="Si",$N9,)</f>
        <v>0</v>
      </c>
      <c r="AB9" s="30">
        <f>IF('CRUDO MIÉRCOLES'!AV38="Si",$N9,)</f>
        <v>24</v>
      </c>
      <c r="AC9" s="30">
        <f>IF('CRUDO MIÉRCOLES'!AW38="Si",$N9,)</f>
        <v>0</v>
      </c>
      <c r="AD9" s="30">
        <f>IF('CRUDO MIÉRCOLES'!AX38="Si",$N9,)</f>
        <v>0</v>
      </c>
      <c r="AE9" s="30">
        <f>IF('CRUDO MIÉRCOLES'!AY38="Si",$N9,)</f>
        <v>0</v>
      </c>
      <c r="AF9" s="30">
        <f>IF('CRUDO MIÉRCOLES'!AZ38="Si",$N9,)</f>
        <v>0</v>
      </c>
      <c r="AG9" s="30">
        <f>IF('CRUDO MIÉRCOLES'!BA38="Si",$N9,)</f>
        <v>0</v>
      </c>
      <c r="AH9" s="30">
        <f>IF('CRUDO MIÉRCOLES'!BB38="Si",$N9,)</f>
        <v>0</v>
      </c>
      <c r="AI9" s="30">
        <f>IF('CRUDO MIÉRCOLES'!BC38="Si",$N9,)</f>
        <v>0</v>
      </c>
      <c r="AJ9" s="30">
        <f>IF('CRUDO MIÉRCOLES'!BD38="Si",$N9,)</f>
        <v>0</v>
      </c>
      <c r="AK9" s="30">
        <f>IF('CRUDO MIÉRCOLES'!BE38="Si",$N9,)</f>
        <v>0</v>
      </c>
      <c r="AL9" s="30">
        <f>IF('CRUDO MIÉRCOLES'!BF38="Si",$N9,)</f>
        <v>0</v>
      </c>
      <c r="AM9" s="30">
        <f>IF('CRUDO MIÉRCOLES'!BG38="Si",$N9,)</f>
        <v>0</v>
      </c>
      <c r="AN9" s="30">
        <f>IF('CRUDO MIÉRCOLES'!BH38="Si",$N9,)</f>
        <v>0</v>
      </c>
      <c r="AO9" s="30">
        <f>IF('CRUDO MIÉRCOLES'!BI38="Si",$N9,)</f>
        <v>0</v>
      </c>
      <c r="AP9" s="14">
        <v>1</v>
      </c>
      <c r="AQ9" s="16"/>
    </row>
    <row r="10" spans="1:43" ht="13.2">
      <c r="A10" s="13">
        <v>45365.492675844907</v>
      </c>
      <c r="B10" s="14" t="s">
        <v>308</v>
      </c>
      <c r="C10" s="14" t="s">
        <v>1274</v>
      </c>
      <c r="D10" s="14">
        <v>20086200</v>
      </c>
      <c r="E10" s="14" t="s">
        <v>84</v>
      </c>
      <c r="F10" s="14" t="s">
        <v>310</v>
      </c>
      <c r="G10" s="14" t="s">
        <v>64</v>
      </c>
      <c r="H10" s="14" t="s">
        <v>311</v>
      </c>
      <c r="I10" s="14" t="s">
        <v>312</v>
      </c>
      <c r="J10" s="16"/>
      <c r="K10" s="14" t="s">
        <v>308</v>
      </c>
      <c r="L10" s="14" t="s">
        <v>89</v>
      </c>
      <c r="M10" s="14" t="s">
        <v>313</v>
      </c>
      <c r="N10" s="14">
        <v>25</v>
      </c>
      <c r="O10" s="14" t="s">
        <v>70</v>
      </c>
      <c r="P10" s="14">
        <v>5</v>
      </c>
      <c r="Q10" s="14">
        <v>3</v>
      </c>
      <c r="R10" s="14">
        <v>5</v>
      </c>
      <c r="S10" s="16"/>
      <c r="T10" s="14" t="s">
        <v>71</v>
      </c>
      <c r="U10" s="14" t="s">
        <v>72</v>
      </c>
      <c r="V10" s="15" t="s">
        <v>74</v>
      </c>
      <c r="W10" s="30">
        <f>IF('CRUDO MIÉRCOLES'!AQ39="Si",$N10,)</f>
        <v>25</v>
      </c>
      <c r="X10" s="30">
        <f>IF('CRUDO MIÉRCOLES'!AR39="Si",$N10,)</f>
        <v>0</v>
      </c>
      <c r="Y10" s="30">
        <f>IF('CRUDO MIÉRCOLES'!AS39="Si",$N10,)</f>
        <v>0</v>
      </c>
      <c r="Z10" s="30">
        <f>IF('CRUDO MIÉRCOLES'!AT39="Si",$N10,)</f>
        <v>0</v>
      </c>
      <c r="AA10" s="30">
        <f>IF('CRUDO MIÉRCOLES'!AU39="Si",$N10,)</f>
        <v>0</v>
      </c>
      <c r="AB10" s="30">
        <f>IF('CRUDO MIÉRCOLES'!AV39="Si",$N10,)</f>
        <v>25</v>
      </c>
      <c r="AC10" s="30">
        <f>IF('CRUDO MIÉRCOLES'!AW39="Si",$N10,)</f>
        <v>0</v>
      </c>
      <c r="AD10" s="30">
        <f>IF('CRUDO MIÉRCOLES'!AX39="Si",$N10,)</f>
        <v>0</v>
      </c>
      <c r="AE10" s="30">
        <f>IF('CRUDO MIÉRCOLES'!AY39="Si",$N10,)</f>
        <v>0</v>
      </c>
      <c r="AF10" s="30">
        <f>IF('CRUDO MIÉRCOLES'!AZ39="Si",$N10,)</f>
        <v>0</v>
      </c>
      <c r="AG10" s="30">
        <f>IF('CRUDO MIÉRCOLES'!BA39="Si",$N10,)</f>
        <v>0</v>
      </c>
      <c r="AH10" s="30">
        <f>IF('CRUDO MIÉRCOLES'!BB39="Si",$N10,)</f>
        <v>0</v>
      </c>
      <c r="AI10" s="30">
        <f>IF('CRUDO MIÉRCOLES'!BC39="Si",$N10,)</f>
        <v>0</v>
      </c>
      <c r="AJ10" s="30">
        <f>IF('CRUDO MIÉRCOLES'!BD39="Si",$N10,)</f>
        <v>0</v>
      </c>
      <c r="AK10" s="30">
        <f>IF('CRUDO MIÉRCOLES'!BE39="Si",$N10,)</f>
        <v>0</v>
      </c>
      <c r="AL10" s="30">
        <f>IF('CRUDO MIÉRCOLES'!BF39="Si",$N10,)</f>
        <v>0</v>
      </c>
      <c r="AM10" s="30">
        <f>IF('CRUDO MIÉRCOLES'!BG39="Si",$N10,)</f>
        <v>0</v>
      </c>
      <c r="AN10" s="30">
        <f>IF('CRUDO MIÉRCOLES'!BH39="Si",$N10,)</f>
        <v>0</v>
      </c>
      <c r="AO10" s="30">
        <f>IF('CRUDO MIÉRCOLES'!BI39="Si",$N10,)</f>
        <v>0</v>
      </c>
      <c r="AP10" s="14">
        <v>1</v>
      </c>
      <c r="AQ10" s="16"/>
    </row>
    <row r="11" spans="1:43" ht="13.2">
      <c r="A11" s="13">
        <v>45367.492237175931</v>
      </c>
      <c r="B11" s="14" t="s">
        <v>420</v>
      </c>
      <c r="C11" s="14" t="s">
        <v>421</v>
      </c>
      <c r="D11" s="14">
        <v>20116900</v>
      </c>
      <c r="E11" s="14" t="s">
        <v>286</v>
      </c>
      <c r="F11" s="14" t="s">
        <v>422</v>
      </c>
      <c r="G11" s="14" t="s">
        <v>105</v>
      </c>
      <c r="H11" s="14" t="s">
        <v>423</v>
      </c>
      <c r="I11" s="14" t="s">
        <v>424</v>
      </c>
      <c r="J11" s="16"/>
      <c r="K11" s="14" t="s">
        <v>420</v>
      </c>
      <c r="L11" s="14" t="s">
        <v>89</v>
      </c>
      <c r="M11" s="14" t="s">
        <v>425</v>
      </c>
      <c r="N11" s="14">
        <v>35</v>
      </c>
      <c r="O11" s="14" t="s">
        <v>148</v>
      </c>
      <c r="P11" s="14">
        <v>5</v>
      </c>
      <c r="Q11" s="14">
        <v>4</v>
      </c>
      <c r="R11" s="14">
        <v>50</v>
      </c>
      <c r="S11" s="16"/>
      <c r="T11" s="14" t="s">
        <v>71</v>
      </c>
      <c r="U11" s="14" t="s">
        <v>71</v>
      </c>
      <c r="V11" s="15" t="s">
        <v>74</v>
      </c>
      <c r="W11" s="29">
        <v>0</v>
      </c>
      <c r="X11" s="29">
        <v>0</v>
      </c>
      <c r="Y11" s="29">
        <v>0</v>
      </c>
      <c r="Z11" s="30">
        <f>IF('CRUDO MIÉRCOLES'!AT54="Si",$N11,)</f>
        <v>35</v>
      </c>
      <c r="AA11" s="29">
        <v>0</v>
      </c>
      <c r="AB11" s="29">
        <v>0</v>
      </c>
      <c r="AC11" s="29">
        <v>0</v>
      </c>
      <c r="AD11" s="29">
        <v>0</v>
      </c>
      <c r="AE11" s="29">
        <v>0</v>
      </c>
      <c r="AF11" s="30">
        <f>IF('CRUDO MIÉRCOLES'!AZ54="Si",$N11,)</f>
        <v>35</v>
      </c>
      <c r="AG11" s="29">
        <v>0</v>
      </c>
      <c r="AH11" s="29">
        <v>0</v>
      </c>
      <c r="AI11" s="31">
        <f>IF('CRUDO MIÉRCOLES'!BC54="Si",$N11,)</f>
        <v>35</v>
      </c>
      <c r="AJ11" s="29">
        <v>0</v>
      </c>
      <c r="AK11" s="29">
        <v>0</v>
      </c>
      <c r="AL11" s="29">
        <v>0</v>
      </c>
      <c r="AM11" s="29">
        <v>0</v>
      </c>
      <c r="AN11" s="29">
        <v>0</v>
      </c>
      <c r="AO11" s="29">
        <v>0</v>
      </c>
      <c r="AP11" s="14">
        <v>1</v>
      </c>
      <c r="AQ11" s="16"/>
    </row>
    <row r="12" spans="1:43" ht="13.2">
      <c r="A12" s="13">
        <v>45363.607774502314</v>
      </c>
      <c r="B12" s="14" t="s">
        <v>141</v>
      </c>
      <c r="C12" s="14" t="s">
        <v>142</v>
      </c>
      <c r="D12" s="14">
        <v>20135200</v>
      </c>
      <c r="E12" s="14" t="s">
        <v>84</v>
      </c>
      <c r="F12" s="14" t="s">
        <v>143</v>
      </c>
      <c r="G12" s="14" t="s">
        <v>105</v>
      </c>
      <c r="H12" s="14" t="s">
        <v>144</v>
      </c>
      <c r="I12" s="14" t="s">
        <v>145</v>
      </c>
      <c r="J12" s="14" t="s">
        <v>146</v>
      </c>
      <c r="K12" s="14" t="s">
        <v>141</v>
      </c>
      <c r="L12" s="14" t="s">
        <v>89</v>
      </c>
      <c r="M12" s="14" t="s">
        <v>147</v>
      </c>
      <c r="N12" s="14">
        <v>35</v>
      </c>
      <c r="O12" s="14" t="s">
        <v>148</v>
      </c>
      <c r="P12" s="14">
        <v>5</v>
      </c>
      <c r="Q12" s="14">
        <v>5</v>
      </c>
      <c r="R12" s="14">
        <v>60</v>
      </c>
      <c r="S12" s="16"/>
      <c r="T12" s="14" t="s">
        <v>71</v>
      </c>
      <c r="U12" s="14" t="s">
        <v>72</v>
      </c>
      <c r="V12" s="15" t="s">
        <v>74</v>
      </c>
      <c r="W12" s="29">
        <v>0</v>
      </c>
      <c r="X12" s="29">
        <v>0</v>
      </c>
      <c r="Y12" s="30">
        <f>IF('CRUDO MIÉRCOLES'!AS13="Si",$N12,)</f>
        <v>35</v>
      </c>
      <c r="Z12" s="29">
        <v>0</v>
      </c>
      <c r="AA12" s="29">
        <v>0</v>
      </c>
      <c r="AB12" s="29">
        <v>0</v>
      </c>
      <c r="AC12" s="29">
        <v>0</v>
      </c>
      <c r="AD12" s="29">
        <v>0</v>
      </c>
      <c r="AE12" s="30">
        <f>IF('CRUDO MIÉRCOLES'!AY13="Si",$N12,)</f>
        <v>35</v>
      </c>
      <c r="AF12" s="29">
        <v>0</v>
      </c>
      <c r="AG12" s="29">
        <v>0</v>
      </c>
      <c r="AH12" s="29">
        <v>0</v>
      </c>
      <c r="AI12" s="29">
        <v>0</v>
      </c>
      <c r="AJ12" s="29">
        <v>0</v>
      </c>
      <c r="AK12" s="29">
        <v>0</v>
      </c>
      <c r="AL12" s="29">
        <v>0</v>
      </c>
      <c r="AM12" s="29">
        <v>0</v>
      </c>
      <c r="AN12" s="32">
        <v>0</v>
      </c>
      <c r="AO12" s="31">
        <f>IF('CRUDO MIÉRCOLES'!BI13="Si",$N12,)</f>
        <v>35</v>
      </c>
      <c r="AP12" s="14">
        <v>1</v>
      </c>
      <c r="AQ12" s="16"/>
    </row>
    <row r="13" spans="1:43" ht="13.2">
      <c r="A13" s="21">
        <v>45363.765476817134</v>
      </c>
      <c r="B13" s="22" t="s">
        <v>202</v>
      </c>
      <c r="C13" s="22" t="s">
        <v>203</v>
      </c>
      <c r="D13" s="22">
        <v>29003000</v>
      </c>
      <c r="E13" s="22" t="s">
        <v>62</v>
      </c>
      <c r="F13" s="22" t="s">
        <v>204</v>
      </c>
      <c r="G13" s="22" t="s">
        <v>64</v>
      </c>
      <c r="H13" s="22" t="s">
        <v>205</v>
      </c>
      <c r="I13" s="22" t="s">
        <v>206</v>
      </c>
      <c r="J13" s="22" t="s">
        <v>207</v>
      </c>
      <c r="K13" s="22" t="s">
        <v>202</v>
      </c>
      <c r="L13" s="22" t="s">
        <v>89</v>
      </c>
      <c r="M13" s="22" t="s">
        <v>208</v>
      </c>
      <c r="N13" s="22">
        <v>0</v>
      </c>
      <c r="O13" s="22" t="s">
        <v>70</v>
      </c>
      <c r="P13" s="22">
        <v>5</v>
      </c>
      <c r="Q13" s="22">
        <v>5</v>
      </c>
      <c r="R13" s="22">
        <v>10</v>
      </c>
      <c r="S13" s="25"/>
      <c r="T13" s="22" t="s">
        <v>71</v>
      </c>
      <c r="U13" s="22" t="s">
        <v>72</v>
      </c>
      <c r="V13" s="24" t="s">
        <v>74</v>
      </c>
      <c r="W13" s="26">
        <f>IF('CRUDO MIÉRCOLES'!AQ21="Si",$N13,)</f>
        <v>0</v>
      </c>
      <c r="X13" s="26">
        <f>IF('CRUDO MIÉRCOLES'!AR21="Si",$N13,)</f>
        <v>0</v>
      </c>
      <c r="Y13" s="26">
        <f>IF('CRUDO MIÉRCOLES'!AS21="Si",$N13,)</f>
        <v>0</v>
      </c>
      <c r="Z13" s="26">
        <f>IF('CRUDO MIÉRCOLES'!AT21="Si",$N13,)</f>
        <v>0</v>
      </c>
      <c r="AA13" s="26">
        <f>IF('CRUDO MIÉRCOLES'!AU21="Si",$N13,)</f>
        <v>0</v>
      </c>
      <c r="AB13" s="26">
        <f>IF('CRUDO MIÉRCOLES'!AV21="Si",$N13,)</f>
        <v>0</v>
      </c>
      <c r="AC13" s="26">
        <f>IF('CRUDO MIÉRCOLES'!AW21="Si",$N13,)</f>
        <v>0</v>
      </c>
      <c r="AD13" s="26">
        <f>IF('CRUDO MIÉRCOLES'!AX21="Si",$N13,)</f>
        <v>0</v>
      </c>
      <c r="AE13" s="26">
        <f>IF('CRUDO MIÉRCOLES'!AY21="Si",$N13,)</f>
        <v>0</v>
      </c>
      <c r="AF13" s="26">
        <f>IF('CRUDO MIÉRCOLES'!AZ21="Si",$N13,)</f>
        <v>0</v>
      </c>
      <c r="AG13" s="26">
        <f>IF('CRUDO MIÉRCOLES'!BA21="Si",$N13,)</f>
        <v>0</v>
      </c>
      <c r="AH13" s="26">
        <f>IF('CRUDO MIÉRCOLES'!BB21="Si",$N13,)</f>
        <v>0</v>
      </c>
      <c r="AI13" s="26">
        <f>IF('CRUDO MIÉRCOLES'!BC21="Si",$N13,)</f>
        <v>0</v>
      </c>
      <c r="AJ13" s="26">
        <f>IF('CRUDO MIÉRCOLES'!BD21="Si",$N13,)</f>
        <v>0</v>
      </c>
      <c r="AK13" s="26">
        <f>IF('CRUDO MIÉRCOLES'!BE21="Si",$N13,)</f>
        <v>0</v>
      </c>
      <c r="AL13" s="26">
        <f>IF('CRUDO MIÉRCOLES'!BF21="Si",$N13,)</f>
        <v>0</v>
      </c>
      <c r="AM13" s="26">
        <f>IF('CRUDO MIÉRCOLES'!BG21="Si",$N13,)</f>
        <v>0</v>
      </c>
      <c r="AN13" s="26">
        <f>IF('CRUDO MIÉRCOLES'!BH21="Si",$N13,)</f>
        <v>0</v>
      </c>
      <c r="AO13" s="26">
        <f>IF('CRUDO MIÉRCOLES'!BI21="Si",$N13,)</f>
        <v>0</v>
      </c>
      <c r="AP13" s="25"/>
      <c r="AQ13" s="25"/>
    </row>
    <row r="14" spans="1:43" ht="13.2">
      <c r="A14" s="21">
        <v>45365.997577337963</v>
      </c>
      <c r="B14" s="22" t="s">
        <v>343</v>
      </c>
      <c r="C14" s="22" t="s">
        <v>344</v>
      </c>
      <c r="D14" s="22">
        <v>60551700</v>
      </c>
      <c r="E14" s="22" t="s">
        <v>276</v>
      </c>
      <c r="F14" s="22" t="s">
        <v>345</v>
      </c>
      <c r="G14" s="22" t="s">
        <v>105</v>
      </c>
      <c r="H14" s="22" t="s">
        <v>346</v>
      </c>
      <c r="I14" s="22" t="s">
        <v>347</v>
      </c>
      <c r="J14" s="22" t="s">
        <v>348</v>
      </c>
      <c r="K14" s="22" t="s">
        <v>343</v>
      </c>
      <c r="L14" s="22" t="s">
        <v>245</v>
      </c>
      <c r="M14" s="22" t="s">
        <v>349</v>
      </c>
      <c r="N14" s="22">
        <v>0</v>
      </c>
      <c r="O14" s="22" t="s">
        <v>350</v>
      </c>
      <c r="P14" s="22">
        <v>3</v>
      </c>
      <c r="Q14" s="22">
        <v>4</v>
      </c>
      <c r="R14" s="22">
        <v>75</v>
      </c>
      <c r="S14" s="25"/>
      <c r="T14" s="22" t="s">
        <v>72</v>
      </c>
      <c r="U14" s="22" t="s">
        <v>71</v>
      </c>
      <c r="V14" s="24" t="s">
        <v>74</v>
      </c>
      <c r="W14" s="26">
        <f>IF('CRUDO MIÉRCOLES'!AQ44="Si",$N14,)</f>
        <v>0</v>
      </c>
      <c r="X14" s="26">
        <f>IF('CRUDO MIÉRCOLES'!AR44="Si",$N14,)</f>
        <v>0</v>
      </c>
      <c r="Y14" s="27">
        <v>0</v>
      </c>
      <c r="Z14" s="26">
        <f>IF('CRUDO MIÉRCOLES'!AT44="Si",$N14,)</f>
        <v>0</v>
      </c>
      <c r="AA14" s="26">
        <f>IF('CRUDO MIÉRCOLES'!AU44="Si",$N14,)</f>
        <v>0</v>
      </c>
      <c r="AB14" s="26">
        <f>IF('CRUDO MIÉRCOLES'!AV44="Si",$N14,)</f>
        <v>0</v>
      </c>
      <c r="AC14" s="26">
        <f>IF('CRUDO MIÉRCOLES'!AW44="Si",$N14,)</f>
        <v>0</v>
      </c>
      <c r="AD14" s="27">
        <v>0</v>
      </c>
      <c r="AE14" s="27">
        <v>0</v>
      </c>
      <c r="AF14" s="27">
        <v>0</v>
      </c>
      <c r="AG14" s="26">
        <f>IF('CRUDO MIÉRCOLES'!BA44="Si",$N14,)</f>
        <v>0</v>
      </c>
      <c r="AH14" s="26">
        <f>IF('CRUDO MIÉRCOLES'!BB44="Si",$N14,)</f>
        <v>0</v>
      </c>
      <c r="AI14" s="27">
        <v>0</v>
      </c>
      <c r="AJ14" s="27">
        <v>0</v>
      </c>
      <c r="AK14" s="58" t="s">
        <v>1275</v>
      </c>
      <c r="AL14" s="26">
        <f>IF('CRUDO MIÉRCOLES'!BF44="Si",$N14,)</f>
        <v>0</v>
      </c>
      <c r="AM14" s="27">
        <v>0</v>
      </c>
      <c r="AN14" s="27">
        <v>0</v>
      </c>
      <c r="AO14" s="27">
        <v>0</v>
      </c>
      <c r="AP14" s="25"/>
      <c r="AQ14" s="25"/>
    </row>
    <row r="15" spans="1:43" ht="13.2">
      <c r="A15" s="21">
        <v>45365.338970289347</v>
      </c>
      <c r="B15" s="22" t="s">
        <v>284</v>
      </c>
      <c r="C15" s="22" t="s">
        <v>285</v>
      </c>
      <c r="D15" s="22">
        <v>60929900</v>
      </c>
      <c r="E15" s="22" t="s">
        <v>286</v>
      </c>
      <c r="F15" s="22" t="s">
        <v>277</v>
      </c>
      <c r="G15" s="22" t="s">
        <v>105</v>
      </c>
      <c r="H15" s="22" t="s">
        <v>287</v>
      </c>
      <c r="I15" s="22" t="s">
        <v>288</v>
      </c>
      <c r="J15" s="22" t="s">
        <v>289</v>
      </c>
      <c r="K15" s="22" t="s">
        <v>284</v>
      </c>
      <c r="L15" s="22" t="s">
        <v>245</v>
      </c>
      <c r="M15" s="22" t="s">
        <v>290</v>
      </c>
      <c r="N15" s="22">
        <v>0</v>
      </c>
      <c r="O15" s="22" t="s">
        <v>70</v>
      </c>
      <c r="P15" s="22">
        <v>5</v>
      </c>
      <c r="Q15" s="22">
        <v>3</v>
      </c>
      <c r="R15" s="22">
        <v>50</v>
      </c>
      <c r="S15" s="25"/>
      <c r="T15" s="22" t="s">
        <v>71</v>
      </c>
      <c r="U15" s="22" t="s">
        <v>71</v>
      </c>
      <c r="V15" s="24" t="s">
        <v>74</v>
      </c>
      <c r="W15" s="26">
        <f>IF('CRUDO MIÉRCOLES'!AQ33="Si",$N15,)</f>
        <v>0</v>
      </c>
      <c r="X15" s="26">
        <f>IF('CRUDO MIÉRCOLES'!AR33="Si",$N15,)</f>
        <v>0</v>
      </c>
      <c r="Y15" s="27">
        <v>0</v>
      </c>
      <c r="Z15" s="27">
        <v>0</v>
      </c>
      <c r="AA15" s="26">
        <f>IF('CRUDO MIÉRCOLES'!AU33="Si",$N15,)</f>
        <v>0</v>
      </c>
      <c r="AB15" s="26">
        <f>IF('CRUDO MIÉRCOLES'!AV33="Si",$N15,)</f>
        <v>0</v>
      </c>
      <c r="AC15" s="27">
        <v>0</v>
      </c>
      <c r="AD15" s="27">
        <v>0</v>
      </c>
      <c r="AE15" s="27">
        <v>0</v>
      </c>
      <c r="AF15" s="27">
        <v>0</v>
      </c>
      <c r="AG15" s="26">
        <f>IF('CRUDO MIÉRCOLES'!BA33="Si",$N15,)</f>
        <v>0</v>
      </c>
      <c r="AH15" s="26">
        <f>IF('CRUDO MIÉRCOLES'!BB33="Si",$N15,)</f>
        <v>0</v>
      </c>
      <c r="AI15" s="56">
        <v>0</v>
      </c>
      <c r="AJ15" s="27">
        <v>0</v>
      </c>
      <c r="AK15" s="27">
        <v>0</v>
      </c>
      <c r="AL15" s="26">
        <f>IF('CRUDO MIÉRCOLES'!BF33="Si",$N15,)</f>
        <v>0</v>
      </c>
      <c r="AM15" s="27">
        <v>0</v>
      </c>
      <c r="AN15" s="27">
        <v>0</v>
      </c>
      <c r="AO15" s="27">
        <v>0</v>
      </c>
      <c r="AP15" s="25"/>
      <c r="AQ15" s="25"/>
    </row>
    <row r="16" spans="1:43" ht="13.2">
      <c r="A16" s="21">
        <v>45368.381214745372</v>
      </c>
      <c r="B16" s="22" t="s">
        <v>426</v>
      </c>
      <c r="C16" s="22" t="s">
        <v>427</v>
      </c>
      <c r="D16" s="24" t="s">
        <v>428</v>
      </c>
      <c r="E16" s="22" t="s">
        <v>133</v>
      </c>
      <c r="F16" s="22" t="s">
        <v>134</v>
      </c>
      <c r="G16" s="22" t="s">
        <v>64</v>
      </c>
      <c r="H16" s="22" t="s">
        <v>429</v>
      </c>
      <c r="I16" s="22" t="s">
        <v>430</v>
      </c>
      <c r="J16" s="22" t="s">
        <v>431</v>
      </c>
      <c r="K16" s="22" t="s">
        <v>426</v>
      </c>
      <c r="L16" s="22" t="s">
        <v>89</v>
      </c>
      <c r="M16" s="22" t="s">
        <v>432</v>
      </c>
      <c r="N16" s="22">
        <v>0</v>
      </c>
      <c r="O16" s="22" t="s">
        <v>148</v>
      </c>
      <c r="P16" s="22">
        <v>3</v>
      </c>
      <c r="Q16" s="22">
        <v>2</v>
      </c>
      <c r="R16" s="22">
        <v>10</v>
      </c>
      <c r="S16" s="25"/>
      <c r="T16" s="22" t="s">
        <v>71</v>
      </c>
      <c r="U16" s="22" t="s">
        <v>72</v>
      </c>
      <c r="V16" s="24" t="s">
        <v>74</v>
      </c>
      <c r="W16" s="26">
        <f>IF('CRUDO MIÉRCOLES'!AQ55="Si",$N16,)</f>
        <v>0</v>
      </c>
      <c r="X16" s="26">
        <f>IF('CRUDO MIÉRCOLES'!AR55="Si",$N16,)</f>
        <v>0</v>
      </c>
      <c r="Y16" s="26">
        <f>IF('CRUDO MIÉRCOLES'!AS55="Si",$N16,)</f>
        <v>0</v>
      </c>
      <c r="Z16" s="26">
        <f>IF('CRUDO MIÉRCOLES'!AT55="Si",$N16,)</f>
        <v>0</v>
      </c>
      <c r="AA16" s="26">
        <f>IF('CRUDO MIÉRCOLES'!AU55="Si",$N16,)</f>
        <v>0</v>
      </c>
      <c r="AB16" s="26">
        <f>IF('CRUDO MIÉRCOLES'!AV55="Si",$N16,)</f>
        <v>0</v>
      </c>
      <c r="AC16" s="26">
        <f>IF('CRUDO MIÉRCOLES'!AW55="Si",$N16,)</f>
        <v>0</v>
      </c>
      <c r="AD16" s="26">
        <f>IF('CRUDO MIÉRCOLES'!AX55="Si",$N16,)</f>
        <v>0</v>
      </c>
      <c r="AE16" s="26">
        <f>IF('CRUDO MIÉRCOLES'!AY55="Si",$N16,)</f>
        <v>0</v>
      </c>
      <c r="AF16" s="26">
        <f>IF('CRUDO MIÉRCOLES'!AZ55="Si",$N16,)</f>
        <v>0</v>
      </c>
      <c r="AG16" s="26">
        <f>IF('CRUDO MIÉRCOLES'!BA55="Si",$N16,)</f>
        <v>0</v>
      </c>
      <c r="AH16" s="26">
        <f>IF('CRUDO MIÉRCOLES'!BB55="Si",$N16,)</f>
        <v>0</v>
      </c>
      <c r="AI16" s="26">
        <f>IF('CRUDO MIÉRCOLES'!BC55="Si",$N16,)</f>
        <v>0</v>
      </c>
      <c r="AJ16" s="26">
        <f>IF('CRUDO MIÉRCOLES'!BD55="Si",$N16,)</f>
        <v>0</v>
      </c>
      <c r="AK16" s="26">
        <f>IF('CRUDO MIÉRCOLES'!BE55="Si",$N16,)</f>
        <v>0</v>
      </c>
      <c r="AL16" s="26">
        <f>IF('CRUDO MIÉRCOLES'!BF55="Si",$N16,)</f>
        <v>0</v>
      </c>
      <c r="AM16" s="26">
        <f>IF('CRUDO MIÉRCOLES'!BG55="Si",$N16,)</f>
        <v>0</v>
      </c>
      <c r="AN16" s="26">
        <f>IF('CRUDO MIÉRCOLES'!BH55="Si",$N16,)</f>
        <v>0</v>
      </c>
      <c r="AO16" s="26">
        <f>IF('CRUDO MIÉRCOLES'!BI55="Si",$N16,)</f>
        <v>0</v>
      </c>
      <c r="AP16" s="25"/>
      <c r="AQ16" s="25"/>
    </row>
    <row r="17" spans="1:43" ht="13.2">
      <c r="A17" s="21">
        <v>45368.40771777778</v>
      </c>
      <c r="B17" s="22" t="s">
        <v>433</v>
      </c>
      <c r="C17" s="22" t="s">
        <v>434</v>
      </c>
      <c r="D17" s="24" t="s">
        <v>428</v>
      </c>
      <c r="E17" s="22" t="s">
        <v>62</v>
      </c>
      <c r="F17" s="22" t="s">
        <v>435</v>
      </c>
      <c r="G17" s="22" t="s">
        <v>64</v>
      </c>
      <c r="H17" s="22" t="s">
        <v>436</v>
      </c>
      <c r="I17" s="22" t="s">
        <v>429</v>
      </c>
      <c r="J17" s="22" t="s">
        <v>431</v>
      </c>
      <c r="K17" s="22" t="s">
        <v>437</v>
      </c>
      <c r="L17" s="22" t="s">
        <v>89</v>
      </c>
      <c r="M17" s="22" t="s">
        <v>432</v>
      </c>
      <c r="N17" s="22">
        <v>0</v>
      </c>
      <c r="O17" s="22" t="s">
        <v>70</v>
      </c>
      <c r="P17" s="22">
        <v>3</v>
      </c>
      <c r="Q17" s="22">
        <v>2</v>
      </c>
      <c r="R17" s="22">
        <v>30</v>
      </c>
      <c r="S17" s="25"/>
      <c r="T17" s="22" t="s">
        <v>71</v>
      </c>
      <c r="U17" s="22" t="s">
        <v>72</v>
      </c>
      <c r="V17" s="24" t="s">
        <v>74</v>
      </c>
      <c r="W17" s="26">
        <f>IF('CRUDO MIÉRCOLES'!AQ56="Si",$N17,)</f>
        <v>0</v>
      </c>
      <c r="X17" s="27">
        <v>0</v>
      </c>
      <c r="Y17" s="27">
        <v>0</v>
      </c>
      <c r="Z17" s="26">
        <f>IF('CRUDO MIÉRCOLES'!AT56="Si",$N17,)</f>
        <v>0</v>
      </c>
      <c r="AA17" s="27">
        <v>0</v>
      </c>
      <c r="AB17" s="27">
        <v>24</v>
      </c>
      <c r="AC17" s="27">
        <v>0</v>
      </c>
      <c r="AD17" s="27">
        <v>0</v>
      </c>
      <c r="AE17" s="26">
        <f>IF('CRUDO MIÉRCOLES'!AY56="Si",$N17,)</f>
        <v>0</v>
      </c>
      <c r="AF17" s="26">
        <f>IF('CRUDO MIÉRCOLES'!AZ56="Si",$N17,)</f>
        <v>0</v>
      </c>
      <c r="AG17" s="27">
        <v>0</v>
      </c>
      <c r="AH17" s="27">
        <v>0</v>
      </c>
      <c r="AI17" s="27">
        <v>0</v>
      </c>
      <c r="AJ17" s="26">
        <f>IF('CRUDO MIÉRCOLES'!BD56="Si",$N17,)</f>
        <v>0</v>
      </c>
      <c r="AK17" s="26">
        <f>IF('CRUDO MIÉRCOLES'!BE56="Si",$N17,)</f>
        <v>0</v>
      </c>
      <c r="AL17" s="26">
        <f>IF('CRUDO MIÉRCOLES'!BF56="Si",$N17,)</f>
        <v>0</v>
      </c>
      <c r="AM17" s="26">
        <f>IF('CRUDO MIÉRCOLES'!BG56="Si",$N17,)</f>
        <v>0</v>
      </c>
      <c r="AN17" s="26">
        <f>IF('CRUDO MIÉRCOLES'!BH56="Si",$N17,)</f>
        <v>0</v>
      </c>
      <c r="AO17" s="26">
        <f>IF('CRUDO MIÉRCOLES'!BI56="Si",$N17,)</f>
        <v>0</v>
      </c>
      <c r="AP17" s="25"/>
      <c r="AQ17" s="25"/>
    </row>
    <row r="18" spans="1:43" ht="13.2">
      <c r="A18" s="21">
        <v>45368.409880960651</v>
      </c>
      <c r="B18" s="22" t="s">
        <v>433</v>
      </c>
      <c r="C18" s="22" t="s">
        <v>434</v>
      </c>
      <c r="D18" s="24" t="s">
        <v>428</v>
      </c>
      <c r="E18" s="22" t="s">
        <v>84</v>
      </c>
      <c r="F18" s="22" t="s">
        <v>438</v>
      </c>
      <c r="G18" s="22" t="s">
        <v>64</v>
      </c>
      <c r="H18" s="22" t="s">
        <v>436</v>
      </c>
      <c r="I18" s="22" t="s">
        <v>431</v>
      </c>
      <c r="J18" s="22" t="s">
        <v>429</v>
      </c>
      <c r="K18" s="22" t="s">
        <v>433</v>
      </c>
      <c r="L18" s="22" t="s">
        <v>89</v>
      </c>
      <c r="M18" s="22" t="s">
        <v>432</v>
      </c>
      <c r="N18" s="22">
        <v>0</v>
      </c>
      <c r="O18" s="22" t="s">
        <v>70</v>
      </c>
      <c r="P18" s="22">
        <v>3</v>
      </c>
      <c r="Q18" s="22">
        <v>2</v>
      </c>
      <c r="R18" s="22">
        <v>30</v>
      </c>
      <c r="S18" s="25"/>
      <c r="T18" s="22" t="s">
        <v>71</v>
      </c>
      <c r="U18" s="22" t="s">
        <v>72</v>
      </c>
      <c r="V18" s="24" t="s">
        <v>74</v>
      </c>
      <c r="W18" s="26">
        <f>IF('CRUDO MIÉRCOLES'!AQ57="Si",$N18,)</f>
        <v>0</v>
      </c>
      <c r="X18" s="26">
        <f>IF('CRUDO MIÉRCOLES'!AR57="Si",$N18,)</f>
        <v>0</v>
      </c>
      <c r="Y18" s="26">
        <f>IF('CRUDO MIÉRCOLES'!AS57="Si",$N18,)</f>
        <v>0</v>
      </c>
      <c r="Z18" s="26">
        <f>IF('CRUDO MIÉRCOLES'!AT57="Si",$N18,)</f>
        <v>0</v>
      </c>
      <c r="AA18" s="26">
        <f>IF('CRUDO MIÉRCOLES'!AU57="Si",$N18,)</f>
        <v>0</v>
      </c>
      <c r="AB18" s="26">
        <f>IF('CRUDO MIÉRCOLES'!AV57="Si",$N18,)</f>
        <v>0</v>
      </c>
      <c r="AC18" s="26">
        <f>IF('CRUDO MIÉRCOLES'!AW57="Si",$N18,)</f>
        <v>0</v>
      </c>
      <c r="AD18" s="26">
        <f>IF('CRUDO MIÉRCOLES'!AX57="Si",$N18,)</f>
        <v>0</v>
      </c>
      <c r="AE18" s="26">
        <f>IF('CRUDO MIÉRCOLES'!AY57="Si",$N18,)</f>
        <v>0</v>
      </c>
      <c r="AF18" s="26">
        <f>IF('CRUDO MIÉRCOLES'!AZ57="Si",$N18,)</f>
        <v>0</v>
      </c>
      <c r="AG18" s="26">
        <f>IF('CRUDO MIÉRCOLES'!BA57="Si",$N18,)</f>
        <v>0</v>
      </c>
      <c r="AH18" s="26">
        <f>IF('CRUDO MIÉRCOLES'!BB57="Si",$N18,)</f>
        <v>0</v>
      </c>
      <c r="AI18" s="26">
        <f>IF('CRUDO MIÉRCOLES'!BC57="Si",$N18,)</f>
        <v>0</v>
      </c>
      <c r="AJ18" s="26">
        <f>IF('CRUDO MIÉRCOLES'!BD57="Si",$N18,)</f>
        <v>0</v>
      </c>
      <c r="AK18" s="26">
        <f>IF('CRUDO MIÉRCOLES'!BE57="Si",$N18,)</f>
        <v>0</v>
      </c>
      <c r="AL18" s="26">
        <f>IF('CRUDO MIÉRCOLES'!BF57="Si",$N18,)</f>
        <v>0</v>
      </c>
      <c r="AM18" s="26">
        <f>IF('CRUDO MIÉRCOLES'!BG57="Si",$N18,)</f>
        <v>0</v>
      </c>
      <c r="AN18" s="26">
        <f>IF('CRUDO MIÉRCOLES'!BH57="Si",$N18,)</f>
        <v>0</v>
      </c>
      <c r="AO18" s="26">
        <f>IF('CRUDO MIÉRCOLES'!BI57="Si",$N18,)</f>
        <v>0</v>
      </c>
      <c r="AP18" s="25"/>
      <c r="AQ18" s="25"/>
    </row>
    <row r="19" spans="1:43" ht="13.2">
      <c r="A19" s="21">
        <v>45368.411909189817</v>
      </c>
      <c r="B19" s="22" t="s">
        <v>433</v>
      </c>
      <c r="C19" s="22" t="s">
        <v>434</v>
      </c>
      <c r="D19" s="24" t="s">
        <v>428</v>
      </c>
      <c r="E19" s="22" t="s">
        <v>133</v>
      </c>
      <c r="F19" s="22" t="s">
        <v>439</v>
      </c>
      <c r="G19" s="22" t="s">
        <v>64</v>
      </c>
      <c r="H19" s="22" t="s">
        <v>436</v>
      </c>
      <c r="I19" s="22" t="s">
        <v>431</v>
      </c>
      <c r="J19" s="22" t="s">
        <v>429</v>
      </c>
      <c r="K19" s="22" t="s">
        <v>433</v>
      </c>
      <c r="L19" s="22" t="s">
        <v>89</v>
      </c>
      <c r="M19" s="22" t="s">
        <v>432</v>
      </c>
      <c r="N19" s="22">
        <v>0</v>
      </c>
      <c r="O19" s="22" t="s">
        <v>70</v>
      </c>
      <c r="P19" s="22">
        <v>3</v>
      </c>
      <c r="Q19" s="22">
        <v>2</v>
      </c>
      <c r="R19" s="22">
        <v>30</v>
      </c>
      <c r="S19" s="25"/>
      <c r="T19" s="22" t="s">
        <v>71</v>
      </c>
      <c r="U19" s="22" t="s">
        <v>72</v>
      </c>
      <c r="V19" s="24" t="s">
        <v>74</v>
      </c>
      <c r="W19" s="26">
        <f>IF('CRUDO MIÉRCOLES'!AQ58="Si",$N19,)</f>
        <v>0</v>
      </c>
      <c r="X19" s="27">
        <v>0</v>
      </c>
      <c r="Y19" s="27">
        <v>0</v>
      </c>
      <c r="Z19" s="26">
        <f>IF('CRUDO MIÉRCOLES'!AT58="Si",$N19,)</f>
        <v>0</v>
      </c>
      <c r="AA19" s="27">
        <v>0</v>
      </c>
      <c r="AB19" s="27">
        <v>21</v>
      </c>
      <c r="AC19" s="27">
        <v>0</v>
      </c>
      <c r="AD19" s="27">
        <v>0</v>
      </c>
      <c r="AE19" s="26">
        <f>IF('CRUDO MIÉRCOLES'!AY58="Si",$N19,)</f>
        <v>0</v>
      </c>
      <c r="AF19" s="26">
        <f>IF('CRUDO MIÉRCOLES'!AZ58="Si",$N19,)</f>
        <v>0</v>
      </c>
      <c r="AG19" s="27">
        <v>0</v>
      </c>
      <c r="AH19" s="27">
        <v>0</v>
      </c>
      <c r="AI19" s="27">
        <v>0</v>
      </c>
      <c r="AJ19" s="26">
        <f>IF('CRUDO MIÉRCOLES'!BD58="Si",$N19,)</f>
        <v>0</v>
      </c>
      <c r="AK19" s="26">
        <f>IF('CRUDO MIÉRCOLES'!BE58="Si",$N19,)</f>
        <v>0</v>
      </c>
      <c r="AL19" s="26">
        <f>IF('CRUDO MIÉRCOLES'!BF58="Si",$N19,)</f>
        <v>0</v>
      </c>
      <c r="AM19" s="26">
        <f>IF('CRUDO MIÉRCOLES'!BG58="Si",$N19,)</f>
        <v>0</v>
      </c>
      <c r="AN19" s="26">
        <f>IF('CRUDO MIÉRCOLES'!BH58="Si",$N19,)</f>
        <v>0</v>
      </c>
      <c r="AO19" s="26">
        <f>IF('CRUDO MIÉRCOLES'!BI58="Si",$N19,)</f>
        <v>0</v>
      </c>
      <c r="AP19" s="25"/>
      <c r="AQ19" s="25"/>
    </row>
    <row r="20" spans="1:43" ht="13.2">
      <c r="A20" s="13">
        <v>45366.422287337962</v>
      </c>
      <c r="B20" s="14" t="s">
        <v>366</v>
      </c>
      <c r="C20" s="14" t="s">
        <v>367</v>
      </c>
      <c r="D20" s="15" t="s">
        <v>368</v>
      </c>
      <c r="E20" s="14" t="s">
        <v>276</v>
      </c>
      <c r="F20" s="14" t="s">
        <v>369</v>
      </c>
      <c r="G20" s="14" t="s">
        <v>105</v>
      </c>
      <c r="H20" s="14" t="s">
        <v>370</v>
      </c>
      <c r="I20" s="14" t="s">
        <v>371</v>
      </c>
      <c r="J20" s="14" t="s">
        <v>372</v>
      </c>
      <c r="K20" s="14" t="s">
        <v>373</v>
      </c>
      <c r="L20" s="14" t="s">
        <v>89</v>
      </c>
      <c r="M20" s="14" t="s">
        <v>374</v>
      </c>
      <c r="N20" s="14">
        <v>30</v>
      </c>
      <c r="O20" s="14" t="s">
        <v>148</v>
      </c>
      <c r="P20" s="14">
        <v>4</v>
      </c>
      <c r="Q20" s="14">
        <v>1</v>
      </c>
      <c r="R20" s="14">
        <v>84</v>
      </c>
      <c r="S20" s="14" t="s">
        <v>375</v>
      </c>
      <c r="T20" s="14" t="s">
        <v>71</v>
      </c>
      <c r="U20" s="14" t="s">
        <v>72</v>
      </c>
      <c r="V20" s="15" t="s">
        <v>74</v>
      </c>
      <c r="W20" s="29">
        <v>0</v>
      </c>
      <c r="X20" s="29">
        <v>0</v>
      </c>
      <c r="Y20" s="29">
        <v>30</v>
      </c>
      <c r="Z20" s="30">
        <f>IF('CRUDO MIÉRCOLES'!AT47="Si",$N20,)</f>
        <v>0</v>
      </c>
      <c r="AA20" s="29">
        <v>30</v>
      </c>
      <c r="AB20" s="29">
        <v>0</v>
      </c>
      <c r="AC20" s="29">
        <v>0</v>
      </c>
      <c r="AD20" s="30">
        <f>IF('CRUDO MIÉRCOLES'!AX47="Si",$N20,)</f>
        <v>0</v>
      </c>
      <c r="AE20" s="30">
        <f>IF('CRUDO MIÉRCOLES'!AY47="Si",$N20,)</f>
        <v>0</v>
      </c>
      <c r="AF20" s="30">
        <f>IF('CRUDO MIÉRCOLES'!AZ47="Si",$N20,)</f>
        <v>0</v>
      </c>
      <c r="AG20" s="30"/>
      <c r="AH20" s="32">
        <v>30</v>
      </c>
      <c r="AI20" s="29">
        <v>0</v>
      </c>
      <c r="AJ20" s="30">
        <f>IF('CRUDO MIÉRCOLES'!BD47="Si",$N20,)</f>
        <v>0</v>
      </c>
      <c r="AK20" s="30">
        <f>IF('CRUDO MIÉRCOLES'!BE47="Si",$N20,)</f>
        <v>0</v>
      </c>
      <c r="AL20" s="30">
        <f>IF('CRUDO MIÉRCOLES'!BF47="Si",$N20,)</f>
        <v>0</v>
      </c>
      <c r="AM20" s="29">
        <v>0</v>
      </c>
      <c r="AN20" s="30">
        <f>IF('CRUDO MIÉRCOLES'!BH47="Si",$N20,)</f>
        <v>0</v>
      </c>
      <c r="AO20" s="30">
        <f>IF('CRUDO MIÉRCOLES'!BI47="Si",$N20,)</f>
        <v>0</v>
      </c>
      <c r="AP20" s="14">
        <v>1</v>
      </c>
      <c r="AQ20" s="14" t="s">
        <v>376</v>
      </c>
    </row>
    <row r="21" spans="1:43" ht="13.2">
      <c r="A21" s="13">
        <v>45363.525105173612</v>
      </c>
      <c r="B21" s="14" t="s">
        <v>123</v>
      </c>
      <c r="C21" s="14" t="s">
        <v>1276</v>
      </c>
      <c r="D21" s="15" t="s">
        <v>125</v>
      </c>
      <c r="E21" s="14" t="s">
        <v>62</v>
      </c>
      <c r="F21" s="14" t="s">
        <v>126</v>
      </c>
      <c r="G21" s="14" t="s">
        <v>64</v>
      </c>
      <c r="H21" s="14" t="s">
        <v>127</v>
      </c>
      <c r="I21" s="14" t="s">
        <v>128</v>
      </c>
      <c r="J21" s="16"/>
      <c r="K21" s="14" t="s">
        <v>123</v>
      </c>
      <c r="L21" s="14" t="s">
        <v>89</v>
      </c>
      <c r="M21" s="14" t="s">
        <v>129</v>
      </c>
      <c r="N21" s="14">
        <v>30</v>
      </c>
      <c r="O21" s="14" t="s">
        <v>70</v>
      </c>
      <c r="P21" s="14">
        <v>4</v>
      </c>
      <c r="Q21" s="14">
        <v>3</v>
      </c>
      <c r="R21" s="14">
        <v>5</v>
      </c>
      <c r="S21" s="16"/>
      <c r="T21" s="14" t="s">
        <v>71</v>
      </c>
      <c r="U21" s="14" t="s">
        <v>72</v>
      </c>
      <c r="V21" s="15" t="s">
        <v>74</v>
      </c>
      <c r="W21" s="30">
        <f>IF('CRUDO MIÉRCOLES'!AQ10="Si",$N21,)</f>
        <v>30</v>
      </c>
      <c r="X21" s="30">
        <f>IF('CRUDO MIÉRCOLES'!AR10="Si",$N21,)</f>
        <v>0</v>
      </c>
      <c r="Y21" s="30">
        <f>IF('CRUDO MIÉRCOLES'!AS10="Si",$N21,)</f>
        <v>0</v>
      </c>
      <c r="Z21" s="30">
        <f>IF('CRUDO MIÉRCOLES'!AT10="Si",$N21,)</f>
        <v>0</v>
      </c>
      <c r="AA21" s="30">
        <f>IF('CRUDO MIÉRCOLES'!AU10="Si",$N21,)</f>
        <v>0</v>
      </c>
      <c r="AB21" s="30">
        <f>IF('CRUDO MIÉRCOLES'!AV10="Si",$N21,)</f>
        <v>0</v>
      </c>
      <c r="AC21" s="30">
        <f>IF('CRUDO MIÉRCOLES'!AW10="Si",$N21,)</f>
        <v>30</v>
      </c>
      <c r="AD21" s="30">
        <f>IF('CRUDO MIÉRCOLES'!AX10="Si",$N21,)</f>
        <v>0</v>
      </c>
      <c r="AE21" s="30">
        <f>IF('CRUDO MIÉRCOLES'!AY10="Si",$N21,)</f>
        <v>0</v>
      </c>
      <c r="AF21" s="30">
        <f>IF('CRUDO MIÉRCOLES'!AZ10="Si",$N21,)</f>
        <v>0</v>
      </c>
      <c r="AG21" s="30">
        <f>IF('CRUDO MIÉRCOLES'!BA10="Si",$N21,)</f>
        <v>0</v>
      </c>
      <c r="AH21" s="29">
        <v>0</v>
      </c>
      <c r="AI21" s="30">
        <f>IF('CRUDO MIÉRCOLES'!BC10="Si",$N21,)</f>
        <v>0</v>
      </c>
      <c r="AJ21" s="30">
        <f>IF('CRUDO MIÉRCOLES'!BD10="Si",$N21,)</f>
        <v>0</v>
      </c>
      <c r="AK21" s="30">
        <f>IF('CRUDO MIÉRCOLES'!BE10="Si",$N21,)</f>
        <v>0</v>
      </c>
      <c r="AL21" s="30">
        <f>IF('CRUDO MIÉRCOLES'!BF10="Si",$N21,)</f>
        <v>0</v>
      </c>
      <c r="AM21" s="30">
        <f>IF('CRUDO MIÉRCOLES'!BG10="Si",$N21,)</f>
        <v>0</v>
      </c>
      <c r="AN21" s="30">
        <f>IF('CRUDO MIÉRCOLES'!BH10="Si",$N21,)</f>
        <v>0</v>
      </c>
      <c r="AO21" s="30">
        <f>IF('CRUDO MIÉRCOLES'!BI10="Si",$N21,)</f>
        <v>0</v>
      </c>
      <c r="AP21" s="14">
        <v>1</v>
      </c>
      <c r="AQ21" s="16"/>
    </row>
    <row r="22" spans="1:43" ht="13.2">
      <c r="A22" s="13">
        <v>45366.773719837962</v>
      </c>
      <c r="B22" s="14" t="s">
        <v>405</v>
      </c>
      <c r="C22" s="14" t="s">
        <v>406</v>
      </c>
      <c r="D22" s="15" t="s">
        <v>407</v>
      </c>
      <c r="E22" s="14" t="s">
        <v>133</v>
      </c>
      <c r="F22" s="14" t="s">
        <v>408</v>
      </c>
      <c r="G22" s="14" t="s">
        <v>64</v>
      </c>
      <c r="H22" s="14" t="s">
        <v>409</v>
      </c>
      <c r="I22" s="14" t="s">
        <v>410</v>
      </c>
      <c r="J22" s="16"/>
      <c r="K22" s="14" t="s">
        <v>405</v>
      </c>
      <c r="L22" s="14" t="s">
        <v>89</v>
      </c>
      <c r="M22" s="14" t="s">
        <v>217</v>
      </c>
      <c r="N22" s="14">
        <v>28</v>
      </c>
      <c r="O22" s="14" t="s">
        <v>70</v>
      </c>
      <c r="P22" s="14">
        <v>5</v>
      </c>
      <c r="Q22" s="14">
        <v>4</v>
      </c>
      <c r="R22" s="14">
        <v>20</v>
      </c>
      <c r="S22" s="16"/>
      <c r="T22" s="14" t="s">
        <v>71</v>
      </c>
      <c r="U22" s="14" t="s">
        <v>72</v>
      </c>
      <c r="V22" s="15" t="s">
        <v>74</v>
      </c>
      <c r="W22" s="30">
        <f>IF('CRUDO MIÉRCOLES'!AQ51="Si",$N22,)</f>
        <v>0</v>
      </c>
      <c r="X22" s="29">
        <v>0</v>
      </c>
      <c r="Y22" s="30">
        <f>IF('CRUDO MIÉRCOLES'!AS51="Si",$N22,)</f>
        <v>0</v>
      </c>
      <c r="Z22" s="30">
        <f>IF('CRUDO MIÉRCOLES'!AT51="Si",$N22,)</f>
        <v>0</v>
      </c>
      <c r="AA22" s="30">
        <f>IF('CRUDO MIÉRCOLES'!AU51="Si",$N22,)</f>
        <v>0</v>
      </c>
      <c r="AB22" s="30">
        <f>IF('CRUDO MIÉRCOLES'!AV51="Si",$N22,)</f>
        <v>28</v>
      </c>
      <c r="AC22" s="29">
        <v>28</v>
      </c>
      <c r="AD22" s="30">
        <f>IF('CRUDO MIÉRCOLES'!AX51="Si",$N22,)</f>
        <v>0</v>
      </c>
      <c r="AE22" s="30">
        <f>IF('CRUDO MIÉRCOLES'!AY51="Si",$N22,)</f>
        <v>0</v>
      </c>
      <c r="AF22" s="30">
        <f>IF('CRUDO MIÉRCOLES'!AZ51="Si",$N22,)</f>
        <v>0</v>
      </c>
      <c r="AG22" s="30">
        <f>IF('CRUDO MIÉRCOLES'!BA51="Si",$N22,)</f>
        <v>0</v>
      </c>
      <c r="AH22" s="30">
        <f>IF('CRUDO MIÉRCOLES'!BB51="Si",$N22,)</f>
        <v>0</v>
      </c>
      <c r="AI22" s="29">
        <v>0</v>
      </c>
      <c r="AJ22" s="30">
        <f>IF('CRUDO MIÉRCOLES'!BD51="Si",$N22,)</f>
        <v>0</v>
      </c>
      <c r="AK22" s="30">
        <f>IF('CRUDO MIÉRCOLES'!BE51="Si",$N22,)</f>
        <v>0</v>
      </c>
      <c r="AL22" s="30">
        <f>IF('CRUDO MIÉRCOLES'!BF51="Si",$N22,)</f>
        <v>0</v>
      </c>
      <c r="AM22" s="30">
        <f>IF('CRUDO MIÉRCOLES'!BG51="Si",$N22,)</f>
        <v>0</v>
      </c>
      <c r="AN22" s="30">
        <f>IF('CRUDO MIÉRCOLES'!BH51="Si",$N22,)</f>
        <v>0</v>
      </c>
      <c r="AO22" s="30">
        <f>IF('CRUDO MIÉRCOLES'!BI51="Si",$N22,)</f>
        <v>0</v>
      </c>
      <c r="AP22" s="14">
        <v>1</v>
      </c>
      <c r="AQ22" s="16"/>
    </row>
    <row r="23" spans="1:43" ht="13.2">
      <c r="A23" s="21">
        <v>45363.718439537042</v>
      </c>
      <c r="B23" s="22" t="s">
        <v>183</v>
      </c>
      <c r="C23" s="22" t="s">
        <v>184</v>
      </c>
      <c r="D23" s="24" t="s">
        <v>185</v>
      </c>
      <c r="E23" s="22" t="s">
        <v>84</v>
      </c>
      <c r="F23" s="22" t="s">
        <v>186</v>
      </c>
      <c r="G23" s="22" t="s">
        <v>64</v>
      </c>
      <c r="H23" s="22" t="s">
        <v>187</v>
      </c>
      <c r="I23" s="22" t="s">
        <v>188</v>
      </c>
      <c r="J23" s="22" t="s">
        <v>189</v>
      </c>
      <c r="K23" s="22" t="s">
        <v>183</v>
      </c>
      <c r="L23" s="22" t="s">
        <v>89</v>
      </c>
      <c r="M23" s="22" t="s">
        <v>190</v>
      </c>
      <c r="N23" s="22">
        <v>0</v>
      </c>
      <c r="O23" s="22" t="s">
        <v>70</v>
      </c>
      <c r="P23" s="22">
        <v>3</v>
      </c>
      <c r="Q23" s="22">
        <v>3</v>
      </c>
      <c r="R23" s="22">
        <v>50</v>
      </c>
      <c r="S23" s="25"/>
      <c r="T23" s="22" t="s">
        <v>71</v>
      </c>
      <c r="U23" s="22" t="s">
        <v>72</v>
      </c>
      <c r="V23" s="24" t="s">
        <v>74</v>
      </c>
      <c r="W23" s="26">
        <f>IF('CRUDO MIÉRCOLES'!AQ18="Si",$N23,)</f>
        <v>0</v>
      </c>
      <c r="X23" s="27">
        <v>0</v>
      </c>
      <c r="Y23" s="27">
        <v>0</v>
      </c>
      <c r="Z23" s="26">
        <f>IF('CRUDO MIÉRCOLES'!AT18="Si",$N23,)</f>
        <v>0</v>
      </c>
      <c r="AA23" s="27">
        <v>0</v>
      </c>
      <c r="AB23" s="27">
        <v>0</v>
      </c>
      <c r="AC23" s="27">
        <v>0</v>
      </c>
      <c r="AD23" s="26">
        <f>IF('CRUDO MIÉRCOLES'!AX18="Si",$N23,)</f>
        <v>0</v>
      </c>
      <c r="AE23" s="26">
        <f>IF('CRUDO MIÉRCOLES'!AY18="Si",$N23,)</f>
        <v>0</v>
      </c>
      <c r="AF23" s="26">
        <f>IF('CRUDO MIÉRCOLES'!AZ18="Si",$N23,)</f>
        <v>0</v>
      </c>
      <c r="AG23" s="27">
        <v>0</v>
      </c>
      <c r="AH23" s="56">
        <v>30</v>
      </c>
      <c r="AI23" s="27">
        <v>0</v>
      </c>
      <c r="AJ23" s="26">
        <f>IF('CRUDO MIÉRCOLES'!BD18="Si",$N23,)</f>
        <v>0</v>
      </c>
      <c r="AK23" s="26">
        <f>IF('CRUDO MIÉRCOLES'!BE18="Si",$N23,)</f>
        <v>0</v>
      </c>
      <c r="AL23" s="27">
        <v>0</v>
      </c>
      <c r="AM23" s="27">
        <v>0</v>
      </c>
      <c r="AN23" s="26">
        <f>IF('CRUDO MIÉRCOLES'!BH18="Si",$N23,)</f>
        <v>0</v>
      </c>
      <c r="AO23" s="26">
        <f>IF('CRUDO MIÉRCOLES'!BI18="Si",$N23,)</f>
        <v>0</v>
      </c>
      <c r="AP23" s="22"/>
      <c r="AQ23" s="22" t="s">
        <v>191</v>
      </c>
    </row>
    <row r="24" spans="1:43" ht="13.2">
      <c r="A24" s="13">
        <v>45363.720605590279</v>
      </c>
      <c r="B24" s="14" t="s">
        <v>183</v>
      </c>
      <c r="C24" s="14" t="s">
        <v>184</v>
      </c>
      <c r="D24" s="15" t="s">
        <v>185</v>
      </c>
      <c r="E24" s="14" t="s">
        <v>133</v>
      </c>
      <c r="F24" s="14" t="s">
        <v>192</v>
      </c>
      <c r="G24" s="14" t="s">
        <v>64</v>
      </c>
      <c r="H24" s="14" t="s">
        <v>187</v>
      </c>
      <c r="I24" s="14" t="s">
        <v>193</v>
      </c>
      <c r="J24" s="14" t="s">
        <v>194</v>
      </c>
      <c r="K24" s="14" t="s">
        <v>183</v>
      </c>
      <c r="L24" s="14" t="s">
        <v>89</v>
      </c>
      <c r="M24" s="14" t="s">
        <v>190</v>
      </c>
      <c r="N24" s="14">
        <v>0</v>
      </c>
      <c r="O24" s="14" t="s">
        <v>70</v>
      </c>
      <c r="P24" s="14">
        <v>3</v>
      </c>
      <c r="Q24" s="14">
        <v>3</v>
      </c>
      <c r="R24" s="14">
        <v>50</v>
      </c>
      <c r="S24" s="14" t="s">
        <v>191</v>
      </c>
      <c r="T24" s="14" t="s">
        <v>71</v>
      </c>
      <c r="U24" s="14" t="s">
        <v>72</v>
      </c>
      <c r="V24" s="15" t="s">
        <v>74</v>
      </c>
      <c r="W24" s="30">
        <f>IF('CRUDO MIÉRCOLES'!AQ19="Si",$N24,)</f>
        <v>0</v>
      </c>
      <c r="X24" s="29">
        <v>0</v>
      </c>
      <c r="Y24" s="29">
        <v>0</v>
      </c>
      <c r="Z24" s="30">
        <f>IF('CRUDO MIÉRCOLES'!AT19="Si",$N24,)</f>
        <v>0</v>
      </c>
      <c r="AA24" s="29">
        <v>0</v>
      </c>
      <c r="AB24" s="29">
        <v>0</v>
      </c>
      <c r="AC24" s="29">
        <v>0</v>
      </c>
      <c r="AD24" s="30">
        <f>IF('CRUDO MIÉRCOLES'!AX19="Si",$N24,)</f>
        <v>0</v>
      </c>
      <c r="AE24" s="30">
        <f>IF('CRUDO MIÉRCOLES'!AY19="Si",$N24,)</f>
        <v>0</v>
      </c>
      <c r="AF24" s="30">
        <f>IF('CRUDO MIÉRCOLES'!AZ19="Si",$N24,)</f>
        <v>0</v>
      </c>
      <c r="AG24" s="29">
        <v>0</v>
      </c>
      <c r="AH24" s="32">
        <v>34</v>
      </c>
      <c r="AI24" s="29">
        <v>0</v>
      </c>
      <c r="AJ24" s="30">
        <f>IF('CRUDO MIÉRCOLES'!BD19="Si",$N24,)</f>
        <v>0</v>
      </c>
      <c r="AK24" s="30">
        <f>IF('CRUDO MIÉRCOLES'!BE19="Si",$N24,)</f>
        <v>0</v>
      </c>
      <c r="AL24" s="29">
        <v>0</v>
      </c>
      <c r="AM24" s="29">
        <v>0</v>
      </c>
      <c r="AN24" s="30">
        <f>IF('CRUDO MIÉRCOLES'!BH19="Si",$N24,)</f>
        <v>0</v>
      </c>
      <c r="AO24" s="30">
        <f>IF('CRUDO MIÉRCOLES'!BI19="Si",$N24,)</f>
        <v>0</v>
      </c>
      <c r="AP24" s="14">
        <v>1</v>
      </c>
      <c r="AQ24" s="14" t="s">
        <v>191</v>
      </c>
    </row>
    <row r="25" spans="1:43" ht="13.2">
      <c r="A25" s="13">
        <v>45369.545665833335</v>
      </c>
      <c r="B25" s="14" t="s">
        <v>478</v>
      </c>
      <c r="C25" s="14" t="s">
        <v>479</v>
      </c>
      <c r="D25" s="15" t="s">
        <v>480</v>
      </c>
      <c r="E25" s="14" t="s">
        <v>62</v>
      </c>
      <c r="F25" s="14" t="s">
        <v>481</v>
      </c>
      <c r="G25" s="14" t="s">
        <v>64</v>
      </c>
      <c r="H25" s="14" t="s">
        <v>482</v>
      </c>
      <c r="I25" s="14" t="s">
        <v>483</v>
      </c>
      <c r="J25" s="16"/>
      <c r="K25" s="14" t="s">
        <v>478</v>
      </c>
      <c r="L25" s="14" t="s">
        <v>89</v>
      </c>
      <c r="M25" s="14" t="s">
        <v>473</v>
      </c>
      <c r="N25" s="14">
        <v>17</v>
      </c>
      <c r="O25" s="14" t="s">
        <v>70</v>
      </c>
      <c r="P25" s="14">
        <v>5</v>
      </c>
      <c r="Q25" s="14">
        <v>5</v>
      </c>
      <c r="R25" s="14">
        <v>0</v>
      </c>
      <c r="S25" s="16"/>
      <c r="T25" s="14" t="s">
        <v>71</v>
      </c>
      <c r="U25" s="14" t="s">
        <v>72</v>
      </c>
      <c r="V25" s="15" t="s">
        <v>74</v>
      </c>
      <c r="W25" s="30">
        <f>IF('CRUDO MIÉRCOLES'!AQ66="Si",$N25,)</f>
        <v>0</v>
      </c>
      <c r="X25" s="30">
        <f>IF('CRUDO MIÉRCOLES'!AR66="Si",$N25,)</f>
        <v>17</v>
      </c>
      <c r="Y25" s="29">
        <v>0</v>
      </c>
      <c r="Z25" s="30">
        <f>IF('CRUDO MIÉRCOLES'!AT66="Si",$N25,)</f>
        <v>0</v>
      </c>
      <c r="AA25" s="30">
        <f>IF('CRUDO MIÉRCOLES'!AU66="Si",$N25,)</f>
        <v>0</v>
      </c>
      <c r="AB25" s="30">
        <f>IF('CRUDO MIÉRCOLES'!AV66="Si",$N25,)</f>
        <v>0</v>
      </c>
      <c r="AC25" s="29">
        <v>17</v>
      </c>
      <c r="AD25" s="29">
        <v>0</v>
      </c>
      <c r="AE25" s="30">
        <f>IF('CRUDO MIÉRCOLES'!AY66="Si",$N25,)</f>
        <v>0</v>
      </c>
      <c r="AF25" s="30">
        <f>IF('CRUDO MIÉRCOLES'!AZ66="Si",$N25,)</f>
        <v>0</v>
      </c>
      <c r="AG25" s="30">
        <f>IF('CRUDO MIÉRCOLES'!BA66="Si",$N25,)</f>
        <v>0</v>
      </c>
      <c r="AH25" s="29">
        <v>0</v>
      </c>
      <c r="AI25" s="29">
        <v>0</v>
      </c>
      <c r="AJ25" s="30">
        <f>IF('CRUDO MIÉRCOLES'!BD66="Si",$N25,)</f>
        <v>0</v>
      </c>
      <c r="AK25" s="30">
        <f>IF('CRUDO MIÉRCOLES'!BE66="Si",$N25,)</f>
        <v>0</v>
      </c>
      <c r="AL25" s="30">
        <f>IF('CRUDO MIÉRCOLES'!BF66="Si",$N25,)</f>
        <v>0</v>
      </c>
      <c r="AM25" s="30">
        <f>IF('CRUDO MIÉRCOLES'!BG66="Si",$N25,)</f>
        <v>0</v>
      </c>
      <c r="AN25" s="30">
        <f>IF('CRUDO MIÉRCOLES'!BH66="Si",$N25,)</f>
        <v>0</v>
      </c>
      <c r="AO25" s="30">
        <f>IF('CRUDO MIÉRCOLES'!BI66="Si",$N25,)</f>
        <v>0</v>
      </c>
      <c r="AP25" s="14">
        <v>1</v>
      </c>
      <c r="AQ25" s="16"/>
    </row>
    <row r="26" spans="1:43" ht="13.2">
      <c r="A26" s="13">
        <v>45363.516926122684</v>
      </c>
      <c r="B26" s="14" t="s">
        <v>113</v>
      </c>
      <c r="C26" s="14" t="s">
        <v>1277</v>
      </c>
      <c r="D26" s="15" t="s">
        <v>115</v>
      </c>
      <c r="E26" s="14" t="s">
        <v>62</v>
      </c>
      <c r="F26" s="14" t="s">
        <v>116</v>
      </c>
      <c r="G26" s="14" t="s">
        <v>64</v>
      </c>
      <c r="H26" s="14" t="s">
        <v>117</v>
      </c>
      <c r="I26" s="14" t="s">
        <v>118</v>
      </c>
      <c r="J26" s="14" t="s">
        <v>119</v>
      </c>
      <c r="K26" s="14" t="s">
        <v>113</v>
      </c>
      <c r="L26" s="14" t="s">
        <v>89</v>
      </c>
      <c r="M26" s="14" t="s">
        <v>120</v>
      </c>
      <c r="N26" s="14">
        <v>30</v>
      </c>
      <c r="O26" s="14" t="s">
        <v>70</v>
      </c>
      <c r="P26" s="14">
        <v>5</v>
      </c>
      <c r="Q26" s="14">
        <v>5</v>
      </c>
      <c r="R26" s="14">
        <v>5</v>
      </c>
      <c r="S26" s="14" t="s">
        <v>121</v>
      </c>
      <c r="T26" s="14" t="s">
        <v>71</v>
      </c>
      <c r="U26" s="14" t="s">
        <v>72</v>
      </c>
      <c r="V26" s="15" t="s">
        <v>74</v>
      </c>
      <c r="W26" s="30">
        <f>IF('CRUDO MIÉRCOLES'!AQ9="Si",$N26,)</f>
        <v>30</v>
      </c>
      <c r="X26" s="30">
        <f>IF('CRUDO MIÉRCOLES'!AR9="Si",$N26,)</f>
        <v>0</v>
      </c>
      <c r="Y26" s="30">
        <f>IF('CRUDO MIÉRCOLES'!AS9="Si",$N26,)</f>
        <v>0</v>
      </c>
      <c r="Z26" s="30">
        <f>IF('CRUDO MIÉRCOLES'!AT9="Si",$N26,)</f>
        <v>0</v>
      </c>
      <c r="AA26" s="30">
        <f>IF('CRUDO MIÉRCOLES'!AU9="Si",$N26,)</f>
        <v>0</v>
      </c>
      <c r="AB26" s="30">
        <f>IF('CRUDO MIÉRCOLES'!AV9="Si",$N26,)</f>
        <v>0</v>
      </c>
      <c r="AC26" s="30">
        <f>IF('CRUDO MIÉRCOLES'!AW9="Si",$N26,)</f>
        <v>30</v>
      </c>
      <c r="AD26" s="30">
        <f>IF('CRUDO MIÉRCOLES'!AX9="Si",$N26,)</f>
        <v>0</v>
      </c>
      <c r="AE26" s="30">
        <f>IF('CRUDO MIÉRCOLES'!AY9="Si",$N26,)</f>
        <v>0</v>
      </c>
      <c r="AF26" s="30">
        <f>IF('CRUDO MIÉRCOLES'!AZ9="Si",$N26,)</f>
        <v>0</v>
      </c>
      <c r="AG26" s="30">
        <f>IF('CRUDO MIÉRCOLES'!BA9="Si",$N26,)</f>
        <v>0</v>
      </c>
      <c r="AH26" s="30">
        <f>IF('CRUDO MIÉRCOLES'!BB9="Si",$N26,)</f>
        <v>0</v>
      </c>
      <c r="AI26" s="29">
        <v>0</v>
      </c>
      <c r="AJ26" s="30">
        <f>IF('CRUDO MIÉRCOLES'!BD9="Si",$N26,)</f>
        <v>0</v>
      </c>
      <c r="AK26" s="30">
        <f>IF('CRUDO MIÉRCOLES'!BE9="Si",$N26,)</f>
        <v>0</v>
      </c>
      <c r="AL26" s="29">
        <v>0</v>
      </c>
      <c r="AM26" s="30">
        <f>IF('CRUDO MIÉRCOLES'!BG9="Si",$N26,)</f>
        <v>0</v>
      </c>
      <c r="AN26" s="30">
        <f>IF('CRUDO MIÉRCOLES'!BH9="Si",$N26,)</f>
        <v>0</v>
      </c>
      <c r="AO26" s="30">
        <f>IF('CRUDO MIÉRCOLES'!BI9="Si",$N26,)</f>
        <v>0</v>
      </c>
      <c r="AP26" s="14">
        <v>1</v>
      </c>
      <c r="AQ26" s="14" t="s">
        <v>122</v>
      </c>
    </row>
    <row r="27" spans="1:43" ht="13.2">
      <c r="A27" s="21">
        <v>45369.441806215276</v>
      </c>
      <c r="B27" s="22" t="s">
        <v>466</v>
      </c>
      <c r="C27" s="22" t="s">
        <v>467</v>
      </c>
      <c r="D27" s="24" t="s">
        <v>468</v>
      </c>
      <c r="E27" s="22" t="s">
        <v>133</v>
      </c>
      <c r="F27" s="22" t="s">
        <v>469</v>
      </c>
      <c r="G27" s="22" t="s">
        <v>64</v>
      </c>
      <c r="H27" s="22" t="s">
        <v>470</v>
      </c>
      <c r="I27" s="22" t="s">
        <v>471</v>
      </c>
      <c r="J27" s="22" t="s">
        <v>472</v>
      </c>
      <c r="K27" s="22" t="s">
        <v>466</v>
      </c>
      <c r="L27" s="22" t="s">
        <v>89</v>
      </c>
      <c r="M27" s="22" t="s">
        <v>473</v>
      </c>
      <c r="N27" s="22">
        <v>0</v>
      </c>
      <c r="O27" s="22" t="s">
        <v>148</v>
      </c>
      <c r="P27" s="22">
        <v>5</v>
      </c>
      <c r="Q27" s="22">
        <v>3</v>
      </c>
      <c r="R27" s="22">
        <v>2</v>
      </c>
      <c r="S27" s="25"/>
      <c r="T27" s="22" t="s">
        <v>71</v>
      </c>
      <c r="U27" s="22" t="s">
        <v>71</v>
      </c>
      <c r="V27" s="24" t="s">
        <v>74</v>
      </c>
      <c r="W27" s="26">
        <f>IF('CRUDO MIÉRCOLES'!AQ64="Si",$N27,)</f>
        <v>0</v>
      </c>
      <c r="X27" s="26">
        <f>IF('CRUDO MIÉRCOLES'!AR64="Si",$N27,)</f>
        <v>0</v>
      </c>
      <c r="Y27" s="26">
        <f>IF('CRUDO MIÉRCOLES'!AS64="Si",$N27,)</f>
        <v>0</v>
      </c>
      <c r="Z27" s="26">
        <f>IF('CRUDO MIÉRCOLES'!AT64="Si",$N27,)</f>
        <v>0</v>
      </c>
      <c r="AA27" s="26">
        <f>IF('CRUDO MIÉRCOLES'!AU64="Si",$N27,)</f>
        <v>0</v>
      </c>
      <c r="AB27" s="26">
        <f>IF('CRUDO MIÉRCOLES'!AV64="Si",$N27,)</f>
        <v>0</v>
      </c>
      <c r="AC27" s="26">
        <f>IF('CRUDO MIÉRCOLES'!AW64="Si",$N27,)</f>
        <v>0</v>
      </c>
      <c r="AD27" s="26">
        <f>IF('CRUDO MIÉRCOLES'!AX64="Si",$N27,)</f>
        <v>0</v>
      </c>
      <c r="AE27" s="26">
        <f>IF('CRUDO MIÉRCOLES'!AY64="Si",$N27,)</f>
        <v>0</v>
      </c>
      <c r="AF27" s="26">
        <f>IF('CRUDO MIÉRCOLES'!AZ64="Si",$N27,)</f>
        <v>0</v>
      </c>
      <c r="AG27" s="26">
        <f>IF('CRUDO MIÉRCOLES'!BA64="Si",$N27,)</f>
        <v>0</v>
      </c>
      <c r="AH27" s="26">
        <f>IF('CRUDO MIÉRCOLES'!BB64="Si",$N27,)</f>
        <v>0</v>
      </c>
      <c r="AI27" s="26">
        <f>IF('CRUDO MIÉRCOLES'!BC64="Si",$N27,)</f>
        <v>0</v>
      </c>
      <c r="AJ27" s="26">
        <f>IF('CRUDO MIÉRCOLES'!BD64="Si",$N27,)</f>
        <v>0</v>
      </c>
      <c r="AK27" s="26">
        <f>IF('CRUDO MIÉRCOLES'!BE64="Si",$N27,)</f>
        <v>0</v>
      </c>
      <c r="AL27" s="26">
        <f>IF('CRUDO MIÉRCOLES'!BF64="Si",$N27,)</f>
        <v>0</v>
      </c>
      <c r="AM27" s="26">
        <f>IF('CRUDO MIÉRCOLES'!BG64="Si",$N27,)</f>
        <v>0</v>
      </c>
      <c r="AN27" s="26">
        <f>IF('CRUDO MIÉRCOLES'!BH64="Si",$N27,)</f>
        <v>0</v>
      </c>
      <c r="AO27" s="26">
        <f>IF('CRUDO MIÉRCOLES'!BI64="Si",$N27,)</f>
        <v>0</v>
      </c>
      <c r="AP27" s="25"/>
      <c r="AQ27" s="25"/>
    </row>
    <row r="28" spans="1:43" ht="13.2">
      <c r="A28" s="13">
        <v>45369.443823530091</v>
      </c>
      <c r="B28" s="14" t="s">
        <v>466</v>
      </c>
      <c r="C28" s="14" t="s">
        <v>474</v>
      </c>
      <c r="D28" s="15" t="s">
        <v>468</v>
      </c>
      <c r="E28" s="14" t="s">
        <v>133</v>
      </c>
      <c r="F28" s="14" t="s">
        <v>475</v>
      </c>
      <c r="G28" s="14" t="s">
        <v>64</v>
      </c>
      <c r="H28" s="14" t="s">
        <v>471</v>
      </c>
      <c r="I28" s="14" t="s">
        <v>476</v>
      </c>
      <c r="J28" s="14" t="s">
        <v>472</v>
      </c>
      <c r="K28" s="14" t="s">
        <v>466</v>
      </c>
      <c r="L28" s="14" t="s">
        <v>89</v>
      </c>
      <c r="M28" s="14" t="s">
        <v>477</v>
      </c>
      <c r="N28" s="14">
        <v>23</v>
      </c>
      <c r="O28" s="14" t="s">
        <v>70</v>
      </c>
      <c r="P28" s="14">
        <v>5</v>
      </c>
      <c r="Q28" s="14">
        <v>3</v>
      </c>
      <c r="R28" s="14">
        <v>2</v>
      </c>
      <c r="S28" s="16"/>
      <c r="T28" s="14" t="s">
        <v>71</v>
      </c>
      <c r="U28" s="14" t="s">
        <v>71</v>
      </c>
      <c r="V28" s="15" t="s">
        <v>74</v>
      </c>
      <c r="W28" s="30">
        <f>IF('CRUDO MIÉRCOLES'!AQ65="Si",$N28,)</f>
        <v>0</v>
      </c>
      <c r="X28" s="30">
        <f>IF('CRUDO MIÉRCOLES'!AR65="Si",$N28,)</f>
        <v>0</v>
      </c>
      <c r="Y28" s="30">
        <f>IF('CRUDO MIÉRCOLES'!AS65="Si",$N28,)</f>
        <v>23</v>
      </c>
      <c r="Z28" s="29">
        <v>0</v>
      </c>
      <c r="AA28" s="30">
        <f>IF('CRUDO MIÉRCOLES'!AU65="Si",$N28,)</f>
        <v>0</v>
      </c>
      <c r="AB28" s="30">
        <f>IF('CRUDO MIÉRCOLES'!AV65="Si",$N28,)</f>
        <v>0</v>
      </c>
      <c r="AC28" s="29">
        <v>0</v>
      </c>
      <c r="AD28" s="29">
        <v>0</v>
      </c>
      <c r="AE28" s="29">
        <v>0</v>
      </c>
      <c r="AF28" s="30">
        <f>IF('CRUDO MIÉRCOLES'!AZ65="Si",$N28,)</f>
        <v>23</v>
      </c>
      <c r="AG28" s="30">
        <f>IF('CRUDO MIÉRCOLES'!BA65="Si",$N28,)</f>
        <v>0</v>
      </c>
      <c r="AH28" s="30">
        <f>IF('CRUDO MIÉRCOLES'!BB65="Si",$N28,)</f>
        <v>0</v>
      </c>
      <c r="AI28" s="29">
        <v>0</v>
      </c>
      <c r="AJ28" s="29">
        <v>0</v>
      </c>
      <c r="AK28" s="29">
        <v>0</v>
      </c>
      <c r="AL28" s="30">
        <f>IF('CRUDO MIÉRCOLES'!BF65="Si",$N28,)</f>
        <v>0</v>
      </c>
      <c r="AM28" s="29">
        <v>0</v>
      </c>
      <c r="AN28" s="29">
        <v>23</v>
      </c>
      <c r="AO28" s="29">
        <v>0</v>
      </c>
      <c r="AP28" s="14">
        <v>1</v>
      </c>
      <c r="AQ28" s="16"/>
    </row>
    <row r="29" spans="1:43" ht="13.2">
      <c r="A29" s="21">
        <v>45368.663241516202</v>
      </c>
      <c r="B29" s="22" t="s">
        <v>440</v>
      </c>
      <c r="C29" s="22" t="s">
        <v>441</v>
      </c>
      <c r="D29" s="24" t="s">
        <v>442</v>
      </c>
      <c r="E29" s="22" t="s">
        <v>387</v>
      </c>
      <c r="F29" s="22" t="s">
        <v>443</v>
      </c>
      <c r="G29" s="22" t="s">
        <v>64</v>
      </c>
      <c r="H29" s="22" t="s">
        <v>444</v>
      </c>
      <c r="I29" s="22" t="s">
        <v>445</v>
      </c>
      <c r="J29" s="25"/>
      <c r="K29" s="22" t="s">
        <v>440</v>
      </c>
      <c r="L29" s="22" t="s">
        <v>89</v>
      </c>
      <c r="M29" s="22" t="s">
        <v>446</v>
      </c>
      <c r="N29" s="22">
        <v>0</v>
      </c>
      <c r="O29" s="22" t="s">
        <v>70</v>
      </c>
      <c r="P29" s="22">
        <v>5</v>
      </c>
      <c r="Q29" s="22">
        <v>5</v>
      </c>
      <c r="R29" s="22">
        <v>0</v>
      </c>
      <c r="S29" s="25"/>
      <c r="T29" s="22" t="s">
        <v>71</v>
      </c>
      <c r="U29" s="22" t="s">
        <v>72</v>
      </c>
      <c r="V29" s="24" t="s">
        <v>74</v>
      </c>
      <c r="W29" s="26">
        <f>IF('CRUDO MIÉRCOLES'!AQ59="Si",$N29,)</f>
        <v>0</v>
      </c>
      <c r="X29" s="26">
        <f>IF('CRUDO MIÉRCOLES'!AR59="Si",$N29,)</f>
        <v>0</v>
      </c>
      <c r="Y29" s="26">
        <f>IF('CRUDO MIÉRCOLES'!AS59="Si",$N29,)</f>
        <v>0</v>
      </c>
      <c r="Z29" s="26">
        <f>IF('CRUDO MIÉRCOLES'!AT59="Si",$N29,)</f>
        <v>0</v>
      </c>
      <c r="AA29" s="26">
        <f>IF('CRUDO MIÉRCOLES'!AU59="Si",$N29,)</f>
        <v>0</v>
      </c>
      <c r="AB29" s="26">
        <f>IF('CRUDO MIÉRCOLES'!AV59="Si",$N29,)</f>
        <v>0</v>
      </c>
      <c r="AC29" s="26">
        <f>IF('CRUDO MIÉRCOLES'!AW59="Si",$N29,)</f>
        <v>0</v>
      </c>
      <c r="AD29" s="26">
        <f>IF('CRUDO MIÉRCOLES'!AX59="Si",$N29,)</f>
        <v>0</v>
      </c>
      <c r="AE29" s="26">
        <f>IF('CRUDO MIÉRCOLES'!AY59="Si",$N29,)</f>
        <v>0</v>
      </c>
      <c r="AF29" s="26">
        <f>IF('CRUDO MIÉRCOLES'!AZ59="Si",$N29,)</f>
        <v>0</v>
      </c>
      <c r="AG29" s="26">
        <f>IF('CRUDO MIÉRCOLES'!BA59="Si",$N29,)</f>
        <v>0</v>
      </c>
      <c r="AH29" s="26">
        <f>IF('CRUDO MIÉRCOLES'!BB59="Si",$N29,)</f>
        <v>0</v>
      </c>
      <c r="AI29" s="26">
        <f>IF('CRUDO MIÉRCOLES'!BC59="Si",$N29,)</f>
        <v>0</v>
      </c>
      <c r="AJ29" s="26">
        <f>IF('CRUDO MIÉRCOLES'!BD59="Si",$N29,)</f>
        <v>0</v>
      </c>
      <c r="AK29" s="26">
        <f>IF('CRUDO MIÉRCOLES'!BE59="Si",$N29,)</f>
        <v>0</v>
      </c>
      <c r="AL29" s="26">
        <f>IF('CRUDO MIÉRCOLES'!BF59="Si",$N29,)</f>
        <v>0</v>
      </c>
      <c r="AM29" s="26">
        <f>IF('CRUDO MIÉRCOLES'!BG59="Si",$N29,)</f>
        <v>0</v>
      </c>
      <c r="AN29" s="26">
        <f>IF('CRUDO MIÉRCOLES'!BH59="Si",$N29,)</f>
        <v>0</v>
      </c>
      <c r="AO29" s="26">
        <f>IF('CRUDO MIÉRCOLES'!BI59="Si",$N29,)</f>
        <v>0</v>
      </c>
      <c r="AP29" s="25"/>
      <c r="AQ29" s="25"/>
    </row>
    <row r="30" spans="1:43" ht="13.2">
      <c r="A30" s="21">
        <v>45368.666432337966</v>
      </c>
      <c r="B30" s="22" t="s">
        <v>440</v>
      </c>
      <c r="C30" s="22" t="s">
        <v>441</v>
      </c>
      <c r="D30" s="24" t="s">
        <v>442</v>
      </c>
      <c r="E30" s="22" t="s">
        <v>84</v>
      </c>
      <c r="F30" s="22" t="s">
        <v>249</v>
      </c>
      <c r="G30" s="22" t="s">
        <v>64</v>
      </c>
      <c r="H30" s="22" t="s">
        <v>444</v>
      </c>
      <c r="I30" s="22" t="s">
        <v>445</v>
      </c>
      <c r="J30" s="25"/>
      <c r="K30" s="22" t="s">
        <v>440</v>
      </c>
      <c r="L30" s="22" t="s">
        <v>89</v>
      </c>
      <c r="M30" s="22" t="s">
        <v>446</v>
      </c>
      <c r="N30" s="22">
        <v>0</v>
      </c>
      <c r="O30" s="22" t="s">
        <v>70</v>
      </c>
      <c r="P30" s="22">
        <v>5</v>
      </c>
      <c r="Q30" s="22">
        <v>5</v>
      </c>
      <c r="R30" s="22">
        <v>0</v>
      </c>
      <c r="S30" s="25"/>
      <c r="T30" s="22" t="s">
        <v>71</v>
      </c>
      <c r="U30" s="22" t="s">
        <v>72</v>
      </c>
      <c r="V30" s="24" t="s">
        <v>74</v>
      </c>
      <c r="W30" s="26">
        <f>IF('CRUDO MIÉRCOLES'!AQ60="Si",$N30,)</f>
        <v>0</v>
      </c>
      <c r="X30" s="26">
        <f>IF('CRUDO MIÉRCOLES'!AR60="Si",$N30,)</f>
        <v>0</v>
      </c>
      <c r="Y30" s="26">
        <f>IF('CRUDO MIÉRCOLES'!AS60="Si",$N30,)</f>
        <v>0</v>
      </c>
      <c r="Z30" s="26">
        <f>IF('CRUDO MIÉRCOLES'!AT60="Si",$N30,)</f>
        <v>0</v>
      </c>
      <c r="AA30" s="26">
        <f>IF('CRUDO MIÉRCOLES'!AU60="Si",$N30,)</f>
        <v>0</v>
      </c>
      <c r="AB30" s="26">
        <f>IF('CRUDO MIÉRCOLES'!AV60="Si",$N30,)</f>
        <v>0</v>
      </c>
      <c r="AC30" s="26">
        <f>IF('CRUDO MIÉRCOLES'!AW60="Si",$N30,)</f>
        <v>0</v>
      </c>
      <c r="AD30" s="26">
        <f>IF('CRUDO MIÉRCOLES'!AX60="Si",$N30,)</f>
        <v>0</v>
      </c>
      <c r="AE30" s="26">
        <f>IF('CRUDO MIÉRCOLES'!AY60="Si",$N30,)</f>
        <v>0</v>
      </c>
      <c r="AF30" s="26">
        <f>IF('CRUDO MIÉRCOLES'!AZ60="Si",$N30,)</f>
        <v>0</v>
      </c>
      <c r="AG30" s="26">
        <f>IF('CRUDO MIÉRCOLES'!BA60="Si",$N30,)</f>
        <v>0</v>
      </c>
      <c r="AH30" s="26">
        <f>IF('CRUDO MIÉRCOLES'!BB60="Si",$N30,)</f>
        <v>0</v>
      </c>
      <c r="AI30" s="26">
        <f>IF('CRUDO MIÉRCOLES'!BC60="Si",$N30,)</f>
        <v>0</v>
      </c>
      <c r="AJ30" s="26">
        <f>IF('CRUDO MIÉRCOLES'!BD60="Si",$N30,)</f>
        <v>0</v>
      </c>
      <c r="AK30" s="26">
        <f>IF('CRUDO MIÉRCOLES'!BE60="Si",$N30,)</f>
        <v>0</v>
      </c>
      <c r="AL30" s="26">
        <f>IF('CRUDO MIÉRCOLES'!BF60="Si",$N30,)</f>
        <v>0</v>
      </c>
      <c r="AM30" s="26">
        <f>IF('CRUDO MIÉRCOLES'!BG60="Si",$N30,)</f>
        <v>0</v>
      </c>
      <c r="AN30" s="26">
        <f>IF('CRUDO MIÉRCOLES'!BH60="Si",$N30,)</f>
        <v>0</v>
      </c>
      <c r="AO30" s="26">
        <f>IF('CRUDO MIÉRCOLES'!BI60="Si",$N30,)</f>
        <v>0</v>
      </c>
      <c r="AP30" s="25"/>
      <c r="AQ30" s="25"/>
    </row>
    <row r="31" spans="1:43" ht="13.2">
      <c r="A31" s="13">
        <v>45365.363552546296</v>
      </c>
      <c r="B31" s="14" t="s">
        <v>291</v>
      </c>
      <c r="C31" s="14" t="s">
        <v>1278</v>
      </c>
      <c r="D31" s="15" t="s">
        <v>293</v>
      </c>
      <c r="E31" s="14" t="s">
        <v>84</v>
      </c>
      <c r="F31" s="14" t="s">
        <v>294</v>
      </c>
      <c r="G31" s="14" t="s">
        <v>64</v>
      </c>
      <c r="H31" s="14" t="s">
        <v>295</v>
      </c>
      <c r="I31" s="14" t="s">
        <v>296</v>
      </c>
      <c r="J31" s="14" t="s">
        <v>297</v>
      </c>
      <c r="K31" s="14" t="s">
        <v>298</v>
      </c>
      <c r="L31" s="14" t="s">
        <v>89</v>
      </c>
      <c r="M31" s="14" t="s">
        <v>299</v>
      </c>
      <c r="N31" s="14">
        <v>40</v>
      </c>
      <c r="O31" s="14" t="s">
        <v>70</v>
      </c>
      <c r="P31" s="14">
        <v>5</v>
      </c>
      <c r="Q31" s="14">
        <v>4</v>
      </c>
      <c r="R31" s="14">
        <v>20</v>
      </c>
      <c r="S31" s="16"/>
      <c r="T31" s="14" t="s">
        <v>71</v>
      </c>
      <c r="U31" s="14" t="s">
        <v>72</v>
      </c>
      <c r="V31" s="15" t="s">
        <v>74</v>
      </c>
      <c r="W31" s="29">
        <v>40</v>
      </c>
      <c r="X31" s="29">
        <v>0</v>
      </c>
      <c r="Y31" s="29">
        <v>0</v>
      </c>
      <c r="Z31" s="30">
        <f>IF('CRUDO MIÉRCOLES'!AT34="Si",$N31,)</f>
        <v>0</v>
      </c>
      <c r="AA31" s="29">
        <v>0</v>
      </c>
      <c r="AB31" s="29">
        <v>0</v>
      </c>
      <c r="AC31" s="29">
        <v>0</v>
      </c>
      <c r="AD31" s="30">
        <f>IF('CRUDO MIÉRCOLES'!AX34="Si",$N31,)</f>
        <v>0</v>
      </c>
      <c r="AE31" s="30">
        <f>IF('CRUDO MIÉRCOLES'!AY34="Si",$N31,)</f>
        <v>0</v>
      </c>
      <c r="AF31" s="30">
        <f>IF('CRUDO MIÉRCOLES'!AZ34="Si",$N31,)</f>
        <v>0</v>
      </c>
      <c r="AG31" s="29">
        <v>0</v>
      </c>
      <c r="AH31" s="29">
        <v>0</v>
      </c>
      <c r="AI31" s="29">
        <v>0</v>
      </c>
      <c r="AJ31" s="30">
        <f>IF('CRUDO MIÉRCOLES'!BD34="Si",$N31,)</f>
        <v>0</v>
      </c>
      <c r="AK31" s="30">
        <f>IF('CRUDO MIÉRCOLES'!BE34="Si",$N31,)</f>
        <v>0</v>
      </c>
      <c r="AL31" s="29">
        <v>0</v>
      </c>
      <c r="AM31" s="31">
        <f>IF('CRUDO MIÉRCOLES'!BG34="Si",$N31,)</f>
        <v>40</v>
      </c>
      <c r="AN31" s="30">
        <f>IF('CRUDO MIÉRCOLES'!BH34="Si",$N31,)</f>
        <v>0</v>
      </c>
      <c r="AO31" s="30">
        <f>IF('CRUDO MIÉRCOLES'!BI34="Si",$N31,)</f>
        <v>0</v>
      </c>
      <c r="AP31" s="14">
        <v>1</v>
      </c>
      <c r="AQ31" s="16"/>
    </row>
    <row r="32" spans="1:43" ht="13.2">
      <c r="A32" s="21">
        <v>45365.365149120371</v>
      </c>
      <c r="B32" s="22" t="s">
        <v>291</v>
      </c>
      <c r="C32" s="22" t="s">
        <v>292</v>
      </c>
      <c r="D32" s="24" t="s">
        <v>293</v>
      </c>
      <c r="E32" s="22" t="s">
        <v>133</v>
      </c>
      <c r="F32" s="22" t="s">
        <v>300</v>
      </c>
      <c r="G32" s="22" t="s">
        <v>64</v>
      </c>
      <c r="H32" s="22" t="s">
        <v>295</v>
      </c>
      <c r="I32" s="22" t="s">
        <v>301</v>
      </c>
      <c r="J32" s="22" t="s">
        <v>297</v>
      </c>
      <c r="K32" s="22" t="s">
        <v>298</v>
      </c>
      <c r="L32" s="22" t="s">
        <v>89</v>
      </c>
      <c r="M32" s="22" t="s">
        <v>299</v>
      </c>
      <c r="N32" s="22">
        <v>0</v>
      </c>
      <c r="O32" s="22" t="s">
        <v>70</v>
      </c>
      <c r="P32" s="22">
        <v>5</v>
      </c>
      <c r="Q32" s="22">
        <v>4</v>
      </c>
      <c r="R32" s="22">
        <v>20</v>
      </c>
      <c r="S32" s="25"/>
      <c r="T32" s="22" t="s">
        <v>71</v>
      </c>
      <c r="U32" s="22" t="s">
        <v>72</v>
      </c>
      <c r="V32" s="24" t="s">
        <v>74</v>
      </c>
      <c r="W32" s="27">
        <v>0</v>
      </c>
      <c r="X32" s="27">
        <v>0</v>
      </c>
      <c r="Y32" s="27">
        <v>0</v>
      </c>
      <c r="Z32" s="26">
        <f>IF('CRUDO MIÉRCOLES'!AT35="Si",$N32,)</f>
        <v>0</v>
      </c>
      <c r="AA32" s="27">
        <v>0</v>
      </c>
      <c r="AB32" s="27">
        <v>0</v>
      </c>
      <c r="AC32" s="26">
        <f>IF('CRUDO MIÉRCOLES'!AW35="Si",$N32,)</f>
        <v>0</v>
      </c>
      <c r="AD32" s="26">
        <f>IF('CRUDO MIÉRCOLES'!AX35="Si",$N32,)</f>
        <v>0</v>
      </c>
      <c r="AE32" s="26">
        <f>IF('CRUDO MIÉRCOLES'!AY35="Si",$N32,)</f>
        <v>0</v>
      </c>
      <c r="AF32" s="26">
        <f>IF('CRUDO MIÉRCOLES'!AZ35="Si",$N32,)</f>
        <v>0</v>
      </c>
      <c r="AG32" s="27">
        <v>0</v>
      </c>
      <c r="AH32" s="27">
        <v>0</v>
      </c>
      <c r="AI32" s="27">
        <v>0</v>
      </c>
      <c r="AJ32" s="26">
        <f>IF('CRUDO MIÉRCOLES'!BD35="Si",$N32,)</f>
        <v>0</v>
      </c>
      <c r="AK32" s="26">
        <f>IF('CRUDO MIÉRCOLES'!BE35="Si",$N32,)</f>
        <v>0</v>
      </c>
      <c r="AL32" s="27">
        <v>0</v>
      </c>
      <c r="AM32" s="26">
        <f>IF('CRUDO MIÉRCOLES'!BG35="Si",$N32,)</f>
        <v>0</v>
      </c>
      <c r="AN32" s="26">
        <f>IF('CRUDO MIÉRCOLES'!BH35="Si",$N32,)</f>
        <v>0</v>
      </c>
      <c r="AO32" s="26">
        <f>IF('CRUDO MIÉRCOLES'!BI35="Si",$N32,)</f>
        <v>0</v>
      </c>
      <c r="AP32" s="25"/>
      <c r="AQ32" s="25"/>
    </row>
    <row r="33" spans="1:43" ht="13.2">
      <c r="A33" s="13">
        <v>45364.370788275468</v>
      </c>
      <c r="B33" s="14" t="s">
        <v>1279</v>
      </c>
      <c r="C33" s="14" t="s">
        <v>1280</v>
      </c>
      <c r="D33" s="15" t="s">
        <v>1281</v>
      </c>
      <c r="E33" s="14" t="s">
        <v>62</v>
      </c>
      <c r="F33" s="14" t="s">
        <v>235</v>
      </c>
      <c r="G33" s="14" t="s">
        <v>105</v>
      </c>
      <c r="H33" s="14" t="s">
        <v>1282</v>
      </c>
      <c r="I33" s="14" t="s">
        <v>1283</v>
      </c>
      <c r="J33" s="16"/>
      <c r="K33" s="14" t="s">
        <v>1279</v>
      </c>
      <c r="L33" s="14" t="s">
        <v>89</v>
      </c>
      <c r="M33" s="14" t="s">
        <v>664</v>
      </c>
      <c r="N33" s="14">
        <v>25</v>
      </c>
      <c r="O33" s="14" t="s">
        <v>148</v>
      </c>
      <c r="P33" s="14">
        <v>5</v>
      </c>
      <c r="Q33" s="14">
        <v>5</v>
      </c>
      <c r="R33" s="14">
        <v>0</v>
      </c>
      <c r="S33" s="16"/>
      <c r="T33" s="14" t="s">
        <v>71</v>
      </c>
      <c r="U33" s="14" t="s">
        <v>72</v>
      </c>
      <c r="V33" s="15" t="s">
        <v>74</v>
      </c>
      <c r="W33" s="30">
        <f>IF('CRUDO MIÉRCOLES'!AQ26="Si",$N33,)</f>
        <v>25</v>
      </c>
      <c r="X33" s="30">
        <f>IF('CRUDO MIÉRCOLES'!AR26="Si",$N33,)</f>
        <v>0</v>
      </c>
      <c r="Y33" s="30">
        <f>IF('CRUDO MIÉRCOLES'!AS26="Si",$N33,)</f>
        <v>0</v>
      </c>
      <c r="Z33" s="30">
        <f>IF('CRUDO MIÉRCOLES'!AT26="Si",$N33,)</f>
        <v>0</v>
      </c>
      <c r="AA33" s="30">
        <f>IF('CRUDO MIÉRCOLES'!AU26="Si",$N33,)</f>
        <v>0</v>
      </c>
      <c r="AB33" s="30">
        <f>IF('CRUDO MIÉRCOLES'!AV26="Si",$N33,)</f>
        <v>25</v>
      </c>
      <c r="AC33" s="29">
        <v>0</v>
      </c>
      <c r="AD33" s="30">
        <f>IF('CRUDO MIÉRCOLES'!AX26="Si",$N33,)</f>
        <v>0</v>
      </c>
      <c r="AE33" s="30">
        <f>IF('CRUDO MIÉRCOLES'!AY26="Si",$N33,)</f>
        <v>0</v>
      </c>
      <c r="AF33" s="30">
        <f>IF('CRUDO MIÉRCOLES'!AZ26="Si",$N33,)</f>
        <v>0</v>
      </c>
      <c r="AG33" s="30">
        <f>IF('CRUDO MIÉRCOLES'!BA26="Si",$N33,)</f>
        <v>0</v>
      </c>
      <c r="AH33" s="30">
        <f>IF('CRUDO MIÉRCOLES'!BB26="Si",$N33,)</f>
        <v>0</v>
      </c>
      <c r="AI33" s="30">
        <f>IF('CRUDO MIÉRCOLES'!BC26="Si",$N33,)</f>
        <v>0</v>
      </c>
      <c r="AJ33" s="30">
        <f>IF('CRUDO MIÉRCOLES'!BD26="Si",$N33,)</f>
        <v>0</v>
      </c>
      <c r="AK33" s="30">
        <f>IF('CRUDO MIÉRCOLES'!BE26="Si",$N33,)</f>
        <v>0</v>
      </c>
      <c r="AL33" s="30">
        <f>IF('CRUDO MIÉRCOLES'!BF26="Si",$N33,)</f>
        <v>0</v>
      </c>
      <c r="AM33" s="30">
        <f>IF('CRUDO MIÉRCOLES'!BG26="Si",$N33,)</f>
        <v>0</v>
      </c>
      <c r="AN33" s="30">
        <f>IF('CRUDO MIÉRCOLES'!BH26="Si",$N33,)</f>
        <v>0</v>
      </c>
      <c r="AO33" s="30">
        <f>IF('CRUDO MIÉRCOLES'!BI26="Si",$N33,)</f>
        <v>0</v>
      </c>
      <c r="AP33" s="14">
        <v>1</v>
      </c>
      <c r="AQ33" s="16"/>
    </row>
    <row r="34" spans="1:43" ht="13.2">
      <c r="A34" s="13">
        <v>45369.788724664351</v>
      </c>
      <c r="B34" s="14" t="s">
        <v>495</v>
      </c>
      <c r="C34" s="14" t="s">
        <v>496</v>
      </c>
      <c r="D34" s="15" t="s">
        <v>497</v>
      </c>
      <c r="E34" s="14" t="s">
        <v>133</v>
      </c>
      <c r="F34" s="14" t="s">
        <v>498</v>
      </c>
      <c r="G34" s="14" t="s">
        <v>64</v>
      </c>
      <c r="H34" s="14" t="s">
        <v>499</v>
      </c>
      <c r="I34" s="14" t="s">
        <v>500</v>
      </c>
      <c r="J34" s="14" t="s">
        <v>501</v>
      </c>
      <c r="K34" s="14" t="s">
        <v>495</v>
      </c>
      <c r="L34" s="14" t="s">
        <v>89</v>
      </c>
      <c r="M34" s="14" t="s">
        <v>502</v>
      </c>
      <c r="N34" s="14">
        <v>32</v>
      </c>
      <c r="O34" s="14" t="s">
        <v>70</v>
      </c>
      <c r="P34" s="14">
        <v>5</v>
      </c>
      <c r="Q34" s="14">
        <v>3</v>
      </c>
      <c r="R34" s="14">
        <v>30</v>
      </c>
      <c r="S34" s="16"/>
      <c r="T34" s="14" t="s">
        <v>71</v>
      </c>
      <c r="U34" s="14" t="s">
        <v>72</v>
      </c>
      <c r="V34" s="15" t="s">
        <v>74</v>
      </c>
      <c r="W34" s="29">
        <v>30</v>
      </c>
      <c r="X34" s="30">
        <f>IF('CRUDO MIÉRCOLES'!AR69="Si",$N34,)</f>
        <v>0</v>
      </c>
      <c r="Y34" s="29">
        <v>0</v>
      </c>
      <c r="Z34" s="30">
        <f>IF('CRUDO MIÉRCOLES'!AT69="Si",$N34,)</f>
        <v>0</v>
      </c>
      <c r="AA34" s="29">
        <v>0</v>
      </c>
      <c r="AB34" s="30">
        <f>IF('CRUDO MIÉRCOLES'!AV69="Si",$N34,)</f>
        <v>32</v>
      </c>
      <c r="AC34" s="30">
        <f>IF('CRUDO MIÉRCOLES'!AW69="Si",$N34,)</f>
        <v>0</v>
      </c>
      <c r="AD34" s="30">
        <f>IF('CRUDO MIÉRCOLES'!AX69="Si",$N34,)</f>
        <v>0</v>
      </c>
      <c r="AE34" s="30">
        <f>IF('CRUDO MIÉRCOLES'!AY69="Si",$N34,)</f>
        <v>0</v>
      </c>
      <c r="AF34" s="30">
        <f>IF('CRUDO MIÉRCOLES'!AZ69="Si",$N34,)</f>
        <v>0</v>
      </c>
      <c r="AG34" s="29">
        <v>0</v>
      </c>
      <c r="AH34" s="29">
        <v>0</v>
      </c>
      <c r="AI34" s="29">
        <v>0</v>
      </c>
      <c r="AJ34" s="30">
        <f>IF('CRUDO MIÉRCOLES'!BD69="Si",$N34,)</f>
        <v>0</v>
      </c>
      <c r="AK34" s="30">
        <f>IF('CRUDO MIÉRCOLES'!BE69="Si",$N34,)</f>
        <v>0</v>
      </c>
      <c r="AL34" s="30">
        <f>IF('CRUDO MIÉRCOLES'!BF69="Si",$N34,)</f>
        <v>0</v>
      </c>
      <c r="AM34" s="29">
        <v>0</v>
      </c>
      <c r="AN34" s="30">
        <f>IF('CRUDO MIÉRCOLES'!BH69="Si",$N34,)</f>
        <v>0</v>
      </c>
      <c r="AO34" s="30">
        <f>IF('CRUDO MIÉRCOLES'!BI69="Si",$N34,)</f>
        <v>0</v>
      </c>
      <c r="AP34" s="14">
        <v>1</v>
      </c>
      <c r="AQ34" s="16"/>
    </row>
    <row r="35" spans="1:43" ht="13.2">
      <c r="A35" s="13">
        <v>45363.489966805559</v>
      </c>
      <c r="B35" s="14" t="s">
        <v>81</v>
      </c>
      <c r="C35" s="14" t="s">
        <v>1284</v>
      </c>
      <c r="D35" s="15" t="s">
        <v>83</v>
      </c>
      <c r="E35" s="14" t="s">
        <v>84</v>
      </c>
      <c r="F35" s="14" t="s">
        <v>85</v>
      </c>
      <c r="G35" s="14" t="s">
        <v>64</v>
      </c>
      <c r="H35" s="14" t="s">
        <v>86</v>
      </c>
      <c r="I35" s="14" t="s">
        <v>87</v>
      </c>
      <c r="J35" s="14" t="s">
        <v>88</v>
      </c>
      <c r="K35" s="14" t="s">
        <v>81</v>
      </c>
      <c r="L35" s="14" t="s">
        <v>89</v>
      </c>
      <c r="M35" s="14" t="s">
        <v>90</v>
      </c>
      <c r="N35" s="14">
        <v>26</v>
      </c>
      <c r="O35" s="14" t="s">
        <v>70</v>
      </c>
      <c r="P35" s="14">
        <v>4</v>
      </c>
      <c r="Q35" s="14">
        <v>3</v>
      </c>
      <c r="R35" s="14">
        <v>0</v>
      </c>
      <c r="S35" s="14" t="s">
        <v>91</v>
      </c>
      <c r="T35" s="14" t="s">
        <v>71</v>
      </c>
      <c r="U35" s="14" t="s">
        <v>72</v>
      </c>
      <c r="V35" s="15" t="s">
        <v>74</v>
      </c>
      <c r="W35" s="30">
        <f>IF('CRUDO MIÉRCOLES'!AQ4="Si",$N35,)</f>
        <v>26</v>
      </c>
      <c r="X35" s="30">
        <f>IF('CRUDO MIÉRCOLES'!AR4="Si",$N35,)</f>
        <v>0</v>
      </c>
      <c r="Y35" s="30">
        <f>IF('CRUDO MIÉRCOLES'!AS4="Si",$N35,)</f>
        <v>0</v>
      </c>
      <c r="Z35" s="30">
        <f>IF('CRUDO MIÉRCOLES'!AT4="Si",$N35,)</f>
        <v>0</v>
      </c>
      <c r="AA35" s="30">
        <f>IF('CRUDO MIÉRCOLES'!AU4="Si",$N35,)</f>
        <v>0</v>
      </c>
      <c r="AB35" s="30">
        <f>IF('CRUDO MIÉRCOLES'!AV4="Si",$N35,)</f>
        <v>26</v>
      </c>
      <c r="AC35" s="30">
        <f>IF('CRUDO MIÉRCOLES'!AW4="Si",$N35,)</f>
        <v>0</v>
      </c>
      <c r="AD35" s="30">
        <f>IF('CRUDO MIÉRCOLES'!AX4="Si",$N35,)</f>
        <v>0</v>
      </c>
      <c r="AE35" s="30">
        <f>IF('CRUDO MIÉRCOLES'!AY4="Si",$N35,)</f>
        <v>0</v>
      </c>
      <c r="AF35" s="30">
        <f>IF('CRUDO MIÉRCOLES'!AZ4="Si",$N35,)</f>
        <v>0</v>
      </c>
      <c r="AG35" s="30">
        <f>IF('CRUDO MIÉRCOLES'!BA4="Si",$N35,)</f>
        <v>0</v>
      </c>
      <c r="AH35" s="30">
        <f>IF('CRUDO MIÉRCOLES'!BB4="Si",$N35,)</f>
        <v>0</v>
      </c>
      <c r="AI35" s="29">
        <v>0</v>
      </c>
      <c r="AJ35" s="30">
        <f>IF('CRUDO MIÉRCOLES'!BD4="Si",$N35,)</f>
        <v>0</v>
      </c>
      <c r="AK35" s="30">
        <f>IF('CRUDO MIÉRCOLES'!BE4="Si",$N35,)</f>
        <v>0</v>
      </c>
      <c r="AL35" s="30">
        <f>IF('CRUDO MIÉRCOLES'!BF4="Si",$N35,)</f>
        <v>0</v>
      </c>
      <c r="AM35" s="30">
        <f>IF('CRUDO MIÉRCOLES'!BG4="Si",$N35,)</f>
        <v>0</v>
      </c>
      <c r="AN35" s="30">
        <f>IF('CRUDO MIÉRCOLES'!BH4="Si",$N35,)</f>
        <v>0</v>
      </c>
      <c r="AO35" s="30">
        <f>IF('CRUDO MIÉRCOLES'!BI4="Si",$N35,)</f>
        <v>0</v>
      </c>
      <c r="AP35" s="14">
        <v>1</v>
      </c>
      <c r="AQ35" s="16"/>
    </row>
    <row r="36" spans="1:43" ht="13.2">
      <c r="A36" s="13">
        <v>45363.492393344903</v>
      </c>
      <c r="B36" s="14" t="s">
        <v>81</v>
      </c>
      <c r="C36" s="14" t="s">
        <v>1284</v>
      </c>
      <c r="D36" s="15" t="s">
        <v>83</v>
      </c>
      <c r="E36" s="14" t="s">
        <v>84</v>
      </c>
      <c r="F36" s="14" t="s">
        <v>92</v>
      </c>
      <c r="G36" s="14" t="s">
        <v>64</v>
      </c>
      <c r="H36" s="14" t="s">
        <v>86</v>
      </c>
      <c r="I36" s="14" t="s">
        <v>87</v>
      </c>
      <c r="J36" s="14" t="s">
        <v>88</v>
      </c>
      <c r="K36" s="14" t="s">
        <v>81</v>
      </c>
      <c r="L36" s="14" t="s">
        <v>89</v>
      </c>
      <c r="M36" s="14" t="s">
        <v>90</v>
      </c>
      <c r="N36" s="14">
        <v>19</v>
      </c>
      <c r="O36" s="14" t="s">
        <v>70</v>
      </c>
      <c r="P36" s="14">
        <v>4</v>
      </c>
      <c r="Q36" s="14">
        <v>3</v>
      </c>
      <c r="R36" s="14">
        <v>0</v>
      </c>
      <c r="S36" s="14" t="s">
        <v>93</v>
      </c>
      <c r="T36" s="14" t="s">
        <v>71</v>
      </c>
      <c r="U36" s="14" t="s">
        <v>72</v>
      </c>
      <c r="V36" s="15" t="s">
        <v>74</v>
      </c>
      <c r="W36" s="30">
        <f>IF('CRUDO MIÉRCOLES'!AQ5="Si",$N36,)</f>
        <v>19</v>
      </c>
      <c r="X36" s="30">
        <f>IF('CRUDO MIÉRCOLES'!AR5="Si",$N36,)</f>
        <v>0</v>
      </c>
      <c r="Y36" s="30">
        <f>IF('CRUDO MIÉRCOLES'!AS5="Si",$N36,)</f>
        <v>0</v>
      </c>
      <c r="Z36" s="30">
        <f>IF('CRUDO MIÉRCOLES'!AT5="Si",$N36,)</f>
        <v>0</v>
      </c>
      <c r="AA36" s="30">
        <f>IF('CRUDO MIÉRCOLES'!AU5="Si",$N36,)</f>
        <v>0</v>
      </c>
      <c r="AB36" s="30">
        <f>IF('CRUDO MIÉRCOLES'!AV5="Si",$N36,)</f>
        <v>19</v>
      </c>
      <c r="AC36" s="30">
        <f>IF('CRUDO MIÉRCOLES'!AW5="Si",$N36,)</f>
        <v>0</v>
      </c>
      <c r="AD36" s="30">
        <f>IF('CRUDO MIÉRCOLES'!AX5="Si",$N36,)</f>
        <v>0</v>
      </c>
      <c r="AE36" s="30">
        <f>IF('CRUDO MIÉRCOLES'!AY5="Si",$N36,)</f>
        <v>0</v>
      </c>
      <c r="AF36" s="30">
        <f>IF('CRUDO MIÉRCOLES'!AZ5="Si",$N36,)</f>
        <v>0</v>
      </c>
      <c r="AG36" s="30">
        <f>IF('CRUDO MIÉRCOLES'!BA5="Si",$N36,)</f>
        <v>0</v>
      </c>
      <c r="AH36" s="30">
        <f>IF('CRUDO MIÉRCOLES'!BB5="Si",$N36,)</f>
        <v>0</v>
      </c>
      <c r="AI36" s="29">
        <v>0</v>
      </c>
      <c r="AJ36" s="30">
        <f>IF('CRUDO MIÉRCOLES'!BD5="Si",$N36,)</f>
        <v>0</v>
      </c>
      <c r="AK36" s="30">
        <f>IF('CRUDO MIÉRCOLES'!BE5="Si",$N36,)</f>
        <v>0</v>
      </c>
      <c r="AL36" s="30">
        <f>IF('CRUDO MIÉRCOLES'!BF5="Si",$N36,)</f>
        <v>0</v>
      </c>
      <c r="AM36" s="30">
        <f>IF('CRUDO MIÉRCOLES'!BG5="Si",$N36,)</f>
        <v>0</v>
      </c>
      <c r="AN36" s="30">
        <f>IF('CRUDO MIÉRCOLES'!BH5="Si",$N36,)</f>
        <v>0</v>
      </c>
      <c r="AO36" s="30">
        <f>IF('CRUDO MIÉRCOLES'!BI5="Si",$N36,)</f>
        <v>0</v>
      </c>
      <c r="AP36" s="14">
        <v>1</v>
      </c>
      <c r="AQ36" s="16"/>
    </row>
    <row r="37" spans="1:43" ht="13.2">
      <c r="A37" s="13">
        <v>45363.661298252315</v>
      </c>
      <c r="B37" s="14" t="s">
        <v>165</v>
      </c>
      <c r="C37" s="14" t="s">
        <v>166</v>
      </c>
      <c r="D37" s="15" t="s">
        <v>167</v>
      </c>
      <c r="E37" s="14" t="s">
        <v>168</v>
      </c>
      <c r="F37" s="14" t="s">
        <v>169</v>
      </c>
      <c r="G37" s="14" t="s">
        <v>64</v>
      </c>
      <c r="H37" s="14" t="s">
        <v>170</v>
      </c>
      <c r="I37" s="14" t="s">
        <v>171</v>
      </c>
      <c r="J37" s="14" t="s">
        <v>172</v>
      </c>
      <c r="K37" s="14" t="s">
        <v>165</v>
      </c>
      <c r="L37" s="14" t="s">
        <v>89</v>
      </c>
      <c r="M37" s="14" t="s">
        <v>173</v>
      </c>
      <c r="N37" s="14">
        <v>35</v>
      </c>
      <c r="O37" s="14" t="s">
        <v>70</v>
      </c>
      <c r="P37" s="14">
        <v>4</v>
      </c>
      <c r="Q37" s="14">
        <v>4</v>
      </c>
      <c r="R37" s="14">
        <v>30</v>
      </c>
      <c r="S37" s="16"/>
      <c r="T37" s="14" t="s">
        <v>71</v>
      </c>
      <c r="U37" s="14" t="s">
        <v>72</v>
      </c>
      <c r="V37" s="15" t="s">
        <v>74</v>
      </c>
      <c r="W37" s="29">
        <v>0</v>
      </c>
      <c r="X37" s="29">
        <v>0</v>
      </c>
      <c r="Y37" s="29">
        <v>0</v>
      </c>
      <c r="Z37" s="30">
        <f>IF('CRUDO MIÉRCOLES'!AT16="Si",$N37,)</f>
        <v>35</v>
      </c>
      <c r="AA37" s="29">
        <v>0</v>
      </c>
      <c r="AB37" s="29">
        <v>0</v>
      </c>
      <c r="AC37" s="30">
        <f>IF('CRUDO MIÉRCOLES'!AW16="Si",$N37,)</f>
        <v>35</v>
      </c>
      <c r="AD37" s="29">
        <v>0</v>
      </c>
      <c r="AE37" s="29">
        <v>0</v>
      </c>
      <c r="AF37" s="30">
        <f>IF('CRUDO MIÉRCOLES'!AZ16="Si",$N37,)</f>
        <v>35</v>
      </c>
      <c r="AG37" s="29">
        <v>0</v>
      </c>
      <c r="AH37" s="29">
        <v>0</v>
      </c>
      <c r="AI37" s="29">
        <v>0</v>
      </c>
      <c r="AJ37" s="29">
        <v>0</v>
      </c>
      <c r="AK37" s="29">
        <v>0</v>
      </c>
      <c r="AL37" s="29">
        <v>0</v>
      </c>
      <c r="AM37" s="29">
        <v>0</v>
      </c>
      <c r="AN37" s="29">
        <v>0</v>
      </c>
      <c r="AO37" s="29">
        <v>0</v>
      </c>
      <c r="AP37" s="14">
        <v>1</v>
      </c>
      <c r="AQ37" s="16"/>
    </row>
    <row r="38" spans="1:43" ht="13.2">
      <c r="A38" s="13">
        <v>45363.789353472224</v>
      </c>
      <c r="B38" s="14" t="s">
        <v>209</v>
      </c>
      <c r="C38" s="14" t="s">
        <v>210</v>
      </c>
      <c r="D38" s="15" t="s">
        <v>211</v>
      </c>
      <c r="E38" s="14" t="s">
        <v>212</v>
      </c>
      <c r="F38" s="14" t="s">
        <v>213</v>
      </c>
      <c r="G38" s="14" t="s">
        <v>105</v>
      </c>
      <c r="H38" s="14" t="s">
        <v>214</v>
      </c>
      <c r="I38" s="14" t="s">
        <v>215</v>
      </c>
      <c r="J38" s="14" t="s">
        <v>216</v>
      </c>
      <c r="K38" s="14" t="s">
        <v>209</v>
      </c>
      <c r="L38" s="14" t="s">
        <v>89</v>
      </c>
      <c r="M38" s="14" t="s">
        <v>217</v>
      </c>
      <c r="N38" s="14">
        <v>25</v>
      </c>
      <c r="O38" s="14" t="s">
        <v>148</v>
      </c>
      <c r="P38" s="14">
        <v>5</v>
      </c>
      <c r="Q38" s="14">
        <v>5</v>
      </c>
      <c r="R38" s="14">
        <v>80</v>
      </c>
      <c r="S38" s="16"/>
      <c r="T38" s="14" t="s">
        <v>71</v>
      </c>
      <c r="U38" s="14" t="s">
        <v>72</v>
      </c>
      <c r="V38" s="15" t="s">
        <v>74</v>
      </c>
      <c r="W38" s="30">
        <f>IF('CRUDO MIÉRCOLES'!AQ22="Si",$N38,)</f>
        <v>0</v>
      </c>
      <c r="X38" s="29">
        <v>25</v>
      </c>
      <c r="Y38" s="30">
        <f>IF('CRUDO MIÉRCOLES'!AS22="Si",$N38,)</f>
        <v>0</v>
      </c>
      <c r="Z38" s="30">
        <f>IF('CRUDO MIÉRCOLES'!AT22="Si",$N38,)</f>
        <v>0</v>
      </c>
      <c r="AA38" s="30">
        <f>IF('CRUDO MIÉRCOLES'!AU22="Si",$N38,)</f>
        <v>25</v>
      </c>
      <c r="AB38" s="30">
        <f>IF('CRUDO MIÉRCOLES'!AV22="Si",$N38,)</f>
        <v>0</v>
      </c>
      <c r="AC38" s="30">
        <f>IF('CRUDO MIÉRCOLES'!AW22="Si",$N38,)</f>
        <v>0</v>
      </c>
      <c r="AD38" s="30">
        <f>IF('CRUDO MIÉRCOLES'!AX22="Si",$N38,)</f>
        <v>0</v>
      </c>
      <c r="AE38" s="30">
        <f>IF('CRUDO MIÉRCOLES'!AY22="Si",$N38,)</f>
        <v>0</v>
      </c>
      <c r="AF38" s="30">
        <f>IF('CRUDO MIÉRCOLES'!AZ22="Si",$N38,)</f>
        <v>0</v>
      </c>
      <c r="AG38" s="30">
        <f>IF('CRUDO MIÉRCOLES'!BA22="Si",$N38,)</f>
        <v>0</v>
      </c>
      <c r="AH38" s="29">
        <v>0</v>
      </c>
      <c r="AI38" s="29">
        <v>0</v>
      </c>
      <c r="AJ38" s="30">
        <f>IF('CRUDO MIÉRCOLES'!BD22="Si",$N38,)</f>
        <v>0</v>
      </c>
      <c r="AK38" s="30">
        <f>IF('CRUDO MIÉRCOLES'!BE22="Si",$N38,)</f>
        <v>0</v>
      </c>
      <c r="AL38" s="30">
        <f>IF('CRUDO MIÉRCOLES'!BF22="Si",$N38,)</f>
        <v>0</v>
      </c>
      <c r="AM38" s="29">
        <v>0</v>
      </c>
      <c r="AN38" s="30">
        <f>IF('CRUDO MIÉRCOLES'!BH22="Si",$N38,)</f>
        <v>0</v>
      </c>
      <c r="AO38" s="30">
        <f>IF('CRUDO MIÉRCOLES'!BI22="Si",$N38,)</f>
        <v>0</v>
      </c>
      <c r="AP38" s="14">
        <v>1</v>
      </c>
      <c r="AQ38" s="16"/>
    </row>
    <row r="39" spans="1:43" ht="13.2">
      <c r="A39" s="21">
        <v>45364.807283981485</v>
      </c>
      <c r="B39" s="22" t="s">
        <v>266</v>
      </c>
      <c r="C39" s="22" t="s">
        <v>267</v>
      </c>
      <c r="D39" s="24" t="s">
        <v>268</v>
      </c>
      <c r="E39" s="22" t="s">
        <v>84</v>
      </c>
      <c r="F39" s="22" t="s">
        <v>269</v>
      </c>
      <c r="G39" s="22" t="s">
        <v>64</v>
      </c>
      <c r="H39" s="22" t="s">
        <v>270</v>
      </c>
      <c r="I39" s="22" t="s">
        <v>270</v>
      </c>
      <c r="J39" s="22" t="s">
        <v>271</v>
      </c>
      <c r="K39" s="22" t="s">
        <v>266</v>
      </c>
      <c r="L39" s="22" t="s">
        <v>89</v>
      </c>
      <c r="M39" s="22" t="s">
        <v>272</v>
      </c>
      <c r="N39" s="22">
        <v>0</v>
      </c>
      <c r="O39" s="22" t="s">
        <v>148</v>
      </c>
      <c r="P39" s="22">
        <v>4</v>
      </c>
      <c r="Q39" s="22">
        <v>5</v>
      </c>
      <c r="R39" s="22">
        <v>0</v>
      </c>
      <c r="S39" s="25"/>
      <c r="T39" s="22" t="s">
        <v>71</v>
      </c>
      <c r="U39" s="22" t="s">
        <v>72</v>
      </c>
      <c r="V39" s="24" t="s">
        <v>74</v>
      </c>
      <c r="W39" s="26">
        <f>IF('CRUDO MIÉRCOLES'!AQ31="Si",$N39,)</f>
        <v>0</v>
      </c>
      <c r="X39" s="26">
        <f>IF('CRUDO MIÉRCOLES'!AR31="Si",$N39,)</f>
        <v>0</v>
      </c>
      <c r="Y39" s="26">
        <f>IF('CRUDO MIÉRCOLES'!AS31="Si",$N39,)</f>
        <v>0</v>
      </c>
      <c r="Z39" s="26">
        <f>IF('CRUDO MIÉRCOLES'!AT31="Si",$N39,)</f>
        <v>0</v>
      </c>
      <c r="AA39" s="26">
        <f>IF('CRUDO MIÉRCOLES'!AU31="Si",$N39,)</f>
        <v>0</v>
      </c>
      <c r="AB39" s="26">
        <f>IF('CRUDO MIÉRCOLES'!AV31="Si",$N39,)</f>
        <v>0</v>
      </c>
      <c r="AC39" s="26">
        <f>IF('CRUDO MIÉRCOLES'!AW31="Si",$N39,)</f>
        <v>0</v>
      </c>
      <c r="AD39" s="26">
        <f>IF('CRUDO MIÉRCOLES'!AX31="Si",$N39,)</f>
        <v>0</v>
      </c>
      <c r="AE39" s="26">
        <f>IF('CRUDO MIÉRCOLES'!AY31="Si",$N39,)</f>
        <v>0</v>
      </c>
      <c r="AF39" s="26">
        <f>IF('CRUDO MIÉRCOLES'!AZ31="Si",$N39,)</f>
        <v>0</v>
      </c>
      <c r="AG39" s="26">
        <f>IF('CRUDO MIÉRCOLES'!BA31="Si",$N39,)</f>
        <v>0</v>
      </c>
      <c r="AH39" s="26">
        <f>IF('CRUDO MIÉRCOLES'!BB31="Si",$N39,)</f>
        <v>0</v>
      </c>
      <c r="AI39" s="26">
        <f>IF('CRUDO MIÉRCOLES'!BC31="Si",$N39,)</f>
        <v>0</v>
      </c>
      <c r="AJ39" s="26">
        <f>IF('CRUDO MIÉRCOLES'!BD31="Si",$N39,)</f>
        <v>0</v>
      </c>
      <c r="AK39" s="26">
        <f>IF('CRUDO MIÉRCOLES'!BE31="Si",$N39,)</f>
        <v>0</v>
      </c>
      <c r="AL39" s="26">
        <f>IF('CRUDO MIÉRCOLES'!BF31="Si",$N39,)</f>
        <v>0</v>
      </c>
      <c r="AM39" s="26">
        <f>IF('CRUDO MIÉRCOLES'!BG31="Si",$N39,)</f>
        <v>0</v>
      </c>
      <c r="AN39" s="26">
        <f>IF('CRUDO MIÉRCOLES'!BH31="Si",$N39,)</f>
        <v>0</v>
      </c>
      <c r="AO39" s="26">
        <f>IF('CRUDO MIÉRCOLES'!BI31="Si",$N39,)</f>
        <v>0</v>
      </c>
      <c r="AP39" s="25"/>
      <c r="AQ39" s="25"/>
    </row>
    <row r="40" spans="1:43" ht="13.2">
      <c r="A40" s="13">
        <v>45363.483787800928</v>
      </c>
      <c r="B40" s="14" t="s">
        <v>59</v>
      </c>
      <c r="C40" s="14" t="s">
        <v>1285</v>
      </c>
      <c r="D40" s="15" t="s">
        <v>61</v>
      </c>
      <c r="E40" s="14" t="s">
        <v>62</v>
      </c>
      <c r="F40" s="14" t="s">
        <v>63</v>
      </c>
      <c r="G40" s="14" t="s">
        <v>64</v>
      </c>
      <c r="H40" s="14" t="s">
        <v>65</v>
      </c>
      <c r="I40" s="14" t="s">
        <v>66</v>
      </c>
      <c r="J40" s="14" t="s">
        <v>67</v>
      </c>
      <c r="K40" s="14" t="s">
        <v>59</v>
      </c>
      <c r="L40" s="14" t="s">
        <v>68</v>
      </c>
      <c r="M40" s="14" t="s">
        <v>69</v>
      </c>
      <c r="N40" s="14">
        <v>35</v>
      </c>
      <c r="O40" s="14" t="s">
        <v>70</v>
      </c>
      <c r="P40" s="14">
        <v>1</v>
      </c>
      <c r="Q40" s="14">
        <v>4</v>
      </c>
      <c r="R40" s="14">
        <v>50</v>
      </c>
      <c r="S40" s="16"/>
      <c r="T40" s="14" t="s">
        <v>71</v>
      </c>
      <c r="U40" s="14" t="s">
        <v>72</v>
      </c>
      <c r="V40" s="15" t="s">
        <v>74</v>
      </c>
      <c r="W40" s="29">
        <v>35</v>
      </c>
      <c r="X40" s="29">
        <v>0</v>
      </c>
      <c r="Y40" s="29">
        <v>0</v>
      </c>
      <c r="Z40" s="30">
        <f>IF('CRUDO MIÉRCOLES'!AT2="Si",$N40,)</f>
        <v>0</v>
      </c>
      <c r="AA40" s="29">
        <v>0</v>
      </c>
      <c r="AB40" s="29">
        <v>0</v>
      </c>
      <c r="AC40" s="29">
        <v>0</v>
      </c>
      <c r="AD40" s="30">
        <f>IF('CRUDO MIÉRCOLES'!AX2="Si",$N40,)</f>
        <v>0</v>
      </c>
      <c r="AE40" s="30">
        <f>IF('CRUDO MIÉRCOLES'!AY2="Si",$N40,)</f>
        <v>0</v>
      </c>
      <c r="AF40" s="30">
        <f>IF('CRUDO MIÉRCOLES'!AZ2="Si",$N40,)</f>
        <v>0</v>
      </c>
      <c r="AG40" s="29">
        <v>0</v>
      </c>
      <c r="AH40" s="29">
        <v>0</v>
      </c>
      <c r="AI40" s="29">
        <v>0</v>
      </c>
      <c r="AJ40" s="30">
        <f>IF('CRUDO MIÉRCOLES'!BD2="Si",$N40,)</f>
        <v>0</v>
      </c>
      <c r="AK40" s="30">
        <f>IF('CRUDO MIÉRCOLES'!BE2="Si",$N40,)</f>
        <v>0</v>
      </c>
      <c r="AL40" s="29">
        <v>0</v>
      </c>
      <c r="AM40" s="31">
        <f>IF('CRUDO MIÉRCOLES'!BG2="Si",$N40,)</f>
        <v>35</v>
      </c>
      <c r="AN40" s="30">
        <f>IF('CRUDO MIÉRCOLES'!BH2="Si",$N40,)</f>
        <v>0</v>
      </c>
      <c r="AO40" s="30">
        <f>IF('CRUDO MIÉRCOLES'!BI2="Si",$N40,)</f>
        <v>0</v>
      </c>
      <c r="AP40" s="14">
        <v>1</v>
      </c>
      <c r="AQ40" s="16"/>
    </row>
    <row r="41" spans="1:43" ht="13.2">
      <c r="A41" s="21">
        <v>45363.486660289353</v>
      </c>
      <c r="B41" s="22" t="s">
        <v>75</v>
      </c>
      <c r="C41" s="22" t="s">
        <v>76</v>
      </c>
      <c r="D41" s="24" t="s">
        <v>61</v>
      </c>
      <c r="E41" s="22" t="s">
        <v>62</v>
      </c>
      <c r="F41" s="22" t="s">
        <v>77</v>
      </c>
      <c r="G41" s="22" t="s">
        <v>64</v>
      </c>
      <c r="H41" s="22" t="s">
        <v>78</v>
      </c>
      <c r="I41" s="22" t="s">
        <v>65</v>
      </c>
      <c r="J41" s="22" t="s">
        <v>79</v>
      </c>
      <c r="K41" s="22" t="s">
        <v>75</v>
      </c>
      <c r="L41" s="22" t="s">
        <v>68</v>
      </c>
      <c r="M41" s="22" t="s">
        <v>80</v>
      </c>
      <c r="N41" s="22">
        <v>0</v>
      </c>
      <c r="O41" s="22" t="s">
        <v>70</v>
      </c>
      <c r="P41" s="22">
        <v>2</v>
      </c>
      <c r="Q41" s="22">
        <v>3</v>
      </c>
      <c r="R41" s="22">
        <v>50</v>
      </c>
      <c r="S41" s="25"/>
      <c r="T41" s="22" t="s">
        <v>71</v>
      </c>
      <c r="U41" s="22" t="s">
        <v>72</v>
      </c>
      <c r="V41" s="24" t="s">
        <v>74</v>
      </c>
      <c r="W41" s="27">
        <v>0</v>
      </c>
      <c r="X41" s="27">
        <v>0</v>
      </c>
      <c r="Y41" s="27">
        <v>0</v>
      </c>
      <c r="Z41" s="26">
        <f>IF('CRUDO MIÉRCOLES'!AT3="Si",$N41,)</f>
        <v>0</v>
      </c>
      <c r="AA41" s="27">
        <v>0</v>
      </c>
      <c r="AB41" s="27">
        <v>0</v>
      </c>
      <c r="AC41" s="26">
        <f>IF('CRUDO MIÉRCOLES'!AW3="Si",$N41,)</f>
        <v>0</v>
      </c>
      <c r="AD41" s="26">
        <f>IF('CRUDO MIÉRCOLES'!AX3="Si",$N41,)</f>
        <v>0</v>
      </c>
      <c r="AE41" s="26">
        <f>IF('CRUDO MIÉRCOLES'!AY3="Si",$N41,)</f>
        <v>0</v>
      </c>
      <c r="AF41" s="26">
        <f>IF('CRUDO MIÉRCOLES'!AZ3="Si",$N41,)</f>
        <v>0</v>
      </c>
      <c r="AG41" s="27">
        <v>0</v>
      </c>
      <c r="AH41" s="27">
        <v>0</v>
      </c>
      <c r="AI41" s="27">
        <v>0</v>
      </c>
      <c r="AJ41" s="26">
        <f>IF('CRUDO MIÉRCOLES'!BD3="Si",$N41,)</f>
        <v>0</v>
      </c>
      <c r="AK41" s="26">
        <f>IF('CRUDO MIÉRCOLES'!BE3="Si",$N41,)</f>
        <v>0</v>
      </c>
      <c r="AL41" s="27">
        <v>0</v>
      </c>
      <c r="AM41" s="26">
        <f>IF('CRUDO MIÉRCOLES'!BG3="Si",$N41,)</f>
        <v>0</v>
      </c>
      <c r="AN41" s="26">
        <f>IF('CRUDO MIÉRCOLES'!BH3="Si",$N41,)</f>
        <v>0</v>
      </c>
      <c r="AO41" s="26">
        <f>IF('CRUDO MIÉRCOLES'!BI3="Si",$N41,)</f>
        <v>0</v>
      </c>
      <c r="AP41" s="25"/>
      <c r="AQ41" s="25"/>
    </row>
    <row r="42" spans="1:43" ht="13.2">
      <c r="A42" s="21">
        <v>45363.492571168987</v>
      </c>
      <c r="B42" s="22" t="s">
        <v>94</v>
      </c>
      <c r="C42" s="22" t="s">
        <v>95</v>
      </c>
      <c r="D42" s="24" t="s">
        <v>61</v>
      </c>
      <c r="E42" s="22" t="s">
        <v>62</v>
      </c>
      <c r="F42" s="22" t="s">
        <v>96</v>
      </c>
      <c r="G42" s="22" t="s">
        <v>64</v>
      </c>
      <c r="H42" s="22" t="s">
        <v>97</v>
      </c>
      <c r="I42" s="22" t="s">
        <v>98</v>
      </c>
      <c r="J42" s="22" t="s">
        <v>99</v>
      </c>
      <c r="K42" s="22" t="s">
        <v>94</v>
      </c>
      <c r="L42" s="22" t="s">
        <v>68</v>
      </c>
      <c r="M42" s="22" t="s">
        <v>100</v>
      </c>
      <c r="N42" s="22">
        <v>0</v>
      </c>
      <c r="O42" s="22" t="s">
        <v>70</v>
      </c>
      <c r="P42" s="22">
        <v>2</v>
      </c>
      <c r="Q42" s="22">
        <v>3</v>
      </c>
      <c r="R42" s="22">
        <v>50</v>
      </c>
      <c r="S42" s="25"/>
      <c r="T42" s="22" t="s">
        <v>71</v>
      </c>
      <c r="U42" s="22" t="s">
        <v>72</v>
      </c>
      <c r="V42" s="24" t="s">
        <v>74</v>
      </c>
      <c r="W42" s="26">
        <f>IF('CRUDO MIÉRCOLES'!AQ6="Si",$N42,)</f>
        <v>0</v>
      </c>
      <c r="X42" s="26">
        <f>IF('CRUDO MIÉRCOLES'!AR6="Si",$N42,)</f>
        <v>0</v>
      </c>
      <c r="Y42" s="26">
        <f>IF('CRUDO MIÉRCOLES'!AS6="Si",$N42,)</f>
        <v>0</v>
      </c>
      <c r="Z42" s="26">
        <f>IF('CRUDO MIÉRCOLES'!AT6="Si",$N42,)</f>
        <v>0</v>
      </c>
      <c r="AA42" s="26">
        <f>IF('CRUDO MIÉRCOLES'!AU6="Si",$N42,)</f>
        <v>0</v>
      </c>
      <c r="AB42" s="26">
        <f>IF('CRUDO MIÉRCOLES'!AV6="Si",$N42,)</f>
        <v>0</v>
      </c>
      <c r="AC42" s="26">
        <f>IF('CRUDO MIÉRCOLES'!AW6="Si",$N42,)</f>
        <v>0</v>
      </c>
      <c r="AD42" s="26">
        <f>IF('CRUDO MIÉRCOLES'!AX6="Si",$N42,)</f>
        <v>0</v>
      </c>
      <c r="AE42" s="26">
        <f>IF('CRUDO MIÉRCOLES'!AY6="Si",$N42,)</f>
        <v>0</v>
      </c>
      <c r="AF42" s="26">
        <f>IF('CRUDO MIÉRCOLES'!AZ6="Si",$N42,)</f>
        <v>0</v>
      </c>
      <c r="AG42" s="26">
        <f>IF('CRUDO MIÉRCOLES'!BA6="Si",$N42,)</f>
        <v>0</v>
      </c>
      <c r="AH42" s="26">
        <f>IF('CRUDO MIÉRCOLES'!BB6="Si",$N42,)</f>
        <v>0</v>
      </c>
      <c r="AI42" s="26">
        <f>IF('CRUDO MIÉRCOLES'!BC6="Si",$N42,)</f>
        <v>0</v>
      </c>
      <c r="AJ42" s="26">
        <f>IF('CRUDO MIÉRCOLES'!BD6="Si",$N42,)</f>
        <v>0</v>
      </c>
      <c r="AK42" s="26">
        <f>IF('CRUDO MIÉRCOLES'!BE6="Si",$N42,)</f>
        <v>0</v>
      </c>
      <c r="AL42" s="26">
        <f>IF('CRUDO MIÉRCOLES'!BF6="Si",$N42,)</f>
        <v>0</v>
      </c>
      <c r="AM42" s="26">
        <f>IF('CRUDO MIÉRCOLES'!BG6="Si",$N42,)</f>
        <v>0</v>
      </c>
      <c r="AN42" s="26">
        <f>IF('CRUDO MIÉRCOLES'!BH6="Si",$N42,)</f>
        <v>0</v>
      </c>
      <c r="AO42" s="26">
        <f>IF('CRUDO MIÉRCOLES'!BI6="Si",$N42,)</f>
        <v>0</v>
      </c>
      <c r="AP42" s="25"/>
      <c r="AQ42" s="25"/>
    </row>
    <row r="43" spans="1:43" ht="13.2">
      <c r="A43" s="21">
        <v>45369.356535173611</v>
      </c>
      <c r="B43" s="22" t="s">
        <v>464</v>
      </c>
      <c r="C43" s="22" t="s">
        <v>76</v>
      </c>
      <c r="D43" s="24" t="s">
        <v>61</v>
      </c>
      <c r="E43" s="22" t="s">
        <v>62</v>
      </c>
      <c r="F43" s="22" t="s">
        <v>63</v>
      </c>
      <c r="G43" s="22" t="s">
        <v>64</v>
      </c>
      <c r="H43" s="22" t="s">
        <v>465</v>
      </c>
      <c r="I43" s="22" t="s">
        <v>65</v>
      </c>
      <c r="J43" s="22" t="s">
        <v>78</v>
      </c>
      <c r="K43" s="22" t="s">
        <v>464</v>
      </c>
      <c r="L43" s="22" t="s">
        <v>138</v>
      </c>
      <c r="M43" s="22" t="s">
        <v>100</v>
      </c>
      <c r="N43" s="22">
        <v>0</v>
      </c>
      <c r="O43" s="22" t="s">
        <v>148</v>
      </c>
      <c r="P43" s="22">
        <v>2</v>
      </c>
      <c r="Q43" s="22">
        <v>3</v>
      </c>
      <c r="R43" s="22">
        <v>50</v>
      </c>
      <c r="S43" s="25"/>
      <c r="T43" s="22" t="s">
        <v>71</v>
      </c>
      <c r="U43" s="22" t="s">
        <v>72</v>
      </c>
      <c r="V43" s="24" t="s">
        <v>74</v>
      </c>
      <c r="W43" s="26">
        <f>IF('CRUDO MIÉRCOLES'!AQ63="Si",$N43,)</f>
        <v>0</v>
      </c>
      <c r="X43" s="26">
        <f>IF('CRUDO MIÉRCOLES'!AR63="Si",$N43,)</f>
        <v>0</v>
      </c>
      <c r="Y43" s="26">
        <f>IF('CRUDO MIÉRCOLES'!AS63="Si",$N43,)</f>
        <v>0</v>
      </c>
      <c r="Z43" s="26">
        <f>IF('CRUDO MIÉRCOLES'!AT63="Si",$N43,)</f>
        <v>0</v>
      </c>
      <c r="AA43" s="26">
        <f>IF('CRUDO MIÉRCOLES'!AU63="Si",$N43,)</f>
        <v>0</v>
      </c>
      <c r="AB43" s="26">
        <f>IF('CRUDO MIÉRCOLES'!AV63="Si",$N43,)</f>
        <v>0</v>
      </c>
      <c r="AC43" s="26">
        <f>IF('CRUDO MIÉRCOLES'!AW63="Si",$N43,)</f>
        <v>0</v>
      </c>
      <c r="AD43" s="26">
        <f>IF('CRUDO MIÉRCOLES'!AX63="Si",$N43,)</f>
        <v>0</v>
      </c>
      <c r="AE43" s="26">
        <f>IF('CRUDO MIÉRCOLES'!AY63="Si",$N43,)</f>
        <v>0</v>
      </c>
      <c r="AF43" s="26">
        <f>IF('CRUDO MIÉRCOLES'!AZ63="Si",$N43,)</f>
        <v>0</v>
      </c>
      <c r="AG43" s="26">
        <f>IF('CRUDO MIÉRCOLES'!BA63="Si",$N43,)</f>
        <v>0</v>
      </c>
      <c r="AH43" s="26">
        <f>IF('CRUDO MIÉRCOLES'!BB63="Si",$N43,)</f>
        <v>0</v>
      </c>
      <c r="AI43" s="26">
        <f>IF('CRUDO MIÉRCOLES'!BC63="Si",$N43,)</f>
        <v>0</v>
      </c>
      <c r="AJ43" s="26">
        <f>IF('CRUDO MIÉRCOLES'!BD63="Si",$N43,)</f>
        <v>0</v>
      </c>
      <c r="AK43" s="26">
        <f>IF('CRUDO MIÉRCOLES'!BE63="Si",$N43,)</f>
        <v>0</v>
      </c>
      <c r="AL43" s="26">
        <f>IF('CRUDO MIÉRCOLES'!BF63="Si",$N43,)</f>
        <v>0</v>
      </c>
      <c r="AM43" s="26">
        <f>IF('CRUDO MIÉRCOLES'!BG63="Si",$N43,)</f>
        <v>0</v>
      </c>
      <c r="AN43" s="26">
        <f>IF('CRUDO MIÉRCOLES'!BH63="Si",$N43,)</f>
        <v>0</v>
      </c>
      <c r="AO43" s="26">
        <f>IF('CRUDO MIÉRCOLES'!BI63="Si",$N43,)</f>
        <v>0</v>
      </c>
      <c r="AP43" s="25"/>
      <c r="AQ43" s="25"/>
    </row>
    <row r="44" spans="1:43" ht="13.2">
      <c r="A44" s="13">
        <v>45364.355333622691</v>
      </c>
      <c r="B44" s="14" t="s">
        <v>232</v>
      </c>
      <c r="C44" s="14" t="s">
        <v>1286</v>
      </c>
      <c r="D44" s="15" t="s">
        <v>234</v>
      </c>
      <c r="E44" s="14" t="s">
        <v>62</v>
      </c>
      <c r="F44" s="14" t="s">
        <v>235</v>
      </c>
      <c r="G44" s="14" t="s">
        <v>64</v>
      </c>
      <c r="H44" s="14" t="s">
        <v>236</v>
      </c>
      <c r="I44" s="14" t="s">
        <v>237</v>
      </c>
      <c r="J44" s="16"/>
      <c r="K44" s="14" t="s">
        <v>232</v>
      </c>
      <c r="L44" s="14" t="s">
        <v>68</v>
      </c>
      <c r="M44" s="14" t="s">
        <v>238</v>
      </c>
      <c r="N44" s="14">
        <v>46</v>
      </c>
      <c r="O44" s="14" t="s">
        <v>70</v>
      </c>
      <c r="P44" s="14">
        <v>5</v>
      </c>
      <c r="Q44" s="14">
        <v>5</v>
      </c>
      <c r="R44" s="14">
        <v>0</v>
      </c>
      <c r="S44" s="16"/>
      <c r="T44" s="14" t="s">
        <v>71</v>
      </c>
      <c r="U44" s="14" t="s">
        <v>72</v>
      </c>
      <c r="V44" s="15" t="s">
        <v>74</v>
      </c>
      <c r="W44" s="29">
        <v>46</v>
      </c>
      <c r="X44" s="29">
        <v>0</v>
      </c>
      <c r="Y44" s="29">
        <v>0</v>
      </c>
      <c r="Z44" s="30">
        <f>IF('CRUDO MIÉRCOLES'!AT25="Si",$N44,)</f>
        <v>0</v>
      </c>
      <c r="AA44" s="29">
        <v>0</v>
      </c>
      <c r="AB44" s="29">
        <v>0</v>
      </c>
      <c r="AC44" s="30">
        <f>IF('CRUDO MIÉRCOLES'!AW25="Si",$N44,)</f>
        <v>46</v>
      </c>
      <c r="AD44" s="30">
        <f>IF('CRUDO MIÉRCOLES'!AX25="Si",$N44,)</f>
        <v>0</v>
      </c>
      <c r="AE44" s="30">
        <f>IF('CRUDO MIÉRCOLES'!AY25="Si",$N44,)</f>
        <v>0</v>
      </c>
      <c r="AF44" s="30">
        <f>IF('CRUDO MIÉRCOLES'!AZ25="Si",$N44,)</f>
        <v>0</v>
      </c>
      <c r="AG44" s="29">
        <v>0</v>
      </c>
      <c r="AH44" s="29">
        <v>0</v>
      </c>
      <c r="AI44" s="29">
        <v>0</v>
      </c>
      <c r="AJ44" s="30">
        <f>IF('CRUDO MIÉRCOLES'!BD25="Si",$N44,)</f>
        <v>0</v>
      </c>
      <c r="AK44" s="30">
        <f>IF('CRUDO MIÉRCOLES'!BE25="Si",$N44,)</f>
        <v>0</v>
      </c>
      <c r="AL44" s="29">
        <v>0</v>
      </c>
      <c r="AM44" s="29">
        <v>0</v>
      </c>
      <c r="AN44" s="30">
        <f>IF('CRUDO MIÉRCOLES'!BH25="Si",$N44,)</f>
        <v>0</v>
      </c>
      <c r="AO44" s="30">
        <f>IF('CRUDO MIÉRCOLES'!BI25="Si",$N44,)</f>
        <v>0</v>
      </c>
      <c r="AP44" s="14">
        <v>1</v>
      </c>
      <c r="AQ44" s="16"/>
    </row>
    <row r="45" spans="1:43" ht="13.2">
      <c r="A45" s="21">
        <v>45363.627058645834</v>
      </c>
      <c r="B45" s="22" t="s">
        <v>149</v>
      </c>
      <c r="C45" s="22" t="s">
        <v>150</v>
      </c>
      <c r="D45" s="24" t="s">
        <v>151</v>
      </c>
      <c r="E45" s="22" t="s">
        <v>62</v>
      </c>
      <c r="F45" s="22" t="s">
        <v>152</v>
      </c>
      <c r="G45" s="22" t="s">
        <v>64</v>
      </c>
      <c r="H45" s="22" t="s">
        <v>153</v>
      </c>
      <c r="I45" s="22" t="s">
        <v>154</v>
      </c>
      <c r="J45" s="22" t="s">
        <v>155</v>
      </c>
      <c r="K45" s="22" t="s">
        <v>149</v>
      </c>
      <c r="L45" s="22" t="s">
        <v>138</v>
      </c>
      <c r="M45" s="22" t="s">
        <v>156</v>
      </c>
      <c r="N45" s="22">
        <v>0</v>
      </c>
      <c r="O45" s="22" t="s">
        <v>70</v>
      </c>
      <c r="P45" s="22">
        <v>4</v>
      </c>
      <c r="Q45" s="22">
        <v>4</v>
      </c>
      <c r="R45" s="22">
        <v>20</v>
      </c>
      <c r="S45" s="22" t="s">
        <v>157</v>
      </c>
      <c r="T45" s="22" t="s">
        <v>71</v>
      </c>
      <c r="U45" s="22" t="s">
        <v>72</v>
      </c>
      <c r="V45" s="24" t="s">
        <v>74</v>
      </c>
      <c r="W45" s="27">
        <v>0</v>
      </c>
      <c r="X45" s="26">
        <f>IF('CRUDO MIÉRCOLES'!AR14="Si",$N45,)</f>
        <v>0</v>
      </c>
      <c r="Y45" s="26">
        <f>IF('CRUDO MIÉRCOLES'!AS14="Si",$N45,)</f>
        <v>0</v>
      </c>
      <c r="Z45" s="26">
        <f>IF('CRUDO MIÉRCOLES'!AT14="Si",$N45,)</f>
        <v>0</v>
      </c>
      <c r="AA45" s="26">
        <f>IF('CRUDO MIÉRCOLES'!AU14="Si",$N45,)</f>
        <v>0</v>
      </c>
      <c r="AB45" s="27">
        <v>0</v>
      </c>
      <c r="AC45" s="26">
        <f>IF('CRUDO MIÉRCOLES'!AW14="Si",$N45,)</f>
        <v>0</v>
      </c>
      <c r="AD45" s="26">
        <f>IF('CRUDO MIÉRCOLES'!AX14="Si",$N45,)</f>
        <v>0</v>
      </c>
      <c r="AE45" s="26">
        <f>IF('CRUDO MIÉRCOLES'!AY14="Si",$N45,)</f>
        <v>0</v>
      </c>
      <c r="AF45" s="26">
        <f>IF('CRUDO MIÉRCOLES'!AZ14="Si",$N45,)</f>
        <v>0</v>
      </c>
      <c r="AG45" s="27">
        <v>0</v>
      </c>
      <c r="AH45" s="27">
        <v>0</v>
      </c>
      <c r="AI45" s="27">
        <v>0</v>
      </c>
      <c r="AJ45" s="26">
        <f>IF('CRUDO MIÉRCOLES'!BD14="Si",$N45,)</f>
        <v>0</v>
      </c>
      <c r="AK45" s="26">
        <f>IF('CRUDO MIÉRCOLES'!BE14="Si",$N45,)</f>
        <v>0</v>
      </c>
      <c r="AL45" s="26">
        <f>IF('CRUDO MIÉRCOLES'!BF14="Si",$N45,)</f>
        <v>0</v>
      </c>
      <c r="AM45" s="26">
        <f>IF('CRUDO MIÉRCOLES'!BG14="Si",$N45,)</f>
        <v>0</v>
      </c>
      <c r="AN45" s="26">
        <f>IF('CRUDO MIÉRCOLES'!BH14="Si",$N45,)</f>
        <v>0</v>
      </c>
      <c r="AO45" s="26">
        <f>IF('CRUDO MIÉRCOLES'!BI14="Si",$N45,)</f>
        <v>0</v>
      </c>
      <c r="AP45" s="22"/>
      <c r="AQ45" s="22" t="s">
        <v>158</v>
      </c>
    </row>
    <row r="46" spans="1:43" ht="13.2">
      <c r="A46" s="21">
        <v>45363.631155625</v>
      </c>
      <c r="B46" s="22" t="s">
        <v>149</v>
      </c>
      <c r="C46" s="22" t="s">
        <v>150</v>
      </c>
      <c r="D46" s="24" t="s">
        <v>151</v>
      </c>
      <c r="E46" s="22" t="s">
        <v>62</v>
      </c>
      <c r="F46" s="22" t="s">
        <v>159</v>
      </c>
      <c r="G46" s="22" t="s">
        <v>64</v>
      </c>
      <c r="H46" s="22" t="s">
        <v>154</v>
      </c>
      <c r="I46" s="22" t="s">
        <v>160</v>
      </c>
      <c r="J46" s="22" t="s">
        <v>161</v>
      </c>
      <c r="K46" s="22" t="s">
        <v>149</v>
      </c>
      <c r="L46" s="22" t="s">
        <v>138</v>
      </c>
      <c r="M46" s="22" t="s">
        <v>162</v>
      </c>
      <c r="N46" s="22">
        <v>0</v>
      </c>
      <c r="O46" s="22" t="s">
        <v>70</v>
      </c>
      <c r="P46" s="22">
        <v>4</v>
      </c>
      <c r="Q46" s="22">
        <v>4</v>
      </c>
      <c r="R46" s="22">
        <v>20</v>
      </c>
      <c r="S46" s="22" t="s">
        <v>163</v>
      </c>
      <c r="T46" s="22" t="s">
        <v>71</v>
      </c>
      <c r="U46" s="22" t="s">
        <v>72</v>
      </c>
      <c r="V46" s="24" t="s">
        <v>74</v>
      </c>
      <c r="W46" s="27">
        <v>0</v>
      </c>
      <c r="X46" s="26">
        <f>IF('CRUDO MIÉRCOLES'!AR15="Si",$N46,)</f>
        <v>0</v>
      </c>
      <c r="Y46" s="26">
        <f>IF('CRUDO MIÉRCOLES'!AS15="Si",$N46,)</f>
        <v>0</v>
      </c>
      <c r="Z46" s="26">
        <f>IF('CRUDO MIÉRCOLES'!AT15="Si",$N46,)</f>
        <v>0</v>
      </c>
      <c r="AA46" s="26">
        <f>IF('CRUDO MIÉRCOLES'!AU15="Si",$N46,)</f>
        <v>0</v>
      </c>
      <c r="AB46" s="27">
        <v>0</v>
      </c>
      <c r="AC46" s="26">
        <f>IF('CRUDO MIÉRCOLES'!AW15="Si",$N46,)</f>
        <v>0</v>
      </c>
      <c r="AD46" s="26">
        <f>IF('CRUDO MIÉRCOLES'!AX15="Si",$N46,)</f>
        <v>0</v>
      </c>
      <c r="AE46" s="26">
        <f>IF('CRUDO MIÉRCOLES'!AY15="Si",$N46,)</f>
        <v>0</v>
      </c>
      <c r="AF46" s="26">
        <f>IF('CRUDO MIÉRCOLES'!AZ15="Si",$N46,)</f>
        <v>0</v>
      </c>
      <c r="AG46" s="27">
        <v>0</v>
      </c>
      <c r="AH46" s="27">
        <v>0</v>
      </c>
      <c r="AI46" s="27">
        <v>0</v>
      </c>
      <c r="AJ46" s="26">
        <f>IF('CRUDO MIÉRCOLES'!BD15="Si",$N46,)</f>
        <v>0</v>
      </c>
      <c r="AK46" s="26">
        <f>IF('CRUDO MIÉRCOLES'!BE15="Si",$N46,)</f>
        <v>0</v>
      </c>
      <c r="AL46" s="26">
        <f>IF('CRUDO MIÉRCOLES'!BF15="Si",$N46,)</f>
        <v>0</v>
      </c>
      <c r="AM46" s="26">
        <f>IF('CRUDO MIÉRCOLES'!BG15="Si",$N46,)</f>
        <v>0</v>
      </c>
      <c r="AN46" s="26">
        <f>IF('CRUDO MIÉRCOLES'!BH15="Si",$N46,)</f>
        <v>0</v>
      </c>
      <c r="AO46" s="26">
        <f>IF('CRUDO MIÉRCOLES'!BI15="Si",$N46,)</f>
        <v>0</v>
      </c>
      <c r="AP46" s="22"/>
      <c r="AQ46" s="22" t="s">
        <v>164</v>
      </c>
    </row>
    <row r="47" spans="1:43" ht="13.2">
      <c r="A47" s="21">
        <v>45364.951388090281</v>
      </c>
      <c r="B47" s="22" t="s">
        <v>273</v>
      </c>
      <c r="C47" s="22" t="s">
        <v>274</v>
      </c>
      <c r="D47" s="24" t="s">
        <v>275</v>
      </c>
      <c r="E47" s="22" t="s">
        <v>276</v>
      </c>
      <c r="F47" s="22" t="s">
        <v>277</v>
      </c>
      <c r="G47" s="22" t="s">
        <v>105</v>
      </c>
      <c r="H47" s="22" t="s">
        <v>278</v>
      </c>
      <c r="I47" s="22" t="s">
        <v>279</v>
      </c>
      <c r="J47" s="22" t="s">
        <v>280</v>
      </c>
      <c r="K47" s="22" t="s">
        <v>273</v>
      </c>
      <c r="L47" s="22" t="s">
        <v>245</v>
      </c>
      <c r="M47" s="22" t="s">
        <v>281</v>
      </c>
      <c r="N47" s="22">
        <v>0</v>
      </c>
      <c r="O47" s="22" t="s">
        <v>282</v>
      </c>
      <c r="P47" s="22">
        <v>2</v>
      </c>
      <c r="Q47" s="22">
        <v>2</v>
      </c>
      <c r="R47" s="22">
        <v>15</v>
      </c>
      <c r="S47" s="22" t="s">
        <v>283</v>
      </c>
      <c r="T47" s="22" t="s">
        <v>71</v>
      </c>
      <c r="U47" s="22" t="s">
        <v>71</v>
      </c>
      <c r="V47" s="24" t="s">
        <v>74</v>
      </c>
      <c r="W47" s="27">
        <v>0</v>
      </c>
      <c r="X47" s="26">
        <f>IF('CRUDO MIÉRCOLES'!AR32="Si",$N47,)</f>
        <v>0</v>
      </c>
      <c r="Y47" s="26">
        <f>IF('CRUDO MIÉRCOLES'!AS32="Si",$N47,)</f>
        <v>0</v>
      </c>
      <c r="Z47" s="26">
        <f>IF('CRUDO MIÉRCOLES'!AT32="Si",$N47,)</f>
        <v>0</v>
      </c>
      <c r="AA47" s="26">
        <f>IF('CRUDO MIÉRCOLES'!AU32="Si",$N47,)</f>
        <v>0</v>
      </c>
      <c r="AB47" s="26">
        <f>IF('CRUDO MIÉRCOLES'!AV32="Si",$N47,)</f>
        <v>0</v>
      </c>
      <c r="AC47" s="26">
        <f>IF('CRUDO MIÉRCOLES'!AW32="Si",$N47,)</f>
        <v>0</v>
      </c>
      <c r="AD47" s="26">
        <f>IF('CRUDO MIÉRCOLES'!AX32="Si",$N47,)</f>
        <v>0</v>
      </c>
      <c r="AE47" s="26">
        <f>IF('CRUDO MIÉRCOLES'!AY32="Si",$N47,)</f>
        <v>0</v>
      </c>
      <c r="AF47" s="27">
        <v>0</v>
      </c>
      <c r="AG47" s="27">
        <v>0</v>
      </c>
      <c r="AH47" s="26">
        <f>IF('CRUDO MIÉRCOLES'!BB32="Si",$N47,)</f>
        <v>0</v>
      </c>
      <c r="AI47" s="26">
        <f>IF('CRUDO MIÉRCOLES'!BC32="Si",$N47,)</f>
        <v>0</v>
      </c>
      <c r="AJ47" s="27">
        <v>0</v>
      </c>
      <c r="AK47" s="27">
        <v>0</v>
      </c>
      <c r="AL47" s="27">
        <v>0</v>
      </c>
      <c r="AM47" s="26">
        <f>IF('CRUDO MIÉRCOLES'!BG32="Si",$N47,)</f>
        <v>0</v>
      </c>
      <c r="AN47" s="26">
        <f>IF('CRUDO MIÉRCOLES'!BH32="Si",$N47,)</f>
        <v>0</v>
      </c>
      <c r="AO47" s="27">
        <v>0</v>
      </c>
      <c r="AP47" s="25"/>
      <c r="AQ47" s="25"/>
    </row>
    <row r="48" spans="1:43" ht="13.2">
      <c r="A48" s="13">
        <v>45365.581499050924</v>
      </c>
      <c r="B48" s="14" t="s">
        <v>315</v>
      </c>
      <c r="C48" s="14" t="s">
        <v>316</v>
      </c>
      <c r="D48" s="15" t="s">
        <v>317</v>
      </c>
      <c r="E48" s="14" t="s">
        <v>84</v>
      </c>
      <c r="F48" s="14" t="s">
        <v>318</v>
      </c>
      <c r="G48" s="14" t="s">
        <v>64</v>
      </c>
      <c r="H48" s="14" t="s">
        <v>319</v>
      </c>
      <c r="I48" s="14" t="s">
        <v>320</v>
      </c>
      <c r="J48" s="16"/>
      <c r="K48" s="14" t="s">
        <v>315</v>
      </c>
      <c r="L48" s="14" t="s">
        <v>245</v>
      </c>
      <c r="M48" s="14" t="s">
        <v>321</v>
      </c>
      <c r="N48" s="14">
        <v>35</v>
      </c>
      <c r="O48" s="14" t="s">
        <v>70</v>
      </c>
      <c r="P48" s="14">
        <v>3</v>
      </c>
      <c r="Q48" s="14">
        <v>2</v>
      </c>
      <c r="R48" s="14">
        <v>75</v>
      </c>
      <c r="S48" s="16"/>
      <c r="T48" s="14" t="s">
        <v>71</v>
      </c>
      <c r="U48" s="14" t="s">
        <v>72</v>
      </c>
      <c r="V48" s="15" t="s">
        <v>74</v>
      </c>
      <c r="W48" s="29">
        <v>0</v>
      </c>
      <c r="X48" s="29">
        <v>0</v>
      </c>
      <c r="Y48" s="30">
        <f>IF('CRUDO MIÉRCOLES'!AS40="Si",$N48,)</f>
        <v>0</v>
      </c>
      <c r="Z48" s="29">
        <v>35</v>
      </c>
      <c r="AA48" s="30">
        <f>IF('CRUDO MIÉRCOLES'!AU40="Si",$N48,)</f>
        <v>0</v>
      </c>
      <c r="AB48" s="30">
        <f>IF('CRUDO MIÉRCOLES'!AV40="Si",$N48,)</f>
        <v>35</v>
      </c>
      <c r="AC48" s="30">
        <f>IF('CRUDO MIÉRCOLES'!AW40="Si",$N48,)</f>
        <v>0</v>
      </c>
      <c r="AD48" s="30">
        <f>IF('CRUDO MIÉRCOLES'!AX40="Si",$N48,)</f>
        <v>0</v>
      </c>
      <c r="AE48" s="30">
        <f>IF('CRUDO MIÉRCOLES'!AY40="Si",$N48,)</f>
        <v>0</v>
      </c>
      <c r="AF48" s="29">
        <v>35</v>
      </c>
      <c r="AG48" s="30">
        <f>IF('CRUDO MIÉRCOLES'!BA40="Si",$N48,)</f>
        <v>0</v>
      </c>
      <c r="AH48" s="30">
        <f>IF('CRUDO MIÉRCOLES'!BB40="Si",$N48,)</f>
        <v>0</v>
      </c>
      <c r="AI48" s="30">
        <f>IF('CRUDO MIÉRCOLES'!BC40="Si",$N48,)</f>
        <v>0</v>
      </c>
      <c r="AJ48" s="29">
        <v>0</v>
      </c>
      <c r="AK48" s="30">
        <f>IF('CRUDO MIÉRCOLES'!BE40="Si",$N48,)</f>
        <v>0</v>
      </c>
      <c r="AL48" s="30">
        <f>IF('CRUDO MIÉRCOLES'!BF40="Si",$N48,)</f>
        <v>0</v>
      </c>
      <c r="AM48" s="29">
        <v>0</v>
      </c>
      <c r="AN48" s="30">
        <f>IF('CRUDO MIÉRCOLES'!BH40="Si",$N48,)</f>
        <v>0</v>
      </c>
      <c r="AO48" s="30">
        <f>IF('CRUDO MIÉRCOLES'!BI40="Si",$N48,)</f>
        <v>0</v>
      </c>
      <c r="AP48" s="14">
        <v>1</v>
      </c>
      <c r="AQ48" s="16"/>
    </row>
    <row r="49" spans="1:43" ht="13.2">
      <c r="A49" s="13">
        <v>45365.802258553245</v>
      </c>
      <c r="B49" s="14" t="s">
        <v>329</v>
      </c>
      <c r="C49" s="14" t="s">
        <v>330</v>
      </c>
      <c r="D49" s="15" t="s">
        <v>317</v>
      </c>
      <c r="E49" s="14" t="s">
        <v>84</v>
      </c>
      <c r="F49" s="14" t="s">
        <v>331</v>
      </c>
      <c r="G49" s="14" t="s">
        <v>64</v>
      </c>
      <c r="H49" s="14" t="s">
        <v>332</v>
      </c>
      <c r="I49" s="14" t="s">
        <v>333</v>
      </c>
      <c r="J49" s="14" t="s">
        <v>334</v>
      </c>
      <c r="K49" s="14" t="s">
        <v>329</v>
      </c>
      <c r="L49" s="14" t="s">
        <v>245</v>
      </c>
      <c r="M49" s="14" t="s">
        <v>335</v>
      </c>
      <c r="N49" s="14">
        <v>35</v>
      </c>
      <c r="O49" s="14" t="s">
        <v>70</v>
      </c>
      <c r="P49" s="14">
        <v>4</v>
      </c>
      <c r="Q49" s="14">
        <v>3</v>
      </c>
      <c r="R49" s="14">
        <v>10</v>
      </c>
      <c r="S49" s="16"/>
      <c r="T49" s="14" t="s">
        <v>71</v>
      </c>
      <c r="U49" s="14" t="s">
        <v>72</v>
      </c>
      <c r="V49" s="15" t="s">
        <v>74</v>
      </c>
      <c r="W49" s="29">
        <v>0</v>
      </c>
      <c r="X49" s="30">
        <f>IF('CRUDO MIÉRCOLES'!AR42="Si",$N49,)</f>
        <v>0</v>
      </c>
      <c r="Y49" s="30">
        <f>IF('CRUDO MIÉRCOLES'!AS42="Si",$N49,)</f>
        <v>0</v>
      </c>
      <c r="Z49" s="29">
        <v>35</v>
      </c>
      <c r="AA49" s="30">
        <f>IF('CRUDO MIÉRCOLES'!AU42="Si",$N49,)</f>
        <v>0</v>
      </c>
      <c r="AB49" s="30">
        <f>IF('CRUDO MIÉRCOLES'!AV42="Si",$N49,)</f>
        <v>35</v>
      </c>
      <c r="AC49" s="30">
        <f>IF('CRUDO MIÉRCOLES'!AW42="Si",$N49,)</f>
        <v>0</v>
      </c>
      <c r="AD49" s="30">
        <f>IF('CRUDO MIÉRCOLES'!AX42="Si",$N49,)</f>
        <v>0</v>
      </c>
      <c r="AE49" s="30">
        <f>IF('CRUDO MIÉRCOLES'!AY42="Si",$N49,)</f>
        <v>0</v>
      </c>
      <c r="AF49" s="29">
        <v>35</v>
      </c>
      <c r="AG49" s="30">
        <f>IF('CRUDO MIÉRCOLES'!BA42="Si",$N49,)</f>
        <v>0</v>
      </c>
      <c r="AH49" s="30">
        <f>IF('CRUDO MIÉRCOLES'!BB42="Si",$N49,)</f>
        <v>0</v>
      </c>
      <c r="AI49" s="29">
        <v>0</v>
      </c>
      <c r="AJ49" s="30">
        <f>IF('CRUDO MIÉRCOLES'!BD42="Si",$N49,)</f>
        <v>0</v>
      </c>
      <c r="AK49" s="30">
        <f>IF('CRUDO MIÉRCOLES'!BE42="Si",$N49,)</f>
        <v>0</v>
      </c>
      <c r="AL49" s="30">
        <f>IF('CRUDO MIÉRCOLES'!BF42="Si",$N49,)</f>
        <v>0</v>
      </c>
      <c r="AM49" s="30">
        <f>IF('CRUDO MIÉRCOLES'!BG42="Si",$N49,)</f>
        <v>0</v>
      </c>
      <c r="AN49" s="29">
        <v>0</v>
      </c>
      <c r="AO49" s="30">
        <f>IF('CRUDO MIÉRCOLES'!BI42="Si",$N49,)</f>
        <v>0</v>
      </c>
      <c r="AP49" s="14">
        <v>1</v>
      </c>
      <c r="AQ49" s="16"/>
    </row>
    <row r="50" spans="1:43" ht="13.2">
      <c r="A50" s="13">
        <v>45365.80892487269</v>
      </c>
      <c r="B50" s="14" t="s">
        <v>336</v>
      </c>
      <c r="C50" s="14" t="s">
        <v>316</v>
      </c>
      <c r="D50" s="15" t="s">
        <v>317</v>
      </c>
      <c r="E50" s="14" t="s">
        <v>62</v>
      </c>
      <c r="F50" s="14" t="s">
        <v>337</v>
      </c>
      <c r="G50" s="14" t="s">
        <v>64</v>
      </c>
      <c r="H50" s="14" t="s">
        <v>338</v>
      </c>
      <c r="I50" s="14" t="s">
        <v>339</v>
      </c>
      <c r="J50" s="14" t="s">
        <v>340</v>
      </c>
      <c r="K50" s="14" t="s">
        <v>341</v>
      </c>
      <c r="L50" s="14" t="s">
        <v>245</v>
      </c>
      <c r="M50" s="14" t="s">
        <v>342</v>
      </c>
      <c r="N50" s="14">
        <v>35</v>
      </c>
      <c r="O50" s="14" t="s">
        <v>70</v>
      </c>
      <c r="P50" s="14">
        <v>3</v>
      </c>
      <c r="Q50" s="14">
        <v>1</v>
      </c>
      <c r="R50" s="14">
        <v>10</v>
      </c>
      <c r="S50" s="16"/>
      <c r="T50" s="14" t="s">
        <v>71</v>
      </c>
      <c r="U50" s="14" t="s">
        <v>72</v>
      </c>
      <c r="V50" s="15" t="s">
        <v>74</v>
      </c>
      <c r="W50" s="29">
        <v>0</v>
      </c>
      <c r="X50" s="29">
        <v>0</v>
      </c>
      <c r="Y50" s="30">
        <f>IF('CRUDO MIÉRCOLES'!AS43="Si",$N50,)</f>
        <v>0</v>
      </c>
      <c r="Z50" s="30">
        <f>IF('CRUDO MIÉRCOLES'!AT43="Si",$N50,)</f>
        <v>35</v>
      </c>
      <c r="AA50" s="29">
        <v>0</v>
      </c>
      <c r="AB50" s="30">
        <f>IF('CRUDO MIÉRCOLES'!AV43="Si",$N50,)</f>
        <v>35</v>
      </c>
      <c r="AC50" s="30">
        <f>IF('CRUDO MIÉRCOLES'!AW43="Si",$N50,)</f>
        <v>0</v>
      </c>
      <c r="AD50" s="30">
        <f>IF('CRUDO MIÉRCOLES'!AX43="Si",$N50,)</f>
        <v>0</v>
      </c>
      <c r="AE50" s="29">
        <v>0</v>
      </c>
      <c r="AF50" s="29">
        <v>0</v>
      </c>
      <c r="AG50" s="29">
        <v>0</v>
      </c>
      <c r="AH50" s="29">
        <v>0</v>
      </c>
      <c r="AI50" s="30">
        <f>IF('CRUDO MIÉRCOLES'!BC43="Si",$N50,)</f>
        <v>0</v>
      </c>
      <c r="AJ50" s="29">
        <v>0</v>
      </c>
      <c r="AK50" s="31">
        <f>IF('CRUDO MIÉRCOLES'!BE43="Si",$N50,)</f>
        <v>35</v>
      </c>
      <c r="AL50" s="29">
        <v>0</v>
      </c>
      <c r="AM50" s="30">
        <f>IF('CRUDO MIÉRCOLES'!BG43="Si",$N50,)</f>
        <v>0</v>
      </c>
      <c r="AN50" s="29">
        <v>0</v>
      </c>
      <c r="AO50" s="29">
        <v>0</v>
      </c>
      <c r="AP50" s="14">
        <v>1</v>
      </c>
      <c r="AQ50" s="16"/>
    </row>
    <row r="51" spans="1:43" ht="13.2">
      <c r="A51" s="13">
        <v>45364.425264988429</v>
      </c>
      <c r="B51" s="14" t="s">
        <v>239</v>
      </c>
      <c r="C51" s="14" t="s">
        <v>240</v>
      </c>
      <c r="D51" s="15" t="s">
        <v>241</v>
      </c>
      <c r="E51" s="14" t="s">
        <v>62</v>
      </c>
      <c r="F51" s="14" t="s">
        <v>104</v>
      </c>
      <c r="G51" s="14" t="s">
        <v>105</v>
      </c>
      <c r="H51" s="14" t="s">
        <v>242</v>
      </c>
      <c r="I51" s="14" t="s">
        <v>243</v>
      </c>
      <c r="J51" s="14" t="s">
        <v>244</v>
      </c>
      <c r="K51" s="14" t="s">
        <v>239</v>
      </c>
      <c r="L51" s="14" t="s">
        <v>245</v>
      </c>
      <c r="M51" s="14" t="s">
        <v>246</v>
      </c>
      <c r="N51" s="14">
        <v>35</v>
      </c>
      <c r="O51" s="14" t="s">
        <v>70</v>
      </c>
      <c r="P51" s="14">
        <v>3</v>
      </c>
      <c r="Q51" s="14">
        <v>3</v>
      </c>
      <c r="R51" s="14">
        <v>85</v>
      </c>
      <c r="S51" s="14" t="s">
        <v>247</v>
      </c>
      <c r="T51" s="14" t="s">
        <v>71</v>
      </c>
      <c r="U51" s="14" t="s">
        <v>72</v>
      </c>
      <c r="V51" s="15" t="s">
        <v>74</v>
      </c>
      <c r="W51" s="30">
        <f>IF('CRUDO MIÉRCOLES'!AQ27="Si",$N51,)</f>
        <v>0</v>
      </c>
      <c r="X51" s="30">
        <f>IF('CRUDO MIÉRCOLES'!AR27="Si",$N51,)</f>
        <v>0</v>
      </c>
      <c r="Y51" s="29">
        <v>35</v>
      </c>
      <c r="Z51" s="30">
        <f>IF('CRUDO MIÉRCOLES'!AT27="Si",$N51,)</f>
        <v>0</v>
      </c>
      <c r="AA51" s="29">
        <v>35</v>
      </c>
      <c r="AB51" s="30">
        <f>IF('CRUDO MIÉRCOLES'!AV27="Si",$N51,)</f>
        <v>0</v>
      </c>
      <c r="AC51" s="30">
        <f>IF('CRUDO MIÉRCOLES'!AW27="Si",$N51,)</f>
        <v>0</v>
      </c>
      <c r="AD51" s="30">
        <f>IF('CRUDO MIÉRCOLES'!AX27="Si",$N51,)</f>
        <v>0</v>
      </c>
      <c r="AE51" s="30">
        <f>IF('CRUDO MIÉRCOLES'!AY27="Si",$N51,)</f>
        <v>0</v>
      </c>
      <c r="AF51" s="30">
        <f>IF('CRUDO MIÉRCOLES'!AZ27="Si",$N51,)</f>
        <v>0</v>
      </c>
      <c r="AG51" s="30">
        <f>IF('CRUDO MIÉRCOLES'!BA27="Si",$N51,)</f>
        <v>0</v>
      </c>
      <c r="AH51" s="29">
        <v>0</v>
      </c>
      <c r="AI51" s="30">
        <f>IF('CRUDO MIÉRCOLES'!BC27="Si",$N51,)</f>
        <v>0</v>
      </c>
      <c r="AJ51" s="30">
        <f>IF('CRUDO MIÉRCOLES'!BD27="Si",$N51,)</f>
        <v>0</v>
      </c>
      <c r="AK51" s="30">
        <f>IF('CRUDO MIÉRCOLES'!BE27="Si",$N51,)</f>
        <v>0</v>
      </c>
      <c r="AL51" s="30">
        <f>IF('CRUDO MIÉRCOLES'!BF27="Si",$N51,)</f>
        <v>0</v>
      </c>
      <c r="AM51" s="29">
        <v>0</v>
      </c>
      <c r="AN51" s="30">
        <f>IF('CRUDO MIÉRCOLES'!BH27="Si",$N51,)</f>
        <v>0</v>
      </c>
      <c r="AO51" s="30">
        <f>IF('CRUDO MIÉRCOLES'!BI27="Si",$N51,)</f>
        <v>0</v>
      </c>
      <c r="AP51" s="14">
        <v>1</v>
      </c>
      <c r="AQ51" s="14" t="s">
        <v>248</v>
      </c>
    </row>
    <row r="52" spans="1:43" ht="13.2">
      <c r="A52" s="13">
        <v>45364.443936990741</v>
      </c>
      <c r="B52" s="14" t="s">
        <v>259</v>
      </c>
      <c r="C52" s="14" t="s">
        <v>260</v>
      </c>
      <c r="D52" s="15" t="s">
        <v>241</v>
      </c>
      <c r="E52" s="14" t="s">
        <v>62</v>
      </c>
      <c r="F52" s="14" t="s">
        <v>261</v>
      </c>
      <c r="G52" s="14" t="s">
        <v>105</v>
      </c>
      <c r="H52" s="14" t="s">
        <v>262</v>
      </c>
      <c r="I52" s="14" t="s">
        <v>263</v>
      </c>
      <c r="J52" s="14" t="s">
        <v>264</v>
      </c>
      <c r="K52" s="14" t="s">
        <v>259</v>
      </c>
      <c r="L52" s="14" t="s">
        <v>245</v>
      </c>
      <c r="M52" s="14" t="s">
        <v>265</v>
      </c>
      <c r="N52" s="14">
        <v>25</v>
      </c>
      <c r="O52" s="14" t="s">
        <v>70</v>
      </c>
      <c r="P52" s="14">
        <v>3</v>
      </c>
      <c r="Q52" s="14">
        <v>3</v>
      </c>
      <c r="R52" s="14">
        <v>85</v>
      </c>
      <c r="S52" s="16"/>
      <c r="T52" s="14" t="s">
        <v>71</v>
      </c>
      <c r="U52" s="14" t="s">
        <v>72</v>
      </c>
      <c r="V52" s="15" t="s">
        <v>74</v>
      </c>
      <c r="W52" s="30">
        <f>IF('CRUDO MIÉRCOLES'!AQ30="Si",$N52,)</f>
        <v>0</v>
      </c>
      <c r="X52" s="30">
        <f>IF('CRUDO MIÉRCOLES'!AR30="Si",$N52,)</f>
        <v>0</v>
      </c>
      <c r="Y52" s="29">
        <v>25</v>
      </c>
      <c r="Z52" s="30">
        <f>IF('CRUDO MIÉRCOLES'!AT30="Si",$N52,)</f>
        <v>0</v>
      </c>
      <c r="AA52" s="30">
        <f>IF('CRUDO MIÉRCOLES'!AU30="Si",$N52,)</f>
        <v>25</v>
      </c>
      <c r="AB52" s="30">
        <f>IF('CRUDO MIÉRCOLES'!AV30="Si",$N52,)</f>
        <v>0</v>
      </c>
      <c r="AC52" s="30">
        <f>IF('CRUDO MIÉRCOLES'!AW30="Si",$N52,)</f>
        <v>0</v>
      </c>
      <c r="AD52" s="30">
        <f>IF('CRUDO MIÉRCOLES'!AX30="Si",$N52,)</f>
        <v>0</v>
      </c>
      <c r="AE52" s="30">
        <f>IF('CRUDO MIÉRCOLES'!AY30="Si",$N52,)</f>
        <v>0</v>
      </c>
      <c r="AF52" s="30">
        <f>IF('CRUDO MIÉRCOLES'!AZ30="Si",$N52,)</f>
        <v>0</v>
      </c>
      <c r="AG52" s="30">
        <f>IF('CRUDO MIÉRCOLES'!BA30="Si",$N52,)</f>
        <v>0</v>
      </c>
      <c r="AH52" s="29">
        <v>0</v>
      </c>
      <c r="AI52" s="30">
        <f>IF('CRUDO MIÉRCOLES'!BC30="Si",$N52,)</f>
        <v>0</v>
      </c>
      <c r="AJ52" s="30">
        <f>IF('CRUDO MIÉRCOLES'!BD30="Si",$N52,)</f>
        <v>0</v>
      </c>
      <c r="AK52" s="30">
        <f>IF('CRUDO MIÉRCOLES'!BE30="Si",$N52,)</f>
        <v>0</v>
      </c>
      <c r="AL52" s="30">
        <f>IF('CRUDO MIÉRCOLES'!BF30="Si",$N52,)</f>
        <v>0</v>
      </c>
      <c r="AM52" s="29">
        <v>0</v>
      </c>
      <c r="AN52" s="30">
        <f>IF('CRUDO MIÉRCOLES'!BH30="Si",$N52,)</f>
        <v>0</v>
      </c>
      <c r="AO52" s="30">
        <f>IF('CRUDO MIÉRCOLES'!BI30="Si",$N52,)</f>
        <v>0</v>
      </c>
      <c r="AP52" s="14">
        <v>1</v>
      </c>
      <c r="AQ52" s="16"/>
    </row>
    <row r="53" spans="1:43" ht="13.2">
      <c r="A53" s="13">
        <v>45366.704091215273</v>
      </c>
      <c r="B53" s="14" t="s">
        <v>395</v>
      </c>
      <c r="C53" s="14" t="s">
        <v>396</v>
      </c>
      <c r="D53" s="15" t="s">
        <v>397</v>
      </c>
      <c r="E53" s="14" t="s">
        <v>62</v>
      </c>
      <c r="F53" s="14" t="s">
        <v>398</v>
      </c>
      <c r="G53" s="14" t="s">
        <v>105</v>
      </c>
      <c r="H53" s="14" t="s">
        <v>399</v>
      </c>
      <c r="I53" s="14" t="s">
        <v>400</v>
      </c>
      <c r="J53" s="14" t="s">
        <v>401</v>
      </c>
      <c r="K53" s="14" t="s">
        <v>402</v>
      </c>
      <c r="L53" s="14" t="s">
        <v>138</v>
      </c>
      <c r="M53" s="14" t="s">
        <v>403</v>
      </c>
      <c r="N53" s="14">
        <v>35</v>
      </c>
      <c r="O53" s="14" t="s">
        <v>148</v>
      </c>
      <c r="P53" s="14">
        <v>3</v>
      </c>
      <c r="Q53" s="14">
        <v>3</v>
      </c>
      <c r="R53" s="14">
        <v>50</v>
      </c>
      <c r="S53" s="14" t="s">
        <v>404</v>
      </c>
      <c r="T53" s="14" t="s">
        <v>71</v>
      </c>
      <c r="U53" s="14" t="s">
        <v>72</v>
      </c>
      <c r="V53" s="15" t="s">
        <v>74</v>
      </c>
      <c r="W53" s="29">
        <v>35</v>
      </c>
      <c r="X53" s="30">
        <f>IF('CRUDO MIÉRCOLES'!AR50="Si",$N53,)</f>
        <v>35</v>
      </c>
      <c r="Y53" s="29">
        <v>0</v>
      </c>
      <c r="Z53" s="30">
        <f>IF('CRUDO MIÉRCOLES'!AT50="Si",$N53,)</f>
        <v>0</v>
      </c>
      <c r="AA53" s="29">
        <v>0</v>
      </c>
      <c r="AB53" s="29">
        <v>0</v>
      </c>
      <c r="AC53" s="29">
        <v>0</v>
      </c>
      <c r="AD53" s="30">
        <f>IF('CRUDO MIÉRCOLES'!AX50="Si",$N53,)</f>
        <v>35</v>
      </c>
      <c r="AE53" s="30">
        <f>IF('CRUDO MIÉRCOLES'!AY50="Si",$N53,)</f>
        <v>0</v>
      </c>
      <c r="AF53" s="30">
        <f>IF('CRUDO MIÉRCOLES'!AZ50="Si",$N53,)</f>
        <v>0</v>
      </c>
      <c r="AG53" s="29">
        <v>0</v>
      </c>
      <c r="AH53" s="29">
        <v>0</v>
      </c>
      <c r="AI53" s="29">
        <v>35</v>
      </c>
      <c r="AJ53" s="30">
        <f>IF('CRUDO MIÉRCOLES'!BD50="Si",$N53,)</f>
        <v>0</v>
      </c>
      <c r="AK53" s="30">
        <f>IF('CRUDO MIÉRCOLES'!BE50="Si",$N53,)</f>
        <v>0</v>
      </c>
      <c r="AL53" s="29">
        <v>0</v>
      </c>
      <c r="AM53" s="29">
        <v>0</v>
      </c>
      <c r="AN53" s="30">
        <f>IF('CRUDO MIÉRCOLES'!BH50="Si",$N53,)</f>
        <v>0</v>
      </c>
      <c r="AO53" s="30">
        <f>IF('CRUDO MIÉRCOLES'!BI50="Si",$N53,)</f>
        <v>0</v>
      </c>
      <c r="AP53" s="14">
        <v>1</v>
      </c>
      <c r="AQ53" s="16"/>
    </row>
    <row r="54" spans="1:43" ht="13.2">
      <c r="A54" s="13">
        <v>45369.658399386579</v>
      </c>
      <c r="B54" s="14" t="s">
        <v>484</v>
      </c>
      <c r="C54" s="14" t="s">
        <v>485</v>
      </c>
      <c r="D54" s="15" t="s">
        <v>486</v>
      </c>
      <c r="E54" s="14" t="s">
        <v>286</v>
      </c>
      <c r="F54" s="14" t="s">
        <v>487</v>
      </c>
      <c r="G54" s="14" t="s">
        <v>105</v>
      </c>
      <c r="H54" s="14" t="s">
        <v>488</v>
      </c>
      <c r="I54" s="14" t="s">
        <v>489</v>
      </c>
      <c r="J54" s="16"/>
      <c r="K54" s="14" t="s">
        <v>484</v>
      </c>
      <c r="L54" s="14" t="s">
        <v>245</v>
      </c>
      <c r="M54" s="14" t="s">
        <v>490</v>
      </c>
      <c r="N54" s="14">
        <v>25</v>
      </c>
      <c r="O54" s="14" t="s">
        <v>148</v>
      </c>
      <c r="P54" s="14">
        <v>4</v>
      </c>
      <c r="Q54" s="14">
        <v>4</v>
      </c>
      <c r="R54" s="14">
        <v>15</v>
      </c>
      <c r="S54" s="14" t="s">
        <v>491</v>
      </c>
      <c r="T54" s="14" t="s">
        <v>71</v>
      </c>
      <c r="U54" s="14" t="s">
        <v>72</v>
      </c>
      <c r="V54" s="15" t="s">
        <v>74</v>
      </c>
      <c r="W54" s="29">
        <v>0</v>
      </c>
      <c r="X54" s="29">
        <v>0</v>
      </c>
      <c r="Y54" s="30">
        <f>IF('CRUDO MIÉRCOLES'!AS67="Si",$N54,)</f>
        <v>25</v>
      </c>
      <c r="Z54" s="30">
        <f>IF('CRUDO MIÉRCOLES'!AT67="Si",$N54,)</f>
        <v>0</v>
      </c>
      <c r="AA54" s="29">
        <v>0</v>
      </c>
      <c r="AB54" s="29">
        <v>0</v>
      </c>
      <c r="AC54" s="29">
        <v>0</v>
      </c>
      <c r="AD54" s="30">
        <f>IF('CRUDO MIÉRCOLES'!AX67="Si",$N54,)</f>
        <v>0</v>
      </c>
      <c r="AE54" s="30">
        <f>IF('CRUDO MIÉRCOLES'!AY67="Si",$N54,)</f>
        <v>0</v>
      </c>
      <c r="AF54" s="30">
        <f>IF('CRUDO MIÉRCOLES'!AZ67="Si",$N54,)</f>
        <v>0</v>
      </c>
      <c r="AG54" s="29">
        <v>0</v>
      </c>
      <c r="AH54" s="31">
        <f>IF('CRUDO MIÉRCOLES'!BB67="Si",$N54,)</f>
        <v>25</v>
      </c>
      <c r="AI54" s="29">
        <v>0</v>
      </c>
      <c r="AJ54" s="30">
        <f>IF('CRUDO MIÉRCOLES'!BD67="Si",$N54,)</f>
        <v>0</v>
      </c>
      <c r="AK54" s="30">
        <f>IF('CRUDO MIÉRCOLES'!BE67="Si",$N54,)</f>
        <v>0</v>
      </c>
      <c r="AL54" s="29">
        <v>0</v>
      </c>
      <c r="AM54" s="29">
        <v>0</v>
      </c>
      <c r="AN54" s="30">
        <f>IF('CRUDO MIÉRCOLES'!BH67="Si",$N54,)</f>
        <v>0</v>
      </c>
      <c r="AO54" s="30">
        <f>IF('CRUDO MIÉRCOLES'!BI67="Si",$N54,)</f>
        <v>0</v>
      </c>
      <c r="AP54" s="14">
        <v>1</v>
      </c>
      <c r="AQ54" s="16"/>
    </row>
    <row r="55" spans="1:43" ht="13.2">
      <c r="A55" s="13">
        <v>45369.662996574072</v>
      </c>
      <c r="B55" s="14" t="s">
        <v>484</v>
      </c>
      <c r="C55" s="14" t="s">
        <v>485</v>
      </c>
      <c r="D55" s="15" t="s">
        <v>486</v>
      </c>
      <c r="E55" s="14" t="s">
        <v>286</v>
      </c>
      <c r="F55" s="14" t="s">
        <v>487</v>
      </c>
      <c r="G55" s="14" t="s">
        <v>105</v>
      </c>
      <c r="H55" s="14" t="s">
        <v>488</v>
      </c>
      <c r="I55" s="14" t="s">
        <v>492</v>
      </c>
      <c r="J55" s="16"/>
      <c r="K55" s="14" t="s">
        <v>484</v>
      </c>
      <c r="L55" s="14" t="s">
        <v>245</v>
      </c>
      <c r="M55" s="14" t="s">
        <v>490</v>
      </c>
      <c r="N55" s="14">
        <v>35</v>
      </c>
      <c r="O55" s="14" t="s">
        <v>148</v>
      </c>
      <c r="P55" s="14">
        <v>4</v>
      </c>
      <c r="Q55" s="14">
        <v>4</v>
      </c>
      <c r="R55" s="14">
        <v>25</v>
      </c>
      <c r="S55" s="14" t="s">
        <v>493</v>
      </c>
      <c r="T55" s="14" t="s">
        <v>71</v>
      </c>
      <c r="U55" s="14" t="s">
        <v>72</v>
      </c>
      <c r="V55" s="15" t="s">
        <v>74</v>
      </c>
      <c r="W55" s="29">
        <v>0</v>
      </c>
      <c r="X55" s="29">
        <v>0</v>
      </c>
      <c r="Y55" s="30">
        <f>IF('CRUDO MIÉRCOLES'!AS68="Si",$N55,)</f>
        <v>35</v>
      </c>
      <c r="Z55" s="30">
        <f>IF('CRUDO MIÉRCOLES'!AT68="Si",$N55,)</f>
        <v>0</v>
      </c>
      <c r="AA55" s="29">
        <v>0</v>
      </c>
      <c r="AB55" s="29">
        <v>0</v>
      </c>
      <c r="AC55" s="29">
        <v>0</v>
      </c>
      <c r="AD55" s="30">
        <f>IF('CRUDO MIÉRCOLES'!AX68="Si",$N55,)</f>
        <v>0</v>
      </c>
      <c r="AE55" s="30">
        <f>IF('CRUDO MIÉRCOLES'!AY68="Si",$N55,)</f>
        <v>0</v>
      </c>
      <c r="AF55" s="30">
        <f>IF('CRUDO MIÉRCOLES'!AZ68="Si",$N55,)</f>
        <v>0</v>
      </c>
      <c r="AG55" s="29">
        <v>0</v>
      </c>
      <c r="AH55" s="31">
        <f>IF('CRUDO MIÉRCOLES'!BB68="Si",$N55,)</f>
        <v>35</v>
      </c>
      <c r="AI55" s="29">
        <v>0</v>
      </c>
      <c r="AJ55" s="30">
        <f>IF('CRUDO MIÉRCOLES'!BD68="Si",$N55,)</f>
        <v>0</v>
      </c>
      <c r="AK55" s="30">
        <f>IF('CRUDO MIÉRCOLES'!BE68="Si",$N55,)</f>
        <v>0</v>
      </c>
      <c r="AL55" s="29">
        <v>0</v>
      </c>
      <c r="AM55" s="29">
        <v>0</v>
      </c>
      <c r="AN55" s="30">
        <f>IF('CRUDO MIÉRCOLES'!BH68="Si",$N55,)</f>
        <v>0</v>
      </c>
      <c r="AO55" s="30">
        <f>IF('CRUDO MIÉRCOLES'!BI68="Si",$N55,)</f>
        <v>0</v>
      </c>
      <c r="AP55" s="14">
        <v>1</v>
      </c>
      <c r="AQ55" s="14" t="s">
        <v>494</v>
      </c>
    </row>
    <row r="56" spans="1:43" ht="13.2">
      <c r="A56" s="21">
        <v>45363.503203287037</v>
      </c>
      <c r="B56" s="22" t="s">
        <v>101</v>
      </c>
      <c r="C56" s="22" t="s">
        <v>102</v>
      </c>
      <c r="D56" s="24" t="s">
        <v>103</v>
      </c>
      <c r="E56" s="22" t="s">
        <v>62</v>
      </c>
      <c r="F56" s="22" t="s">
        <v>104</v>
      </c>
      <c r="G56" s="22" t="s">
        <v>105</v>
      </c>
      <c r="H56" s="22" t="s">
        <v>106</v>
      </c>
      <c r="I56" s="22" t="s">
        <v>107</v>
      </c>
      <c r="J56" s="25"/>
      <c r="K56" s="22" t="s">
        <v>101</v>
      </c>
      <c r="L56" s="22" t="s">
        <v>68</v>
      </c>
      <c r="M56" s="22" t="s">
        <v>108</v>
      </c>
      <c r="N56" s="22">
        <v>0</v>
      </c>
      <c r="O56" s="22" t="s">
        <v>70</v>
      </c>
      <c r="P56" s="22">
        <v>5</v>
      </c>
      <c r="Q56" s="22">
        <v>5</v>
      </c>
      <c r="R56" s="22">
        <v>50</v>
      </c>
      <c r="S56" s="25"/>
      <c r="T56" s="22" t="s">
        <v>71</v>
      </c>
      <c r="U56" s="22" t="s">
        <v>71</v>
      </c>
      <c r="V56" s="24" t="s">
        <v>74</v>
      </c>
      <c r="W56" s="26">
        <f>IF('CRUDO MIÉRCOLES'!AQ7="Si",$N56,)</f>
        <v>0</v>
      </c>
      <c r="X56" s="26">
        <f>IF('CRUDO MIÉRCOLES'!AR7="Si",$N56,)</f>
        <v>0</v>
      </c>
      <c r="Y56" s="27">
        <v>0</v>
      </c>
      <c r="Z56" s="26">
        <f>IF('CRUDO MIÉRCOLES'!AT7="Si",$N56,)</f>
        <v>0</v>
      </c>
      <c r="AA56" s="26">
        <f>IF('CRUDO MIÉRCOLES'!AU7="Si",$N56,)</f>
        <v>0</v>
      </c>
      <c r="AB56" s="26">
        <f>IF('CRUDO MIÉRCOLES'!AV7="Si",$N56,)</f>
        <v>0</v>
      </c>
      <c r="AC56" s="26">
        <f>IF('CRUDO MIÉRCOLES'!AW7="Si",$N56,)</f>
        <v>0</v>
      </c>
      <c r="AD56" s="26">
        <f>IF('CRUDO MIÉRCOLES'!AX7="Si",$N56,)</f>
        <v>0</v>
      </c>
      <c r="AE56" s="27">
        <v>0</v>
      </c>
      <c r="AF56" s="26">
        <f>IF('CRUDO MIÉRCOLES'!AZ7="Si",$N56,)</f>
        <v>0</v>
      </c>
      <c r="AG56" s="27">
        <v>0</v>
      </c>
      <c r="AH56" s="27">
        <v>0</v>
      </c>
      <c r="AI56" s="27">
        <v>0</v>
      </c>
      <c r="AJ56" s="56">
        <v>0</v>
      </c>
      <c r="AK56" s="26">
        <f>IF('CRUDO MIÉRCOLES'!BE7="Si",$N56,)</f>
        <v>0</v>
      </c>
      <c r="AL56" s="26">
        <f>IF('CRUDO MIÉRCOLES'!BF7="Si",$N56,)</f>
        <v>0</v>
      </c>
      <c r="AM56" s="26">
        <f>IF('CRUDO MIÉRCOLES'!BG7="Si",$N56,)</f>
        <v>0</v>
      </c>
      <c r="AN56" s="58">
        <v>0</v>
      </c>
      <c r="AO56" s="26">
        <f>IF('CRUDO MIÉRCOLES'!BI7="Si",$N56,)</f>
        <v>0</v>
      </c>
      <c r="AP56" s="25"/>
      <c r="AQ56" s="25"/>
    </row>
    <row r="57" spans="1:43" ht="13.2">
      <c r="A57" s="21">
        <v>45363.506109606482</v>
      </c>
      <c r="B57" s="22" t="s">
        <v>101</v>
      </c>
      <c r="C57" s="22" t="s">
        <v>110</v>
      </c>
      <c r="D57" s="24" t="s">
        <v>103</v>
      </c>
      <c r="E57" s="22" t="s">
        <v>62</v>
      </c>
      <c r="F57" s="22" t="s">
        <v>111</v>
      </c>
      <c r="G57" s="22" t="s">
        <v>105</v>
      </c>
      <c r="H57" s="22" t="s">
        <v>106</v>
      </c>
      <c r="I57" s="22" t="s">
        <v>112</v>
      </c>
      <c r="J57" s="25"/>
      <c r="K57" s="22" t="s">
        <v>101</v>
      </c>
      <c r="L57" s="22" t="s">
        <v>68</v>
      </c>
      <c r="M57" s="22" t="s">
        <v>108</v>
      </c>
      <c r="N57" s="22">
        <v>0</v>
      </c>
      <c r="O57" s="22" t="s">
        <v>70</v>
      </c>
      <c r="P57" s="22">
        <v>5</v>
      </c>
      <c r="Q57" s="22">
        <v>5</v>
      </c>
      <c r="R57" s="22">
        <v>50</v>
      </c>
      <c r="S57" s="25"/>
      <c r="T57" s="22" t="s">
        <v>71</v>
      </c>
      <c r="U57" s="22" t="s">
        <v>71</v>
      </c>
      <c r="V57" s="24" t="s">
        <v>74</v>
      </c>
      <c r="W57" s="26">
        <f>IF('CRUDO MIÉRCOLES'!AQ8="Si",$N57,)</f>
        <v>0</v>
      </c>
      <c r="X57" s="26">
        <f>IF('CRUDO MIÉRCOLES'!AR8="Si",$N57,)</f>
        <v>0</v>
      </c>
      <c r="Y57" s="27">
        <v>0</v>
      </c>
      <c r="Z57" s="26">
        <f>IF('CRUDO MIÉRCOLES'!AT8="Si",$N57,)</f>
        <v>0</v>
      </c>
      <c r="AA57" s="26">
        <f>IF('CRUDO MIÉRCOLES'!AU8="Si",$N57,)</f>
        <v>0</v>
      </c>
      <c r="AB57" s="26">
        <f>IF('CRUDO MIÉRCOLES'!AV8="Si",$N57,)</f>
        <v>0</v>
      </c>
      <c r="AC57" s="26">
        <f>IF('CRUDO MIÉRCOLES'!AW8="Si",$N57,)</f>
        <v>0</v>
      </c>
      <c r="AD57" s="26">
        <f>IF('CRUDO MIÉRCOLES'!AX8="Si",$N57,)</f>
        <v>0</v>
      </c>
      <c r="AE57" s="27">
        <v>0</v>
      </c>
      <c r="AF57" s="27">
        <v>0</v>
      </c>
      <c r="AG57" s="26">
        <f>IF('CRUDO MIÉRCOLES'!BA8="Si",$N57,)</f>
        <v>0</v>
      </c>
      <c r="AH57" s="27">
        <v>0</v>
      </c>
      <c r="AI57" s="27">
        <v>0</v>
      </c>
      <c r="AJ57" s="56">
        <v>0</v>
      </c>
      <c r="AK57" s="26">
        <f>IF('CRUDO MIÉRCOLES'!BE8="Si",$N57,)</f>
        <v>0</v>
      </c>
      <c r="AL57" s="26">
        <f>IF('CRUDO MIÉRCOLES'!BF8="Si",$N57,)</f>
        <v>0</v>
      </c>
      <c r="AM57" s="26">
        <f>IF('CRUDO MIÉRCOLES'!BG8="Si",$N57,)</f>
        <v>0</v>
      </c>
      <c r="AN57" s="58">
        <v>0</v>
      </c>
      <c r="AO57" s="26">
        <f>IF('CRUDO MIÉRCOLES'!BI8="Si",$N57,)</f>
        <v>0</v>
      </c>
      <c r="AP57" s="25"/>
      <c r="AQ57" s="25"/>
    </row>
    <row r="58" spans="1:43" ht="13.2">
      <c r="A58" s="21">
        <v>45364.351516631941</v>
      </c>
      <c r="B58" s="22" t="s">
        <v>225</v>
      </c>
      <c r="C58" s="22" t="s">
        <v>226</v>
      </c>
      <c r="D58" s="24" t="s">
        <v>227</v>
      </c>
      <c r="E58" s="22" t="s">
        <v>62</v>
      </c>
      <c r="F58" s="22" t="s">
        <v>228</v>
      </c>
      <c r="G58" s="22" t="s">
        <v>64</v>
      </c>
      <c r="H58" s="22" t="s">
        <v>229</v>
      </c>
      <c r="I58" s="22" t="s">
        <v>230</v>
      </c>
      <c r="J58" s="25"/>
      <c r="K58" s="22" t="s">
        <v>225</v>
      </c>
      <c r="L58" s="22" t="s">
        <v>138</v>
      </c>
      <c r="M58" s="22" t="s">
        <v>231</v>
      </c>
      <c r="N58" s="22">
        <v>0</v>
      </c>
      <c r="O58" s="22" t="s">
        <v>70</v>
      </c>
      <c r="P58" s="22">
        <v>3</v>
      </c>
      <c r="Q58" s="22">
        <v>3</v>
      </c>
      <c r="R58" s="22">
        <v>60</v>
      </c>
      <c r="S58" s="25"/>
      <c r="T58" s="22" t="s">
        <v>71</v>
      </c>
      <c r="U58" s="22" t="s">
        <v>72</v>
      </c>
      <c r="V58" s="24" t="s">
        <v>74</v>
      </c>
      <c r="W58" s="27">
        <v>0</v>
      </c>
      <c r="X58" s="27">
        <v>0</v>
      </c>
      <c r="Y58" s="26">
        <f>IF('CRUDO MIÉRCOLES'!AS24="Si",$N58,)</f>
        <v>0</v>
      </c>
      <c r="Z58" s="26">
        <f>IF('CRUDO MIÉRCOLES'!AT24="Si",$N58,)</f>
        <v>0</v>
      </c>
      <c r="AA58" s="26">
        <f>IF('CRUDO MIÉRCOLES'!AU24="Si",$N58,)</f>
        <v>0</v>
      </c>
      <c r="AB58" s="27">
        <v>0</v>
      </c>
      <c r="AC58" s="26">
        <f>IF('CRUDO MIÉRCOLES'!AW24="Si",$N58,)</f>
        <v>0</v>
      </c>
      <c r="AD58" s="26">
        <f>IF('CRUDO MIÉRCOLES'!AX24="Si",$N58,)</f>
        <v>0</v>
      </c>
      <c r="AE58" s="26">
        <f>IF('CRUDO MIÉRCOLES'!AY24="Si",$N58,)</f>
        <v>0</v>
      </c>
      <c r="AF58" s="26">
        <f>IF('CRUDO MIÉRCOLES'!AZ24="Si",$N58,)</f>
        <v>0</v>
      </c>
      <c r="AG58" s="27">
        <v>0</v>
      </c>
      <c r="AH58" s="27">
        <v>0</v>
      </c>
      <c r="AI58" s="26">
        <f>IF('CRUDO MIÉRCOLES'!BC24="Si",$N58,)</f>
        <v>0</v>
      </c>
      <c r="AJ58" s="26">
        <f>IF('CRUDO MIÉRCOLES'!BD24="Si",$N58,)</f>
        <v>0</v>
      </c>
      <c r="AK58" s="26">
        <f>IF('CRUDO MIÉRCOLES'!BE24="Si",$N58,)</f>
        <v>0</v>
      </c>
      <c r="AL58" s="27">
        <v>0</v>
      </c>
      <c r="AM58" s="26">
        <f>IF('CRUDO MIÉRCOLES'!BG24="Si",$N58,)</f>
        <v>0</v>
      </c>
      <c r="AN58" s="26">
        <f>IF('CRUDO MIÉRCOLES'!BH24="Si",$N58,)</f>
        <v>0</v>
      </c>
      <c r="AO58" s="26">
        <f>IF('CRUDO MIÉRCOLES'!BI24="Si",$N58,)</f>
        <v>0</v>
      </c>
      <c r="AP58" s="25"/>
      <c r="AQ58" s="25"/>
    </row>
    <row r="59" spans="1:43" ht="13.2">
      <c r="A59" s="13">
        <v>45364.428618182872</v>
      </c>
      <c r="B59" s="14" t="s">
        <v>225</v>
      </c>
      <c r="C59" s="14" t="s">
        <v>226</v>
      </c>
      <c r="D59" s="15" t="s">
        <v>227</v>
      </c>
      <c r="E59" s="14" t="s">
        <v>62</v>
      </c>
      <c r="F59" s="14" t="s">
        <v>249</v>
      </c>
      <c r="G59" s="14" t="s">
        <v>64</v>
      </c>
      <c r="H59" s="14" t="s">
        <v>250</v>
      </c>
      <c r="I59" s="14" t="s">
        <v>251</v>
      </c>
      <c r="J59" s="16"/>
      <c r="K59" s="14" t="s">
        <v>225</v>
      </c>
      <c r="L59" s="14" t="s">
        <v>138</v>
      </c>
      <c r="M59" s="14" t="s">
        <v>231</v>
      </c>
      <c r="N59" s="14">
        <v>30</v>
      </c>
      <c r="O59" s="14" t="s">
        <v>70</v>
      </c>
      <c r="P59" s="14">
        <v>3</v>
      </c>
      <c r="Q59" s="14">
        <v>3</v>
      </c>
      <c r="R59" s="14">
        <v>60</v>
      </c>
      <c r="S59" s="16"/>
      <c r="T59" s="14" t="s">
        <v>71</v>
      </c>
      <c r="U59" s="14" t="s">
        <v>72</v>
      </c>
      <c r="V59" s="15" t="s">
        <v>74</v>
      </c>
      <c r="W59" s="29">
        <v>0</v>
      </c>
      <c r="X59" s="29">
        <v>0</v>
      </c>
      <c r="Y59" s="29">
        <v>30</v>
      </c>
      <c r="Z59" s="30">
        <f>IF('CRUDO MIÉRCOLES'!AT28="Si",$N59,)</f>
        <v>0</v>
      </c>
      <c r="AA59" s="30">
        <f>IF('CRUDO MIÉRCOLES'!AU28="Si",$N59,)</f>
        <v>30</v>
      </c>
      <c r="AB59" s="29">
        <v>0</v>
      </c>
      <c r="AC59" s="30">
        <f>IF('CRUDO MIÉRCOLES'!AW28="Si",$N59,)</f>
        <v>0</v>
      </c>
      <c r="AD59" s="30">
        <f>IF('CRUDO MIÉRCOLES'!AX28="Si",$N59,)</f>
        <v>0</v>
      </c>
      <c r="AE59" s="30">
        <f>IF('CRUDO MIÉRCOLES'!AY28="Si",$N59,)</f>
        <v>0</v>
      </c>
      <c r="AF59" s="30">
        <f>IF('CRUDO MIÉRCOLES'!AZ28="Si",$N59,)</f>
        <v>0</v>
      </c>
      <c r="AG59" s="29">
        <v>0</v>
      </c>
      <c r="AH59" s="29">
        <v>0</v>
      </c>
      <c r="AI59" s="30">
        <f>IF('CRUDO MIÉRCOLES'!BC28="Si",$N59,)</f>
        <v>0</v>
      </c>
      <c r="AJ59" s="30">
        <f>IF('CRUDO MIÉRCOLES'!BD28="Si",$N59,)</f>
        <v>0</v>
      </c>
      <c r="AK59" s="30">
        <f>IF('CRUDO MIÉRCOLES'!BE28="Si",$N59,)</f>
        <v>0</v>
      </c>
      <c r="AL59" s="29">
        <v>0</v>
      </c>
      <c r="AM59" s="30">
        <f>IF('CRUDO MIÉRCOLES'!BG28="Si",$N59,)</f>
        <v>0</v>
      </c>
      <c r="AN59" s="30">
        <f>IF('CRUDO MIÉRCOLES'!BH28="Si",$N59,)</f>
        <v>0</v>
      </c>
      <c r="AO59" s="30">
        <f>IF('CRUDO MIÉRCOLES'!BI28="Si",$N59,)</f>
        <v>0</v>
      </c>
      <c r="AP59" s="14">
        <v>1</v>
      </c>
      <c r="AQ59" s="16"/>
    </row>
    <row r="60" spans="1:43" ht="13.2">
      <c r="A60" s="13">
        <v>45366.049777430555</v>
      </c>
      <c r="B60" s="14" t="s">
        <v>352</v>
      </c>
      <c r="C60" s="14" t="s">
        <v>353</v>
      </c>
      <c r="D60" s="15" t="s">
        <v>354</v>
      </c>
      <c r="E60" s="14" t="s">
        <v>84</v>
      </c>
      <c r="F60" s="14" t="s">
        <v>355</v>
      </c>
      <c r="G60" s="14" t="s">
        <v>105</v>
      </c>
      <c r="H60" s="14" t="s">
        <v>356</v>
      </c>
      <c r="I60" s="14" t="s">
        <v>357</v>
      </c>
      <c r="J60" s="14" t="s">
        <v>358</v>
      </c>
      <c r="K60" s="14" t="s">
        <v>352</v>
      </c>
      <c r="L60" s="14" t="s">
        <v>68</v>
      </c>
      <c r="M60" s="14" t="s">
        <v>359</v>
      </c>
      <c r="N60" s="14">
        <v>35</v>
      </c>
      <c r="O60" s="14" t="s">
        <v>70</v>
      </c>
      <c r="P60" s="14">
        <v>5</v>
      </c>
      <c r="Q60" s="14">
        <v>3</v>
      </c>
      <c r="R60" s="14">
        <v>60</v>
      </c>
      <c r="S60" s="16"/>
      <c r="T60" s="14" t="s">
        <v>71</v>
      </c>
      <c r="U60" s="14" t="s">
        <v>72</v>
      </c>
      <c r="V60" s="15" t="s">
        <v>74</v>
      </c>
      <c r="W60" s="30">
        <f>IF('CRUDO MIÉRCOLES'!AQ45="Si",$N60,)</f>
        <v>0</v>
      </c>
      <c r="X60" s="30">
        <f>IF('CRUDO MIÉRCOLES'!AR45="Si",$N60,)</f>
        <v>0</v>
      </c>
      <c r="Y60" s="30">
        <f>IF('CRUDO MIÉRCOLES'!AS45="Si",$N60,)</f>
        <v>35</v>
      </c>
      <c r="Z60" s="30">
        <f>IF('CRUDO MIÉRCOLES'!AT45="Si",$N60,)</f>
        <v>0</v>
      </c>
      <c r="AA60" s="30">
        <f>IF('CRUDO MIÉRCOLES'!AU45="Si",$N60,)</f>
        <v>35</v>
      </c>
      <c r="AB60" s="29">
        <v>0</v>
      </c>
      <c r="AC60" s="30">
        <f>IF('CRUDO MIÉRCOLES'!AW45="Si",$N60,)</f>
        <v>0</v>
      </c>
      <c r="AD60" s="30">
        <f>IF('CRUDO MIÉRCOLES'!AX45="Si",$N60,)</f>
        <v>0</v>
      </c>
      <c r="AE60" s="30">
        <f>IF('CRUDO MIÉRCOLES'!AY45="Si",$N60,)</f>
        <v>0</v>
      </c>
      <c r="AF60" s="30">
        <f>IF('CRUDO MIÉRCOLES'!AZ45="Si",$N60,)</f>
        <v>0</v>
      </c>
      <c r="AG60" s="29">
        <v>0</v>
      </c>
      <c r="AH60" s="29">
        <v>0</v>
      </c>
      <c r="AI60" s="30">
        <f>IF('CRUDO MIÉRCOLES'!BC45="Si",$N60,)</f>
        <v>0</v>
      </c>
      <c r="AJ60" s="30">
        <f>IF('CRUDO MIÉRCOLES'!BD45="Si",$N60,)</f>
        <v>0</v>
      </c>
      <c r="AK60" s="30">
        <f>IF('CRUDO MIÉRCOLES'!BE45="Si",$N60,)</f>
        <v>0</v>
      </c>
      <c r="AL60" s="30">
        <f>IF('CRUDO MIÉRCOLES'!BF45="Si",$N60,)</f>
        <v>0</v>
      </c>
      <c r="AM60" s="30">
        <f>IF('CRUDO MIÉRCOLES'!BG45="Si",$N60,)</f>
        <v>0</v>
      </c>
      <c r="AN60" s="31">
        <f>IF('CRUDO MIÉRCOLES'!BH45="Si",$N60,)</f>
        <v>35</v>
      </c>
      <c r="AO60" s="30">
        <f>IF('CRUDO MIÉRCOLES'!BI45="Si",$N60,)</f>
        <v>0</v>
      </c>
      <c r="AP60" s="14">
        <v>1</v>
      </c>
      <c r="AQ60" s="16"/>
    </row>
    <row r="61" spans="1:43" ht="13.2">
      <c r="A61" s="13">
        <v>45363.691134629626</v>
      </c>
      <c r="B61" s="14" t="s">
        <v>174</v>
      </c>
      <c r="C61" s="14" t="s">
        <v>1287</v>
      </c>
      <c r="D61" s="15" t="s">
        <v>176</v>
      </c>
      <c r="E61" s="14" t="s">
        <v>84</v>
      </c>
      <c r="F61" s="14" t="s">
        <v>177</v>
      </c>
      <c r="G61" s="14" t="s">
        <v>64</v>
      </c>
      <c r="H61" s="14" t="s">
        <v>178</v>
      </c>
      <c r="I61" s="14" t="s">
        <v>179</v>
      </c>
      <c r="J61" s="14" t="s">
        <v>180</v>
      </c>
      <c r="K61" s="14" t="s">
        <v>174</v>
      </c>
      <c r="L61" s="14" t="s">
        <v>68</v>
      </c>
      <c r="M61" s="14" t="s">
        <v>181</v>
      </c>
      <c r="N61" s="14">
        <v>23</v>
      </c>
      <c r="O61" s="14" t="s">
        <v>70</v>
      </c>
      <c r="P61" s="14">
        <v>4</v>
      </c>
      <c r="Q61" s="14">
        <v>3</v>
      </c>
      <c r="R61" s="14">
        <v>0</v>
      </c>
      <c r="S61" s="16"/>
      <c r="T61" s="14" t="s">
        <v>71</v>
      </c>
      <c r="U61" s="14" t="s">
        <v>72</v>
      </c>
      <c r="V61" s="15" t="s">
        <v>74</v>
      </c>
      <c r="W61" s="29">
        <v>23</v>
      </c>
      <c r="X61" s="29">
        <v>0</v>
      </c>
      <c r="Y61" s="29">
        <v>0</v>
      </c>
      <c r="Z61" s="30">
        <f>IF('CRUDO MIÉRCOLES'!AT17="Si",$N61,)</f>
        <v>0</v>
      </c>
      <c r="AA61" s="29">
        <v>0</v>
      </c>
      <c r="AB61" s="30">
        <f>IF('CRUDO MIÉRCOLES'!AV17="Si",$N61,)</f>
        <v>23</v>
      </c>
      <c r="AC61" s="29">
        <v>0</v>
      </c>
      <c r="AD61" s="30">
        <f>IF('CRUDO MIÉRCOLES'!AX17="Si",$N61,)</f>
        <v>0</v>
      </c>
      <c r="AE61" s="30">
        <f>IF('CRUDO MIÉRCOLES'!AY17="Si",$N61,)</f>
        <v>0</v>
      </c>
      <c r="AF61" s="30">
        <f>IF('CRUDO MIÉRCOLES'!AZ17="Si",$N61,)</f>
        <v>0</v>
      </c>
      <c r="AG61" s="29">
        <v>0</v>
      </c>
      <c r="AH61" s="29">
        <v>0</v>
      </c>
      <c r="AI61" s="29">
        <v>0</v>
      </c>
      <c r="AJ61" s="30">
        <f>IF('CRUDO MIÉRCOLES'!BD17="Si",$N61,)</f>
        <v>0</v>
      </c>
      <c r="AK61" s="30">
        <f>IF('CRUDO MIÉRCOLES'!BE17="Si",$N61,)</f>
        <v>0</v>
      </c>
      <c r="AL61" s="29">
        <v>0</v>
      </c>
      <c r="AM61" s="29">
        <v>0</v>
      </c>
      <c r="AN61" s="30">
        <f>IF('CRUDO MIÉRCOLES'!BH17="Si",$N61,)</f>
        <v>0</v>
      </c>
      <c r="AO61" s="30">
        <f>IF('CRUDO MIÉRCOLES'!BI17="Si",$N61,)</f>
        <v>0</v>
      </c>
      <c r="AP61" s="14">
        <v>1</v>
      </c>
      <c r="AQ61" s="14" t="s">
        <v>182</v>
      </c>
    </row>
    <row r="62" spans="1:43" ht="13.2">
      <c r="A62" s="13">
        <v>45363.535620173614</v>
      </c>
      <c r="B62" s="14" t="s">
        <v>130</v>
      </c>
      <c r="C62" s="14" t="s">
        <v>131</v>
      </c>
      <c r="D62" s="15" t="s">
        <v>132</v>
      </c>
      <c r="E62" s="14" t="s">
        <v>133</v>
      </c>
      <c r="F62" s="14" t="s">
        <v>134</v>
      </c>
      <c r="G62" s="14" t="s">
        <v>64</v>
      </c>
      <c r="H62" s="14" t="s">
        <v>135</v>
      </c>
      <c r="I62" s="14" t="s">
        <v>136</v>
      </c>
      <c r="J62" s="14" t="s">
        <v>137</v>
      </c>
      <c r="K62" s="14" t="s">
        <v>130</v>
      </c>
      <c r="L62" s="14" t="s">
        <v>138</v>
      </c>
      <c r="M62" s="14" t="s">
        <v>139</v>
      </c>
      <c r="N62" s="14">
        <v>25</v>
      </c>
      <c r="O62" s="14" t="s">
        <v>70</v>
      </c>
      <c r="P62" s="14">
        <v>2</v>
      </c>
      <c r="Q62" s="14">
        <v>2</v>
      </c>
      <c r="R62" s="14">
        <v>80</v>
      </c>
      <c r="S62" s="16"/>
      <c r="T62" s="14" t="s">
        <v>71</v>
      </c>
      <c r="U62" s="14" t="s">
        <v>71</v>
      </c>
      <c r="V62" s="15" t="s">
        <v>74</v>
      </c>
      <c r="W62" s="29">
        <v>0</v>
      </c>
      <c r="X62" s="30">
        <f>IF('CRUDO MIÉRCOLES'!AR11="Si",$N62,)</f>
        <v>0</v>
      </c>
      <c r="Y62" s="29">
        <v>25</v>
      </c>
      <c r="Z62" s="30">
        <f>IF('CRUDO MIÉRCOLES'!AT11="Si",$N62,)</f>
        <v>0</v>
      </c>
      <c r="AA62" s="30">
        <f>IF('CRUDO MIÉRCOLES'!AU11="Si",$N62,)</f>
        <v>0</v>
      </c>
      <c r="AB62" s="30">
        <f>IF('CRUDO MIÉRCOLES'!AV11="Si",$N62,)</f>
        <v>25</v>
      </c>
      <c r="AC62" s="30">
        <f>IF('CRUDO MIÉRCOLES'!AW11="Si",$N62,)</f>
        <v>0</v>
      </c>
      <c r="AD62" s="30">
        <f>IF('CRUDO MIÉRCOLES'!AX11="Si",$N62,)</f>
        <v>0</v>
      </c>
      <c r="AE62" s="30">
        <f>IF('CRUDO MIÉRCOLES'!AY11="Si",$N62,)</f>
        <v>25</v>
      </c>
      <c r="AF62" s="30">
        <f>IF('CRUDO MIÉRCOLES'!AZ11="Si",$N62,)</f>
        <v>0</v>
      </c>
      <c r="AG62" s="30">
        <f>IF('CRUDO MIÉRCOLES'!BA11="Si",$N62,)</f>
        <v>0</v>
      </c>
      <c r="AH62" s="30">
        <f>IF('CRUDO MIÉRCOLES'!BB11="Si",$N62,)</f>
        <v>0</v>
      </c>
      <c r="AI62" s="29">
        <v>0</v>
      </c>
      <c r="AJ62" s="30">
        <f>IF('CRUDO MIÉRCOLES'!BD11="Si",$N62,)</f>
        <v>0</v>
      </c>
      <c r="AK62" s="30">
        <f>IF('CRUDO MIÉRCOLES'!BE11="Si",$N62,)</f>
        <v>0</v>
      </c>
      <c r="AL62" s="30">
        <f>IF('CRUDO MIÉRCOLES'!BF11="Si",$N62,)</f>
        <v>0</v>
      </c>
      <c r="AM62" s="30">
        <f>IF('CRUDO MIÉRCOLES'!BG11="Si",$N62,)</f>
        <v>0</v>
      </c>
      <c r="AN62" s="30">
        <f>IF('CRUDO MIÉRCOLES'!BH11="Si",$N62,)</f>
        <v>0</v>
      </c>
      <c r="AO62" s="31">
        <f>IF('CRUDO MIÉRCOLES'!BI11="Si",$N62,)</f>
        <v>25</v>
      </c>
      <c r="AP62" s="14">
        <v>1</v>
      </c>
      <c r="AQ62" s="16"/>
    </row>
    <row r="63" spans="1:43" ht="13.2">
      <c r="A63" s="13">
        <v>45363.539553865739</v>
      </c>
      <c r="B63" s="14" t="s">
        <v>130</v>
      </c>
      <c r="C63" s="14" t="s">
        <v>131</v>
      </c>
      <c r="D63" s="15" t="s">
        <v>132</v>
      </c>
      <c r="E63" s="14" t="s">
        <v>133</v>
      </c>
      <c r="F63" s="14" t="s">
        <v>134</v>
      </c>
      <c r="G63" s="14" t="s">
        <v>64</v>
      </c>
      <c r="H63" s="14" t="s">
        <v>135</v>
      </c>
      <c r="I63" s="14" t="s">
        <v>136</v>
      </c>
      <c r="J63" s="14" t="s">
        <v>140</v>
      </c>
      <c r="K63" s="14" t="s">
        <v>130</v>
      </c>
      <c r="L63" s="14" t="s">
        <v>138</v>
      </c>
      <c r="M63" s="14" t="s">
        <v>139</v>
      </c>
      <c r="N63" s="14">
        <v>25</v>
      </c>
      <c r="O63" s="14" t="s">
        <v>70</v>
      </c>
      <c r="P63" s="14">
        <v>2</v>
      </c>
      <c r="Q63" s="14">
        <v>2</v>
      </c>
      <c r="R63" s="14">
        <v>80</v>
      </c>
      <c r="S63" s="16"/>
      <c r="T63" s="14" t="s">
        <v>71</v>
      </c>
      <c r="U63" s="14" t="s">
        <v>71</v>
      </c>
      <c r="V63" s="15" t="s">
        <v>74</v>
      </c>
      <c r="W63" s="29">
        <v>0</v>
      </c>
      <c r="X63" s="30">
        <f>IF('CRUDO MIÉRCOLES'!AR12="Si",$N63,)</f>
        <v>0</v>
      </c>
      <c r="Y63" s="29">
        <v>25</v>
      </c>
      <c r="Z63" s="29">
        <v>25</v>
      </c>
      <c r="AA63" s="30">
        <f>IF('CRUDO MIÉRCOLES'!AU12="Si",$N63,)</f>
        <v>0</v>
      </c>
      <c r="AB63" s="30">
        <f>IF('CRUDO MIÉRCOLES'!AV12="Si",$N63,)</f>
        <v>25</v>
      </c>
      <c r="AC63" s="30">
        <f>IF('CRUDO MIÉRCOLES'!AW12="Si",$N63,)</f>
        <v>0</v>
      </c>
      <c r="AD63" s="30">
        <f>IF('CRUDO MIÉRCOLES'!AX12="Si",$N63,)</f>
        <v>0</v>
      </c>
      <c r="AE63" s="29">
        <v>0</v>
      </c>
      <c r="AF63" s="29">
        <v>25</v>
      </c>
      <c r="AG63" s="30">
        <f>IF('CRUDO MIÉRCOLES'!BA12="Si",$N63,)</f>
        <v>0</v>
      </c>
      <c r="AH63" s="30">
        <f>IF('CRUDO MIÉRCOLES'!BB12="Si",$N63,)</f>
        <v>0</v>
      </c>
      <c r="AI63" s="29">
        <v>0</v>
      </c>
      <c r="AJ63" s="30">
        <f>IF('CRUDO MIÉRCOLES'!BD12="Si",$N63,)</f>
        <v>0</v>
      </c>
      <c r="AK63" s="30">
        <f>IF('CRUDO MIÉRCOLES'!BE12="Si",$N63,)</f>
        <v>0</v>
      </c>
      <c r="AL63" s="30">
        <f>IF('CRUDO MIÉRCOLES'!BF12="Si",$N63,)</f>
        <v>0</v>
      </c>
      <c r="AM63" s="30">
        <f>IF('CRUDO MIÉRCOLES'!BG12="Si",$N63,)</f>
        <v>0</v>
      </c>
      <c r="AN63" s="30">
        <f>IF('CRUDO MIÉRCOLES'!BH12="Si",$N63,)</f>
        <v>0</v>
      </c>
      <c r="AO63" s="29">
        <v>0</v>
      </c>
      <c r="AP63" s="14">
        <v>1</v>
      </c>
      <c r="AQ63" s="16"/>
    </row>
    <row r="64" spans="1:43" ht="13.2">
      <c r="A64" s="21">
        <v>45368.812671458334</v>
      </c>
      <c r="B64" s="22" t="s">
        <v>447</v>
      </c>
      <c r="C64" s="22" t="s">
        <v>448</v>
      </c>
      <c r="D64" s="24" t="s">
        <v>449</v>
      </c>
      <c r="E64" s="22" t="s">
        <v>133</v>
      </c>
      <c r="F64" s="22" t="s">
        <v>450</v>
      </c>
      <c r="G64" s="22" t="s">
        <v>105</v>
      </c>
      <c r="H64" s="22" t="s">
        <v>451</v>
      </c>
      <c r="I64" s="22" t="s">
        <v>452</v>
      </c>
      <c r="J64" s="22" t="s">
        <v>453</v>
      </c>
      <c r="K64" s="22" t="s">
        <v>447</v>
      </c>
      <c r="L64" s="22" t="s">
        <v>138</v>
      </c>
      <c r="M64" s="22" t="s">
        <v>454</v>
      </c>
      <c r="N64" s="22">
        <v>0</v>
      </c>
      <c r="O64" s="22" t="s">
        <v>70</v>
      </c>
      <c r="P64" s="22">
        <v>3</v>
      </c>
      <c r="Q64" s="22">
        <v>1</v>
      </c>
      <c r="R64" s="22">
        <v>70</v>
      </c>
      <c r="S64" s="22" t="s">
        <v>455</v>
      </c>
      <c r="T64" s="22" t="s">
        <v>71</v>
      </c>
      <c r="U64" s="22" t="s">
        <v>71</v>
      </c>
      <c r="V64" s="24" t="s">
        <v>74</v>
      </c>
      <c r="W64" s="27">
        <v>0</v>
      </c>
      <c r="X64" s="26">
        <f>IF('CRUDO MIÉRCOLES'!AR61="Si",$N64,)</f>
        <v>0</v>
      </c>
      <c r="Y64" s="27">
        <v>0</v>
      </c>
      <c r="Z64" s="26">
        <f>IF('CRUDO MIÉRCOLES'!AT61="Si",$N64,)</f>
        <v>0</v>
      </c>
      <c r="AA64" s="26">
        <f>IF('CRUDO MIÉRCOLES'!AU61="Si",$N64,)</f>
        <v>0</v>
      </c>
      <c r="AB64" s="26">
        <f>IF('CRUDO MIÉRCOLES'!AV61="Si",$N64,)</f>
        <v>0</v>
      </c>
      <c r="AC64" s="26">
        <f>IF('CRUDO MIÉRCOLES'!AW61="Si",$N64,)</f>
        <v>0</v>
      </c>
      <c r="AD64" s="26">
        <f>IF('CRUDO MIÉRCOLES'!AX61="Si",$N64,)</f>
        <v>0</v>
      </c>
      <c r="AE64" s="26">
        <f>IF('CRUDO MIÉRCOLES'!AY61="Si",$N64,)</f>
        <v>0</v>
      </c>
      <c r="AF64" s="26">
        <f>IF('CRUDO MIÉRCOLES'!AZ61="Si",$N64,)</f>
        <v>0</v>
      </c>
      <c r="AG64" s="26">
        <f>IF('CRUDO MIÉRCOLES'!BA61="Si",$N64,)</f>
        <v>0</v>
      </c>
      <c r="AH64" s="26">
        <f>IF('CRUDO MIÉRCOLES'!BB61="Si",$N64,)</f>
        <v>0</v>
      </c>
      <c r="AI64" s="27">
        <v>0</v>
      </c>
      <c r="AJ64" s="26">
        <f>IF('CRUDO MIÉRCOLES'!BD61="Si",$N64,)</f>
        <v>0</v>
      </c>
      <c r="AK64" s="26">
        <f>IF('CRUDO MIÉRCOLES'!BE61="Si",$N64,)</f>
        <v>0</v>
      </c>
      <c r="AL64" s="26">
        <f>IF('CRUDO MIÉRCOLES'!BF61="Si",$N64,)</f>
        <v>0</v>
      </c>
      <c r="AM64" s="26">
        <f>IF('CRUDO MIÉRCOLES'!BG61="Si",$N64,)</f>
        <v>0</v>
      </c>
      <c r="AN64" s="27">
        <v>0</v>
      </c>
      <c r="AO64" s="26">
        <f>IF('CRUDO MIÉRCOLES'!BI61="Si",$N64,)</f>
        <v>0</v>
      </c>
      <c r="AP64" s="22"/>
      <c r="AQ64" s="22" t="s">
        <v>456</v>
      </c>
    </row>
    <row r="65" spans="1:43" ht="13.2">
      <c r="A65" s="21">
        <v>45365.595046574075</v>
      </c>
      <c r="B65" s="22" t="s">
        <v>322</v>
      </c>
      <c r="C65" s="22" t="s">
        <v>323</v>
      </c>
      <c r="D65" s="24" t="s">
        <v>324</v>
      </c>
      <c r="E65" s="22" t="s">
        <v>62</v>
      </c>
      <c r="F65" s="22" t="s">
        <v>152</v>
      </c>
      <c r="G65" s="22" t="s">
        <v>105</v>
      </c>
      <c r="H65" s="22" t="s">
        <v>325</v>
      </c>
      <c r="I65" s="22" t="s">
        <v>326</v>
      </c>
      <c r="J65" s="22" t="s">
        <v>327</v>
      </c>
      <c r="K65" s="22" t="s">
        <v>322</v>
      </c>
      <c r="L65" s="22" t="s">
        <v>138</v>
      </c>
      <c r="M65" s="22" t="s">
        <v>328</v>
      </c>
      <c r="N65" s="22">
        <v>0</v>
      </c>
      <c r="O65" s="22" t="s">
        <v>70</v>
      </c>
      <c r="P65" s="22">
        <v>1</v>
      </c>
      <c r="Q65" s="22">
        <v>1</v>
      </c>
      <c r="R65" s="22">
        <v>90</v>
      </c>
      <c r="S65" s="25"/>
      <c r="T65" s="22" t="s">
        <v>71</v>
      </c>
      <c r="U65" s="22" t="s">
        <v>72</v>
      </c>
      <c r="V65" s="24" t="s">
        <v>74</v>
      </c>
      <c r="W65" s="27">
        <v>0</v>
      </c>
      <c r="X65" s="27">
        <v>0</v>
      </c>
      <c r="Y65" s="27">
        <v>0</v>
      </c>
      <c r="Z65" s="26">
        <f>IF('CRUDO MIÉRCOLES'!AT41="Si",$N65,)</f>
        <v>0</v>
      </c>
      <c r="AA65" s="27">
        <v>0</v>
      </c>
      <c r="AB65" s="27">
        <v>0</v>
      </c>
      <c r="AC65" s="26">
        <f>IF('CRUDO MIÉRCOLES'!AW41="Si",$N65,)</f>
        <v>0</v>
      </c>
      <c r="AD65" s="26">
        <f>IF('CRUDO MIÉRCOLES'!AX41="Si",$N65,)</f>
        <v>0</v>
      </c>
      <c r="AE65" s="27">
        <v>0</v>
      </c>
      <c r="AF65" s="26">
        <f>IF('CRUDO MIÉRCOLES'!AZ41="Si",$N65,)</f>
        <v>0</v>
      </c>
      <c r="AG65" s="27">
        <v>0</v>
      </c>
      <c r="AH65" s="27">
        <v>0</v>
      </c>
      <c r="AI65" s="27">
        <v>0</v>
      </c>
      <c r="AJ65" s="26">
        <f>IF('CRUDO MIÉRCOLES'!BD41="Si",$N65,)</f>
        <v>0</v>
      </c>
      <c r="AK65" s="26">
        <f>IF('CRUDO MIÉRCOLES'!BE41="Si",$N65,)</f>
        <v>0</v>
      </c>
      <c r="AL65" s="27">
        <v>0</v>
      </c>
      <c r="AM65" s="56">
        <v>0</v>
      </c>
      <c r="AN65" s="26">
        <f>IF('CRUDO MIÉRCOLES'!BH62="Si",$N65,)</f>
        <v>0</v>
      </c>
      <c r="AO65" s="26">
        <f>IF('CRUDO MIÉRCOLES'!BI41="Si",$N65,)</f>
        <v>0</v>
      </c>
      <c r="AP65" s="25"/>
      <c r="AQ65" s="25"/>
    </row>
    <row r="66" spans="1:43" ht="13.2">
      <c r="A66" s="21">
        <v>45366.393009548614</v>
      </c>
      <c r="B66" s="22" t="s">
        <v>360</v>
      </c>
      <c r="C66" s="22" t="s">
        <v>361</v>
      </c>
      <c r="D66" s="24" t="s">
        <v>362</v>
      </c>
      <c r="E66" s="22" t="s">
        <v>133</v>
      </c>
      <c r="F66" s="22" t="s">
        <v>249</v>
      </c>
      <c r="G66" s="22" t="s">
        <v>105</v>
      </c>
      <c r="H66" s="22" t="s">
        <v>363</v>
      </c>
      <c r="I66" s="22" t="s">
        <v>364</v>
      </c>
      <c r="J66" s="25"/>
      <c r="K66" s="22" t="s">
        <v>360</v>
      </c>
      <c r="L66" s="22" t="s">
        <v>245</v>
      </c>
      <c r="M66" s="22" t="s">
        <v>365</v>
      </c>
      <c r="N66" s="22">
        <v>0</v>
      </c>
      <c r="O66" s="22" t="s">
        <v>70</v>
      </c>
      <c r="P66" s="22">
        <v>2</v>
      </c>
      <c r="Q66" s="22">
        <v>2</v>
      </c>
      <c r="R66" s="22">
        <v>80</v>
      </c>
      <c r="S66" s="25"/>
      <c r="T66" s="22" t="s">
        <v>71</v>
      </c>
      <c r="U66" s="22" t="s">
        <v>71</v>
      </c>
      <c r="V66" s="24" t="s">
        <v>74</v>
      </c>
      <c r="W66" s="26">
        <f>IF('CRUDO MIÉRCOLES'!AQ46="Si",$N66,)</f>
        <v>0</v>
      </c>
      <c r="X66" s="26">
        <f>IF('CRUDO MIÉRCOLES'!AR46="Si",$N66,)</f>
        <v>0</v>
      </c>
      <c r="Y66" s="26">
        <f>IF('CRUDO MIÉRCOLES'!AS46="Si",$N66,)</f>
        <v>0</v>
      </c>
      <c r="Z66" s="26">
        <f>IF('CRUDO MIÉRCOLES'!AT46="Si",$N66,)</f>
        <v>0</v>
      </c>
      <c r="AA66" s="26">
        <f>IF('CRUDO MIÉRCOLES'!AU46="Si",$N66,)</f>
        <v>0</v>
      </c>
      <c r="AB66" s="26">
        <f>IF('CRUDO MIÉRCOLES'!AV46="Si",$N66,)</f>
        <v>0</v>
      </c>
      <c r="AC66" s="26">
        <f>IF('CRUDO MIÉRCOLES'!AW46="Si",$N66,)</f>
        <v>0</v>
      </c>
      <c r="AD66" s="26">
        <f>IF('CRUDO MIÉRCOLES'!AX46="Si",$N66,)</f>
        <v>0</v>
      </c>
      <c r="AE66" s="26">
        <f>IF('CRUDO MIÉRCOLES'!AY46="Si",$N66,)</f>
        <v>0</v>
      </c>
      <c r="AF66" s="26">
        <f>IF('CRUDO MIÉRCOLES'!AZ46="Si",$N66,)</f>
        <v>0</v>
      </c>
      <c r="AG66" s="26">
        <f>IF('CRUDO MIÉRCOLES'!BA46="Si",$N66,)</f>
        <v>0</v>
      </c>
      <c r="AH66" s="26">
        <f>IF('CRUDO MIÉRCOLES'!BB46="Si",$N66,)</f>
        <v>0</v>
      </c>
      <c r="AI66" s="26">
        <f>IF('CRUDO MIÉRCOLES'!BC46="Si",$N66,)</f>
        <v>0</v>
      </c>
      <c r="AJ66" s="27">
        <v>0</v>
      </c>
      <c r="AK66" s="26">
        <f>IF('CRUDO MIÉRCOLES'!BE46="Si",$N66,)</f>
        <v>0</v>
      </c>
      <c r="AL66" s="26">
        <f>IF('CRUDO MIÉRCOLES'!BF46="Si",$N66,)</f>
        <v>0</v>
      </c>
      <c r="AM66" s="26">
        <f>IF('CRUDO MIÉRCOLES'!BG46="Si",$N66,)</f>
        <v>0</v>
      </c>
      <c r="AN66" s="26">
        <f>IF('CRUDO MIÉRCOLES'!BH46="Si",$N66,)</f>
        <v>0</v>
      </c>
      <c r="AO66" s="26">
        <f>IF('CRUDO MIÉRCOLES'!BI46="Si",$N66,)</f>
        <v>0</v>
      </c>
      <c r="AP66" s="25"/>
      <c r="AQ66" s="25"/>
    </row>
    <row r="67" spans="1:43" ht="13.2">
      <c r="A67" s="13">
        <v>45369.816999803239</v>
      </c>
      <c r="B67" s="14" t="s">
        <v>503</v>
      </c>
      <c r="C67" s="14" t="s">
        <v>504</v>
      </c>
      <c r="D67" s="15" t="s">
        <v>505</v>
      </c>
      <c r="E67" s="14" t="s">
        <v>506</v>
      </c>
      <c r="F67" s="14" t="s">
        <v>507</v>
      </c>
      <c r="G67" s="14" t="s">
        <v>105</v>
      </c>
      <c r="H67" s="14" t="s">
        <v>508</v>
      </c>
      <c r="I67" s="14" t="s">
        <v>509</v>
      </c>
      <c r="J67" s="14" t="s">
        <v>510</v>
      </c>
      <c r="K67" s="14" t="s">
        <v>503</v>
      </c>
      <c r="L67" s="14" t="s">
        <v>138</v>
      </c>
      <c r="M67" s="14" t="s">
        <v>511</v>
      </c>
      <c r="N67" s="14">
        <v>30</v>
      </c>
      <c r="O67" s="14" t="s">
        <v>148</v>
      </c>
      <c r="P67" s="14">
        <v>2</v>
      </c>
      <c r="Q67" s="14">
        <v>1</v>
      </c>
      <c r="R67" s="14">
        <v>90</v>
      </c>
      <c r="S67" s="16"/>
      <c r="T67" s="14" t="s">
        <v>71</v>
      </c>
      <c r="U67" s="14" t="s">
        <v>71</v>
      </c>
      <c r="V67" s="15" t="s">
        <v>74</v>
      </c>
      <c r="W67" s="30">
        <f>IF('CRUDO MIÉRCOLES'!AQ70="Si",$N67,)</f>
        <v>0</v>
      </c>
      <c r="X67" s="30">
        <f>IF('CRUDO MIÉRCOLES'!AR70="Si",$N67,)</f>
        <v>0</v>
      </c>
      <c r="Y67" s="30">
        <f>IF('CRUDO MIÉRCOLES'!AS70="Si",$N67,)</f>
        <v>0</v>
      </c>
      <c r="Z67" s="30">
        <f>IF('CRUDO MIÉRCOLES'!AT70="Si",$N67,)</f>
        <v>0</v>
      </c>
      <c r="AA67" s="30">
        <f>IF('CRUDO MIÉRCOLES'!AU70="Si",$N67,)</f>
        <v>0</v>
      </c>
      <c r="AB67" s="30">
        <f>IF('CRUDO MIÉRCOLES'!AV70="Si",$N67,)</f>
        <v>0</v>
      </c>
      <c r="AC67" s="29">
        <v>30</v>
      </c>
      <c r="AD67" s="30">
        <f>IF('CRUDO MIÉRCOLES'!AX70="Si",$N67,)</f>
        <v>30</v>
      </c>
      <c r="AE67" s="30">
        <f>IF('CRUDO MIÉRCOLES'!AY70="Si",$N67,)</f>
        <v>0</v>
      </c>
      <c r="AF67" s="30">
        <f>IF('CRUDO MIÉRCOLES'!AZ70="Si",$N67,)</f>
        <v>0</v>
      </c>
      <c r="AG67" s="30">
        <f>IF('CRUDO MIÉRCOLES'!BA70="Si",$N67,)</f>
        <v>0</v>
      </c>
      <c r="AH67" s="29">
        <v>0</v>
      </c>
      <c r="AI67" s="30">
        <f>IF('CRUDO MIÉRCOLES'!BC70="Si",$N67,)</f>
        <v>0</v>
      </c>
      <c r="AJ67" s="30">
        <f>IF('CRUDO MIÉRCOLES'!BD70="Si",$N67,)</f>
        <v>0</v>
      </c>
      <c r="AK67" s="30">
        <f>IF('CRUDO MIÉRCOLES'!BE70="Si",$N67,)</f>
        <v>0</v>
      </c>
      <c r="AL67" s="30">
        <f>IF('CRUDO MIÉRCOLES'!BF70="Si",$N67,)</f>
        <v>0</v>
      </c>
      <c r="AM67" s="29">
        <v>0</v>
      </c>
      <c r="AN67" s="30">
        <f>IF('CRUDO MIÉRCOLES'!BH70="Si",$N67,)</f>
        <v>0</v>
      </c>
      <c r="AO67" s="30">
        <f>IF('CRUDO MIÉRCOLES'!BI70="Si",$N67,)</f>
        <v>0</v>
      </c>
      <c r="AP67" s="14">
        <v>1</v>
      </c>
      <c r="AQ67" s="14" t="s">
        <v>512</v>
      </c>
    </row>
    <row r="68" spans="1:43" ht="13.2">
      <c r="A68" s="59">
        <v>45366.605559571763</v>
      </c>
      <c r="B68" s="60" t="s">
        <v>377</v>
      </c>
      <c r="C68" s="60" t="s">
        <v>378</v>
      </c>
      <c r="D68" s="61" t="s">
        <v>379</v>
      </c>
      <c r="E68" s="60" t="s">
        <v>133</v>
      </c>
      <c r="F68" s="60" t="s">
        <v>380</v>
      </c>
      <c r="G68" s="60" t="s">
        <v>105</v>
      </c>
      <c r="H68" s="60" t="s">
        <v>381</v>
      </c>
      <c r="I68" s="60" t="s">
        <v>382</v>
      </c>
      <c r="J68" s="60" t="s">
        <v>383</v>
      </c>
      <c r="K68" s="60" t="s">
        <v>377</v>
      </c>
      <c r="L68" s="60" t="s">
        <v>245</v>
      </c>
      <c r="M68" s="60" t="s">
        <v>384</v>
      </c>
      <c r="N68" s="60">
        <v>40</v>
      </c>
      <c r="O68" s="60" t="s">
        <v>70</v>
      </c>
      <c r="P68" s="60">
        <v>4</v>
      </c>
      <c r="Q68" s="60">
        <v>2</v>
      </c>
      <c r="R68" s="60">
        <v>90</v>
      </c>
      <c r="S68" s="62"/>
      <c r="T68" s="60" t="s">
        <v>71</v>
      </c>
      <c r="U68" s="60" t="s">
        <v>71</v>
      </c>
      <c r="V68" s="61" t="s">
        <v>74</v>
      </c>
      <c r="W68" s="30">
        <f>IF('CRUDO MIÉRCOLES'!AQ48="Si",$N68,)</f>
        <v>0</v>
      </c>
      <c r="X68" s="29">
        <v>0</v>
      </c>
      <c r="Y68" s="29">
        <v>35</v>
      </c>
      <c r="Z68" s="29">
        <v>0</v>
      </c>
      <c r="AA68" s="30">
        <f>IF('CRUDO MIÉRCOLES'!AU48="Si",$N68,)</f>
        <v>0</v>
      </c>
      <c r="AB68" s="30">
        <f>IF('CRUDO MIÉRCOLES'!AV48="Si",$N68,)</f>
        <v>0</v>
      </c>
      <c r="AC68" s="30">
        <f>IF('CRUDO MIÉRCOLES'!AW48="Si",$N68,)</f>
        <v>0</v>
      </c>
      <c r="AD68" s="16"/>
      <c r="AE68" s="30">
        <f>IF('CRUDO MIÉRCOLES'!AY48="Si",$N68,)</f>
        <v>0</v>
      </c>
      <c r="AF68" s="29">
        <v>35</v>
      </c>
      <c r="AG68" s="30">
        <f>IF('CRUDO MIÉRCOLES'!BA48="Si",$N68,)</f>
        <v>0</v>
      </c>
      <c r="AH68" s="30">
        <f>IF('CRUDO MIÉRCOLES'!BB48="Si",$N68,)</f>
        <v>0</v>
      </c>
      <c r="AI68" s="32">
        <v>0</v>
      </c>
      <c r="AJ68" s="29">
        <v>35</v>
      </c>
      <c r="AK68" s="30">
        <f>IF('CRUDO MIÉRCOLES'!BE48="Si",$N68,)</f>
        <v>0</v>
      </c>
      <c r="AL68" s="32">
        <v>35</v>
      </c>
      <c r="AM68" s="29">
        <v>0</v>
      </c>
      <c r="AN68" s="30">
        <f>IF('CRUDO MIÉRCOLES'!BH48="Si",$N68,)</f>
        <v>0</v>
      </c>
      <c r="AO68" s="30">
        <f>IF('CRUDO MIÉRCOLES'!BI48="Si",$N68,)</f>
        <v>0</v>
      </c>
      <c r="AP68" s="60">
        <v>1</v>
      </c>
      <c r="AQ68" s="62"/>
    </row>
    <row r="69" spans="1:43" ht="13.2">
      <c r="A69" s="21">
        <v>45368.822797256944</v>
      </c>
      <c r="B69" s="22" t="s">
        <v>457</v>
      </c>
      <c r="C69" s="22" t="s">
        <v>458</v>
      </c>
      <c r="D69" s="24" t="s">
        <v>459</v>
      </c>
      <c r="E69" s="22" t="s">
        <v>84</v>
      </c>
      <c r="F69" s="22" t="s">
        <v>177</v>
      </c>
      <c r="G69" s="22" t="s">
        <v>64</v>
      </c>
      <c r="H69" s="22" t="s">
        <v>460</v>
      </c>
      <c r="I69" s="22" t="s">
        <v>461</v>
      </c>
      <c r="J69" s="22" t="s">
        <v>462</v>
      </c>
      <c r="K69" s="22" t="s">
        <v>457</v>
      </c>
      <c r="L69" s="22" t="s">
        <v>68</v>
      </c>
      <c r="M69" s="22" t="s">
        <v>463</v>
      </c>
      <c r="N69" s="22">
        <v>0</v>
      </c>
      <c r="O69" s="22" t="s">
        <v>148</v>
      </c>
      <c r="P69" s="22">
        <v>5</v>
      </c>
      <c r="Q69" s="22">
        <v>3</v>
      </c>
      <c r="R69" s="22">
        <v>30</v>
      </c>
      <c r="S69" s="25"/>
      <c r="T69" s="22" t="s">
        <v>71</v>
      </c>
      <c r="U69" s="22" t="s">
        <v>72</v>
      </c>
      <c r="V69" s="24" t="s">
        <v>74</v>
      </c>
      <c r="W69" s="26">
        <f>IF('CRUDO MIÉRCOLES'!AQ62="Si",$N69,)</f>
        <v>0</v>
      </c>
      <c r="X69" s="26">
        <f>IF('CRUDO MIÉRCOLES'!AR62="Si",$N69,)</f>
        <v>0</v>
      </c>
      <c r="Y69" s="26">
        <f>IF('CRUDO MIÉRCOLES'!AS62="Si",$N69,)</f>
        <v>0</v>
      </c>
      <c r="Z69" s="26">
        <f>IF('CRUDO MIÉRCOLES'!AT62="Si",$N69,)</f>
        <v>0</v>
      </c>
      <c r="AA69" s="26">
        <f>IF('CRUDO MIÉRCOLES'!AU62="Si",$N69,)</f>
        <v>0</v>
      </c>
      <c r="AB69" s="26">
        <f>IF('CRUDO MIÉRCOLES'!AV62="Si",$N69,)</f>
        <v>0</v>
      </c>
      <c r="AC69" s="26">
        <f>IF('CRUDO MIÉRCOLES'!AW62="Si",$N69,)</f>
        <v>0</v>
      </c>
      <c r="AD69" s="26">
        <f>IF('CRUDO MIÉRCOLES'!AX62="Si",$N69,)</f>
        <v>0</v>
      </c>
      <c r="AE69" s="26">
        <f>IF('CRUDO MIÉRCOLES'!AY62="Si",$N69,)</f>
        <v>0</v>
      </c>
      <c r="AF69" s="26">
        <f>IF('CRUDO MIÉRCOLES'!AZ62="Si",$N69,)</f>
        <v>0</v>
      </c>
      <c r="AG69" s="26">
        <f>IF('CRUDO MIÉRCOLES'!BA62="Si",$N69,)</f>
        <v>0</v>
      </c>
      <c r="AH69" s="26">
        <f>IF('CRUDO MIÉRCOLES'!BB62="Si",$N69,)</f>
        <v>0</v>
      </c>
      <c r="AI69" s="26">
        <f>IF('CRUDO MIÉRCOLES'!BC62="Si",$N69,)</f>
        <v>0</v>
      </c>
      <c r="AJ69" s="26">
        <f>IF('CRUDO MIÉRCOLES'!BD62="Si",$N69,)</f>
        <v>0</v>
      </c>
      <c r="AK69" s="26">
        <f>IF('CRUDO MIÉRCOLES'!BE62="Si",$N69,)</f>
        <v>0</v>
      </c>
      <c r="AL69" s="26">
        <f>IF('CRUDO MIÉRCOLES'!BF62="Si",$N69,)</f>
        <v>0</v>
      </c>
      <c r="AM69" s="26">
        <f>IF('CRUDO MIÉRCOLES'!BG62="Si",$N69,)</f>
        <v>0</v>
      </c>
      <c r="AN69" s="26">
        <f>IF('CRUDO MIÉRCOLES'!BH62="Si",$N69,)</f>
        <v>0</v>
      </c>
      <c r="AO69" s="26">
        <f>IF('CRUDO MIÉRCOLES'!BI62="Si",$N69,)</f>
        <v>0</v>
      </c>
      <c r="AP69" s="25"/>
      <c r="AQ69" s="25"/>
    </row>
    <row r="70" spans="1:43" ht="13.2">
      <c r="A70" s="13">
        <v>45363.732282152778</v>
      </c>
      <c r="B70" s="14" t="s">
        <v>195</v>
      </c>
      <c r="C70" s="14" t="s">
        <v>1288</v>
      </c>
      <c r="D70" s="14" t="s">
        <v>197</v>
      </c>
      <c r="E70" s="14" t="s">
        <v>62</v>
      </c>
      <c r="F70" s="14" t="s">
        <v>198</v>
      </c>
      <c r="G70" s="14" t="s">
        <v>64</v>
      </c>
      <c r="H70" s="14" t="s">
        <v>199</v>
      </c>
      <c r="I70" s="14" t="s">
        <v>200</v>
      </c>
      <c r="J70" s="14" t="s">
        <v>200</v>
      </c>
      <c r="K70" s="14" t="s">
        <v>195</v>
      </c>
      <c r="L70" s="14" t="s">
        <v>68</v>
      </c>
      <c r="M70" s="14" t="s">
        <v>201</v>
      </c>
      <c r="N70" s="14">
        <v>30</v>
      </c>
      <c r="O70" s="14" t="s">
        <v>70</v>
      </c>
      <c r="P70" s="14">
        <v>5</v>
      </c>
      <c r="Q70" s="14">
        <v>5</v>
      </c>
      <c r="R70" s="14">
        <v>0</v>
      </c>
      <c r="S70" s="14" t="s">
        <v>200</v>
      </c>
      <c r="T70" s="14" t="s">
        <v>71</v>
      </c>
      <c r="U70" s="14" t="s">
        <v>71</v>
      </c>
      <c r="V70" s="15" t="s">
        <v>74</v>
      </c>
      <c r="W70" s="30">
        <f>IF('CRUDO MIÉRCOLES'!AQ20="Si",$N70,)</f>
        <v>30</v>
      </c>
      <c r="X70" s="30">
        <f>IF('CRUDO MIÉRCOLES'!AR20="Si",$N70,)</f>
        <v>0</v>
      </c>
      <c r="Y70" s="30">
        <f>IF('CRUDO MIÉRCOLES'!AS20="Si",$N70,)</f>
        <v>0</v>
      </c>
      <c r="Z70" s="30">
        <f>IF('CRUDO MIÉRCOLES'!AT20="Si",$N70,)</f>
        <v>0</v>
      </c>
      <c r="AA70" s="30">
        <f>IF('CRUDO MIÉRCOLES'!AU20="Si",$N70,)</f>
        <v>0</v>
      </c>
      <c r="AB70" s="30">
        <f>IF('CRUDO MIÉRCOLES'!AV20="Si",$N70,)</f>
        <v>30</v>
      </c>
      <c r="AC70" s="30">
        <f>IF('CRUDO MIÉRCOLES'!AW20="Si",$N70,)</f>
        <v>0</v>
      </c>
      <c r="AD70" s="30">
        <f>IF('CRUDO MIÉRCOLES'!AX20="Si",$N70,)</f>
        <v>0</v>
      </c>
      <c r="AE70" s="30">
        <f>IF('CRUDO MIÉRCOLES'!AY20="Si",$N70,)</f>
        <v>0</v>
      </c>
      <c r="AF70" s="30">
        <f>IF('CRUDO MIÉRCOLES'!AZ20="Si",$N70,)</f>
        <v>0</v>
      </c>
      <c r="AG70" s="30">
        <f>IF('CRUDO MIÉRCOLES'!BA20="Si",$N70,)</f>
        <v>0</v>
      </c>
      <c r="AH70" s="29">
        <v>0</v>
      </c>
      <c r="AI70" s="30">
        <f>IF('CRUDO MIÉRCOLES'!BC20="Si",$N70,)</f>
        <v>0</v>
      </c>
      <c r="AJ70" s="30">
        <f>IF('CRUDO MIÉRCOLES'!BD20="Si",$N70,)</f>
        <v>0</v>
      </c>
      <c r="AK70" s="30">
        <f>IF('CRUDO MIÉRCOLES'!BE20="Si",$N70,)</f>
        <v>0</v>
      </c>
      <c r="AL70" s="30">
        <f>IF('CRUDO MIÉRCOLES'!BF20="Si",$N70,)</f>
        <v>0</v>
      </c>
      <c r="AM70" s="29">
        <v>0</v>
      </c>
      <c r="AN70" s="30">
        <f>IF('CRUDO MIÉRCOLES'!BH20="Si",$N70,)</f>
        <v>0</v>
      </c>
      <c r="AO70" s="30">
        <f>IF('CRUDO MIÉRCOLES'!BI20="Si",$N70,)</f>
        <v>0</v>
      </c>
      <c r="AP70" s="14">
        <v>1</v>
      </c>
      <c r="AQ70" s="16"/>
    </row>
    <row r="71" spans="1:43" ht="13.2">
      <c r="A71" s="21">
        <v>45364.433396400462</v>
      </c>
      <c r="B71" s="22" t="s">
        <v>1289</v>
      </c>
      <c r="C71" s="22" t="s">
        <v>1290</v>
      </c>
      <c r="D71" s="24" t="s">
        <v>720</v>
      </c>
      <c r="E71" s="22" t="s">
        <v>286</v>
      </c>
      <c r="F71" s="22" t="s">
        <v>1291</v>
      </c>
      <c r="G71" s="22" t="s">
        <v>105</v>
      </c>
      <c r="H71" s="22" t="s">
        <v>1292</v>
      </c>
      <c r="I71" s="22" t="s">
        <v>1293</v>
      </c>
      <c r="J71" s="25"/>
      <c r="K71" s="22" t="s">
        <v>1289</v>
      </c>
      <c r="L71" s="22" t="s">
        <v>245</v>
      </c>
      <c r="M71" s="22" t="s">
        <v>281</v>
      </c>
      <c r="N71" s="22">
        <v>0</v>
      </c>
      <c r="O71" s="22" t="s">
        <v>282</v>
      </c>
      <c r="P71" s="22">
        <v>5</v>
      </c>
      <c r="Q71" s="22">
        <v>5</v>
      </c>
      <c r="R71" s="22">
        <v>60</v>
      </c>
      <c r="S71" s="25"/>
      <c r="T71" s="22" t="s">
        <v>71</v>
      </c>
      <c r="U71" s="22" t="s">
        <v>72</v>
      </c>
      <c r="V71" s="24" t="s">
        <v>74</v>
      </c>
      <c r="W71" s="27">
        <v>0</v>
      </c>
      <c r="X71" s="26">
        <f>IF('CRUDO MIÉRCOLES'!AR71="Si",$N71,)</f>
        <v>0</v>
      </c>
      <c r="Y71" s="26">
        <f>IF('CRUDO MIÉRCOLES'!AS71="Si",$N71,)</f>
        <v>0</v>
      </c>
      <c r="Z71" s="26">
        <f>IF('CRUDO MIÉRCOLES'!AT71="Si",$N71,)</f>
        <v>0</v>
      </c>
      <c r="AA71" s="27">
        <v>0</v>
      </c>
      <c r="AB71" s="26">
        <f>IF('CRUDO MIÉRCOLES'!AV71="Si",$N71,)</f>
        <v>0</v>
      </c>
      <c r="AC71" s="27">
        <v>0</v>
      </c>
      <c r="AD71" s="26">
        <f>IF('CRUDO MIÉRCOLES'!AX71="Si",$N71,)</f>
        <v>0</v>
      </c>
      <c r="AE71" s="26">
        <f>IF('CRUDO MIÉRCOLES'!AY71="Si",$N71,)</f>
        <v>0</v>
      </c>
      <c r="AF71" s="26">
        <f>IF('CRUDO MIÉRCOLES'!AZ71="Si",$N71,)</f>
        <v>0</v>
      </c>
      <c r="AG71" s="26">
        <f>IF('CRUDO MIÉRCOLES'!BA71="Si",$N71,)</f>
        <v>0</v>
      </c>
      <c r="AH71" s="27">
        <v>0</v>
      </c>
      <c r="AI71" s="27">
        <v>0</v>
      </c>
      <c r="AJ71" s="26">
        <f>IF('CRUDO MIÉRCOLES'!BD71="Si",$N71,)</f>
        <v>0</v>
      </c>
      <c r="AK71" s="26">
        <f>IF('CRUDO MIÉRCOLES'!BE71="Si",$N71,)</f>
        <v>0</v>
      </c>
      <c r="AL71" s="27">
        <v>0</v>
      </c>
      <c r="AM71" s="26">
        <f>IF('CRUDO MIÉRCOLES'!BG71="Si",$N71,)</f>
        <v>0</v>
      </c>
      <c r="AN71" s="26">
        <f>IF('CRUDO MIÉRCOLES'!BH71="Si",$N71,)</f>
        <v>0</v>
      </c>
      <c r="AO71" s="26">
        <f>IF('CRUDO MIÉRCOLES'!BI71="Si",$N71,)</f>
        <v>0</v>
      </c>
      <c r="AP71" s="25"/>
      <c r="AQ71" s="25"/>
    </row>
    <row r="72" spans="1:43" ht="13.2">
      <c r="A72" s="21">
        <v>45364.461548946754</v>
      </c>
      <c r="B72" s="22" t="s">
        <v>1294</v>
      </c>
      <c r="C72" s="22" t="s">
        <v>1295</v>
      </c>
      <c r="D72" s="24" t="s">
        <v>720</v>
      </c>
      <c r="E72" s="22" t="s">
        <v>286</v>
      </c>
      <c r="F72" s="22" t="s">
        <v>1296</v>
      </c>
      <c r="G72" s="22" t="s">
        <v>105</v>
      </c>
      <c r="H72" s="22" t="s">
        <v>1297</v>
      </c>
      <c r="I72" s="22" t="s">
        <v>1298</v>
      </c>
      <c r="J72" s="22" t="s">
        <v>1299</v>
      </c>
      <c r="K72" s="22" t="s">
        <v>1294</v>
      </c>
      <c r="L72" s="22" t="s">
        <v>245</v>
      </c>
      <c r="M72" s="22" t="s">
        <v>1036</v>
      </c>
      <c r="N72" s="22">
        <v>0</v>
      </c>
      <c r="O72" s="22" t="s">
        <v>282</v>
      </c>
      <c r="P72" s="22">
        <v>3</v>
      </c>
      <c r="Q72" s="22">
        <v>4</v>
      </c>
      <c r="R72" s="22">
        <v>45</v>
      </c>
      <c r="S72" s="25"/>
      <c r="T72" s="22" t="s">
        <v>71</v>
      </c>
      <c r="U72" s="22" t="s">
        <v>71</v>
      </c>
      <c r="V72" s="24" t="s">
        <v>74</v>
      </c>
      <c r="W72" s="27">
        <v>0</v>
      </c>
      <c r="X72" s="27">
        <v>0</v>
      </c>
      <c r="Y72" s="27">
        <v>0</v>
      </c>
      <c r="Z72" s="26">
        <f>IF('CRUDO MIÉRCOLES'!AT72="Si",$N72,)</f>
        <v>0</v>
      </c>
      <c r="AA72" s="27">
        <v>0</v>
      </c>
      <c r="AB72" s="27">
        <v>0</v>
      </c>
      <c r="AC72" s="26">
        <f>IF('CRUDO MIÉRCOLES'!AW72="Si",$N72,)</f>
        <v>0</v>
      </c>
      <c r="AD72" s="26">
        <f>IF('CRUDO MIÉRCOLES'!AX72="Si",$N72,)</f>
        <v>0</v>
      </c>
      <c r="AE72" s="26">
        <f>IF('CRUDO MIÉRCOLES'!AY72="Si",$N72,)</f>
        <v>0</v>
      </c>
      <c r="AF72" s="26">
        <f>IF('CRUDO MIÉRCOLES'!AZ72="Si",$N72,)</f>
        <v>0</v>
      </c>
      <c r="AG72" s="26">
        <f>IF('CRUDO MIÉRCOLES'!BA72="Si",$N72,)</f>
        <v>0</v>
      </c>
      <c r="AH72" s="27">
        <v>0</v>
      </c>
      <c r="AI72" s="26">
        <f>IF('CRUDO MIÉRCOLES'!BC72="Si",$N72,)</f>
        <v>0</v>
      </c>
      <c r="AJ72" s="26">
        <f>IF('CRUDO MIÉRCOLES'!BD72="Si",$N72,)</f>
        <v>0</v>
      </c>
      <c r="AK72" s="26">
        <f>IF('CRUDO MIÉRCOLES'!BE72="Si",$N72,)</f>
        <v>0</v>
      </c>
      <c r="AL72" s="27">
        <v>0</v>
      </c>
      <c r="AM72" s="26">
        <f>IF('CRUDO MIÉRCOLES'!BG72="Si",$N72,)</f>
        <v>0</v>
      </c>
      <c r="AN72" s="26">
        <f>IF('CRUDO MIÉRCOLES'!BH72="Si",$N72,)</f>
        <v>0</v>
      </c>
      <c r="AO72" s="26">
        <f>IF('CRUDO MIÉRCOLES'!BI72="Si",$N72,)</f>
        <v>0</v>
      </c>
      <c r="AP72" s="25"/>
      <c r="AQ72" s="25"/>
    </row>
    <row r="73" spans="1:43" ht="13.2">
      <c r="A73" s="16"/>
      <c r="B73" s="16"/>
      <c r="C73" s="14" t="s">
        <v>1300</v>
      </c>
      <c r="D73" s="16"/>
      <c r="E73" s="16"/>
      <c r="F73" s="16"/>
      <c r="G73" s="16"/>
      <c r="H73" s="14" t="s">
        <v>1301</v>
      </c>
      <c r="I73" s="16"/>
      <c r="J73" s="16"/>
      <c r="K73" s="16"/>
      <c r="L73" s="16"/>
      <c r="M73" s="14" t="s">
        <v>1302</v>
      </c>
      <c r="N73" s="14">
        <v>30</v>
      </c>
      <c r="O73" s="14" t="s">
        <v>148</v>
      </c>
      <c r="P73" s="16"/>
      <c r="Q73" s="16"/>
      <c r="R73" s="16"/>
      <c r="S73" s="16"/>
      <c r="T73" s="16"/>
      <c r="U73" s="16"/>
      <c r="V73" s="16"/>
      <c r="W73" s="16"/>
      <c r="X73" s="16"/>
      <c r="Y73" s="16"/>
      <c r="Z73" s="14">
        <v>30</v>
      </c>
      <c r="AA73" s="16"/>
      <c r="AB73" s="16"/>
      <c r="AC73" s="16"/>
      <c r="AD73" s="14">
        <v>30</v>
      </c>
      <c r="AE73" s="16"/>
      <c r="AF73" s="14">
        <v>0</v>
      </c>
      <c r="AG73" s="16"/>
      <c r="AH73" s="16"/>
      <c r="AI73" s="16"/>
      <c r="AJ73" s="16"/>
      <c r="AK73" s="60">
        <v>30</v>
      </c>
      <c r="AL73" s="16"/>
      <c r="AM73" s="16"/>
      <c r="AN73" s="16"/>
      <c r="AO73" s="16"/>
      <c r="AP73" s="14">
        <v>1</v>
      </c>
      <c r="AQ73" s="16"/>
    </row>
    <row r="74" spans="1:43" ht="13.2">
      <c r="N74" s="17">
        <f>SUM(N2:N73)</f>
        <v>1249</v>
      </c>
      <c r="W74" s="12">
        <f t="shared" ref="W74:Y74" si="0">SUM(W1:W72)</f>
        <v>464</v>
      </c>
      <c r="X74" s="12">
        <f t="shared" si="0"/>
        <v>112</v>
      </c>
      <c r="Y74" s="12">
        <f t="shared" si="0"/>
        <v>403</v>
      </c>
      <c r="Z74" s="12">
        <f>SUM(Z1:Z73)</f>
        <v>265</v>
      </c>
      <c r="AA74" s="12">
        <f t="shared" ref="AA74:AC74" si="1">SUM(AA1:AA72)</f>
        <v>225</v>
      </c>
      <c r="AB74" s="12">
        <f t="shared" si="1"/>
        <v>443</v>
      </c>
      <c r="AC74" s="12">
        <f t="shared" si="1"/>
        <v>251</v>
      </c>
      <c r="AD74" s="12">
        <f>SUM(AD1:AD73)</f>
        <v>95</v>
      </c>
      <c r="AE74" s="12">
        <f>SUM(AE1:AE72)</f>
        <v>60</v>
      </c>
      <c r="AF74" s="12">
        <f>SUM(AF1:AF73)</f>
        <v>223</v>
      </c>
      <c r="AG74" s="12">
        <f t="shared" ref="AG74:AJ74" si="2">SUM(AG1:AG72)</f>
        <v>0</v>
      </c>
      <c r="AH74" s="12">
        <f t="shared" si="2"/>
        <v>154</v>
      </c>
      <c r="AI74" s="12">
        <f t="shared" si="2"/>
        <v>105</v>
      </c>
      <c r="AJ74" s="12">
        <f t="shared" si="2"/>
        <v>35</v>
      </c>
      <c r="AK74" s="12">
        <f>SUM(AK1:AK73)</f>
        <v>65</v>
      </c>
      <c r="AL74" s="12">
        <f t="shared" ref="AL74:AO74" si="3">SUM(AL1:AL72)</f>
        <v>80</v>
      </c>
      <c r="AM74" s="12">
        <f t="shared" si="3"/>
        <v>75</v>
      </c>
      <c r="AN74" s="12">
        <f t="shared" si="3"/>
        <v>58</v>
      </c>
      <c r="AO74" s="12">
        <f t="shared" si="3"/>
        <v>95</v>
      </c>
      <c r="AP74" s="12"/>
      <c r="AQ74" s="12"/>
    </row>
    <row r="75" spans="1:43" ht="13.2">
      <c r="V75" s="6" t="s">
        <v>1269</v>
      </c>
      <c r="W75" s="17">
        <f>450+90</f>
        <v>540</v>
      </c>
      <c r="X75" s="6">
        <v>180</v>
      </c>
      <c r="Y75" s="6">
        <v>450</v>
      </c>
      <c r="Z75" s="6">
        <v>450</v>
      </c>
      <c r="AA75" s="6">
        <v>300</v>
      </c>
      <c r="AB75" s="6">
        <v>500</v>
      </c>
      <c r="AC75" s="6">
        <v>400</v>
      </c>
      <c r="AD75" s="6">
        <v>400</v>
      </c>
      <c r="AE75" s="6">
        <v>400</v>
      </c>
      <c r="AF75" s="6">
        <v>400</v>
      </c>
      <c r="AG75" s="6">
        <v>0</v>
      </c>
      <c r="AH75" s="17">
        <f>45+45+30+30</f>
        <v>150</v>
      </c>
      <c r="AI75" s="17">
        <f>45+45</f>
        <v>90</v>
      </c>
      <c r="AJ75" s="6">
        <v>45</v>
      </c>
      <c r="AK75" s="6">
        <v>60</v>
      </c>
      <c r="AL75" s="6">
        <v>90</v>
      </c>
      <c r="AM75" s="6">
        <f t="shared" ref="AM75:AN75" si="4">30+30</f>
        <v>60</v>
      </c>
      <c r="AN75" s="6">
        <f t="shared" si="4"/>
        <v>60</v>
      </c>
      <c r="AO75" s="6">
        <f>30+30+30</f>
        <v>90</v>
      </c>
    </row>
    <row r="76" spans="1:43" ht="13.2">
      <c r="AK76" s="6" t="s">
        <v>1275</v>
      </c>
    </row>
    <row r="77" spans="1:43" ht="13.2">
      <c r="AN77" s="6" t="s">
        <v>1303</v>
      </c>
    </row>
    <row r="78" spans="1:43" ht="13.2">
      <c r="X78" s="6" t="s">
        <v>1304</v>
      </c>
      <c r="Z78" s="6" t="s">
        <v>1305</v>
      </c>
    </row>
    <row r="79" spans="1:43" ht="13.2">
      <c r="X79" s="6" t="s">
        <v>1306</v>
      </c>
    </row>
    <row r="80" spans="1:43" ht="13.2">
      <c r="X80" s="6" t="s">
        <v>1307</v>
      </c>
    </row>
  </sheetData>
  <autoFilter ref="A1:AQ7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J74"/>
  <sheetViews>
    <sheetView workbookViewId="0"/>
  </sheetViews>
  <sheetFormatPr baseColWidth="10" defaultColWidth="12.6640625" defaultRowHeight="15.75" customHeight="1"/>
  <sheetData>
    <row r="1" spans="1:88">
      <c r="A1" s="18" t="s">
        <v>0</v>
      </c>
      <c r="B1" s="18" t="s">
        <v>1</v>
      </c>
      <c r="C1" s="18" t="s">
        <v>2</v>
      </c>
      <c r="D1" s="18" t="s">
        <v>1241</v>
      </c>
      <c r="E1" s="18" t="s">
        <v>1242</v>
      </c>
      <c r="F1" s="18" t="s">
        <v>5</v>
      </c>
      <c r="G1" s="18" t="s">
        <v>6</v>
      </c>
      <c r="H1" s="18" t="s">
        <v>7</v>
      </c>
      <c r="I1" s="18" t="s">
        <v>8</v>
      </c>
      <c r="J1" s="18" t="s">
        <v>9</v>
      </c>
      <c r="K1" s="18" t="s">
        <v>10</v>
      </c>
      <c r="L1" s="18" t="s">
        <v>1243</v>
      </c>
      <c r="M1" s="18" t="s">
        <v>12</v>
      </c>
      <c r="N1" s="18" t="s">
        <v>1244</v>
      </c>
      <c r="O1" s="18" t="s">
        <v>1245</v>
      </c>
      <c r="P1" s="18" t="s">
        <v>15</v>
      </c>
      <c r="Q1" s="18" t="s">
        <v>16</v>
      </c>
      <c r="R1" s="18" t="s">
        <v>1246</v>
      </c>
      <c r="S1" s="18" t="s">
        <v>18</v>
      </c>
      <c r="T1" s="18" t="s">
        <v>19</v>
      </c>
      <c r="U1" s="18" t="s">
        <v>20</v>
      </c>
      <c r="V1" s="18" t="s">
        <v>1247</v>
      </c>
      <c r="W1" s="18" t="s">
        <v>1248</v>
      </c>
      <c r="X1" s="18" t="s">
        <v>1249</v>
      </c>
      <c r="Y1" s="18" t="s">
        <v>1250</v>
      </c>
      <c r="Z1" s="18" t="s">
        <v>1251</v>
      </c>
      <c r="AA1" s="18" t="s">
        <v>26</v>
      </c>
      <c r="AB1" s="18" t="s">
        <v>27</v>
      </c>
      <c r="AC1" s="18" t="s">
        <v>28</v>
      </c>
      <c r="AD1" s="18" t="s">
        <v>29</v>
      </c>
      <c r="AE1" s="18" t="s">
        <v>30</v>
      </c>
      <c r="AF1" s="18" t="s">
        <v>31</v>
      </c>
      <c r="AG1" s="18" t="s">
        <v>32</v>
      </c>
      <c r="AH1" s="18" t="s">
        <v>33</v>
      </c>
      <c r="AI1" s="18" t="s">
        <v>34</v>
      </c>
      <c r="AJ1" s="18" t="s">
        <v>35</v>
      </c>
      <c r="AK1" s="18" t="s">
        <v>36</v>
      </c>
      <c r="AL1" s="18" t="s">
        <v>42</v>
      </c>
      <c r="AM1" s="18" t="s">
        <v>43</v>
      </c>
      <c r="AN1" s="18" t="s">
        <v>44</v>
      </c>
      <c r="AO1" s="18" t="s">
        <v>45</v>
      </c>
      <c r="AP1" s="18" t="s">
        <v>46</v>
      </c>
      <c r="AQ1" s="18" t="s">
        <v>1248</v>
      </c>
      <c r="AR1" s="18" t="s">
        <v>1249</v>
      </c>
      <c r="AS1" s="18" t="s">
        <v>1250</v>
      </c>
      <c r="AT1" s="18" t="s">
        <v>1251</v>
      </c>
      <c r="AU1" s="18" t="s">
        <v>26</v>
      </c>
      <c r="AV1" s="18" t="s">
        <v>27</v>
      </c>
      <c r="AW1" s="18" t="s">
        <v>28</v>
      </c>
      <c r="AX1" s="18" t="s">
        <v>29</v>
      </c>
      <c r="AY1" s="18" t="s">
        <v>30</v>
      </c>
      <c r="AZ1" s="18" t="s">
        <v>31</v>
      </c>
      <c r="BA1" s="18" t="s">
        <v>50</v>
      </c>
      <c r="BB1" s="18" t="s">
        <v>33</v>
      </c>
      <c r="BC1" s="18" t="s">
        <v>34</v>
      </c>
      <c r="BD1" s="18" t="s">
        <v>35</v>
      </c>
      <c r="BE1" s="18" t="s">
        <v>36</v>
      </c>
      <c r="BF1" s="18" t="s">
        <v>51</v>
      </c>
      <c r="BG1" s="18" t="s">
        <v>52</v>
      </c>
      <c r="BH1" s="18" t="s">
        <v>53</v>
      </c>
      <c r="BI1" s="18" t="s">
        <v>54</v>
      </c>
      <c r="BJ1" s="18" t="s">
        <v>46</v>
      </c>
      <c r="BK1" s="18" t="s">
        <v>1248</v>
      </c>
      <c r="BL1" s="18" t="s">
        <v>1249</v>
      </c>
      <c r="BM1" s="18" t="s">
        <v>1250</v>
      </c>
      <c r="BN1" s="18" t="s">
        <v>1251</v>
      </c>
      <c r="BO1" s="18" t="s">
        <v>26</v>
      </c>
      <c r="BP1" s="18" t="s">
        <v>27</v>
      </c>
      <c r="BQ1" s="18" t="s">
        <v>28</v>
      </c>
      <c r="BR1" s="18" t="s">
        <v>29</v>
      </c>
      <c r="BS1" s="18" t="s">
        <v>30</v>
      </c>
      <c r="BT1" s="18" t="s">
        <v>31</v>
      </c>
      <c r="BU1" s="18" t="s">
        <v>32</v>
      </c>
      <c r="BV1" s="18" t="s">
        <v>58</v>
      </c>
      <c r="BW1" s="18" t="s">
        <v>34</v>
      </c>
      <c r="BX1" s="18" t="s">
        <v>35</v>
      </c>
      <c r="BY1" s="18" t="s">
        <v>36</v>
      </c>
      <c r="BZ1" s="18" t="s">
        <v>51</v>
      </c>
      <c r="CA1" s="18" t="s">
        <v>52</v>
      </c>
      <c r="CB1" s="18" t="s">
        <v>53</v>
      </c>
      <c r="CC1" s="18" t="s">
        <v>54</v>
      </c>
      <c r="CD1" s="18" t="s">
        <v>46</v>
      </c>
      <c r="CE1" s="12"/>
      <c r="CF1" s="12"/>
      <c r="CG1" s="12"/>
      <c r="CH1" s="12"/>
      <c r="CI1" s="12"/>
      <c r="CJ1" s="12"/>
    </row>
    <row r="2" spans="1:88">
      <c r="A2" s="5">
        <v>45363.483787800928</v>
      </c>
      <c r="B2" s="6" t="s">
        <v>59</v>
      </c>
      <c r="C2" s="6" t="s">
        <v>60</v>
      </c>
      <c r="D2" s="7" t="s">
        <v>61</v>
      </c>
      <c r="E2" s="6" t="s">
        <v>62</v>
      </c>
      <c r="F2" s="6" t="s">
        <v>63</v>
      </c>
      <c r="G2" s="6" t="s">
        <v>64</v>
      </c>
      <c r="H2" s="6" t="s">
        <v>65</v>
      </c>
      <c r="I2" s="6" t="s">
        <v>66</v>
      </c>
      <c r="J2" s="6" t="s">
        <v>67</v>
      </c>
      <c r="K2" s="6" t="s">
        <v>59</v>
      </c>
      <c r="L2" s="6" t="s">
        <v>68</v>
      </c>
      <c r="M2" s="6" t="s">
        <v>69</v>
      </c>
      <c r="N2" s="6">
        <v>35</v>
      </c>
      <c r="O2" s="6" t="s">
        <v>70</v>
      </c>
      <c r="P2" s="6">
        <v>1</v>
      </c>
      <c r="Q2" s="6">
        <v>4</v>
      </c>
      <c r="R2" s="6">
        <v>50</v>
      </c>
      <c r="T2" s="6" t="s">
        <v>71</v>
      </c>
      <c r="U2" s="6" t="s">
        <v>72</v>
      </c>
      <c r="V2" s="7" t="s">
        <v>74</v>
      </c>
      <c r="AQ2" s="6" t="s">
        <v>71</v>
      </c>
      <c r="AR2" s="6" t="s">
        <v>71</v>
      </c>
      <c r="AS2" s="6" t="s">
        <v>71</v>
      </c>
      <c r="AT2" s="6" t="s">
        <v>72</v>
      </c>
      <c r="AU2" s="6" t="s">
        <v>71</v>
      </c>
      <c r="AV2" s="6" t="s">
        <v>71</v>
      </c>
      <c r="AW2" s="6" t="s">
        <v>71</v>
      </c>
      <c r="AX2" s="6" t="s">
        <v>72</v>
      </c>
      <c r="AY2" s="6" t="s">
        <v>72</v>
      </c>
      <c r="AZ2" s="6" t="s">
        <v>72</v>
      </c>
      <c r="BA2" s="6" t="s">
        <v>71</v>
      </c>
      <c r="BB2" s="6" t="s">
        <v>71</v>
      </c>
      <c r="BC2" s="6" t="s">
        <v>71</v>
      </c>
      <c r="BD2" s="6" t="s">
        <v>72</v>
      </c>
      <c r="BE2" s="6" t="s">
        <v>72</v>
      </c>
      <c r="BF2" s="6" t="s">
        <v>71</v>
      </c>
      <c r="BG2" s="6" t="s">
        <v>71</v>
      </c>
      <c r="BH2" s="6" t="s">
        <v>72</v>
      </c>
      <c r="BI2" s="6" t="s">
        <v>72</v>
      </c>
    </row>
    <row r="3" spans="1:88">
      <c r="A3" s="5">
        <v>45363.486660289353</v>
      </c>
      <c r="B3" s="6" t="s">
        <v>75</v>
      </c>
      <c r="C3" s="6" t="s">
        <v>76</v>
      </c>
      <c r="D3" s="7" t="s">
        <v>61</v>
      </c>
      <c r="E3" s="6" t="s">
        <v>62</v>
      </c>
      <c r="F3" s="6" t="s">
        <v>77</v>
      </c>
      <c r="G3" s="6" t="s">
        <v>64</v>
      </c>
      <c r="H3" s="6" t="s">
        <v>78</v>
      </c>
      <c r="I3" s="6" t="s">
        <v>65</v>
      </c>
      <c r="J3" s="6" t="s">
        <v>79</v>
      </c>
      <c r="K3" s="6" t="s">
        <v>75</v>
      </c>
      <c r="L3" s="6" t="s">
        <v>68</v>
      </c>
      <c r="M3" s="6" t="s">
        <v>80</v>
      </c>
      <c r="N3" s="6">
        <v>35</v>
      </c>
      <c r="O3" s="6" t="s">
        <v>70</v>
      </c>
      <c r="P3" s="6">
        <v>2</v>
      </c>
      <c r="Q3" s="6">
        <v>3</v>
      </c>
      <c r="R3" s="6">
        <v>50</v>
      </c>
      <c r="T3" s="6" t="s">
        <v>71</v>
      </c>
      <c r="U3" s="6" t="s">
        <v>72</v>
      </c>
      <c r="V3" s="7" t="s">
        <v>74</v>
      </c>
      <c r="AQ3" s="6" t="s">
        <v>71</v>
      </c>
      <c r="AR3" s="6" t="s">
        <v>71</v>
      </c>
      <c r="AS3" s="6" t="s">
        <v>71</v>
      </c>
      <c r="AT3" s="6" t="s">
        <v>72</v>
      </c>
      <c r="AU3" s="6" t="s">
        <v>71</v>
      </c>
      <c r="AV3" s="6" t="s">
        <v>71</v>
      </c>
      <c r="AW3" s="6" t="s">
        <v>71</v>
      </c>
      <c r="AX3" s="6" t="s">
        <v>72</v>
      </c>
      <c r="AY3" s="6" t="s">
        <v>72</v>
      </c>
      <c r="AZ3" s="6" t="s">
        <v>72</v>
      </c>
      <c r="BA3" s="6" t="s">
        <v>71</v>
      </c>
      <c r="BB3" s="6" t="s">
        <v>71</v>
      </c>
      <c r="BC3" s="6" t="s">
        <v>71</v>
      </c>
      <c r="BD3" s="6" t="s">
        <v>72</v>
      </c>
      <c r="BE3" s="6" t="s">
        <v>72</v>
      </c>
      <c r="BF3" s="6" t="s">
        <v>71</v>
      </c>
      <c r="BG3" s="6" t="s">
        <v>71</v>
      </c>
      <c r="BH3" s="6" t="s">
        <v>72</v>
      </c>
      <c r="BI3" s="6" t="s">
        <v>72</v>
      </c>
    </row>
    <row r="4" spans="1:88">
      <c r="A4" s="5">
        <v>45363.489966805559</v>
      </c>
      <c r="B4" s="6" t="s">
        <v>81</v>
      </c>
      <c r="C4" s="6" t="s">
        <v>82</v>
      </c>
      <c r="D4" s="7" t="s">
        <v>83</v>
      </c>
      <c r="E4" s="6" t="s">
        <v>84</v>
      </c>
      <c r="F4" s="6" t="s">
        <v>85</v>
      </c>
      <c r="G4" s="6" t="s">
        <v>64</v>
      </c>
      <c r="H4" s="6" t="s">
        <v>86</v>
      </c>
      <c r="I4" s="6" t="s">
        <v>87</v>
      </c>
      <c r="J4" s="6" t="s">
        <v>88</v>
      </c>
      <c r="K4" s="6" t="s">
        <v>81</v>
      </c>
      <c r="L4" s="6" t="s">
        <v>89</v>
      </c>
      <c r="M4" s="6" t="s">
        <v>90</v>
      </c>
      <c r="N4" s="6">
        <v>26</v>
      </c>
      <c r="O4" s="6" t="s">
        <v>70</v>
      </c>
      <c r="P4" s="6">
        <v>4</v>
      </c>
      <c r="Q4" s="6">
        <v>3</v>
      </c>
      <c r="R4" s="6">
        <v>0</v>
      </c>
      <c r="S4" s="6" t="s">
        <v>91</v>
      </c>
      <c r="T4" s="6" t="s">
        <v>71</v>
      </c>
      <c r="U4" s="6" t="s">
        <v>72</v>
      </c>
      <c r="V4" s="7" t="s">
        <v>74</v>
      </c>
      <c r="AQ4" s="6" t="s">
        <v>71</v>
      </c>
      <c r="AR4" s="6" t="s">
        <v>72</v>
      </c>
      <c r="AS4" s="6" t="s">
        <v>72</v>
      </c>
      <c r="AT4" s="6" t="s">
        <v>72</v>
      </c>
      <c r="AU4" s="6" t="s">
        <v>72</v>
      </c>
      <c r="AV4" s="6" t="s">
        <v>71</v>
      </c>
      <c r="AW4" s="6" t="s">
        <v>72</v>
      </c>
      <c r="AX4" s="6" t="s">
        <v>72</v>
      </c>
      <c r="AY4" s="6" t="s">
        <v>72</v>
      </c>
      <c r="AZ4" s="6" t="s">
        <v>72</v>
      </c>
      <c r="BA4" s="6" t="s">
        <v>72</v>
      </c>
      <c r="BB4" s="6" t="s">
        <v>72</v>
      </c>
      <c r="BC4" s="6" t="s">
        <v>71</v>
      </c>
      <c r="BD4" s="6" t="s">
        <v>72</v>
      </c>
      <c r="BE4" s="6" t="s">
        <v>72</v>
      </c>
      <c r="BF4" s="6" t="s">
        <v>72</v>
      </c>
      <c r="BG4" s="6" t="s">
        <v>72</v>
      </c>
      <c r="BH4" s="6" t="s">
        <v>72</v>
      </c>
      <c r="BI4" s="6" t="s">
        <v>72</v>
      </c>
    </row>
    <row r="5" spans="1:88">
      <c r="A5" s="5">
        <v>45363.492393344903</v>
      </c>
      <c r="B5" s="6" t="s">
        <v>81</v>
      </c>
      <c r="C5" s="6" t="s">
        <v>82</v>
      </c>
      <c r="D5" s="7" t="s">
        <v>83</v>
      </c>
      <c r="E5" s="6" t="s">
        <v>84</v>
      </c>
      <c r="F5" s="6" t="s">
        <v>92</v>
      </c>
      <c r="G5" s="6" t="s">
        <v>64</v>
      </c>
      <c r="H5" s="6" t="s">
        <v>86</v>
      </c>
      <c r="I5" s="6" t="s">
        <v>87</v>
      </c>
      <c r="J5" s="6" t="s">
        <v>88</v>
      </c>
      <c r="K5" s="6" t="s">
        <v>81</v>
      </c>
      <c r="L5" s="6" t="s">
        <v>89</v>
      </c>
      <c r="M5" s="6" t="s">
        <v>90</v>
      </c>
      <c r="N5" s="6">
        <v>19</v>
      </c>
      <c r="O5" s="6" t="s">
        <v>70</v>
      </c>
      <c r="P5" s="6">
        <v>4</v>
      </c>
      <c r="Q5" s="6">
        <v>3</v>
      </c>
      <c r="R5" s="6">
        <v>0</v>
      </c>
      <c r="S5" s="6" t="s">
        <v>93</v>
      </c>
      <c r="T5" s="6" t="s">
        <v>71</v>
      </c>
      <c r="U5" s="6" t="s">
        <v>72</v>
      </c>
      <c r="V5" s="7" t="s">
        <v>74</v>
      </c>
      <c r="AQ5" s="6" t="s">
        <v>71</v>
      </c>
      <c r="AR5" s="6" t="s">
        <v>72</v>
      </c>
      <c r="AS5" s="6" t="s">
        <v>72</v>
      </c>
      <c r="AT5" s="6" t="s">
        <v>72</v>
      </c>
      <c r="AU5" s="6" t="s">
        <v>72</v>
      </c>
      <c r="AV5" s="6" t="s">
        <v>71</v>
      </c>
      <c r="AW5" s="6" t="s">
        <v>72</v>
      </c>
      <c r="AX5" s="6" t="s">
        <v>72</v>
      </c>
      <c r="AY5" s="6" t="s">
        <v>72</v>
      </c>
      <c r="AZ5" s="6" t="s">
        <v>72</v>
      </c>
      <c r="BA5" s="6" t="s">
        <v>72</v>
      </c>
      <c r="BB5" s="6" t="s">
        <v>72</v>
      </c>
      <c r="BC5" s="6" t="s">
        <v>71</v>
      </c>
      <c r="BD5" s="6" t="s">
        <v>72</v>
      </c>
      <c r="BE5" s="6" t="s">
        <v>72</v>
      </c>
      <c r="BF5" s="6" t="s">
        <v>72</v>
      </c>
      <c r="BG5" s="6" t="s">
        <v>72</v>
      </c>
      <c r="BH5" s="6" t="s">
        <v>72</v>
      </c>
      <c r="BI5" s="6" t="s">
        <v>72</v>
      </c>
    </row>
    <row r="6" spans="1:88">
      <c r="A6" s="5">
        <v>45363.492571168987</v>
      </c>
      <c r="B6" s="6" t="s">
        <v>94</v>
      </c>
      <c r="C6" s="6" t="s">
        <v>95</v>
      </c>
      <c r="D6" s="7" t="s">
        <v>61</v>
      </c>
      <c r="E6" s="6" t="s">
        <v>62</v>
      </c>
      <c r="F6" s="6" t="s">
        <v>96</v>
      </c>
      <c r="G6" s="6" t="s">
        <v>64</v>
      </c>
      <c r="H6" s="6" t="s">
        <v>97</v>
      </c>
      <c r="I6" s="6" t="s">
        <v>98</v>
      </c>
      <c r="J6" s="6" t="s">
        <v>99</v>
      </c>
      <c r="K6" s="6" t="s">
        <v>94</v>
      </c>
      <c r="L6" s="6" t="s">
        <v>68</v>
      </c>
      <c r="M6" s="6" t="s">
        <v>100</v>
      </c>
      <c r="N6" s="6">
        <v>35</v>
      </c>
      <c r="O6" s="6" t="s">
        <v>70</v>
      </c>
      <c r="P6" s="6">
        <v>2</v>
      </c>
      <c r="Q6" s="6">
        <v>3</v>
      </c>
      <c r="R6" s="6">
        <v>50</v>
      </c>
      <c r="T6" s="6" t="s">
        <v>71</v>
      </c>
      <c r="U6" s="6" t="s">
        <v>72</v>
      </c>
      <c r="V6" s="7" t="s">
        <v>74</v>
      </c>
      <c r="AQ6" s="6" t="s">
        <v>71</v>
      </c>
      <c r="AR6" s="6" t="s">
        <v>71</v>
      </c>
      <c r="AS6" s="6" t="s">
        <v>71</v>
      </c>
      <c r="AT6" s="6" t="s">
        <v>72</v>
      </c>
      <c r="AU6" s="6" t="s">
        <v>71</v>
      </c>
      <c r="AV6" s="6" t="s">
        <v>71</v>
      </c>
      <c r="AW6" s="6" t="s">
        <v>71</v>
      </c>
      <c r="AX6" s="6" t="s">
        <v>72</v>
      </c>
      <c r="AY6" s="6" t="s">
        <v>72</v>
      </c>
      <c r="AZ6" s="6" t="s">
        <v>72</v>
      </c>
      <c r="BA6" s="6" t="s">
        <v>71</v>
      </c>
      <c r="BB6" s="6" t="s">
        <v>71</v>
      </c>
      <c r="BC6" s="6" t="s">
        <v>71</v>
      </c>
      <c r="BD6" s="6" t="s">
        <v>72</v>
      </c>
      <c r="BE6" s="6" t="s">
        <v>72</v>
      </c>
      <c r="BF6" s="6" t="s">
        <v>71</v>
      </c>
      <c r="BG6" s="6" t="s">
        <v>71</v>
      </c>
      <c r="BH6" s="6" t="s">
        <v>72</v>
      </c>
      <c r="BI6" s="6" t="s">
        <v>72</v>
      </c>
    </row>
    <row r="7" spans="1:88">
      <c r="A7" s="5">
        <v>45363.503203287037</v>
      </c>
      <c r="B7" s="6" t="s">
        <v>101</v>
      </c>
      <c r="C7" s="6" t="s">
        <v>102</v>
      </c>
      <c r="D7" s="7" t="s">
        <v>103</v>
      </c>
      <c r="E7" s="6" t="s">
        <v>62</v>
      </c>
      <c r="F7" s="6" t="s">
        <v>104</v>
      </c>
      <c r="G7" s="6" t="s">
        <v>105</v>
      </c>
      <c r="H7" s="6" t="s">
        <v>106</v>
      </c>
      <c r="I7" s="6" t="s">
        <v>107</v>
      </c>
      <c r="K7" s="6" t="s">
        <v>101</v>
      </c>
      <c r="L7" s="6" t="s">
        <v>68</v>
      </c>
      <c r="M7" s="6" t="s">
        <v>108</v>
      </c>
      <c r="N7" s="6">
        <v>25</v>
      </c>
      <c r="O7" s="6" t="s">
        <v>70</v>
      </c>
      <c r="P7" s="6">
        <v>5</v>
      </c>
      <c r="Q7" s="6">
        <v>5</v>
      </c>
      <c r="R7" s="6">
        <v>50</v>
      </c>
      <c r="T7" s="6" t="s">
        <v>71</v>
      </c>
      <c r="U7" s="6" t="s">
        <v>71</v>
      </c>
      <c r="V7" s="7" t="s">
        <v>74</v>
      </c>
      <c r="AQ7" s="6" t="s">
        <v>72</v>
      </c>
      <c r="AR7" s="6" t="s">
        <v>71</v>
      </c>
      <c r="AS7" s="6" t="s">
        <v>71</v>
      </c>
      <c r="AT7" s="6" t="s">
        <v>72</v>
      </c>
      <c r="AU7" s="6" t="s">
        <v>71</v>
      </c>
      <c r="AV7" s="6" t="s">
        <v>72</v>
      </c>
      <c r="AW7" s="6" t="s">
        <v>72</v>
      </c>
      <c r="AX7" s="6" t="s">
        <v>72</v>
      </c>
      <c r="AY7" s="6" t="s">
        <v>71</v>
      </c>
      <c r="AZ7" s="6" t="s">
        <v>71</v>
      </c>
      <c r="BA7" s="6" t="s">
        <v>72</v>
      </c>
      <c r="BB7" s="6" t="s">
        <v>71</v>
      </c>
      <c r="BC7" s="6" t="s">
        <v>71</v>
      </c>
      <c r="BD7" s="6" t="s">
        <v>71</v>
      </c>
      <c r="BE7" s="6" t="s">
        <v>72</v>
      </c>
      <c r="BF7" s="6" t="s">
        <v>72</v>
      </c>
      <c r="BG7" s="6" t="s">
        <v>72</v>
      </c>
      <c r="BH7" s="6" t="s">
        <v>71</v>
      </c>
      <c r="BI7" s="6" t="s">
        <v>72</v>
      </c>
    </row>
    <row r="8" spans="1:88">
      <c r="A8" s="5">
        <v>45363.506109606482</v>
      </c>
      <c r="B8" s="6" t="s">
        <v>101</v>
      </c>
      <c r="C8" s="6" t="s">
        <v>110</v>
      </c>
      <c r="D8" s="7" t="s">
        <v>103</v>
      </c>
      <c r="E8" s="6" t="s">
        <v>62</v>
      </c>
      <c r="F8" s="6" t="s">
        <v>111</v>
      </c>
      <c r="G8" s="6" t="s">
        <v>105</v>
      </c>
      <c r="H8" s="6" t="s">
        <v>106</v>
      </c>
      <c r="I8" s="6" t="s">
        <v>112</v>
      </c>
      <c r="K8" s="6" t="s">
        <v>101</v>
      </c>
      <c r="L8" s="6" t="s">
        <v>68</v>
      </c>
      <c r="M8" s="6" t="s">
        <v>108</v>
      </c>
      <c r="N8" s="6">
        <v>20</v>
      </c>
      <c r="O8" s="6" t="s">
        <v>70</v>
      </c>
      <c r="P8" s="6">
        <v>5</v>
      </c>
      <c r="Q8" s="6">
        <v>5</v>
      </c>
      <c r="R8" s="6">
        <v>50</v>
      </c>
      <c r="T8" s="6" t="s">
        <v>71</v>
      </c>
      <c r="U8" s="6" t="s">
        <v>71</v>
      </c>
      <c r="V8" s="7" t="s">
        <v>74</v>
      </c>
      <c r="AQ8" s="6" t="s">
        <v>72</v>
      </c>
      <c r="AR8" s="6" t="s">
        <v>71</v>
      </c>
      <c r="AS8" s="6" t="s">
        <v>71</v>
      </c>
      <c r="AT8" s="6" t="s">
        <v>72</v>
      </c>
      <c r="AU8" s="6" t="s">
        <v>71</v>
      </c>
      <c r="AV8" s="6" t="s">
        <v>72</v>
      </c>
      <c r="AW8" s="6" t="s">
        <v>72</v>
      </c>
      <c r="AX8" s="6" t="s">
        <v>72</v>
      </c>
      <c r="AY8" s="6" t="s">
        <v>71</v>
      </c>
      <c r="AZ8" s="6" t="s">
        <v>72</v>
      </c>
      <c r="BA8" s="6" t="s">
        <v>72</v>
      </c>
      <c r="BB8" s="6" t="s">
        <v>71</v>
      </c>
      <c r="BC8" s="6" t="s">
        <v>71</v>
      </c>
      <c r="BD8" s="6" t="s">
        <v>71</v>
      </c>
      <c r="BE8" s="6" t="s">
        <v>72</v>
      </c>
      <c r="BF8" s="6" t="s">
        <v>72</v>
      </c>
      <c r="BG8" s="6" t="s">
        <v>72</v>
      </c>
      <c r="BH8" s="6" t="s">
        <v>71</v>
      </c>
      <c r="BI8" s="6" t="s">
        <v>72</v>
      </c>
    </row>
    <row r="9" spans="1:88">
      <c r="A9" s="5">
        <v>45363.516926122684</v>
      </c>
      <c r="B9" s="6" t="s">
        <v>113</v>
      </c>
      <c r="C9" s="6" t="s">
        <v>114</v>
      </c>
      <c r="D9" s="7" t="s">
        <v>115</v>
      </c>
      <c r="E9" s="6" t="s">
        <v>62</v>
      </c>
      <c r="F9" s="6" t="s">
        <v>116</v>
      </c>
      <c r="G9" s="6" t="s">
        <v>64</v>
      </c>
      <c r="H9" s="6" t="s">
        <v>117</v>
      </c>
      <c r="I9" s="6" t="s">
        <v>118</v>
      </c>
      <c r="J9" s="6" t="s">
        <v>119</v>
      </c>
      <c r="K9" s="6" t="s">
        <v>113</v>
      </c>
      <c r="L9" s="6" t="s">
        <v>89</v>
      </c>
      <c r="M9" s="6" t="s">
        <v>120</v>
      </c>
      <c r="N9" s="6">
        <v>30</v>
      </c>
      <c r="O9" s="6" t="s">
        <v>70</v>
      </c>
      <c r="P9" s="6">
        <v>5</v>
      </c>
      <c r="Q9" s="6">
        <v>5</v>
      </c>
      <c r="R9" s="6">
        <v>5</v>
      </c>
      <c r="S9" s="6" t="s">
        <v>121</v>
      </c>
      <c r="T9" s="6" t="s">
        <v>71</v>
      </c>
      <c r="U9" s="6" t="s">
        <v>72</v>
      </c>
      <c r="V9" s="7" t="s">
        <v>74</v>
      </c>
      <c r="AQ9" s="6" t="s">
        <v>71</v>
      </c>
      <c r="AR9" s="6" t="s">
        <v>72</v>
      </c>
      <c r="AS9" s="6" t="s">
        <v>72</v>
      </c>
      <c r="AT9" s="6" t="s">
        <v>72</v>
      </c>
      <c r="AU9" s="6" t="s">
        <v>72</v>
      </c>
      <c r="AV9" s="6" t="s">
        <v>72</v>
      </c>
      <c r="AW9" s="6" t="s">
        <v>71</v>
      </c>
      <c r="AX9" s="6" t="s">
        <v>72</v>
      </c>
      <c r="AY9" s="6" t="s">
        <v>72</v>
      </c>
      <c r="AZ9" s="6" t="s">
        <v>72</v>
      </c>
      <c r="BA9" s="6" t="s">
        <v>72</v>
      </c>
      <c r="BB9" s="6" t="s">
        <v>72</v>
      </c>
      <c r="BC9" s="6" t="s">
        <v>71</v>
      </c>
      <c r="BD9" s="6" t="s">
        <v>72</v>
      </c>
      <c r="BE9" s="6" t="s">
        <v>72</v>
      </c>
      <c r="BF9" s="6" t="s">
        <v>71</v>
      </c>
      <c r="BG9" s="6" t="s">
        <v>72</v>
      </c>
      <c r="BH9" s="6" t="s">
        <v>72</v>
      </c>
      <c r="BI9" s="6" t="s">
        <v>72</v>
      </c>
      <c r="BJ9" s="6" t="s">
        <v>122</v>
      </c>
    </row>
    <row r="10" spans="1:88">
      <c r="A10" s="5">
        <v>45363.525105173612</v>
      </c>
      <c r="B10" s="6" t="s">
        <v>123</v>
      </c>
      <c r="C10" s="6" t="s">
        <v>124</v>
      </c>
      <c r="D10" s="7" t="s">
        <v>125</v>
      </c>
      <c r="E10" s="6" t="s">
        <v>62</v>
      </c>
      <c r="F10" s="6" t="s">
        <v>126</v>
      </c>
      <c r="G10" s="6" t="s">
        <v>64</v>
      </c>
      <c r="H10" s="6" t="s">
        <v>127</v>
      </c>
      <c r="I10" s="6" t="s">
        <v>128</v>
      </c>
      <c r="K10" s="6" t="s">
        <v>123</v>
      </c>
      <c r="L10" s="6" t="s">
        <v>89</v>
      </c>
      <c r="M10" s="6" t="s">
        <v>129</v>
      </c>
      <c r="N10" s="6">
        <v>30</v>
      </c>
      <c r="O10" s="6" t="s">
        <v>70</v>
      </c>
      <c r="P10" s="6">
        <v>4</v>
      </c>
      <c r="Q10" s="6">
        <v>3</v>
      </c>
      <c r="R10" s="6">
        <v>5</v>
      </c>
      <c r="T10" s="6" t="s">
        <v>71</v>
      </c>
      <c r="U10" s="6" t="s">
        <v>72</v>
      </c>
      <c r="V10" s="7" t="s">
        <v>74</v>
      </c>
      <c r="AQ10" s="6" t="s">
        <v>71</v>
      </c>
      <c r="AR10" s="6" t="s">
        <v>72</v>
      </c>
      <c r="AS10" s="6" t="s">
        <v>72</v>
      </c>
      <c r="AT10" s="6" t="s">
        <v>72</v>
      </c>
      <c r="AU10" s="6" t="s">
        <v>72</v>
      </c>
      <c r="AV10" s="6" t="s">
        <v>72</v>
      </c>
      <c r="AW10" s="6" t="s">
        <v>71</v>
      </c>
      <c r="AX10" s="6" t="s">
        <v>72</v>
      </c>
      <c r="AY10" s="6" t="s">
        <v>72</v>
      </c>
      <c r="AZ10" s="6" t="s">
        <v>72</v>
      </c>
      <c r="BA10" s="6" t="s">
        <v>72</v>
      </c>
      <c r="BB10" s="6" t="s">
        <v>71</v>
      </c>
      <c r="BC10" s="6" t="s">
        <v>72</v>
      </c>
      <c r="BD10" s="6" t="s">
        <v>72</v>
      </c>
      <c r="BE10" s="6" t="s">
        <v>72</v>
      </c>
      <c r="BF10" s="6" t="s">
        <v>72</v>
      </c>
      <c r="BG10" s="6" t="s">
        <v>72</v>
      </c>
      <c r="BH10" s="6" t="s">
        <v>72</v>
      </c>
      <c r="BI10" s="6" t="s">
        <v>72</v>
      </c>
    </row>
    <row r="11" spans="1:88">
      <c r="A11" s="5">
        <v>45363.535620173614</v>
      </c>
      <c r="B11" s="6" t="s">
        <v>130</v>
      </c>
      <c r="C11" s="6" t="s">
        <v>131</v>
      </c>
      <c r="D11" s="7" t="s">
        <v>132</v>
      </c>
      <c r="E11" s="6" t="s">
        <v>133</v>
      </c>
      <c r="F11" s="6" t="s">
        <v>134</v>
      </c>
      <c r="G11" s="6" t="s">
        <v>64</v>
      </c>
      <c r="H11" s="6" t="s">
        <v>135</v>
      </c>
      <c r="I11" s="6" t="s">
        <v>136</v>
      </c>
      <c r="J11" s="6" t="s">
        <v>137</v>
      </c>
      <c r="K11" s="6" t="s">
        <v>130</v>
      </c>
      <c r="L11" s="6" t="s">
        <v>138</v>
      </c>
      <c r="M11" s="6" t="s">
        <v>139</v>
      </c>
      <c r="N11" s="6">
        <v>25</v>
      </c>
      <c r="O11" s="6" t="s">
        <v>70</v>
      </c>
      <c r="P11" s="6">
        <v>2</v>
      </c>
      <c r="Q11" s="6">
        <v>2</v>
      </c>
      <c r="R11" s="6">
        <v>80</v>
      </c>
      <c r="T11" s="6" t="s">
        <v>71</v>
      </c>
      <c r="U11" s="6" t="s">
        <v>71</v>
      </c>
      <c r="V11" s="7" t="s">
        <v>74</v>
      </c>
      <c r="AQ11" s="6" t="s">
        <v>71</v>
      </c>
      <c r="AR11" s="6" t="s">
        <v>72</v>
      </c>
      <c r="AS11" s="6" t="s">
        <v>72</v>
      </c>
      <c r="AT11" s="6" t="s">
        <v>72</v>
      </c>
      <c r="AU11" s="6" t="s">
        <v>72</v>
      </c>
      <c r="AV11" s="6" t="s">
        <v>71</v>
      </c>
      <c r="AW11" s="6" t="s">
        <v>72</v>
      </c>
      <c r="AX11" s="6" t="s">
        <v>72</v>
      </c>
      <c r="AY11" s="6" t="s">
        <v>71</v>
      </c>
      <c r="AZ11" s="6" t="s">
        <v>72</v>
      </c>
      <c r="BC11" s="6" t="s">
        <v>71</v>
      </c>
      <c r="BI11" s="6" t="s">
        <v>71</v>
      </c>
    </row>
    <row r="12" spans="1:88">
      <c r="A12" s="5">
        <v>45363.539553865739</v>
      </c>
      <c r="B12" s="6" t="s">
        <v>130</v>
      </c>
      <c r="C12" s="6" t="s">
        <v>131</v>
      </c>
      <c r="D12" s="7" t="s">
        <v>132</v>
      </c>
      <c r="E12" s="6" t="s">
        <v>133</v>
      </c>
      <c r="F12" s="6" t="s">
        <v>134</v>
      </c>
      <c r="G12" s="6" t="s">
        <v>64</v>
      </c>
      <c r="H12" s="6" t="s">
        <v>135</v>
      </c>
      <c r="I12" s="6" t="s">
        <v>136</v>
      </c>
      <c r="J12" s="6" t="s">
        <v>140</v>
      </c>
      <c r="K12" s="6" t="s">
        <v>130</v>
      </c>
      <c r="L12" s="6" t="s">
        <v>138</v>
      </c>
      <c r="M12" s="6" t="s">
        <v>139</v>
      </c>
      <c r="N12" s="6">
        <v>25</v>
      </c>
      <c r="O12" s="6" t="s">
        <v>70</v>
      </c>
      <c r="P12" s="6">
        <v>2</v>
      </c>
      <c r="Q12" s="6">
        <v>2</v>
      </c>
      <c r="R12" s="6">
        <v>80</v>
      </c>
      <c r="T12" s="6" t="s">
        <v>71</v>
      </c>
      <c r="U12" s="6" t="s">
        <v>71</v>
      </c>
      <c r="V12" s="7" t="s">
        <v>74</v>
      </c>
      <c r="AQ12" s="6" t="s">
        <v>71</v>
      </c>
      <c r="AR12" s="6" t="s">
        <v>72</v>
      </c>
      <c r="AS12" s="6" t="s">
        <v>72</v>
      </c>
      <c r="AT12" s="6" t="s">
        <v>72</v>
      </c>
      <c r="AU12" s="6" t="s">
        <v>72</v>
      </c>
      <c r="AV12" s="6" t="s">
        <v>71</v>
      </c>
      <c r="AW12" s="6" t="s">
        <v>72</v>
      </c>
      <c r="AX12" s="6" t="s">
        <v>72</v>
      </c>
      <c r="AY12" s="6" t="s">
        <v>71</v>
      </c>
      <c r="AZ12" s="6" t="s">
        <v>72</v>
      </c>
      <c r="BC12" s="6" t="s">
        <v>71</v>
      </c>
      <c r="BI12" s="6" t="s">
        <v>71</v>
      </c>
    </row>
    <row r="13" spans="1:88">
      <c r="A13" s="5">
        <v>45363.607774502314</v>
      </c>
      <c r="B13" s="6" t="s">
        <v>141</v>
      </c>
      <c r="C13" s="6" t="s">
        <v>142</v>
      </c>
      <c r="D13" s="6">
        <v>20135200</v>
      </c>
      <c r="E13" s="6" t="s">
        <v>84</v>
      </c>
      <c r="F13" s="6" t="s">
        <v>143</v>
      </c>
      <c r="G13" s="6" t="s">
        <v>105</v>
      </c>
      <c r="H13" s="6" t="s">
        <v>144</v>
      </c>
      <c r="I13" s="6" t="s">
        <v>145</v>
      </c>
      <c r="J13" s="6" t="s">
        <v>146</v>
      </c>
      <c r="K13" s="6" t="s">
        <v>141</v>
      </c>
      <c r="L13" s="6" t="s">
        <v>89</v>
      </c>
      <c r="M13" s="6" t="s">
        <v>147</v>
      </c>
      <c r="N13" s="6">
        <v>35</v>
      </c>
      <c r="O13" s="6" t="s">
        <v>148</v>
      </c>
      <c r="P13" s="6">
        <v>5</v>
      </c>
      <c r="Q13" s="6">
        <v>5</v>
      </c>
      <c r="R13" s="6">
        <v>60</v>
      </c>
      <c r="T13" s="6" t="s">
        <v>71</v>
      </c>
      <c r="U13" s="6" t="s">
        <v>72</v>
      </c>
      <c r="V13" s="7" t="s">
        <v>74</v>
      </c>
      <c r="AQ13" s="6" t="s">
        <v>71</v>
      </c>
      <c r="AR13" s="6" t="s">
        <v>71</v>
      </c>
      <c r="AS13" s="6" t="s">
        <v>71</v>
      </c>
      <c r="AT13" s="6" t="s">
        <v>71</v>
      </c>
      <c r="AU13" s="6" t="s">
        <v>71</v>
      </c>
      <c r="AV13" s="6" t="s">
        <v>71</v>
      </c>
      <c r="AW13" s="6" t="s">
        <v>71</v>
      </c>
      <c r="AX13" s="6" t="s">
        <v>71</v>
      </c>
      <c r="AY13" s="6" t="s">
        <v>71</v>
      </c>
      <c r="AZ13" s="6" t="s">
        <v>71</v>
      </c>
      <c r="BA13" s="6" t="s">
        <v>71</v>
      </c>
      <c r="BB13" s="6" t="s">
        <v>71</v>
      </c>
      <c r="BC13" s="6" t="s">
        <v>71</v>
      </c>
      <c r="BD13" s="6" t="s">
        <v>71</v>
      </c>
      <c r="BE13" s="6" t="s">
        <v>71</v>
      </c>
      <c r="BF13" s="6" t="s">
        <v>71</v>
      </c>
      <c r="BG13" s="6" t="s">
        <v>71</v>
      </c>
      <c r="BH13" s="6" t="s">
        <v>71</v>
      </c>
      <c r="BI13" s="6" t="s">
        <v>71</v>
      </c>
    </row>
    <row r="14" spans="1:88">
      <c r="A14" s="5">
        <v>45363.627058645834</v>
      </c>
      <c r="B14" s="6" t="s">
        <v>149</v>
      </c>
      <c r="C14" s="6" t="s">
        <v>150</v>
      </c>
      <c r="D14" s="7" t="s">
        <v>151</v>
      </c>
      <c r="E14" s="6" t="s">
        <v>62</v>
      </c>
      <c r="F14" s="6" t="s">
        <v>152</v>
      </c>
      <c r="G14" s="6" t="s">
        <v>64</v>
      </c>
      <c r="H14" s="6" t="s">
        <v>153</v>
      </c>
      <c r="I14" s="6" t="s">
        <v>154</v>
      </c>
      <c r="J14" s="6" t="s">
        <v>155</v>
      </c>
      <c r="K14" s="6" t="s">
        <v>149</v>
      </c>
      <c r="L14" s="6" t="s">
        <v>138</v>
      </c>
      <c r="M14" s="6" t="s">
        <v>156</v>
      </c>
      <c r="N14" s="6">
        <v>35</v>
      </c>
      <c r="O14" s="6" t="s">
        <v>70</v>
      </c>
      <c r="P14" s="6">
        <v>4</v>
      </c>
      <c r="Q14" s="6">
        <v>4</v>
      </c>
      <c r="R14" s="6">
        <v>20</v>
      </c>
      <c r="S14" s="6" t="s">
        <v>157</v>
      </c>
      <c r="T14" s="6" t="s">
        <v>71</v>
      </c>
      <c r="U14" s="6" t="s">
        <v>72</v>
      </c>
      <c r="V14" s="7" t="s">
        <v>74</v>
      </c>
      <c r="AQ14" s="6" t="s">
        <v>71</v>
      </c>
      <c r="AR14" s="6" t="s">
        <v>72</v>
      </c>
      <c r="AS14" s="6" t="s">
        <v>72</v>
      </c>
      <c r="AT14" s="6" t="s">
        <v>71</v>
      </c>
      <c r="AU14" s="6" t="s">
        <v>72</v>
      </c>
      <c r="AV14" s="6" t="s">
        <v>71</v>
      </c>
      <c r="AW14" s="6" t="s">
        <v>71</v>
      </c>
      <c r="AX14" s="6" t="s">
        <v>71</v>
      </c>
      <c r="AY14" s="6" t="s">
        <v>72</v>
      </c>
      <c r="AZ14" s="6" t="s">
        <v>72</v>
      </c>
      <c r="BA14" s="6" t="s">
        <v>71</v>
      </c>
      <c r="BB14" s="6" t="s">
        <v>71</v>
      </c>
      <c r="BC14" s="6" t="s">
        <v>71</v>
      </c>
      <c r="BD14" s="6" t="s">
        <v>72</v>
      </c>
      <c r="BE14" s="6" t="s">
        <v>72</v>
      </c>
      <c r="BF14" s="6" t="s">
        <v>72</v>
      </c>
      <c r="BG14" s="6" t="s">
        <v>72</v>
      </c>
      <c r="BH14" s="6" t="s">
        <v>72</v>
      </c>
      <c r="BI14" s="6" t="s">
        <v>72</v>
      </c>
      <c r="BJ14" s="6" t="s">
        <v>158</v>
      </c>
    </row>
    <row r="15" spans="1:88">
      <c r="A15" s="5">
        <v>45363.631155625</v>
      </c>
      <c r="B15" s="6" t="s">
        <v>149</v>
      </c>
      <c r="C15" s="6" t="s">
        <v>150</v>
      </c>
      <c r="D15" s="7" t="s">
        <v>151</v>
      </c>
      <c r="E15" s="6" t="s">
        <v>62</v>
      </c>
      <c r="F15" s="6" t="s">
        <v>159</v>
      </c>
      <c r="G15" s="6" t="s">
        <v>64</v>
      </c>
      <c r="H15" s="6" t="s">
        <v>154</v>
      </c>
      <c r="I15" s="6" t="s">
        <v>160</v>
      </c>
      <c r="J15" s="6" t="s">
        <v>161</v>
      </c>
      <c r="K15" s="6" t="s">
        <v>149</v>
      </c>
      <c r="L15" s="6" t="s">
        <v>138</v>
      </c>
      <c r="M15" s="6" t="s">
        <v>162</v>
      </c>
      <c r="N15" s="6">
        <v>35</v>
      </c>
      <c r="O15" s="6" t="s">
        <v>70</v>
      </c>
      <c r="P15" s="6">
        <v>4</v>
      </c>
      <c r="Q15" s="6">
        <v>4</v>
      </c>
      <c r="R15" s="6">
        <v>20</v>
      </c>
      <c r="S15" s="6" t="s">
        <v>163</v>
      </c>
      <c r="T15" s="6" t="s">
        <v>71</v>
      </c>
      <c r="U15" s="6" t="s">
        <v>72</v>
      </c>
      <c r="V15" s="7" t="s">
        <v>74</v>
      </c>
      <c r="AQ15" s="6" t="s">
        <v>71</v>
      </c>
      <c r="AR15" s="6" t="s">
        <v>72</v>
      </c>
      <c r="AS15" s="6" t="s">
        <v>72</v>
      </c>
      <c r="AT15" s="6" t="s">
        <v>71</v>
      </c>
      <c r="AU15" s="6" t="s">
        <v>72</v>
      </c>
      <c r="AV15" s="6" t="s">
        <v>71</v>
      </c>
      <c r="AW15" s="6" t="s">
        <v>71</v>
      </c>
      <c r="AX15" s="6" t="s">
        <v>71</v>
      </c>
      <c r="AY15" s="6" t="s">
        <v>72</v>
      </c>
      <c r="AZ15" s="6" t="s">
        <v>72</v>
      </c>
      <c r="BA15" s="6" t="s">
        <v>71</v>
      </c>
      <c r="BB15" s="6" t="s">
        <v>71</v>
      </c>
      <c r="BC15" s="6" t="s">
        <v>71</v>
      </c>
      <c r="BD15" s="6" t="s">
        <v>72</v>
      </c>
      <c r="BE15" s="6" t="s">
        <v>72</v>
      </c>
      <c r="BF15" s="6" t="s">
        <v>72</v>
      </c>
      <c r="BG15" s="6" t="s">
        <v>72</v>
      </c>
      <c r="BH15" s="6" t="s">
        <v>72</v>
      </c>
      <c r="BI15" s="6" t="s">
        <v>72</v>
      </c>
      <c r="BJ15" s="6" t="s">
        <v>164</v>
      </c>
    </row>
    <row r="16" spans="1:88">
      <c r="A16" s="5">
        <v>45363.661298252315</v>
      </c>
      <c r="B16" s="6" t="s">
        <v>165</v>
      </c>
      <c r="C16" s="6" t="s">
        <v>166</v>
      </c>
      <c r="D16" s="7" t="s">
        <v>167</v>
      </c>
      <c r="E16" s="6" t="s">
        <v>168</v>
      </c>
      <c r="F16" s="6" t="s">
        <v>169</v>
      </c>
      <c r="G16" s="6" t="s">
        <v>64</v>
      </c>
      <c r="H16" s="6" t="s">
        <v>170</v>
      </c>
      <c r="I16" s="6" t="s">
        <v>171</v>
      </c>
      <c r="J16" s="6" t="s">
        <v>172</v>
      </c>
      <c r="K16" s="6" t="s">
        <v>165</v>
      </c>
      <c r="L16" s="6" t="s">
        <v>89</v>
      </c>
      <c r="M16" s="6" t="s">
        <v>173</v>
      </c>
      <c r="N16" s="6">
        <v>35</v>
      </c>
      <c r="O16" s="6" t="s">
        <v>70</v>
      </c>
      <c r="P16" s="6">
        <v>4</v>
      </c>
      <c r="Q16" s="6">
        <v>4</v>
      </c>
      <c r="R16" s="6">
        <v>30</v>
      </c>
      <c r="T16" s="6" t="s">
        <v>71</v>
      </c>
      <c r="U16" s="6" t="s">
        <v>72</v>
      </c>
      <c r="V16" s="7" t="s">
        <v>74</v>
      </c>
      <c r="AQ16" s="6" t="s">
        <v>71</v>
      </c>
      <c r="AR16" s="6" t="s">
        <v>71</v>
      </c>
      <c r="AS16" s="6" t="s">
        <v>71</v>
      </c>
      <c r="AT16" s="6" t="s">
        <v>71</v>
      </c>
      <c r="AU16" s="6" t="s">
        <v>71</v>
      </c>
      <c r="AV16" s="6" t="s">
        <v>71</v>
      </c>
      <c r="AW16" s="6" t="s">
        <v>71</v>
      </c>
      <c r="AX16" s="6" t="s">
        <v>71</v>
      </c>
      <c r="AY16" s="6" t="s">
        <v>71</v>
      </c>
      <c r="AZ16" s="6" t="s">
        <v>71</v>
      </c>
      <c r="BA16" s="6" t="s">
        <v>71</v>
      </c>
      <c r="BB16" s="6" t="s">
        <v>71</v>
      </c>
      <c r="BC16" s="6" t="s">
        <v>71</v>
      </c>
      <c r="BD16" s="6" t="s">
        <v>71</v>
      </c>
      <c r="BE16" s="6" t="s">
        <v>71</v>
      </c>
      <c r="BF16" s="6" t="s">
        <v>71</v>
      </c>
      <c r="BG16" s="6" t="s">
        <v>71</v>
      </c>
      <c r="BH16" s="6" t="s">
        <v>71</v>
      </c>
      <c r="BI16" s="6" t="s">
        <v>71</v>
      </c>
    </row>
    <row r="17" spans="1:62">
      <c r="A17" s="5">
        <v>45363.691134629626</v>
      </c>
      <c r="B17" s="6" t="s">
        <v>174</v>
      </c>
      <c r="C17" s="6" t="s">
        <v>175</v>
      </c>
      <c r="D17" s="7" t="s">
        <v>176</v>
      </c>
      <c r="E17" s="6" t="s">
        <v>84</v>
      </c>
      <c r="F17" s="6" t="s">
        <v>177</v>
      </c>
      <c r="G17" s="6" t="s">
        <v>64</v>
      </c>
      <c r="H17" s="6" t="s">
        <v>178</v>
      </c>
      <c r="I17" s="6" t="s">
        <v>179</v>
      </c>
      <c r="J17" s="6" t="s">
        <v>180</v>
      </c>
      <c r="K17" s="6" t="s">
        <v>174</v>
      </c>
      <c r="L17" s="6" t="s">
        <v>68</v>
      </c>
      <c r="M17" s="6" t="s">
        <v>181</v>
      </c>
      <c r="N17" s="6">
        <v>23</v>
      </c>
      <c r="O17" s="6" t="s">
        <v>70</v>
      </c>
      <c r="P17" s="6">
        <v>4</v>
      </c>
      <c r="Q17" s="6">
        <v>3</v>
      </c>
      <c r="R17" s="6">
        <v>0</v>
      </c>
      <c r="T17" s="6" t="s">
        <v>71</v>
      </c>
      <c r="U17" s="6" t="s">
        <v>72</v>
      </c>
      <c r="V17" s="7" t="s">
        <v>74</v>
      </c>
      <c r="AQ17" s="6" t="s">
        <v>71</v>
      </c>
      <c r="AR17" s="6" t="s">
        <v>71</v>
      </c>
      <c r="AS17" s="6" t="s">
        <v>71</v>
      </c>
      <c r="AT17" s="6" t="s">
        <v>72</v>
      </c>
      <c r="AU17" s="6" t="s">
        <v>71</v>
      </c>
      <c r="AV17" s="6" t="s">
        <v>71</v>
      </c>
      <c r="AW17" s="6" t="s">
        <v>71</v>
      </c>
      <c r="AX17" s="6" t="s">
        <v>72</v>
      </c>
      <c r="AY17" s="6" t="s">
        <v>72</v>
      </c>
      <c r="AZ17" s="6" t="s">
        <v>72</v>
      </c>
      <c r="BA17" s="6" t="s">
        <v>71</v>
      </c>
      <c r="BB17" s="6" t="s">
        <v>71</v>
      </c>
      <c r="BC17" s="6" t="s">
        <v>71</v>
      </c>
      <c r="BD17" s="6" t="s">
        <v>72</v>
      </c>
      <c r="BE17" s="6" t="s">
        <v>72</v>
      </c>
      <c r="BF17" s="6" t="s">
        <v>71</v>
      </c>
      <c r="BG17" s="6" t="s">
        <v>71</v>
      </c>
      <c r="BH17" s="6" t="s">
        <v>72</v>
      </c>
      <c r="BI17" s="6" t="s">
        <v>72</v>
      </c>
      <c r="BJ17" s="6" t="s">
        <v>182</v>
      </c>
    </row>
    <row r="18" spans="1:62">
      <c r="A18" s="5">
        <v>45363.718439537042</v>
      </c>
      <c r="B18" s="6" t="s">
        <v>183</v>
      </c>
      <c r="C18" s="6" t="s">
        <v>184</v>
      </c>
      <c r="D18" s="7" t="s">
        <v>185</v>
      </c>
      <c r="E18" s="6" t="s">
        <v>84</v>
      </c>
      <c r="F18" s="6" t="s">
        <v>186</v>
      </c>
      <c r="G18" s="6" t="s">
        <v>64</v>
      </c>
      <c r="H18" s="6" t="s">
        <v>187</v>
      </c>
      <c r="I18" s="6" t="s">
        <v>188</v>
      </c>
      <c r="J18" s="6" t="s">
        <v>189</v>
      </c>
      <c r="K18" s="6" t="s">
        <v>183</v>
      </c>
      <c r="L18" s="6" t="s">
        <v>89</v>
      </c>
      <c r="M18" s="6" t="s">
        <v>190</v>
      </c>
      <c r="N18" s="6">
        <v>30</v>
      </c>
      <c r="O18" s="6" t="s">
        <v>70</v>
      </c>
      <c r="P18" s="6">
        <v>3</v>
      </c>
      <c r="Q18" s="6">
        <v>3</v>
      </c>
      <c r="R18" s="6">
        <v>50</v>
      </c>
      <c r="T18" s="6" t="s">
        <v>71</v>
      </c>
      <c r="U18" s="6" t="s">
        <v>72</v>
      </c>
      <c r="V18" s="7" t="s">
        <v>74</v>
      </c>
      <c r="AQ18" s="6" t="s">
        <v>71</v>
      </c>
      <c r="AR18" s="6" t="s">
        <v>71</v>
      </c>
      <c r="AS18" s="6" t="s">
        <v>71</v>
      </c>
      <c r="AT18" s="6" t="s">
        <v>72</v>
      </c>
      <c r="AU18" s="6" t="s">
        <v>71</v>
      </c>
      <c r="AV18" s="6" t="s">
        <v>71</v>
      </c>
      <c r="AW18" s="6" t="s">
        <v>71</v>
      </c>
      <c r="AX18" s="6" t="s">
        <v>72</v>
      </c>
      <c r="AY18" s="6" t="s">
        <v>72</v>
      </c>
      <c r="AZ18" s="6" t="s">
        <v>72</v>
      </c>
      <c r="BA18" s="6" t="s">
        <v>71</v>
      </c>
      <c r="BB18" s="6" t="s">
        <v>71</v>
      </c>
      <c r="BC18" s="6" t="s">
        <v>71</v>
      </c>
      <c r="BD18" s="6" t="s">
        <v>72</v>
      </c>
      <c r="BE18" s="6" t="s">
        <v>72</v>
      </c>
      <c r="BF18" s="6" t="s">
        <v>71</v>
      </c>
      <c r="BG18" s="6" t="s">
        <v>71</v>
      </c>
      <c r="BH18" s="6" t="s">
        <v>72</v>
      </c>
      <c r="BI18" s="6" t="s">
        <v>72</v>
      </c>
      <c r="BJ18" s="6" t="s">
        <v>191</v>
      </c>
    </row>
    <row r="19" spans="1:62">
      <c r="A19" s="5">
        <v>45363.720605590279</v>
      </c>
      <c r="B19" s="6" t="s">
        <v>183</v>
      </c>
      <c r="C19" s="6" t="s">
        <v>184</v>
      </c>
      <c r="D19" s="7" t="s">
        <v>185</v>
      </c>
      <c r="E19" s="6" t="s">
        <v>133</v>
      </c>
      <c r="F19" s="6" t="s">
        <v>192</v>
      </c>
      <c r="G19" s="6" t="s">
        <v>64</v>
      </c>
      <c r="H19" s="6" t="s">
        <v>187</v>
      </c>
      <c r="I19" s="6" t="s">
        <v>193</v>
      </c>
      <c r="J19" s="6" t="s">
        <v>194</v>
      </c>
      <c r="K19" s="6" t="s">
        <v>183</v>
      </c>
      <c r="L19" s="6" t="s">
        <v>89</v>
      </c>
      <c r="M19" s="6" t="s">
        <v>190</v>
      </c>
      <c r="N19" s="6">
        <v>34</v>
      </c>
      <c r="O19" s="6" t="s">
        <v>70</v>
      </c>
      <c r="P19" s="6">
        <v>3</v>
      </c>
      <c r="Q19" s="6">
        <v>3</v>
      </c>
      <c r="R19" s="6">
        <v>50</v>
      </c>
      <c r="S19" s="6" t="s">
        <v>191</v>
      </c>
      <c r="T19" s="6" t="s">
        <v>71</v>
      </c>
      <c r="U19" s="6" t="s">
        <v>72</v>
      </c>
      <c r="V19" s="7" t="s">
        <v>74</v>
      </c>
      <c r="AQ19" s="6" t="s">
        <v>71</v>
      </c>
      <c r="AR19" s="6" t="s">
        <v>71</v>
      </c>
      <c r="AS19" s="6" t="s">
        <v>71</v>
      </c>
      <c r="AT19" s="6" t="s">
        <v>72</v>
      </c>
      <c r="AU19" s="6" t="s">
        <v>71</v>
      </c>
      <c r="AV19" s="6" t="s">
        <v>71</v>
      </c>
      <c r="AW19" s="6" t="s">
        <v>71</v>
      </c>
      <c r="AX19" s="6" t="s">
        <v>72</v>
      </c>
      <c r="AY19" s="6" t="s">
        <v>72</v>
      </c>
      <c r="AZ19" s="6" t="s">
        <v>72</v>
      </c>
      <c r="BA19" s="6" t="s">
        <v>71</v>
      </c>
      <c r="BB19" s="6" t="s">
        <v>71</v>
      </c>
      <c r="BC19" s="6" t="s">
        <v>71</v>
      </c>
      <c r="BD19" s="6" t="s">
        <v>72</v>
      </c>
      <c r="BE19" s="6" t="s">
        <v>72</v>
      </c>
      <c r="BF19" s="6" t="s">
        <v>71</v>
      </c>
      <c r="BG19" s="6" t="s">
        <v>71</v>
      </c>
      <c r="BH19" s="6" t="s">
        <v>72</v>
      </c>
      <c r="BI19" s="6" t="s">
        <v>72</v>
      </c>
      <c r="BJ19" s="6" t="s">
        <v>191</v>
      </c>
    </row>
    <row r="20" spans="1:62">
      <c r="A20" s="5">
        <v>45363.732282152778</v>
      </c>
      <c r="B20" s="6" t="s">
        <v>195</v>
      </c>
      <c r="C20" s="6" t="s">
        <v>196</v>
      </c>
      <c r="D20" s="6" t="s">
        <v>197</v>
      </c>
      <c r="E20" s="6" t="s">
        <v>62</v>
      </c>
      <c r="F20" s="6" t="s">
        <v>198</v>
      </c>
      <c r="G20" s="6" t="s">
        <v>64</v>
      </c>
      <c r="H20" s="6" t="s">
        <v>199</v>
      </c>
      <c r="I20" s="6" t="s">
        <v>200</v>
      </c>
      <c r="J20" s="6" t="s">
        <v>200</v>
      </c>
      <c r="K20" s="6" t="s">
        <v>195</v>
      </c>
      <c r="L20" s="6" t="s">
        <v>68</v>
      </c>
      <c r="M20" s="6" t="s">
        <v>201</v>
      </c>
      <c r="N20" s="6">
        <v>30</v>
      </c>
      <c r="O20" s="6" t="s">
        <v>70</v>
      </c>
      <c r="P20" s="6">
        <v>5</v>
      </c>
      <c r="Q20" s="6">
        <v>5</v>
      </c>
      <c r="R20" s="6">
        <v>0</v>
      </c>
      <c r="S20" s="6" t="s">
        <v>200</v>
      </c>
      <c r="T20" s="6" t="s">
        <v>71</v>
      </c>
      <c r="U20" s="6" t="s">
        <v>71</v>
      </c>
      <c r="V20" s="7" t="s">
        <v>74</v>
      </c>
      <c r="AQ20" s="6" t="s">
        <v>71</v>
      </c>
      <c r="AR20" s="6" t="s">
        <v>72</v>
      </c>
      <c r="AS20" s="6" t="s">
        <v>72</v>
      </c>
      <c r="AT20" s="6" t="s">
        <v>72</v>
      </c>
      <c r="AU20" s="6" t="s">
        <v>72</v>
      </c>
      <c r="AV20" s="6" t="s">
        <v>71</v>
      </c>
      <c r="AW20" s="6" t="s">
        <v>72</v>
      </c>
      <c r="AX20" s="6" t="s">
        <v>72</v>
      </c>
      <c r="AY20" s="6" t="s">
        <v>72</v>
      </c>
      <c r="AZ20" s="6" t="s">
        <v>72</v>
      </c>
      <c r="BA20" s="6" t="s">
        <v>72</v>
      </c>
      <c r="BB20" s="6" t="s">
        <v>71</v>
      </c>
      <c r="BC20" s="6" t="s">
        <v>72</v>
      </c>
      <c r="BD20" s="6" t="s">
        <v>72</v>
      </c>
      <c r="BE20" s="6" t="s">
        <v>72</v>
      </c>
      <c r="BF20" s="6" t="s">
        <v>72</v>
      </c>
      <c r="BG20" s="6" t="s">
        <v>71</v>
      </c>
      <c r="BH20" s="6" t="s">
        <v>72</v>
      </c>
      <c r="BI20" s="6" t="s">
        <v>72</v>
      </c>
    </row>
    <row r="21" spans="1:62">
      <c r="A21" s="5">
        <v>45363.765476817134</v>
      </c>
      <c r="B21" s="6" t="s">
        <v>202</v>
      </c>
      <c r="C21" s="6" t="s">
        <v>203</v>
      </c>
      <c r="D21" s="6">
        <v>29003000</v>
      </c>
      <c r="E21" s="6" t="s">
        <v>62</v>
      </c>
      <c r="F21" s="6" t="s">
        <v>204</v>
      </c>
      <c r="G21" s="6" t="s">
        <v>64</v>
      </c>
      <c r="H21" s="6" t="s">
        <v>205</v>
      </c>
      <c r="I21" s="6" t="s">
        <v>206</v>
      </c>
      <c r="J21" s="6" t="s">
        <v>207</v>
      </c>
      <c r="K21" s="6" t="s">
        <v>202</v>
      </c>
      <c r="L21" s="6" t="s">
        <v>89</v>
      </c>
      <c r="M21" s="6" t="s">
        <v>208</v>
      </c>
      <c r="N21" s="6">
        <v>32</v>
      </c>
      <c r="O21" s="6" t="s">
        <v>70</v>
      </c>
      <c r="P21" s="6">
        <v>5</v>
      </c>
      <c r="Q21" s="6">
        <v>5</v>
      </c>
      <c r="R21" s="6">
        <v>10</v>
      </c>
      <c r="T21" s="6" t="s">
        <v>71</v>
      </c>
      <c r="U21" s="6" t="s">
        <v>72</v>
      </c>
      <c r="V21" s="7" t="s">
        <v>74</v>
      </c>
      <c r="AQ21" s="6" t="s">
        <v>71</v>
      </c>
      <c r="AR21" s="6" t="s">
        <v>71</v>
      </c>
      <c r="AS21" s="6" t="s">
        <v>71</v>
      </c>
      <c r="AT21" s="6" t="s">
        <v>72</v>
      </c>
      <c r="AU21" s="6" t="s">
        <v>71</v>
      </c>
      <c r="AV21" s="6" t="s">
        <v>71</v>
      </c>
      <c r="AW21" s="6" t="s">
        <v>71</v>
      </c>
      <c r="AX21" s="6" t="s">
        <v>72</v>
      </c>
      <c r="AY21" s="6" t="s">
        <v>72</v>
      </c>
      <c r="AZ21" s="6" t="s">
        <v>72</v>
      </c>
      <c r="BA21" s="6" t="s">
        <v>71</v>
      </c>
      <c r="BB21" s="6" t="s">
        <v>71</v>
      </c>
      <c r="BC21" s="6" t="s">
        <v>71</v>
      </c>
      <c r="BD21" s="6" t="s">
        <v>72</v>
      </c>
      <c r="BE21" s="6" t="s">
        <v>72</v>
      </c>
      <c r="BF21" s="6" t="s">
        <v>71</v>
      </c>
      <c r="BG21" s="6" t="s">
        <v>71</v>
      </c>
      <c r="BH21" s="6" t="s">
        <v>72</v>
      </c>
      <c r="BI21" s="6" t="s">
        <v>72</v>
      </c>
    </row>
    <row r="22" spans="1:62">
      <c r="A22" s="5">
        <v>45363.789353472224</v>
      </c>
      <c r="B22" s="6" t="s">
        <v>209</v>
      </c>
      <c r="C22" s="6" t="s">
        <v>210</v>
      </c>
      <c r="D22" s="7" t="s">
        <v>211</v>
      </c>
      <c r="E22" s="6" t="s">
        <v>212</v>
      </c>
      <c r="F22" s="6" t="s">
        <v>213</v>
      </c>
      <c r="G22" s="6" t="s">
        <v>105</v>
      </c>
      <c r="H22" s="6" t="s">
        <v>214</v>
      </c>
      <c r="I22" s="6" t="s">
        <v>215</v>
      </c>
      <c r="J22" s="6" t="s">
        <v>216</v>
      </c>
      <c r="K22" s="6" t="s">
        <v>209</v>
      </c>
      <c r="L22" s="6" t="s">
        <v>89</v>
      </c>
      <c r="M22" s="6" t="s">
        <v>217</v>
      </c>
      <c r="N22" s="6">
        <v>25</v>
      </c>
      <c r="O22" s="6" t="s">
        <v>148</v>
      </c>
      <c r="P22" s="6">
        <v>5</v>
      </c>
      <c r="Q22" s="6">
        <v>5</v>
      </c>
      <c r="R22" s="6">
        <v>80</v>
      </c>
      <c r="T22" s="6" t="s">
        <v>71</v>
      </c>
      <c r="U22" s="6" t="s">
        <v>72</v>
      </c>
      <c r="V22" s="7" t="s">
        <v>74</v>
      </c>
      <c r="AQ22" s="6" t="s">
        <v>72</v>
      </c>
      <c r="AR22" s="6" t="s">
        <v>72</v>
      </c>
      <c r="AS22" s="6" t="s">
        <v>72</v>
      </c>
      <c r="AT22" s="6" t="s">
        <v>72</v>
      </c>
      <c r="AU22" s="6" t="s">
        <v>71</v>
      </c>
      <c r="AV22" s="6" t="s">
        <v>72</v>
      </c>
      <c r="AW22" s="6" t="s">
        <v>72</v>
      </c>
      <c r="AX22" s="6" t="s">
        <v>72</v>
      </c>
      <c r="AY22" s="6" t="s">
        <v>72</v>
      </c>
      <c r="AZ22" s="6" t="s">
        <v>72</v>
      </c>
      <c r="BA22" s="6" t="s">
        <v>72</v>
      </c>
      <c r="BB22" s="6" t="s">
        <v>71</v>
      </c>
      <c r="BC22" s="6" t="s">
        <v>72</v>
      </c>
      <c r="BD22" s="6" t="s">
        <v>72</v>
      </c>
      <c r="BE22" s="6" t="s">
        <v>72</v>
      </c>
      <c r="BF22" s="6" t="s">
        <v>72</v>
      </c>
      <c r="BG22" s="6" t="s">
        <v>71</v>
      </c>
      <c r="BH22" s="6" t="s">
        <v>72</v>
      </c>
      <c r="BI22" s="6" t="s">
        <v>72</v>
      </c>
    </row>
    <row r="23" spans="1:62">
      <c r="A23" s="5">
        <v>45364.032977152776</v>
      </c>
      <c r="B23" s="6" t="s">
        <v>218</v>
      </c>
      <c r="C23" s="6" t="s">
        <v>219</v>
      </c>
      <c r="D23" s="6">
        <v>200958</v>
      </c>
      <c r="E23" s="6" t="s">
        <v>133</v>
      </c>
      <c r="F23" s="6" t="s">
        <v>220</v>
      </c>
      <c r="G23" s="6" t="s">
        <v>64</v>
      </c>
      <c r="H23" s="6" t="s">
        <v>221</v>
      </c>
      <c r="I23" s="6" t="s">
        <v>222</v>
      </c>
      <c r="J23" s="6" t="s">
        <v>223</v>
      </c>
      <c r="K23" s="6" t="s">
        <v>218</v>
      </c>
      <c r="L23" s="6" t="s">
        <v>89</v>
      </c>
      <c r="M23" s="6" t="s">
        <v>224</v>
      </c>
      <c r="N23" s="6">
        <v>35</v>
      </c>
      <c r="O23" s="6" t="s">
        <v>70</v>
      </c>
      <c r="P23" s="6">
        <v>4</v>
      </c>
      <c r="Q23" s="6">
        <v>4</v>
      </c>
      <c r="R23" s="6">
        <v>5</v>
      </c>
      <c r="T23" s="6" t="s">
        <v>71</v>
      </c>
      <c r="U23" s="6" t="s">
        <v>72</v>
      </c>
      <c r="V23" s="7" t="s">
        <v>74</v>
      </c>
      <c r="AQ23" s="6" t="s">
        <v>71</v>
      </c>
      <c r="AR23" s="6" t="s">
        <v>71</v>
      </c>
      <c r="AS23" s="6" t="s">
        <v>72</v>
      </c>
      <c r="AT23" s="6" t="s">
        <v>71</v>
      </c>
      <c r="AU23" s="6" t="s">
        <v>72</v>
      </c>
      <c r="AV23" s="6" t="s">
        <v>72</v>
      </c>
      <c r="AW23" s="6" t="s">
        <v>72</v>
      </c>
      <c r="AX23" s="6" t="s">
        <v>72</v>
      </c>
      <c r="AY23" s="6" t="s">
        <v>72</v>
      </c>
      <c r="AZ23" s="6" t="s">
        <v>72</v>
      </c>
      <c r="BA23" s="6" t="s">
        <v>71</v>
      </c>
      <c r="BB23" s="6" t="s">
        <v>72</v>
      </c>
      <c r="BC23" s="6" t="s">
        <v>72</v>
      </c>
      <c r="BD23" s="6" t="s">
        <v>72</v>
      </c>
      <c r="BE23" s="6" t="s">
        <v>72</v>
      </c>
      <c r="BF23" s="6" t="s">
        <v>71</v>
      </c>
      <c r="BG23" s="6" t="s">
        <v>72</v>
      </c>
      <c r="BH23" s="6" t="s">
        <v>71</v>
      </c>
      <c r="BI23" s="6" t="s">
        <v>71</v>
      </c>
    </row>
    <row r="24" spans="1:62">
      <c r="A24" s="5">
        <v>45364.351516631941</v>
      </c>
      <c r="B24" s="6" t="s">
        <v>225</v>
      </c>
      <c r="C24" s="6" t="s">
        <v>226</v>
      </c>
      <c r="D24" s="7" t="s">
        <v>227</v>
      </c>
      <c r="E24" s="6" t="s">
        <v>62</v>
      </c>
      <c r="F24" s="6" t="s">
        <v>228</v>
      </c>
      <c r="G24" s="6" t="s">
        <v>64</v>
      </c>
      <c r="H24" s="6" t="s">
        <v>229</v>
      </c>
      <c r="I24" s="6" t="s">
        <v>230</v>
      </c>
      <c r="K24" s="6" t="s">
        <v>225</v>
      </c>
      <c r="L24" s="6" t="s">
        <v>138</v>
      </c>
      <c r="M24" s="6" t="s">
        <v>231</v>
      </c>
      <c r="N24" s="6">
        <v>25</v>
      </c>
      <c r="O24" s="6" t="s">
        <v>70</v>
      </c>
      <c r="P24" s="6">
        <v>3</v>
      </c>
      <c r="Q24" s="6">
        <v>3</v>
      </c>
      <c r="R24" s="6">
        <v>60</v>
      </c>
      <c r="T24" s="6" t="s">
        <v>71</v>
      </c>
      <c r="U24" s="6" t="s">
        <v>72</v>
      </c>
      <c r="V24" s="7" t="s">
        <v>74</v>
      </c>
      <c r="AQ24" s="6" t="s">
        <v>71</v>
      </c>
      <c r="AR24" s="6" t="s">
        <v>71</v>
      </c>
      <c r="AS24" s="6" t="s">
        <v>72</v>
      </c>
      <c r="AT24" s="6" t="s">
        <v>72</v>
      </c>
      <c r="AU24" s="6" t="s">
        <v>71</v>
      </c>
      <c r="AV24" s="6" t="s">
        <v>71</v>
      </c>
      <c r="AW24" s="6" t="s">
        <v>72</v>
      </c>
      <c r="AX24" s="6" t="s">
        <v>72</v>
      </c>
      <c r="AY24" s="6" t="s">
        <v>72</v>
      </c>
      <c r="AZ24" s="6" t="s">
        <v>72</v>
      </c>
      <c r="BA24" s="6" t="s">
        <v>71</v>
      </c>
      <c r="BB24" s="6" t="s">
        <v>71</v>
      </c>
      <c r="BC24" s="6" t="s">
        <v>72</v>
      </c>
      <c r="BD24" s="6" t="s">
        <v>72</v>
      </c>
      <c r="BE24" s="6" t="s">
        <v>72</v>
      </c>
      <c r="BF24" s="6" t="s">
        <v>71</v>
      </c>
      <c r="BG24" s="6" t="s">
        <v>72</v>
      </c>
      <c r="BH24" s="6" t="s">
        <v>72</v>
      </c>
      <c r="BI24" s="6" t="s">
        <v>72</v>
      </c>
    </row>
    <row r="25" spans="1:62">
      <c r="A25" s="5">
        <v>45364.355333622691</v>
      </c>
      <c r="B25" s="6" t="s">
        <v>232</v>
      </c>
      <c r="C25" s="6" t="s">
        <v>233</v>
      </c>
      <c r="D25" s="7" t="s">
        <v>234</v>
      </c>
      <c r="E25" s="6" t="s">
        <v>62</v>
      </c>
      <c r="F25" s="6" t="s">
        <v>235</v>
      </c>
      <c r="G25" s="6" t="s">
        <v>64</v>
      </c>
      <c r="H25" s="6" t="s">
        <v>236</v>
      </c>
      <c r="I25" s="6" t="s">
        <v>237</v>
      </c>
      <c r="K25" s="6" t="s">
        <v>232</v>
      </c>
      <c r="L25" s="6" t="s">
        <v>68</v>
      </c>
      <c r="M25" s="6" t="s">
        <v>238</v>
      </c>
      <c r="N25" s="6">
        <v>35</v>
      </c>
      <c r="O25" s="6" t="s">
        <v>70</v>
      </c>
      <c r="P25" s="6">
        <v>5</v>
      </c>
      <c r="Q25" s="6">
        <v>5</v>
      </c>
      <c r="R25" s="6">
        <v>0</v>
      </c>
      <c r="T25" s="6" t="s">
        <v>71</v>
      </c>
      <c r="U25" s="6" t="s">
        <v>72</v>
      </c>
      <c r="V25" s="7" t="s">
        <v>74</v>
      </c>
      <c r="AQ25" s="6" t="s">
        <v>71</v>
      </c>
      <c r="AR25" s="6" t="s">
        <v>71</v>
      </c>
      <c r="AS25" s="6" t="s">
        <v>71</v>
      </c>
      <c r="AT25" s="6" t="s">
        <v>72</v>
      </c>
      <c r="AU25" s="6" t="s">
        <v>71</v>
      </c>
      <c r="AV25" s="6" t="s">
        <v>71</v>
      </c>
      <c r="AW25" s="6" t="s">
        <v>71</v>
      </c>
      <c r="AX25" s="6" t="s">
        <v>72</v>
      </c>
      <c r="AY25" s="6" t="s">
        <v>72</v>
      </c>
      <c r="AZ25" s="6" t="s">
        <v>72</v>
      </c>
      <c r="BA25" s="6" t="s">
        <v>71</v>
      </c>
      <c r="BB25" s="6" t="s">
        <v>71</v>
      </c>
      <c r="BC25" s="6" t="s">
        <v>71</v>
      </c>
      <c r="BD25" s="6" t="s">
        <v>72</v>
      </c>
      <c r="BE25" s="6" t="s">
        <v>72</v>
      </c>
      <c r="BF25" s="6" t="s">
        <v>71</v>
      </c>
      <c r="BG25" s="6" t="s">
        <v>71</v>
      </c>
      <c r="BH25" s="6" t="s">
        <v>72</v>
      </c>
      <c r="BI25" s="6" t="s">
        <v>72</v>
      </c>
    </row>
    <row r="26" spans="1:62">
      <c r="A26" s="5">
        <v>45364.370788275468</v>
      </c>
      <c r="B26" s="6" t="s">
        <v>1279</v>
      </c>
      <c r="C26" s="6" t="s">
        <v>1308</v>
      </c>
      <c r="D26" s="7" t="s">
        <v>1281</v>
      </c>
      <c r="E26" s="6" t="s">
        <v>62</v>
      </c>
      <c r="F26" s="6" t="s">
        <v>235</v>
      </c>
      <c r="G26" s="6" t="s">
        <v>105</v>
      </c>
      <c r="H26" s="6" t="s">
        <v>1282</v>
      </c>
      <c r="I26" s="6" t="s">
        <v>1283</v>
      </c>
      <c r="K26" s="6" t="s">
        <v>1279</v>
      </c>
      <c r="L26" s="6" t="s">
        <v>89</v>
      </c>
      <c r="M26" s="6" t="s">
        <v>664</v>
      </c>
      <c r="N26" s="6">
        <v>25</v>
      </c>
      <c r="O26" s="6" t="s">
        <v>148</v>
      </c>
      <c r="P26" s="6">
        <v>5</v>
      </c>
      <c r="Q26" s="6">
        <v>5</v>
      </c>
      <c r="R26" s="6">
        <v>0</v>
      </c>
      <c r="T26" s="6" t="s">
        <v>71</v>
      </c>
      <c r="U26" s="6" t="s">
        <v>72</v>
      </c>
      <c r="V26" s="7" t="s">
        <v>74</v>
      </c>
      <c r="AQ26" s="6" t="s">
        <v>71</v>
      </c>
      <c r="AR26" s="6" t="s">
        <v>72</v>
      </c>
      <c r="AS26" s="6" t="s">
        <v>72</v>
      </c>
      <c r="AT26" s="6" t="s">
        <v>72</v>
      </c>
      <c r="AU26" s="6" t="s">
        <v>72</v>
      </c>
      <c r="AV26" s="6" t="s">
        <v>71</v>
      </c>
      <c r="AW26" s="6" t="s">
        <v>71</v>
      </c>
      <c r="AX26" s="6" t="s">
        <v>72</v>
      </c>
      <c r="AY26" s="6" t="s">
        <v>72</v>
      </c>
      <c r="AZ26" s="6" t="s">
        <v>72</v>
      </c>
      <c r="BA26" s="6" t="s">
        <v>72</v>
      </c>
      <c r="BB26" s="6" t="s">
        <v>72</v>
      </c>
      <c r="BC26" s="6" t="s">
        <v>72</v>
      </c>
      <c r="BE26" s="6" t="s">
        <v>72</v>
      </c>
      <c r="BF26" s="6" t="s">
        <v>72</v>
      </c>
      <c r="BG26" s="6" t="s">
        <v>72</v>
      </c>
      <c r="BH26" s="6" t="s">
        <v>72</v>
      </c>
      <c r="BI26" s="6" t="s">
        <v>72</v>
      </c>
    </row>
    <row r="27" spans="1:62">
      <c r="A27" s="5">
        <v>45364.425264988429</v>
      </c>
      <c r="B27" s="6" t="s">
        <v>239</v>
      </c>
      <c r="C27" s="6" t="s">
        <v>240</v>
      </c>
      <c r="D27" s="7" t="s">
        <v>241</v>
      </c>
      <c r="E27" s="6" t="s">
        <v>62</v>
      </c>
      <c r="F27" s="6" t="s">
        <v>104</v>
      </c>
      <c r="G27" s="6" t="s">
        <v>105</v>
      </c>
      <c r="H27" s="6" t="s">
        <v>242</v>
      </c>
      <c r="I27" s="6" t="s">
        <v>243</v>
      </c>
      <c r="J27" s="6" t="s">
        <v>244</v>
      </c>
      <c r="K27" s="6" t="s">
        <v>239</v>
      </c>
      <c r="L27" s="6" t="s">
        <v>245</v>
      </c>
      <c r="M27" s="6" t="s">
        <v>246</v>
      </c>
      <c r="N27" s="6">
        <v>35</v>
      </c>
      <c r="O27" s="6" t="s">
        <v>70</v>
      </c>
      <c r="P27" s="6">
        <v>3</v>
      </c>
      <c r="Q27" s="6">
        <v>3</v>
      </c>
      <c r="R27" s="6">
        <v>85</v>
      </c>
      <c r="S27" s="6" t="s">
        <v>247</v>
      </c>
      <c r="T27" s="6" t="s">
        <v>71</v>
      </c>
      <c r="U27" s="6" t="s">
        <v>72</v>
      </c>
      <c r="V27" s="7" t="s">
        <v>74</v>
      </c>
      <c r="AQ27" s="6" t="s">
        <v>72</v>
      </c>
      <c r="AR27" s="6" t="s">
        <v>72</v>
      </c>
      <c r="AS27" s="6" t="s">
        <v>72</v>
      </c>
      <c r="AT27" s="6" t="s">
        <v>72</v>
      </c>
      <c r="AU27" s="6" t="s">
        <v>71</v>
      </c>
      <c r="AV27" s="6" t="s">
        <v>72</v>
      </c>
      <c r="AW27" s="6" t="s">
        <v>72</v>
      </c>
      <c r="AX27" s="6" t="s">
        <v>72</v>
      </c>
      <c r="AY27" s="6" t="s">
        <v>72</v>
      </c>
      <c r="AZ27" s="6" t="s">
        <v>72</v>
      </c>
      <c r="BA27" s="6" t="s">
        <v>72</v>
      </c>
      <c r="BB27" s="6" t="s">
        <v>71</v>
      </c>
      <c r="BC27" s="6" t="s">
        <v>72</v>
      </c>
      <c r="BD27" s="6" t="s">
        <v>72</v>
      </c>
      <c r="BE27" s="6" t="s">
        <v>72</v>
      </c>
      <c r="BF27" s="6" t="s">
        <v>72</v>
      </c>
      <c r="BG27" s="6" t="s">
        <v>71</v>
      </c>
      <c r="BH27" s="6" t="s">
        <v>72</v>
      </c>
      <c r="BI27" s="6" t="s">
        <v>72</v>
      </c>
      <c r="BJ27" s="6" t="s">
        <v>248</v>
      </c>
    </row>
    <row r="28" spans="1:62">
      <c r="A28" s="5">
        <v>45364.428618182872</v>
      </c>
      <c r="B28" s="6" t="s">
        <v>225</v>
      </c>
      <c r="C28" s="6" t="s">
        <v>226</v>
      </c>
      <c r="D28" s="7" t="s">
        <v>227</v>
      </c>
      <c r="E28" s="6" t="s">
        <v>62</v>
      </c>
      <c r="F28" s="6" t="s">
        <v>249</v>
      </c>
      <c r="G28" s="6" t="s">
        <v>64</v>
      </c>
      <c r="H28" s="6" t="s">
        <v>250</v>
      </c>
      <c r="I28" s="6" t="s">
        <v>251</v>
      </c>
      <c r="K28" s="6" t="s">
        <v>225</v>
      </c>
      <c r="L28" s="6" t="s">
        <v>138</v>
      </c>
      <c r="M28" s="6" t="s">
        <v>231</v>
      </c>
      <c r="N28" s="6">
        <v>30</v>
      </c>
      <c r="O28" s="6" t="s">
        <v>70</v>
      </c>
      <c r="P28" s="6">
        <v>3</v>
      </c>
      <c r="Q28" s="6">
        <v>3</v>
      </c>
      <c r="R28" s="6">
        <v>60</v>
      </c>
      <c r="T28" s="6" t="s">
        <v>71</v>
      </c>
      <c r="U28" s="6" t="s">
        <v>72</v>
      </c>
      <c r="V28" s="7" t="s">
        <v>74</v>
      </c>
      <c r="AQ28" s="6" t="s">
        <v>71</v>
      </c>
      <c r="AR28" s="6" t="s">
        <v>71</v>
      </c>
      <c r="AS28" s="6" t="s">
        <v>72</v>
      </c>
      <c r="AT28" s="6" t="s">
        <v>72</v>
      </c>
      <c r="AU28" s="6" t="s">
        <v>71</v>
      </c>
      <c r="AV28" s="6" t="s">
        <v>71</v>
      </c>
      <c r="AW28" s="6" t="s">
        <v>72</v>
      </c>
      <c r="AX28" s="6" t="s">
        <v>72</v>
      </c>
      <c r="AY28" s="6" t="s">
        <v>72</v>
      </c>
      <c r="AZ28" s="6" t="s">
        <v>72</v>
      </c>
      <c r="BA28" s="6" t="s">
        <v>71</v>
      </c>
      <c r="BB28" s="6" t="s">
        <v>71</v>
      </c>
      <c r="BC28" s="6" t="s">
        <v>72</v>
      </c>
      <c r="BD28" s="6" t="s">
        <v>72</v>
      </c>
      <c r="BE28" s="6" t="s">
        <v>72</v>
      </c>
      <c r="BF28" s="6" t="s">
        <v>71</v>
      </c>
      <c r="BG28" s="6" t="s">
        <v>72</v>
      </c>
      <c r="BH28" s="6" t="s">
        <v>72</v>
      </c>
      <c r="BI28" s="6" t="s">
        <v>72</v>
      </c>
    </row>
    <row r="29" spans="1:62">
      <c r="A29" s="5">
        <v>45364.441343668979</v>
      </c>
      <c r="B29" s="6" t="s">
        <v>252</v>
      </c>
      <c r="C29" s="6" t="s">
        <v>253</v>
      </c>
      <c r="D29" s="6">
        <v>20015900</v>
      </c>
      <c r="E29" s="6" t="s">
        <v>133</v>
      </c>
      <c r="F29" s="6" t="s">
        <v>254</v>
      </c>
      <c r="G29" s="6" t="s">
        <v>105</v>
      </c>
      <c r="H29" s="6" t="s">
        <v>255</v>
      </c>
      <c r="I29" s="6" t="s">
        <v>256</v>
      </c>
      <c r="K29" s="6" t="s">
        <v>252</v>
      </c>
      <c r="L29" s="6" t="s">
        <v>89</v>
      </c>
      <c r="M29" s="6" t="s">
        <v>257</v>
      </c>
      <c r="N29" s="6">
        <v>35</v>
      </c>
      <c r="O29" s="6" t="s">
        <v>70</v>
      </c>
      <c r="P29" s="6">
        <v>4</v>
      </c>
      <c r="Q29" s="6">
        <v>3</v>
      </c>
      <c r="R29" s="6">
        <v>50</v>
      </c>
      <c r="T29" s="6" t="s">
        <v>71</v>
      </c>
      <c r="U29" s="6" t="s">
        <v>72</v>
      </c>
      <c r="V29" s="7" t="s">
        <v>74</v>
      </c>
      <c r="AQ29" s="6" t="s">
        <v>71</v>
      </c>
      <c r="AR29" s="6" t="s">
        <v>71</v>
      </c>
      <c r="AS29" s="6" t="s">
        <v>72</v>
      </c>
      <c r="AT29" s="6" t="s">
        <v>72</v>
      </c>
      <c r="AU29" s="6" t="s">
        <v>72</v>
      </c>
      <c r="AV29" s="6" t="s">
        <v>71</v>
      </c>
      <c r="AW29" s="6" t="s">
        <v>71</v>
      </c>
      <c r="AX29" s="6" t="s">
        <v>72</v>
      </c>
      <c r="AY29" s="6" t="s">
        <v>72</v>
      </c>
      <c r="AZ29" s="6" t="s">
        <v>72</v>
      </c>
      <c r="BA29" s="6" t="s">
        <v>72</v>
      </c>
      <c r="BB29" s="6" t="s">
        <v>71</v>
      </c>
      <c r="BC29" s="6" t="s">
        <v>71</v>
      </c>
      <c r="BD29" s="6" t="s">
        <v>72</v>
      </c>
      <c r="BE29" s="6" t="s">
        <v>72</v>
      </c>
      <c r="BF29" s="6" t="s">
        <v>72</v>
      </c>
      <c r="BG29" s="6" t="s">
        <v>72</v>
      </c>
      <c r="BH29" s="6" t="s">
        <v>72</v>
      </c>
      <c r="BI29" s="6" t="s">
        <v>72</v>
      </c>
      <c r="BJ29" s="6" t="s">
        <v>258</v>
      </c>
    </row>
    <row r="30" spans="1:62">
      <c r="A30" s="5">
        <v>45364.443936990741</v>
      </c>
      <c r="B30" s="6" t="s">
        <v>259</v>
      </c>
      <c r="C30" s="6" t="s">
        <v>260</v>
      </c>
      <c r="D30" s="7" t="s">
        <v>241</v>
      </c>
      <c r="E30" s="6" t="s">
        <v>62</v>
      </c>
      <c r="F30" s="6" t="s">
        <v>261</v>
      </c>
      <c r="G30" s="6" t="s">
        <v>105</v>
      </c>
      <c r="H30" s="6" t="s">
        <v>262</v>
      </c>
      <c r="I30" s="6" t="s">
        <v>263</v>
      </c>
      <c r="J30" s="6" t="s">
        <v>264</v>
      </c>
      <c r="K30" s="6" t="s">
        <v>259</v>
      </c>
      <c r="L30" s="6" t="s">
        <v>245</v>
      </c>
      <c r="M30" s="6" t="s">
        <v>265</v>
      </c>
      <c r="N30" s="6">
        <v>25</v>
      </c>
      <c r="O30" s="6" t="s">
        <v>70</v>
      </c>
      <c r="P30" s="6">
        <v>3</v>
      </c>
      <c r="Q30" s="6">
        <v>3</v>
      </c>
      <c r="R30" s="6">
        <v>85</v>
      </c>
      <c r="T30" s="6" t="s">
        <v>71</v>
      </c>
      <c r="U30" s="6" t="s">
        <v>72</v>
      </c>
      <c r="V30" s="7" t="s">
        <v>74</v>
      </c>
      <c r="AQ30" s="6" t="s">
        <v>72</v>
      </c>
      <c r="AR30" s="6" t="s">
        <v>72</v>
      </c>
      <c r="AS30" s="6" t="s">
        <v>72</v>
      </c>
      <c r="AT30" s="6" t="s">
        <v>72</v>
      </c>
      <c r="AU30" s="6" t="s">
        <v>71</v>
      </c>
      <c r="AV30" s="6" t="s">
        <v>72</v>
      </c>
      <c r="AW30" s="6" t="s">
        <v>72</v>
      </c>
      <c r="AX30" s="6" t="s">
        <v>72</v>
      </c>
      <c r="AY30" s="6" t="s">
        <v>72</v>
      </c>
      <c r="AZ30" s="6" t="s">
        <v>72</v>
      </c>
      <c r="BA30" s="6" t="s">
        <v>72</v>
      </c>
      <c r="BB30" s="6" t="s">
        <v>71</v>
      </c>
      <c r="BC30" s="6" t="s">
        <v>72</v>
      </c>
      <c r="BD30" s="6" t="s">
        <v>72</v>
      </c>
      <c r="BE30" s="6" t="s">
        <v>72</v>
      </c>
      <c r="BF30" s="6" t="s">
        <v>72</v>
      </c>
      <c r="BG30" s="6" t="s">
        <v>71</v>
      </c>
      <c r="BH30" s="6" t="s">
        <v>72</v>
      </c>
      <c r="BI30" s="6" t="s">
        <v>72</v>
      </c>
    </row>
    <row r="31" spans="1:62">
      <c r="A31" s="5">
        <v>45364.807283981485</v>
      </c>
      <c r="B31" s="6" t="s">
        <v>266</v>
      </c>
      <c r="C31" s="6" t="s">
        <v>267</v>
      </c>
      <c r="D31" s="7" t="s">
        <v>268</v>
      </c>
      <c r="E31" s="6" t="s">
        <v>84</v>
      </c>
      <c r="F31" s="6" t="s">
        <v>269</v>
      </c>
      <c r="G31" s="6" t="s">
        <v>64</v>
      </c>
      <c r="H31" s="6" t="s">
        <v>270</v>
      </c>
      <c r="I31" s="6" t="s">
        <v>270</v>
      </c>
      <c r="J31" s="6" t="s">
        <v>271</v>
      </c>
      <c r="K31" s="6" t="s">
        <v>266</v>
      </c>
      <c r="L31" s="6" t="s">
        <v>89</v>
      </c>
      <c r="M31" s="6" t="s">
        <v>272</v>
      </c>
      <c r="N31" s="6">
        <v>24</v>
      </c>
      <c r="O31" s="6" t="s">
        <v>148</v>
      </c>
      <c r="P31" s="6">
        <v>4</v>
      </c>
      <c r="Q31" s="6">
        <v>5</v>
      </c>
      <c r="R31" s="6">
        <v>0</v>
      </c>
      <c r="T31" s="6" t="s">
        <v>71</v>
      </c>
      <c r="U31" s="6" t="s">
        <v>72</v>
      </c>
      <c r="V31" s="7" t="s">
        <v>74</v>
      </c>
      <c r="AQ31" s="6" t="s">
        <v>71</v>
      </c>
      <c r="AR31" s="6" t="s">
        <v>72</v>
      </c>
      <c r="AS31" s="6" t="s">
        <v>72</v>
      </c>
      <c r="AT31" s="6" t="s">
        <v>72</v>
      </c>
      <c r="AU31" s="6" t="s">
        <v>72</v>
      </c>
      <c r="AV31" s="6" t="s">
        <v>71</v>
      </c>
      <c r="AW31" s="6" t="s">
        <v>72</v>
      </c>
      <c r="AX31" s="6" t="s">
        <v>72</v>
      </c>
      <c r="AY31" s="6" t="s">
        <v>72</v>
      </c>
      <c r="AZ31" s="6" t="s">
        <v>72</v>
      </c>
      <c r="BA31" s="6" t="s">
        <v>72</v>
      </c>
      <c r="BB31" s="6" t="s">
        <v>72</v>
      </c>
      <c r="BC31" s="6" t="s">
        <v>71</v>
      </c>
      <c r="BD31" s="6" t="s">
        <v>72</v>
      </c>
      <c r="BE31" s="6" t="s">
        <v>72</v>
      </c>
      <c r="BF31" s="6" t="s">
        <v>72</v>
      </c>
      <c r="BG31" s="6" t="s">
        <v>71</v>
      </c>
      <c r="BH31" s="6" t="s">
        <v>72</v>
      </c>
      <c r="BI31" s="6" t="s">
        <v>72</v>
      </c>
    </row>
    <row r="32" spans="1:62">
      <c r="A32" s="5">
        <v>45364.951388090281</v>
      </c>
      <c r="B32" s="6" t="s">
        <v>273</v>
      </c>
      <c r="C32" s="6" t="s">
        <v>274</v>
      </c>
      <c r="D32" s="7" t="s">
        <v>275</v>
      </c>
      <c r="E32" s="6" t="s">
        <v>276</v>
      </c>
      <c r="F32" s="6" t="s">
        <v>277</v>
      </c>
      <c r="G32" s="6" t="s">
        <v>105</v>
      </c>
      <c r="H32" s="6" t="s">
        <v>278</v>
      </c>
      <c r="I32" s="6" t="s">
        <v>279</v>
      </c>
      <c r="J32" s="6" t="s">
        <v>280</v>
      </c>
      <c r="K32" s="6" t="s">
        <v>273</v>
      </c>
      <c r="L32" s="6" t="s">
        <v>245</v>
      </c>
      <c r="M32" s="6" t="s">
        <v>281</v>
      </c>
      <c r="N32" s="6">
        <v>32</v>
      </c>
      <c r="O32" s="6" t="s">
        <v>282</v>
      </c>
      <c r="P32" s="6">
        <v>2</v>
      </c>
      <c r="Q32" s="6">
        <v>2</v>
      </c>
      <c r="R32" s="6">
        <v>15</v>
      </c>
      <c r="S32" s="6" t="s">
        <v>283</v>
      </c>
      <c r="T32" s="6" t="s">
        <v>71</v>
      </c>
      <c r="U32" s="6" t="s">
        <v>71</v>
      </c>
      <c r="V32" s="7" t="s">
        <v>74</v>
      </c>
      <c r="AQ32" s="6" t="s">
        <v>71</v>
      </c>
      <c r="AR32" s="6" t="s">
        <v>72</v>
      </c>
      <c r="AS32" s="6" t="s">
        <v>71</v>
      </c>
      <c r="AT32" s="6" t="s">
        <v>72</v>
      </c>
      <c r="AU32" s="6" t="s">
        <v>72</v>
      </c>
      <c r="AV32" s="6" t="s">
        <v>71</v>
      </c>
      <c r="AW32" s="6" t="s">
        <v>72</v>
      </c>
      <c r="AX32" s="6" t="s">
        <v>71</v>
      </c>
      <c r="AY32" s="6" t="s">
        <v>72</v>
      </c>
      <c r="AZ32" s="6" t="s">
        <v>71</v>
      </c>
      <c r="BA32" s="6" t="s">
        <v>71</v>
      </c>
      <c r="BB32" s="6" t="s">
        <v>72</v>
      </c>
      <c r="BC32" s="6" t="s">
        <v>72</v>
      </c>
      <c r="BD32" s="6" t="s">
        <v>71</v>
      </c>
      <c r="BE32" s="6" t="s">
        <v>71</v>
      </c>
      <c r="BF32" s="6" t="s">
        <v>71</v>
      </c>
      <c r="BG32" s="6" t="s">
        <v>72</v>
      </c>
      <c r="BH32" s="6" t="s">
        <v>72</v>
      </c>
      <c r="BI32" s="6" t="s">
        <v>71</v>
      </c>
    </row>
    <row r="33" spans="1:88">
      <c r="A33" s="5">
        <v>45365.338970289347</v>
      </c>
      <c r="B33" s="6" t="s">
        <v>284</v>
      </c>
      <c r="C33" s="6" t="s">
        <v>285</v>
      </c>
      <c r="D33" s="6">
        <v>60929900</v>
      </c>
      <c r="E33" s="6" t="s">
        <v>286</v>
      </c>
      <c r="F33" s="6" t="s">
        <v>277</v>
      </c>
      <c r="G33" s="6" t="s">
        <v>105</v>
      </c>
      <c r="H33" s="6" t="s">
        <v>287</v>
      </c>
      <c r="I33" s="6" t="s">
        <v>288</v>
      </c>
      <c r="J33" s="6" t="s">
        <v>289</v>
      </c>
      <c r="K33" s="6" t="s">
        <v>284</v>
      </c>
      <c r="L33" s="6" t="s">
        <v>245</v>
      </c>
      <c r="M33" s="6" t="s">
        <v>290</v>
      </c>
      <c r="N33" s="6">
        <v>35</v>
      </c>
      <c r="O33" s="6" t="s">
        <v>70</v>
      </c>
      <c r="P33" s="6">
        <v>5</v>
      </c>
      <c r="Q33" s="6">
        <v>3</v>
      </c>
      <c r="R33" s="6">
        <v>50</v>
      </c>
      <c r="T33" s="6" t="s">
        <v>71</v>
      </c>
      <c r="U33" s="6" t="s">
        <v>71</v>
      </c>
      <c r="V33" s="7" t="s">
        <v>74</v>
      </c>
      <c r="AQ33" s="6" t="s">
        <v>72</v>
      </c>
      <c r="AR33" s="6" t="s">
        <v>72</v>
      </c>
      <c r="AS33" s="6" t="s">
        <v>71</v>
      </c>
      <c r="AT33" s="6" t="s">
        <v>71</v>
      </c>
      <c r="AU33" s="6" t="s">
        <v>72</v>
      </c>
      <c r="AV33" s="6" t="s">
        <v>72</v>
      </c>
      <c r="AW33" s="6" t="s">
        <v>71</v>
      </c>
      <c r="AX33" s="6" t="s">
        <v>71</v>
      </c>
      <c r="AY33" s="6" t="s">
        <v>71</v>
      </c>
      <c r="AZ33" s="6" t="s">
        <v>71</v>
      </c>
      <c r="BA33" s="6" t="s">
        <v>72</v>
      </c>
      <c r="BB33" s="6" t="s">
        <v>72</v>
      </c>
      <c r="BC33" s="6" t="s">
        <v>71</v>
      </c>
      <c r="BD33" s="6" t="s">
        <v>71</v>
      </c>
      <c r="BE33" s="6" t="s">
        <v>71</v>
      </c>
      <c r="BF33" s="6" t="s">
        <v>72</v>
      </c>
      <c r="BG33" s="6" t="s">
        <v>71</v>
      </c>
      <c r="BH33" s="6" t="s">
        <v>71</v>
      </c>
      <c r="BI33" s="6" t="s">
        <v>71</v>
      </c>
    </row>
    <row r="34" spans="1:88">
      <c r="A34" s="5">
        <v>45365.363552546296</v>
      </c>
      <c r="B34" s="6" t="s">
        <v>291</v>
      </c>
      <c r="C34" s="6" t="s">
        <v>292</v>
      </c>
      <c r="D34" s="7" t="s">
        <v>293</v>
      </c>
      <c r="E34" s="6" t="s">
        <v>84</v>
      </c>
      <c r="F34" s="6" t="s">
        <v>294</v>
      </c>
      <c r="G34" s="6" t="s">
        <v>64</v>
      </c>
      <c r="H34" s="6" t="s">
        <v>295</v>
      </c>
      <c r="I34" s="6" t="s">
        <v>296</v>
      </c>
      <c r="J34" s="6" t="s">
        <v>297</v>
      </c>
      <c r="K34" s="6" t="s">
        <v>298</v>
      </c>
      <c r="L34" s="6" t="s">
        <v>89</v>
      </c>
      <c r="M34" s="6" t="s">
        <v>299</v>
      </c>
      <c r="N34" s="6">
        <v>35</v>
      </c>
      <c r="O34" s="6" t="s">
        <v>70</v>
      </c>
      <c r="P34" s="6">
        <v>5</v>
      </c>
      <c r="Q34" s="6">
        <v>4</v>
      </c>
      <c r="R34" s="6">
        <v>20</v>
      </c>
      <c r="T34" s="6" t="s">
        <v>71</v>
      </c>
      <c r="U34" s="6" t="s">
        <v>72</v>
      </c>
      <c r="V34" s="7" t="s">
        <v>74</v>
      </c>
      <c r="AQ34" s="6" t="s">
        <v>71</v>
      </c>
      <c r="AR34" s="6" t="s">
        <v>71</v>
      </c>
      <c r="AS34" s="6" t="s">
        <v>71</v>
      </c>
      <c r="AT34" s="6" t="s">
        <v>72</v>
      </c>
      <c r="AU34" s="6" t="s">
        <v>71</v>
      </c>
      <c r="AV34" s="6" t="s">
        <v>71</v>
      </c>
      <c r="AW34" s="6" t="s">
        <v>71</v>
      </c>
      <c r="AX34" s="6" t="s">
        <v>72</v>
      </c>
      <c r="AY34" s="6" t="s">
        <v>72</v>
      </c>
      <c r="AZ34" s="6" t="s">
        <v>72</v>
      </c>
      <c r="BA34" s="6" t="s">
        <v>71</v>
      </c>
      <c r="BB34" s="6" t="s">
        <v>71</v>
      </c>
      <c r="BC34" s="6" t="s">
        <v>71</v>
      </c>
      <c r="BD34" s="6" t="s">
        <v>72</v>
      </c>
      <c r="BE34" s="6" t="s">
        <v>72</v>
      </c>
      <c r="BF34" s="6" t="s">
        <v>71</v>
      </c>
      <c r="BG34" s="6" t="s">
        <v>71</v>
      </c>
      <c r="BH34" s="6" t="s">
        <v>72</v>
      </c>
      <c r="BI34" s="6" t="s">
        <v>72</v>
      </c>
    </row>
    <row r="35" spans="1:88">
      <c r="A35" s="5">
        <v>45365.365149120371</v>
      </c>
      <c r="B35" s="6" t="s">
        <v>291</v>
      </c>
      <c r="C35" s="6" t="s">
        <v>292</v>
      </c>
      <c r="D35" s="7" t="s">
        <v>293</v>
      </c>
      <c r="E35" s="6" t="s">
        <v>133</v>
      </c>
      <c r="F35" s="6" t="s">
        <v>300</v>
      </c>
      <c r="G35" s="6" t="s">
        <v>64</v>
      </c>
      <c r="H35" s="6" t="s">
        <v>295</v>
      </c>
      <c r="I35" s="6" t="s">
        <v>301</v>
      </c>
      <c r="J35" s="6" t="s">
        <v>297</v>
      </c>
      <c r="K35" s="6" t="s">
        <v>298</v>
      </c>
      <c r="L35" s="6" t="s">
        <v>89</v>
      </c>
      <c r="M35" s="6" t="s">
        <v>299</v>
      </c>
      <c r="N35" s="6">
        <v>35</v>
      </c>
      <c r="O35" s="6" t="s">
        <v>70</v>
      </c>
      <c r="P35" s="6">
        <v>5</v>
      </c>
      <c r="Q35" s="6">
        <v>4</v>
      </c>
      <c r="R35" s="6">
        <v>20</v>
      </c>
      <c r="T35" s="6" t="s">
        <v>71</v>
      </c>
      <c r="U35" s="6" t="s">
        <v>72</v>
      </c>
      <c r="V35" s="7" t="s">
        <v>74</v>
      </c>
      <c r="AQ35" s="6" t="s">
        <v>71</v>
      </c>
      <c r="AR35" s="6" t="s">
        <v>71</v>
      </c>
      <c r="AS35" s="6" t="s">
        <v>71</v>
      </c>
      <c r="AT35" s="6" t="s">
        <v>72</v>
      </c>
      <c r="AU35" s="6" t="s">
        <v>71</v>
      </c>
      <c r="AV35" s="6" t="s">
        <v>71</v>
      </c>
      <c r="AW35" s="6" t="s">
        <v>71</v>
      </c>
      <c r="AX35" s="6" t="s">
        <v>72</v>
      </c>
      <c r="AY35" s="6" t="s">
        <v>72</v>
      </c>
      <c r="AZ35" s="6" t="s">
        <v>72</v>
      </c>
      <c r="BA35" s="6" t="s">
        <v>71</v>
      </c>
      <c r="BB35" s="6" t="s">
        <v>71</v>
      </c>
      <c r="BC35" s="6" t="s">
        <v>71</v>
      </c>
      <c r="BD35" s="6" t="s">
        <v>72</v>
      </c>
      <c r="BE35" s="6" t="s">
        <v>72</v>
      </c>
      <c r="BF35" s="6" t="s">
        <v>71</v>
      </c>
      <c r="BG35" s="6" t="s">
        <v>71</v>
      </c>
      <c r="BH35" s="6" t="s">
        <v>72</v>
      </c>
      <c r="BI35" s="6" t="s">
        <v>72</v>
      </c>
    </row>
    <row r="36" spans="1:88">
      <c r="A36" s="5">
        <v>45365.417539652779</v>
      </c>
      <c r="B36" s="6" t="s">
        <v>302</v>
      </c>
      <c r="C36" s="6" t="s">
        <v>303</v>
      </c>
      <c r="D36" s="6">
        <v>20056200</v>
      </c>
      <c r="E36" s="6" t="s">
        <v>84</v>
      </c>
      <c r="F36" s="6" t="s">
        <v>304</v>
      </c>
      <c r="G36" s="6" t="s">
        <v>64</v>
      </c>
      <c r="H36" s="6" t="s">
        <v>305</v>
      </c>
      <c r="I36" s="6" t="s">
        <v>306</v>
      </c>
      <c r="K36" s="6" t="s">
        <v>302</v>
      </c>
      <c r="L36" s="6" t="s">
        <v>89</v>
      </c>
      <c r="M36" s="6" t="s">
        <v>307</v>
      </c>
      <c r="N36" s="6">
        <v>11</v>
      </c>
      <c r="O36" s="6" t="s">
        <v>70</v>
      </c>
      <c r="P36" s="6">
        <v>3</v>
      </c>
      <c r="Q36" s="6">
        <v>4</v>
      </c>
      <c r="R36" s="6">
        <v>10</v>
      </c>
      <c r="T36" s="6" t="s">
        <v>71</v>
      </c>
      <c r="U36" s="6" t="s">
        <v>72</v>
      </c>
      <c r="V36" s="7" t="s">
        <v>74</v>
      </c>
      <c r="AQ36" s="6" t="s">
        <v>71</v>
      </c>
      <c r="AR36" s="6" t="s">
        <v>71</v>
      </c>
      <c r="AS36" s="6" t="s">
        <v>71</v>
      </c>
      <c r="AT36" s="6" t="s">
        <v>72</v>
      </c>
      <c r="AU36" s="6" t="s">
        <v>71</v>
      </c>
      <c r="AV36" s="6" t="s">
        <v>71</v>
      </c>
      <c r="AW36" s="6" t="s">
        <v>71</v>
      </c>
      <c r="AX36" s="6" t="s">
        <v>71</v>
      </c>
      <c r="AY36" s="6" t="s">
        <v>72</v>
      </c>
      <c r="AZ36" s="6" t="s">
        <v>72</v>
      </c>
      <c r="BA36" s="6" t="s">
        <v>71</v>
      </c>
      <c r="BB36" s="6" t="s">
        <v>71</v>
      </c>
      <c r="BC36" s="6" t="s">
        <v>71</v>
      </c>
      <c r="BD36" s="6" t="s">
        <v>72</v>
      </c>
      <c r="BE36" s="6" t="s">
        <v>72</v>
      </c>
      <c r="BF36" s="6" t="s">
        <v>72</v>
      </c>
      <c r="BG36" s="6" t="s">
        <v>72</v>
      </c>
      <c r="BH36" s="6" t="s">
        <v>72</v>
      </c>
      <c r="BI36" s="6" t="s">
        <v>72</v>
      </c>
    </row>
    <row r="37" spans="1:88">
      <c r="A37" s="5">
        <v>45365.487903437504</v>
      </c>
      <c r="B37" s="6" t="s">
        <v>308</v>
      </c>
      <c r="C37" s="6" t="s">
        <v>309</v>
      </c>
      <c r="D37" s="6">
        <v>20086200</v>
      </c>
      <c r="E37" s="6" t="s">
        <v>84</v>
      </c>
      <c r="F37" s="6" t="s">
        <v>310</v>
      </c>
      <c r="G37" s="6" t="s">
        <v>64</v>
      </c>
      <c r="H37" s="6" t="s">
        <v>311</v>
      </c>
      <c r="I37" s="6" t="s">
        <v>312</v>
      </c>
      <c r="K37" s="6" t="s">
        <v>308</v>
      </c>
      <c r="L37" s="6" t="s">
        <v>89</v>
      </c>
      <c r="M37" s="6" t="s">
        <v>313</v>
      </c>
      <c r="N37" s="6">
        <v>25</v>
      </c>
      <c r="O37" s="6" t="s">
        <v>148</v>
      </c>
      <c r="P37" s="6">
        <v>5</v>
      </c>
      <c r="Q37" s="6">
        <v>3</v>
      </c>
      <c r="R37" s="6">
        <v>5</v>
      </c>
      <c r="T37" s="6" t="s">
        <v>71</v>
      </c>
      <c r="U37" s="6" t="s">
        <v>72</v>
      </c>
      <c r="V37" s="7" t="s">
        <v>74</v>
      </c>
      <c r="AQ37" s="6" t="s">
        <v>71</v>
      </c>
      <c r="AR37" s="6" t="s">
        <v>72</v>
      </c>
      <c r="AS37" s="6" t="s">
        <v>72</v>
      </c>
      <c r="AT37" s="6" t="s">
        <v>72</v>
      </c>
      <c r="AU37" s="6" t="s">
        <v>72</v>
      </c>
      <c r="AV37" s="6" t="s">
        <v>71</v>
      </c>
      <c r="AW37" s="6" t="s">
        <v>72</v>
      </c>
      <c r="AX37" s="6" t="s">
        <v>72</v>
      </c>
      <c r="AY37" s="6" t="s">
        <v>72</v>
      </c>
      <c r="AZ37" s="6" t="s">
        <v>72</v>
      </c>
    </row>
    <row r="38" spans="1:88">
      <c r="A38" s="5">
        <v>45365.49015813657</v>
      </c>
      <c r="B38" s="6" t="s">
        <v>308</v>
      </c>
      <c r="C38" s="6" t="s">
        <v>309</v>
      </c>
      <c r="D38" s="6">
        <v>20086200</v>
      </c>
      <c r="E38" s="6" t="s">
        <v>84</v>
      </c>
      <c r="F38" s="6" t="s">
        <v>310</v>
      </c>
      <c r="G38" s="6" t="s">
        <v>64</v>
      </c>
      <c r="H38" s="6" t="s">
        <v>311</v>
      </c>
      <c r="I38" s="6" t="s">
        <v>314</v>
      </c>
      <c r="K38" s="6" t="s">
        <v>308</v>
      </c>
      <c r="L38" s="6" t="s">
        <v>89</v>
      </c>
      <c r="M38" s="6" t="s">
        <v>313</v>
      </c>
      <c r="N38" s="6">
        <v>24</v>
      </c>
      <c r="O38" s="6" t="s">
        <v>70</v>
      </c>
      <c r="P38" s="6">
        <v>5</v>
      </c>
      <c r="Q38" s="6">
        <v>3</v>
      </c>
      <c r="R38" s="6">
        <v>5</v>
      </c>
      <c r="T38" s="6" t="s">
        <v>71</v>
      </c>
      <c r="U38" s="6" t="s">
        <v>72</v>
      </c>
      <c r="V38" s="7" t="s">
        <v>74</v>
      </c>
      <c r="AQ38" s="6" t="s">
        <v>71</v>
      </c>
      <c r="AR38" s="6" t="s">
        <v>72</v>
      </c>
      <c r="AS38" s="6" t="s">
        <v>72</v>
      </c>
      <c r="AT38" s="6" t="s">
        <v>72</v>
      </c>
      <c r="AU38" s="6" t="s">
        <v>72</v>
      </c>
      <c r="AV38" s="6" t="s">
        <v>71</v>
      </c>
      <c r="AW38" s="6" t="s">
        <v>72</v>
      </c>
      <c r="AX38" s="6" t="s">
        <v>72</v>
      </c>
      <c r="AY38" s="6" t="s">
        <v>72</v>
      </c>
      <c r="AZ38" s="6" t="s">
        <v>72</v>
      </c>
    </row>
    <row r="39" spans="1:88">
      <c r="A39" s="5">
        <v>45365.492675844907</v>
      </c>
      <c r="B39" s="6" t="s">
        <v>308</v>
      </c>
      <c r="C39" s="6" t="s">
        <v>309</v>
      </c>
      <c r="D39" s="6">
        <v>20086200</v>
      </c>
      <c r="E39" s="6" t="s">
        <v>84</v>
      </c>
      <c r="F39" s="6" t="s">
        <v>310</v>
      </c>
      <c r="G39" s="6" t="s">
        <v>64</v>
      </c>
      <c r="H39" s="6" t="s">
        <v>311</v>
      </c>
      <c r="I39" s="6" t="s">
        <v>312</v>
      </c>
      <c r="K39" s="6" t="s">
        <v>308</v>
      </c>
      <c r="L39" s="6" t="s">
        <v>89</v>
      </c>
      <c r="M39" s="6" t="s">
        <v>313</v>
      </c>
      <c r="N39" s="6">
        <v>25</v>
      </c>
      <c r="O39" s="6" t="s">
        <v>70</v>
      </c>
      <c r="P39" s="6">
        <v>5</v>
      </c>
      <c r="Q39" s="6">
        <v>3</v>
      </c>
      <c r="R39" s="6">
        <v>5</v>
      </c>
      <c r="T39" s="6" t="s">
        <v>71</v>
      </c>
      <c r="U39" s="6" t="s">
        <v>72</v>
      </c>
      <c r="V39" s="7" t="s">
        <v>74</v>
      </c>
      <c r="AQ39" s="6" t="s">
        <v>71</v>
      </c>
      <c r="AR39" s="6" t="s">
        <v>72</v>
      </c>
      <c r="AS39" s="6" t="s">
        <v>72</v>
      </c>
      <c r="AT39" s="6" t="s">
        <v>72</v>
      </c>
      <c r="AU39" s="6" t="s">
        <v>72</v>
      </c>
      <c r="AV39" s="6" t="s">
        <v>71</v>
      </c>
      <c r="AW39" s="6" t="s">
        <v>72</v>
      </c>
      <c r="AX39" s="6" t="s">
        <v>72</v>
      </c>
      <c r="AY39" s="6" t="s">
        <v>72</v>
      </c>
      <c r="AZ39" s="6" t="s">
        <v>72</v>
      </c>
    </row>
    <row r="40" spans="1:88">
      <c r="A40" s="5">
        <v>45365.581499050924</v>
      </c>
      <c r="B40" s="6" t="s">
        <v>315</v>
      </c>
      <c r="C40" s="6" t="s">
        <v>316</v>
      </c>
      <c r="D40" s="7" t="s">
        <v>317</v>
      </c>
      <c r="E40" s="6" t="s">
        <v>84</v>
      </c>
      <c r="F40" s="6" t="s">
        <v>318</v>
      </c>
      <c r="G40" s="6" t="s">
        <v>64</v>
      </c>
      <c r="H40" s="6" t="s">
        <v>319</v>
      </c>
      <c r="I40" s="6" t="s">
        <v>320</v>
      </c>
      <c r="K40" s="6" t="s">
        <v>315</v>
      </c>
      <c r="L40" s="6" t="s">
        <v>245</v>
      </c>
      <c r="M40" s="6" t="s">
        <v>321</v>
      </c>
      <c r="N40" s="6">
        <v>35</v>
      </c>
      <c r="O40" s="6" t="s">
        <v>70</v>
      </c>
      <c r="P40" s="6">
        <v>3</v>
      </c>
      <c r="Q40" s="6">
        <v>2</v>
      </c>
      <c r="R40" s="6">
        <v>75</v>
      </c>
      <c r="T40" s="6" t="s">
        <v>71</v>
      </c>
      <c r="U40" s="6" t="s">
        <v>72</v>
      </c>
      <c r="V40" s="7" t="s">
        <v>74</v>
      </c>
      <c r="AQ40" s="6" t="s">
        <v>71</v>
      </c>
      <c r="AR40" s="6" t="s">
        <v>72</v>
      </c>
      <c r="AS40" s="6" t="s">
        <v>72</v>
      </c>
      <c r="AT40" s="6" t="s">
        <v>72</v>
      </c>
      <c r="AU40" s="6" t="s">
        <v>72</v>
      </c>
      <c r="AV40" s="6" t="s">
        <v>71</v>
      </c>
      <c r="AW40" s="6" t="s">
        <v>72</v>
      </c>
      <c r="AX40" s="6" t="s">
        <v>72</v>
      </c>
      <c r="AY40" s="6" t="s">
        <v>72</v>
      </c>
      <c r="AZ40" s="6" t="s">
        <v>72</v>
      </c>
      <c r="BA40" s="6" t="s">
        <v>72</v>
      </c>
      <c r="BB40" s="6" t="s">
        <v>72</v>
      </c>
      <c r="BC40" s="6" t="s">
        <v>72</v>
      </c>
      <c r="BD40" s="6" t="s">
        <v>71</v>
      </c>
      <c r="BE40" s="6" t="s">
        <v>72</v>
      </c>
      <c r="BF40" s="6" t="s">
        <v>72</v>
      </c>
      <c r="BG40" s="6" t="s">
        <v>71</v>
      </c>
      <c r="BH40" s="6" t="s">
        <v>72</v>
      </c>
      <c r="BI40" s="6" t="s">
        <v>72</v>
      </c>
    </row>
    <row r="41" spans="1:88">
      <c r="A41" s="5">
        <v>45365.595046574075</v>
      </c>
      <c r="B41" s="6" t="s">
        <v>322</v>
      </c>
      <c r="C41" s="6" t="s">
        <v>323</v>
      </c>
      <c r="D41" s="7" t="s">
        <v>324</v>
      </c>
      <c r="E41" s="6" t="s">
        <v>62</v>
      </c>
      <c r="F41" s="6" t="s">
        <v>152</v>
      </c>
      <c r="G41" s="6" t="s">
        <v>105</v>
      </c>
      <c r="H41" s="6" t="s">
        <v>325</v>
      </c>
      <c r="I41" s="6" t="s">
        <v>326</v>
      </c>
      <c r="J41" s="6" t="s">
        <v>327</v>
      </c>
      <c r="K41" s="6" t="s">
        <v>322</v>
      </c>
      <c r="L41" s="6" t="s">
        <v>138</v>
      </c>
      <c r="M41" s="6" t="s">
        <v>328</v>
      </c>
      <c r="N41" s="6">
        <v>35</v>
      </c>
      <c r="O41" s="6" t="s">
        <v>70</v>
      </c>
      <c r="P41" s="6">
        <v>1</v>
      </c>
      <c r="Q41" s="6">
        <v>1</v>
      </c>
      <c r="R41" s="6">
        <v>90</v>
      </c>
      <c r="T41" s="6" t="s">
        <v>71</v>
      </c>
      <c r="U41" s="6" t="s">
        <v>72</v>
      </c>
      <c r="V41" s="7" t="s">
        <v>74</v>
      </c>
      <c r="AQ41" s="6" t="s">
        <v>71</v>
      </c>
      <c r="AR41" s="6" t="s">
        <v>71</v>
      </c>
      <c r="AS41" s="6" t="s">
        <v>71</v>
      </c>
      <c r="AT41" s="6" t="s">
        <v>71</v>
      </c>
      <c r="AU41" s="6" t="s">
        <v>71</v>
      </c>
      <c r="AV41" s="6" t="s">
        <v>71</v>
      </c>
      <c r="AW41" s="6" t="s">
        <v>71</v>
      </c>
      <c r="AX41" s="6" t="s">
        <v>71</v>
      </c>
      <c r="AY41" s="6" t="s">
        <v>71</v>
      </c>
      <c r="AZ41" s="6" t="s">
        <v>71</v>
      </c>
      <c r="BA41" s="6" t="s">
        <v>71</v>
      </c>
      <c r="BB41" s="6" t="s">
        <v>71</v>
      </c>
      <c r="BC41" s="6" t="s">
        <v>71</v>
      </c>
      <c r="BF41" s="6" t="s">
        <v>71</v>
      </c>
      <c r="BG41" s="6" t="s">
        <v>71</v>
      </c>
      <c r="BH41" s="6" t="s">
        <v>71</v>
      </c>
    </row>
    <row r="42" spans="1:88">
      <c r="A42" s="5">
        <v>45365.802258553245</v>
      </c>
      <c r="B42" s="6" t="s">
        <v>329</v>
      </c>
      <c r="C42" s="6" t="s">
        <v>330</v>
      </c>
      <c r="D42" s="7" t="s">
        <v>317</v>
      </c>
      <c r="E42" s="6" t="s">
        <v>84</v>
      </c>
      <c r="F42" s="6" t="s">
        <v>331</v>
      </c>
      <c r="G42" s="6" t="s">
        <v>64</v>
      </c>
      <c r="H42" s="6" t="s">
        <v>332</v>
      </c>
      <c r="I42" s="6" t="s">
        <v>333</v>
      </c>
      <c r="J42" s="6" t="s">
        <v>334</v>
      </c>
      <c r="K42" s="6" t="s">
        <v>329</v>
      </c>
      <c r="L42" s="6" t="s">
        <v>245</v>
      </c>
      <c r="M42" s="6" t="s">
        <v>335</v>
      </c>
      <c r="N42" s="6">
        <v>35</v>
      </c>
      <c r="O42" s="6" t="s">
        <v>70</v>
      </c>
      <c r="P42" s="6">
        <v>4</v>
      </c>
      <c r="Q42" s="6">
        <v>3</v>
      </c>
      <c r="R42" s="6">
        <v>10</v>
      </c>
      <c r="T42" s="6" t="s">
        <v>71</v>
      </c>
      <c r="U42" s="6" t="s">
        <v>72</v>
      </c>
      <c r="V42" s="7" t="s">
        <v>74</v>
      </c>
      <c r="AQ42" s="6" t="s">
        <v>71</v>
      </c>
      <c r="AR42" s="6" t="s">
        <v>72</v>
      </c>
      <c r="AS42" s="6" t="s">
        <v>72</v>
      </c>
      <c r="AT42" s="6" t="s">
        <v>72</v>
      </c>
      <c r="AU42" s="6" t="s">
        <v>72</v>
      </c>
      <c r="AV42" s="6" t="s">
        <v>71</v>
      </c>
      <c r="AW42" s="6" t="s">
        <v>72</v>
      </c>
      <c r="AX42" s="6" t="s">
        <v>72</v>
      </c>
      <c r="AY42" s="6" t="s">
        <v>72</v>
      </c>
      <c r="AZ42" s="6" t="s">
        <v>72</v>
      </c>
      <c r="BA42" s="6" t="s">
        <v>72</v>
      </c>
      <c r="BB42" s="6" t="s">
        <v>72</v>
      </c>
      <c r="BC42" s="6" t="s">
        <v>71</v>
      </c>
      <c r="BD42" s="6" t="s">
        <v>72</v>
      </c>
      <c r="BE42" s="6" t="s">
        <v>72</v>
      </c>
      <c r="BF42" s="6" t="s">
        <v>72</v>
      </c>
      <c r="BG42" s="6" t="s">
        <v>72</v>
      </c>
      <c r="BH42" s="6" t="s">
        <v>71</v>
      </c>
      <c r="BI42" s="6" t="s">
        <v>72</v>
      </c>
    </row>
    <row r="43" spans="1:88">
      <c r="A43" s="5">
        <v>45365.80892487269</v>
      </c>
      <c r="B43" s="6" t="s">
        <v>336</v>
      </c>
      <c r="C43" s="6" t="s">
        <v>316</v>
      </c>
      <c r="D43" s="7" t="s">
        <v>317</v>
      </c>
      <c r="E43" s="6" t="s">
        <v>62</v>
      </c>
      <c r="F43" s="6" t="s">
        <v>337</v>
      </c>
      <c r="G43" s="6" t="s">
        <v>64</v>
      </c>
      <c r="H43" s="6" t="s">
        <v>338</v>
      </c>
      <c r="I43" s="6" t="s">
        <v>339</v>
      </c>
      <c r="J43" s="6" t="s">
        <v>340</v>
      </c>
      <c r="K43" s="6" t="s">
        <v>341</v>
      </c>
      <c r="L43" s="6" t="s">
        <v>245</v>
      </c>
      <c r="M43" s="6" t="s">
        <v>342</v>
      </c>
      <c r="N43" s="6">
        <v>35</v>
      </c>
      <c r="O43" s="6" t="s">
        <v>70</v>
      </c>
      <c r="P43" s="6">
        <v>3</v>
      </c>
      <c r="Q43" s="6">
        <v>1</v>
      </c>
      <c r="R43" s="6">
        <v>10</v>
      </c>
      <c r="T43" s="6" t="s">
        <v>71</v>
      </c>
      <c r="U43" s="6" t="s">
        <v>72</v>
      </c>
      <c r="V43" s="7" t="s">
        <v>74</v>
      </c>
      <c r="AQ43" s="6" t="s">
        <v>71</v>
      </c>
      <c r="AR43" s="6" t="s">
        <v>71</v>
      </c>
      <c r="AS43" s="6" t="s">
        <v>72</v>
      </c>
      <c r="AT43" s="6" t="s">
        <v>71</v>
      </c>
      <c r="AU43" s="6" t="s">
        <v>71</v>
      </c>
      <c r="AV43" s="6" t="s">
        <v>71</v>
      </c>
      <c r="AW43" s="6" t="s">
        <v>72</v>
      </c>
      <c r="AX43" s="6" t="s">
        <v>72</v>
      </c>
      <c r="AY43" s="6" t="s">
        <v>71</v>
      </c>
      <c r="AZ43" s="6" t="s">
        <v>71</v>
      </c>
      <c r="BA43" s="6" t="s">
        <v>71</v>
      </c>
      <c r="BB43" s="6" t="s">
        <v>71</v>
      </c>
      <c r="BC43" s="6" t="s">
        <v>72</v>
      </c>
      <c r="BD43" s="6" t="s">
        <v>71</v>
      </c>
      <c r="BE43" s="6" t="s">
        <v>71</v>
      </c>
      <c r="BF43" s="6" t="s">
        <v>71</v>
      </c>
      <c r="BG43" s="6" t="s">
        <v>72</v>
      </c>
      <c r="BH43" s="6" t="s">
        <v>71</v>
      </c>
      <c r="BI43" s="6" t="s">
        <v>71</v>
      </c>
    </row>
    <row r="44" spans="1:88">
      <c r="A44" s="5">
        <v>45365.997577337963</v>
      </c>
      <c r="B44" s="6" t="s">
        <v>343</v>
      </c>
      <c r="C44" s="6" t="s">
        <v>344</v>
      </c>
      <c r="D44" s="6">
        <v>60551700</v>
      </c>
      <c r="E44" s="6" t="s">
        <v>276</v>
      </c>
      <c r="F44" s="6" t="s">
        <v>345</v>
      </c>
      <c r="G44" s="6" t="s">
        <v>105</v>
      </c>
      <c r="H44" s="6" t="s">
        <v>346</v>
      </c>
      <c r="I44" s="6" t="s">
        <v>347</v>
      </c>
      <c r="J44" s="6" t="s">
        <v>348</v>
      </c>
      <c r="K44" s="6" t="s">
        <v>343</v>
      </c>
      <c r="L44" s="6" t="s">
        <v>245</v>
      </c>
      <c r="M44" s="6" t="s">
        <v>349</v>
      </c>
      <c r="N44" s="6">
        <v>35</v>
      </c>
      <c r="O44" s="6" t="s">
        <v>350</v>
      </c>
      <c r="P44" s="6">
        <v>3</v>
      </c>
      <c r="Q44" s="6">
        <v>4</v>
      </c>
      <c r="R44" s="6">
        <v>75</v>
      </c>
      <c r="T44" s="6" t="s">
        <v>72</v>
      </c>
      <c r="U44" s="6" t="s">
        <v>71</v>
      </c>
      <c r="V44" s="7" t="s">
        <v>74</v>
      </c>
      <c r="AQ44" s="6" t="s">
        <v>72</v>
      </c>
      <c r="AR44" s="6" t="s">
        <v>72</v>
      </c>
      <c r="AS44" s="6" t="s">
        <v>71</v>
      </c>
      <c r="AT44" s="6" t="s">
        <v>71</v>
      </c>
      <c r="AU44" s="6" t="s">
        <v>72</v>
      </c>
      <c r="AV44" s="6" t="s">
        <v>72</v>
      </c>
      <c r="AW44" s="6" t="s">
        <v>72</v>
      </c>
      <c r="AX44" s="6" t="s">
        <v>71</v>
      </c>
      <c r="AY44" s="6" t="s">
        <v>71</v>
      </c>
      <c r="AZ44" s="6" t="s">
        <v>71</v>
      </c>
      <c r="BA44" s="6" t="s">
        <v>72</v>
      </c>
      <c r="BB44" s="6" t="s">
        <v>72</v>
      </c>
      <c r="BC44" s="6" t="s">
        <v>71</v>
      </c>
      <c r="BD44" s="6" t="s">
        <v>71</v>
      </c>
      <c r="BE44" s="6" t="s">
        <v>71</v>
      </c>
      <c r="BF44" s="6" t="s">
        <v>72</v>
      </c>
      <c r="BG44" s="6" t="s">
        <v>71</v>
      </c>
      <c r="BH44" s="6" t="s">
        <v>71</v>
      </c>
      <c r="BI44" s="6" t="s">
        <v>71</v>
      </c>
    </row>
    <row r="45" spans="1:88">
      <c r="A45" s="5">
        <v>45366.049777430555</v>
      </c>
      <c r="B45" s="6" t="s">
        <v>352</v>
      </c>
      <c r="C45" s="6" t="s">
        <v>353</v>
      </c>
      <c r="D45" s="7" t="s">
        <v>354</v>
      </c>
      <c r="E45" s="6" t="s">
        <v>84</v>
      </c>
      <c r="F45" s="6" t="s">
        <v>355</v>
      </c>
      <c r="G45" s="6" t="s">
        <v>105</v>
      </c>
      <c r="H45" s="6" t="s">
        <v>356</v>
      </c>
      <c r="I45" s="6" t="s">
        <v>357</v>
      </c>
      <c r="J45" s="6" t="s">
        <v>358</v>
      </c>
      <c r="K45" s="6" t="s">
        <v>352</v>
      </c>
      <c r="L45" s="6" t="s">
        <v>68</v>
      </c>
      <c r="M45" s="6" t="s">
        <v>359</v>
      </c>
      <c r="N45" s="6">
        <v>35</v>
      </c>
      <c r="O45" s="6" t="s">
        <v>70</v>
      </c>
      <c r="P45" s="6">
        <v>5</v>
      </c>
      <c r="Q45" s="6">
        <v>3</v>
      </c>
      <c r="R45" s="6">
        <v>60</v>
      </c>
      <c r="T45" s="6" t="s">
        <v>71</v>
      </c>
      <c r="U45" s="6" t="s">
        <v>72</v>
      </c>
      <c r="V45" s="7" t="s">
        <v>74</v>
      </c>
      <c r="AQ45" s="6" t="s">
        <v>72</v>
      </c>
      <c r="AR45" s="6" t="s">
        <v>72</v>
      </c>
      <c r="AS45" s="6" t="s">
        <v>71</v>
      </c>
      <c r="AT45" s="6" t="s">
        <v>72</v>
      </c>
      <c r="AU45" s="6" t="s">
        <v>71</v>
      </c>
      <c r="AV45" s="6" t="s">
        <v>71</v>
      </c>
      <c r="AW45" s="6" t="s">
        <v>72</v>
      </c>
      <c r="AX45" s="6" t="s">
        <v>72</v>
      </c>
      <c r="AY45" s="6" t="s">
        <v>72</v>
      </c>
      <c r="AZ45" s="6" t="s">
        <v>72</v>
      </c>
      <c r="BA45" s="6" t="s">
        <v>71</v>
      </c>
      <c r="BB45" s="6" t="s">
        <v>71</v>
      </c>
      <c r="BC45" s="6" t="s">
        <v>72</v>
      </c>
      <c r="BD45" s="6" t="s">
        <v>72</v>
      </c>
      <c r="BE45" s="6" t="s">
        <v>72</v>
      </c>
      <c r="BF45" s="6" t="s">
        <v>72</v>
      </c>
      <c r="BG45" s="6" t="s">
        <v>72</v>
      </c>
      <c r="BH45" s="6" t="s">
        <v>71</v>
      </c>
      <c r="BI45" s="6" t="s">
        <v>72</v>
      </c>
    </row>
    <row r="46" spans="1:88">
      <c r="A46" s="5">
        <v>45366.393009548614</v>
      </c>
      <c r="B46" s="6" t="s">
        <v>360</v>
      </c>
      <c r="C46" s="6" t="s">
        <v>361</v>
      </c>
      <c r="D46" s="7" t="s">
        <v>362</v>
      </c>
      <c r="E46" s="6" t="s">
        <v>133</v>
      </c>
      <c r="F46" s="6" t="s">
        <v>249</v>
      </c>
      <c r="G46" s="6" t="s">
        <v>105</v>
      </c>
      <c r="H46" s="6" t="s">
        <v>363</v>
      </c>
      <c r="I46" s="6" t="s">
        <v>364</v>
      </c>
      <c r="K46" s="6" t="s">
        <v>360</v>
      </c>
      <c r="L46" s="6" t="s">
        <v>245</v>
      </c>
      <c r="M46" s="6" t="s">
        <v>365</v>
      </c>
      <c r="N46" s="6">
        <v>35</v>
      </c>
      <c r="O46" s="6" t="s">
        <v>70</v>
      </c>
      <c r="P46" s="6">
        <v>2</v>
      </c>
      <c r="Q46" s="6">
        <v>2</v>
      </c>
      <c r="R46" s="6">
        <v>80</v>
      </c>
      <c r="T46" s="6" t="s">
        <v>71</v>
      </c>
      <c r="U46" s="6" t="s">
        <v>71</v>
      </c>
      <c r="V46" s="7" t="s">
        <v>74</v>
      </c>
      <c r="AQ46" s="6" t="s">
        <v>72</v>
      </c>
      <c r="AR46" s="6" t="s">
        <v>71</v>
      </c>
      <c r="AS46" s="6" t="s">
        <v>72</v>
      </c>
      <c r="AT46" s="6" t="s">
        <v>72</v>
      </c>
      <c r="AU46" s="6" t="s">
        <v>72</v>
      </c>
      <c r="AV46" s="6" t="s">
        <v>72</v>
      </c>
      <c r="AW46" s="6" t="s">
        <v>71</v>
      </c>
      <c r="AX46" s="6" t="s">
        <v>72</v>
      </c>
      <c r="AY46" s="6" t="s">
        <v>72</v>
      </c>
      <c r="AZ46" s="6" t="s">
        <v>72</v>
      </c>
      <c r="BD46" s="6" t="s">
        <v>71</v>
      </c>
      <c r="BF46" s="6" t="s">
        <v>72</v>
      </c>
      <c r="BG46" s="6" t="s">
        <v>72</v>
      </c>
      <c r="BH46" s="6" t="s">
        <v>72</v>
      </c>
      <c r="BI46" s="6" t="s">
        <v>72</v>
      </c>
    </row>
    <row r="47" spans="1:88">
      <c r="A47" s="5">
        <v>45366.422287337962</v>
      </c>
      <c r="B47" s="6" t="s">
        <v>366</v>
      </c>
      <c r="C47" s="6" t="s">
        <v>367</v>
      </c>
      <c r="D47" s="7" t="s">
        <v>368</v>
      </c>
      <c r="E47" s="6" t="s">
        <v>276</v>
      </c>
      <c r="F47" s="6" t="s">
        <v>369</v>
      </c>
      <c r="G47" s="6" t="s">
        <v>105</v>
      </c>
      <c r="H47" s="6" t="s">
        <v>370</v>
      </c>
      <c r="I47" s="6" t="s">
        <v>371</v>
      </c>
      <c r="J47" s="6" t="s">
        <v>372</v>
      </c>
      <c r="K47" s="6" t="s">
        <v>373</v>
      </c>
      <c r="L47" s="6" t="s">
        <v>89</v>
      </c>
      <c r="M47" s="6" t="s">
        <v>374</v>
      </c>
      <c r="N47" s="6">
        <v>30</v>
      </c>
      <c r="O47" s="6" t="s">
        <v>148</v>
      </c>
      <c r="P47" s="6">
        <v>4</v>
      </c>
      <c r="Q47" s="6">
        <v>1</v>
      </c>
      <c r="R47" s="6">
        <v>84</v>
      </c>
      <c r="S47" s="6" t="s">
        <v>375</v>
      </c>
      <c r="T47" s="6" t="s">
        <v>71</v>
      </c>
      <c r="U47" s="6" t="s">
        <v>72</v>
      </c>
      <c r="V47" s="7" t="s">
        <v>74</v>
      </c>
      <c r="AQ47" s="6" t="s">
        <v>71</v>
      </c>
      <c r="AR47" s="6" t="s">
        <v>72</v>
      </c>
      <c r="AS47" s="6" t="s">
        <v>72</v>
      </c>
      <c r="AT47" s="6" t="s">
        <v>72</v>
      </c>
      <c r="AU47" s="6" t="s">
        <v>72</v>
      </c>
      <c r="AV47" s="6" t="s">
        <v>71</v>
      </c>
      <c r="AW47" s="6" t="s">
        <v>71</v>
      </c>
      <c r="AX47" s="6" t="s">
        <v>72</v>
      </c>
      <c r="AY47" s="6" t="s">
        <v>72</v>
      </c>
      <c r="AZ47" s="6" t="s">
        <v>72</v>
      </c>
      <c r="BA47" s="6" t="s">
        <v>72</v>
      </c>
      <c r="BB47" s="6" t="s">
        <v>71</v>
      </c>
      <c r="BC47" s="6" t="s">
        <v>72</v>
      </c>
      <c r="BD47" s="6" t="s">
        <v>72</v>
      </c>
      <c r="BE47" s="6" t="s">
        <v>72</v>
      </c>
      <c r="BF47" s="6" t="s">
        <v>72</v>
      </c>
      <c r="BG47" s="6" t="s">
        <v>71</v>
      </c>
      <c r="BH47" s="6" t="s">
        <v>72</v>
      </c>
      <c r="BI47" s="6" t="s">
        <v>72</v>
      </c>
      <c r="BJ47" s="6" t="s">
        <v>376</v>
      </c>
    </row>
    <row r="48" spans="1:88">
      <c r="A48" s="8">
        <v>45366.605559571763</v>
      </c>
      <c r="B48" s="9" t="s">
        <v>377</v>
      </c>
      <c r="C48" s="10" t="s">
        <v>378</v>
      </c>
      <c r="D48" s="11" t="s">
        <v>379</v>
      </c>
      <c r="E48" s="9" t="s">
        <v>133</v>
      </c>
      <c r="F48" s="9" t="s">
        <v>380</v>
      </c>
      <c r="G48" s="9" t="s">
        <v>105</v>
      </c>
      <c r="H48" s="9" t="s">
        <v>381</v>
      </c>
      <c r="I48" s="9" t="s">
        <v>382</v>
      </c>
      <c r="J48" s="9" t="s">
        <v>383</v>
      </c>
      <c r="K48" s="9" t="s">
        <v>377</v>
      </c>
      <c r="L48" s="9" t="s">
        <v>245</v>
      </c>
      <c r="M48" s="9" t="s">
        <v>384</v>
      </c>
      <c r="N48" s="9">
        <v>35</v>
      </c>
      <c r="O48" s="9" t="s">
        <v>70</v>
      </c>
      <c r="P48" s="9">
        <v>4</v>
      </c>
      <c r="Q48" s="9">
        <v>2</v>
      </c>
      <c r="R48" s="9">
        <v>90</v>
      </c>
      <c r="S48" s="12"/>
      <c r="T48" s="9" t="s">
        <v>71</v>
      </c>
      <c r="U48" s="9" t="s">
        <v>71</v>
      </c>
      <c r="V48" s="11" t="s">
        <v>74</v>
      </c>
      <c r="W48" s="12"/>
      <c r="X48" s="12"/>
      <c r="Y48" s="12"/>
      <c r="Z48" s="12"/>
      <c r="AA48" s="12"/>
      <c r="AB48" s="12"/>
      <c r="AC48" s="12"/>
      <c r="AD48" s="12"/>
      <c r="AE48" s="12"/>
      <c r="AF48" s="12"/>
      <c r="AG48" s="12"/>
      <c r="AH48" s="12"/>
      <c r="AI48" s="12"/>
      <c r="AJ48" s="12"/>
      <c r="AK48" s="12"/>
      <c r="AL48" s="12"/>
      <c r="AM48" s="12"/>
      <c r="AN48" s="12"/>
      <c r="AO48" s="12"/>
      <c r="AP48" s="12"/>
      <c r="AQ48" s="9" t="s">
        <v>72</v>
      </c>
      <c r="AR48" s="9" t="s">
        <v>71</v>
      </c>
      <c r="AS48" s="9" t="s">
        <v>72</v>
      </c>
      <c r="AT48" s="9" t="s">
        <v>72</v>
      </c>
      <c r="AU48" s="9" t="s">
        <v>72</v>
      </c>
      <c r="AV48" s="9" t="s">
        <v>72</v>
      </c>
      <c r="AW48" s="9" t="s">
        <v>72</v>
      </c>
      <c r="AX48" s="9" t="s">
        <v>71</v>
      </c>
      <c r="AY48" s="9" t="s">
        <v>72</v>
      </c>
      <c r="AZ48" s="9" t="s">
        <v>72</v>
      </c>
      <c r="BA48" s="9" t="s">
        <v>72</v>
      </c>
      <c r="BB48" s="9" t="s">
        <v>72</v>
      </c>
      <c r="BC48" s="9" t="s">
        <v>72</v>
      </c>
      <c r="BD48" s="9" t="s">
        <v>71</v>
      </c>
      <c r="BE48" s="9" t="s">
        <v>72</v>
      </c>
      <c r="BF48" s="9" t="s">
        <v>72</v>
      </c>
      <c r="BG48" s="9" t="s">
        <v>71</v>
      </c>
      <c r="BH48" s="9" t="s">
        <v>72</v>
      </c>
      <c r="BI48" s="9" t="s">
        <v>72</v>
      </c>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row>
    <row r="49" spans="1:62">
      <c r="A49" s="5">
        <v>45366.67817741898</v>
      </c>
      <c r="B49" s="6" t="s">
        <v>385</v>
      </c>
      <c r="C49" s="6" t="s">
        <v>386</v>
      </c>
      <c r="D49" s="6">
        <v>20063700</v>
      </c>
      <c r="E49" s="6" t="s">
        <v>387</v>
      </c>
      <c r="F49" s="6" t="s">
        <v>388</v>
      </c>
      <c r="G49" s="6" t="s">
        <v>105</v>
      </c>
      <c r="H49" s="6" t="s">
        <v>389</v>
      </c>
      <c r="I49" s="6" t="s">
        <v>390</v>
      </c>
      <c r="J49" s="6" t="s">
        <v>391</v>
      </c>
      <c r="K49" s="6" t="s">
        <v>385</v>
      </c>
      <c r="L49" s="6" t="s">
        <v>89</v>
      </c>
      <c r="M49" s="6" t="s">
        <v>392</v>
      </c>
      <c r="N49" s="6">
        <v>35</v>
      </c>
      <c r="O49" s="6" t="s">
        <v>148</v>
      </c>
      <c r="P49" s="6">
        <v>4</v>
      </c>
      <c r="Q49" s="6">
        <v>4</v>
      </c>
      <c r="R49" s="6">
        <v>80</v>
      </c>
      <c r="S49" s="6" t="s">
        <v>393</v>
      </c>
      <c r="T49" s="6" t="s">
        <v>72</v>
      </c>
      <c r="U49" s="6" t="s">
        <v>71</v>
      </c>
      <c r="V49" s="7" t="s">
        <v>74</v>
      </c>
      <c r="AQ49" s="6" t="s">
        <v>72</v>
      </c>
      <c r="AR49" s="6" t="s">
        <v>72</v>
      </c>
      <c r="AS49" s="6" t="s">
        <v>72</v>
      </c>
      <c r="AT49" s="6" t="s">
        <v>71</v>
      </c>
      <c r="AU49" s="6" t="s">
        <v>72</v>
      </c>
      <c r="AV49" s="6" t="s">
        <v>72</v>
      </c>
      <c r="AW49" s="6" t="s">
        <v>72</v>
      </c>
      <c r="AX49" s="6" t="s">
        <v>72</v>
      </c>
      <c r="AY49" s="6" t="s">
        <v>72</v>
      </c>
      <c r="AZ49" s="6" t="s">
        <v>71</v>
      </c>
      <c r="BA49" s="6" t="s">
        <v>72</v>
      </c>
      <c r="BB49" s="6" t="s">
        <v>72</v>
      </c>
      <c r="BC49" s="6" t="s">
        <v>72</v>
      </c>
      <c r="BD49" s="6" t="s">
        <v>72</v>
      </c>
      <c r="BE49" s="6" t="s">
        <v>72</v>
      </c>
      <c r="BF49" s="6" t="s">
        <v>72</v>
      </c>
      <c r="BG49" s="6" t="s">
        <v>72</v>
      </c>
      <c r="BH49" s="6" t="s">
        <v>72</v>
      </c>
      <c r="BI49" s="6" t="s">
        <v>71</v>
      </c>
      <c r="BJ49" s="6" t="s">
        <v>394</v>
      </c>
    </row>
    <row r="50" spans="1:62">
      <c r="A50" s="5">
        <v>45366.704091215273</v>
      </c>
      <c r="B50" s="6" t="s">
        <v>395</v>
      </c>
      <c r="C50" s="6" t="s">
        <v>396</v>
      </c>
      <c r="D50" s="7" t="s">
        <v>397</v>
      </c>
      <c r="E50" s="6" t="s">
        <v>62</v>
      </c>
      <c r="F50" s="6" t="s">
        <v>398</v>
      </c>
      <c r="G50" s="6" t="s">
        <v>105</v>
      </c>
      <c r="H50" s="6" t="s">
        <v>399</v>
      </c>
      <c r="I50" s="6" t="s">
        <v>400</v>
      </c>
      <c r="J50" s="6" t="s">
        <v>401</v>
      </c>
      <c r="K50" s="6" t="s">
        <v>402</v>
      </c>
      <c r="L50" s="6" t="s">
        <v>138</v>
      </c>
      <c r="M50" s="6" t="s">
        <v>403</v>
      </c>
      <c r="N50" s="6">
        <v>35</v>
      </c>
      <c r="O50" s="6" t="s">
        <v>148</v>
      </c>
      <c r="P50" s="6">
        <v>3</v>
      </c>
      <c r="Q50" s="6">
        <v>3</v>
      </c>
      <c r="R50" s="6">
        <v>50</v>
      </c>
      <c r="S50" s="6" t="s">
        <v>404</v>
      </c>
      <c r="T50" s="6" t="s">
        <v>71</v>
      </c>
      <c r="U50" s="6" t="s">
        <v>72</v>
      </c>
      <c r="V50" s="7" t="s">
        <v>74</v>
      </c>
      <c r="AQ50" s="6" t="s">
        <v>71</v>
      </c>
      <c r="AR50" s="6" t="s">
        <v>71</v>
      </c>
      <c r="AS50" s="6" t="s">
        <v>71</v>
      </c>
      <c r="AT50" s="6" t="s">
        <v>72</v>
      </c>
      <c r="AU50" s="6" t="s">
        <v>71</v>
      </c>
      <c r="AV50" s="6" t="s">
        <v>71</v>
      </c>
      <c r="AW50" s="6" t="s">
        <v>71</v>
      </c>
      <c r="AX50" s="6" t="s">
        <v>71</v>
      </c>
      <c r="AY50" s="6" t="s">
        <v>72</v>
      </c>
      <c r="AZ50" s="6" t="s">
        <v>72</v>
      </c>
      <c r="BA50" s="6" t="s">
        <v>71</v>
      </c>
      <c r="BB50" s="6" t="s">
        <v>71</v>
      </c>
      <c r="BC50" s="6" t="s">
        <v>71</v>
      </c>
      <c r="BD50" s="6" t="s">
        <v>72</v>
      </c>
      <c r="BE50" s="6" t="s">
        <v>72</v>
      </c>
      <c r="BF50" s="6" t="s">
        <v>71</v>
      </c>
      <c r="BG50" s="6" t="s">
        <v>71</v>
      </c>
      <c r="BH50" s="6" t="s">
        <v>72</v>
      </c>
      <c r="BI50" s="6" t="s">
        <v>72</v>
      </c>
    </row>
    <row r="51" spans="1:62">
      <c r="A51" s="5">
        <v>45366.773719837962</v>
      </c>
      <c r="B51" s="6" t="s">
        <v>405</v>
      </c>
      <c r="C51" s="6" t="s">
        <v>406</v>
      </c>
      <c r="D51" s="7" t="s">
        <v>407</v>
      </c>
      <c r="E51" s="6" t="s">
        <v>133</v>
      </c>
      <c r="F51" s="6" t="s">
        <v>408</v>
      </c>
      <c r="G51" s="6" t="s">
        <v>64</v>
      </c>
      <c r="H51" s="6" t="s">
        <v>409</v>
      </c>
      <c r="I51" s="6" t="s">
        <v>410</v>
      </c>
      <c r="K51" s="6" t="s">
        <v>405</v>
      </c>
      <c r="L51" s="6" t="s">
        <v>89</v>
      </c>
      <c r="M51" s="6" t="s">
        <v>217</v>
      </c>
      <c r="N51" s="6">
        <v>28</v>
      </c>
      <c r="O51" s="6" t="s">
        <v>70</v>
      </c>
      <c r="P51" s="6">
        <v>5</v>
      </c>
      <c r="Q51" s="6">
        <v>4</v>
      </c>
      <c r="R51" s="6">
        <v>20</v>
      </c>
      <c r="T51" s="6" t="s">
        <v>71</v>
      </c>
      <c r="U51" s="6" t="s">
        <v>72</v>
      </c>
      <c r="V51" s="7" t="s">
        <v>74</v>
      </c>
      <c r="AQ51" s="6" t="s">
        <v>72</v>
      </c>
      <c r="AR51" s="6" t="s">
        <v>72</v>
      </c>
      <c r="AS51" s="6" t="s">
        <v>72</v>
      </c>
      <c r="AT51" s="6" t="s">
        <v>72</v>
      </c>
      <c r="AU51" s="6" t="s">
        <v>72</v>
      </c>
      <c r="AV51" s="6" t="s">
        <v>71</v>
      </c>
      <c r="AW51" s="6" t="s">
        <v>72</v>
      </c>
      <c r="AX51" s="6" t="s">
        <v>72</v>
      </c>
      <c r="AY51" s="6" t="s">
        <v>72</v>
      </c>
      <c r="AZ51" s="6" t="s">
        <v>72</v>
      </c>
      <c r="BA51" s="6" t="s">
        <v>72</v>
      </c>
      <c r="BB51" s="6" t="s">
        <v>72</v>
      </c>
      <c r="BC51" s="6" t="s">
        <v>71</v>
      </c>
      <c r="BD51" s="6" t="s">
        <v>72</v>
      </c>
      <c r="BE51" s="6" t="s">
        <v>72</v>
      </c>
    </row>
    <row r="52" spans="1:62">
      <c r="A52" s="5">
        <v>45367.486158252315</v>
      </c>
      <c r="B52" s="6" t="s">
        <v>411</v>
      </c>
      <c r="C52" s="6" t="s">
        <v>412</v>
      </c>
      <c r="D52" s="6">
        <v>201041</v>
      </c>
      <c r="E52" s="6" t="s">
        <v>62</v>
      </c>
      <c r="F52" s="6" t="s">
        <v>413</v>
      </c>
      <c r="G52" s="6" t="s">
        <v>105</v>
      </c>
      <c r="H52" s="6" t="s">
        <v>414</v>
      </c>
      <c r="I52" s="6" t="s">
        <v>415</v>
      </c>
      <c r="J52" s="6" t="s">
        <v>416</v>
      </c>
      <c r="K52" s="6" t="s">
        <v>411</v>
      </c>
      <c r="L52" s="6" t="s">
        <v>89</v>
      </c>
      <c r="M52" s="6" t="s">
        <v>417</v>
      </c>
      <c r="N52" s="6">
        <v>25</v>
      </c>
      <c r="O52" s="6" t="s">
        <v>70</v>
      </c>
      <c r="P52" s="6">
        <v>3</v>
      </c>
      <c r="Q52" s="6">
        <v>3</v>
      </c>
      <c r="R52" s="6">
        <v>60</v>
      </c>
      <c r="T52" s="6" t="s">
        <v>71</v>
      </c>
      <c r="U52" s="6" t="s">
        <v>72</v>
      </c>
      <c r="V52" s="7" t="s">
        <v>74</v>
      </c>
      <c r="AQ52" s="6" t="s">
        <v>71</v>
      </c>
      <c r="AR52" s="6" t="s">
        <v>71</v>
      </c>
      <c r="AS52" s="6" t="s">
        <v>72</v>
      </c>
      <c r="AT52" s="6" t="s">
        <v>72</v>
      </c>
      <c r="AU52" s="6" t="s">
        <v>71</v>
      </c>
      <c r="AV52" s="6" t="s">
        <v>71</v>
      </c>
      <c r="AW52" s="6" t="s">
        <v>71</v>
      </c>
      <c r="AX52" s="6" t="s">
        <v>72</v>
      </c>
      <c r="AY52" s="6" t="s">
        <v>72</v>
      </c>
      <c r="AZ52" s="6" t="s">
        <v>72</v>
      </c>
      <c r="BA52" s="6" t="s">
        <v>71</v>
      </c>
      <c r="BB52" s="6" t="s">
        <v>71</v>
      </c>
      <c r="BC52" s="6" t="s">
        <v>72</v>
      </c>
      <c r="BD52" s="6" t="s">
        <v>72</v>
      </c>
      <c r="BE52" s="6" t="s">
        <v>72</v>
      </c>
      <c r="BF52" s="6" t="s">
        <v>71</v>
      </c>
      <c r="BG52" s="6" t="s">
        <v>71</v>
      </c>
      <c r="BH52" s="6" t="s">
        <v>72</v>
      </c>
      <c r="BI52" s="6" t="s">
        <v>72</v>
      </c>
    </row>
    <row r="53" spans="1:62">
      <c r="A53" s="5">
        <v>45367.489362268519</v>
      </c>
      <c r="B53" s="6" t="s">
        <v>411</v>
      </c>
      <c r="C53" s="6" t="s">
        <v>418</v>
      </c>
      <c r="D53" s="6">
        <v>201041</v>
      </c>
      <c r="E53" s="6" t="s">
        <v>62</v>
      </c>
      <c r="F53" s="6" t="s">
        <v>413</v>
      </c>
      <c r="G53" s="6" t="s">
        <v>105</v>
      </c>
      <c r="H53" s="6" t="s">
        <v>414</v>
      </c>
      <c r="I53" s="6" t="s">
        <v>415</v>
      </c>
      <c r="J53" s="6" t="s">
        <v>416</v>
      </c>
      <c r="K53" s="6" t="s">
        <v>411</v>
      </c>
      <c r="L53" s="6" t="s">
        <v>89</v>
      </c>
      <c r="M53" s="6" t="s">
        <v>417</v>
      </c>
      <c r="N53" s="6">
        <v>20</v>
      </c>
      <c r="O53" s="6" t="s">
        <v>148</v>
      </c>
      <c r="P53" s="6">
        <v>3</v>
      </c>
      <c r="Q53" s="6">
        <v>3</v>
      </c>
      <c r="R53" s="6">
        <v>60</v>
      </c>
      <c r="T53" s="6" t="s">
        <v>71</v>
      </c>
      <c r="U53" s="6" t="s">
        <v>72</v>
      </c>
      <c r="V53" s="7" t="s">
        <v>74</v>
      </c>
      <c r="AQ53" s="6" t="s">
        <v>71</v>
      </c>
      <c r="AR53" s="6" t="s">
        <v>71</v>
      </c>
      <c r="AS53" s="6" t="s">
        <v>72</v>
      </c>
      <c r="AT53" s="6" t="s">
        <v>72</v>
      </c>
      <c r="AU53" s="6" t="s">
        <v>71</v>
      </c>
      <c r="AV53" s="6" t="s">
        <v>71</v>
      </c>
      <c r="AW53" s="6" t="s">
        <v>71</v>
      </c>
      <c r="AX53" s="6" t="s">
        <v>72</v>
      </c>
      <c r="AY53" s="6" t="s">
        <v>72</v>
      </c>
      <c r="AZ53" s="6" t="s">
        <v>72</v>
      </c>
      <c r="BA53" s="6" t="s">
        <v>71</v>
      </c>
      <c r="BB53" s="6" t="s">
        <v>71</v>
      </c>
      <c r="BC53" s="6" t="s">
        <v>72</v>
      </c>
      <c r="BD53" s="6" t="s">
        <v>72</v>
      </c>
      <c r="BE53" s="6" t="s">
        <v>72</v>
      </c>
      <c r="BF53" s="6" t="s">
        <v>71</v>
      </c>
      <c r="BG53" s="6" t="s">
        <v>71</v>
      </c>
      <c r="BH53" s="6" t="s">
        <v>72</v>
      </c>
      <c r="BI53" s="6" t="s">
        <v>72</v>
      </c>
    </row>
    <row r="54" spans="1:62">
      <c r="A54" s="5">
        <v>45367.492237175931</v>
      </c>
      <c r="B54" s="6" t="s">
        <v>420</v>
      </c>
      <c r="C54" s="6" t="s">
        <v>421</v>
      </c>
      <c r="D54" s="6">
        <v>20116900</v>
      </c>
      <c r="E54" s="6" t="s">
        <v>286</v>
      </c>
      <c r="F54" s="6" t="s">
        <v>422</v>
      </c>
      <c r="G54" s="6" t="s">
        <v>105</v>
      </c>
      <c r="H54" s="6" t="s">
        <v>423</v>
      </c>
      <c r="I54" s="6" t="s">
        <v>424</v>
      </c>
      <c r="K54" s="6" t="s">
        <v>420</v>
      </c>
      <c r="L54" s="6" t="s">
        <v>89</v>
      </c>
      <c r="M54" s="6" t="s">
        <v>425</v>
      </c>
      <c r="N54" s="6">
        <v>35</v>
      </c>
      <c r="O54" s="6" t="s">
        <v>148</v>
      </c>
      <c r="P54" s="6">
        <v>5</v>
      </c>
      <c r="Q54" s="6">
        <v>4</v>
      </c>
      <c r="R54" s="6">
        <v>50</v>
      </c>
      <c r="T54" s="6" t="s">
        <v>71</v>
      </c>
      <c r="U54" s="6" t="s">
        <v>71</v>
      </c>
      <c r="V54" s="7" t="s">
        <v>74</v>
      </c>
      <c r="AQ54" s="6" t="s">
        <v>71</v>
      </c>
      <c r="AR54" s="6" t="s">
        <v>71</v>
      </c>
      <c r="AS54" s="6" t="s">
        <v>71</v>
      </c>
      <c r="AT54" s="6" t="s">
        <v>71</v>
      </c>
      <c r="AU54" s="6" t="s">
        <v>71</v>
      </c>
      <c r="AV54" s="6" t="s">
        <v>71</v>
      </c>
      <c r="AW54" s="6" t="s">
        <v>71</v>
      </c>
      <c r="AX54" s="6" t="s">
        <v>71</v>
      </c>
      <c r="AY54" s="6" t="s">
        <v>71</v>
      </c>
      <c r="AZ54" s="6" t="s">
        <v>71</v>
      </c>
      <c r="BA54" s="6" t="s">
        <v>71</v>
      </c>
      <c r="BB54" s="6" t="s">
        <v>71</v>
      </c>
      <c r="BC54" s="6" t="s">
        <v>71</v>
      </c>
      <c r="BD54" s="6" t="s">
        <v>71</v>
      </c>
      <c r="BE54" s="6" t="s">
        <v>71</v>
      </c>
      <c r="BF54" s="6" t="s">
        <v>71</v>
      </c>
      <c r="BG54" s="6" t="s">
        <v>71</v>
      </c>
      <c r="BH54" s="6" t="s">
        <v>71</v>
      </c>
      <c r="BI54" s="6" t="s">
        <v>71</v>
      </c>
    </row>
    <row r="55" spans="1:62">
      <c r="A55" s="5">
        <v>45368.381214745372</v>
      </c>
      <c r="B55" s="6" t="s">
        <v>426</v>
      </c>
      <c r="C55" s="6" t="s">
        <v>427</v>
      </c>
      <c r="D55" s="7" t="s">
        <v>428</v>
      </c>
      <c r="E55" s="6" t="s">
        <v>133</v>
      </c>
      <c r="F55" s="6" t="s">
        <v>134</v>
      </c>
      <c r="G55" s="6" t="s">
        <v>64</v>
      </c>
      <c r="H55" s="6" t="s">
        <v>429</v>
      </c>
      <c r="I55" s="6" t="s">
        <v>430</v>
      </c>
      <c r="J55" s="6" t="s">
        <v>431</v>
      </c>
      <c r="K55" s="6" t="s">
        <v>426</v>
      </c>
      <c r="L55" s="6" t="s">
        <v>89</v>
      </c>
      <c r="M55" s="6" t="s">
        <v>432</v>
      </c>
      <c r="N55" s="6">
        <v>25</v>
      </c>
      <c r="O55" s="6" t="s">
        <v>148</v>
      </c>
      <c r="P55" s="6">
        <v>3</v>
      </c>
      <c r="Q55" s="6">
        <v>2</v>
      </c>
      <c r="R55" s="6">
        <v>10</v>
      </c>
      <c r="T55" s="6" t="s">
        <v>71</v>
      </c>
      <c r="U55" s="6" t="s">
        <v>72</v>
      </c>
      <c r="V55" s="7" t="s">
        <v>74</v>
      </c>
      <c r="AQ55" s="6" t="s">
        <v>71</v>
      </c>
      <c r="AR55" s="6" t="s">
        <v>71</v>
      </c>
      <c r="AS55" s="6" t="s">
        <v>71</v>
      </c>
      <c r="AT55" s="6" t="s">
        <v>72</v>
      </c>
      <c r="AU55" s="6" t="s">
        <v>71</v>
      </c>
      <c r="AV55" s="6" t="s">
        <v>71</v>
      </c>
      <c r="AW55" s="6" t="s">
        <v>71</v>
      </c>
      <c r="AX55" s="6" t="s">
        <v>71</v>
      </c>
      <c r="AY55" s="6" t="s">
        <v>72</v>
      </c>
      <c r="AZ55" s="6" t="s">
        <v>72</v>
      </c>
      <c r="BA55" s="6" t="s">
        <v>71</v>
      </c>
      <c r="BB55" s="6" t="s">
        <v>71</v>
      </c>
      <c r="BC55" s="6" t="s">
        <v>71</v>
      </c>
      <c r="BD55" s="6" t="s">
        <v>72</v>
      </c>
      <c r="BE55" s="6" t="s">
        <v>72</v>
      </c>
      <c r="BF55" s="6" t="s">
        <v>72</v>
      </c>
      <c r="BG55" s="6" t="s">
        <v>72</v>
      </c>
      <c r="BH55" s="6" t="s">
        <v>72</v>
      </c>
      <c r="BI55" s="6" t="s">
        <v>72</v>
      </c>
    </row>
    <row r="56" spans="1:62">
      <c r="A56" s="5">
        <v>45368.40771777778</v>
      </c>
      <c r="B56" s="6" t="s">
        <v>433</v>
      </c>
      <c r="C56" s="6" t="s">
        <v>434</v>
      </c>
      <c r="D56" s="7" t="s">
        <v>428</v>
      </c>
      <c r="E56" s="6" t="s">
        <v>62</v>
      </c>
      <c r="F56" s="6" t="s">
        <v>435</v>
      </c>
      <c r="G56" s="6" t="s">
        <v>64</v>
      </c>
      <c r="H56" s="6" t="s">
        <v>436</v>
      </c>
      <c r="I56" s="6" t="s">
        <v>429</v>
      </c>
      <c r="J56" s="6" t="s">
        <v>431</v>
      </c>
      <c r="K56" s="6" t="s">
        <v>437</v>
      </c>
      <c r="L56" s="6" t="s">
        <v>89</v>
      </c>
      <c r="M56" s="6" t="s">
        <v>432</v>
      </c>
      <c r="N56" s="6">
        <v>24</v>
      </c>
      <c r="O56" s="6" t="s">
        <v>70</v>
      </c>
      <c r="P56" s="6">
        <v>3</v>
      </c>
      <c r="Q56" s="6">
        <v>2</v>
      </c>
      <c r="R56" s="6">
        <v>30</v>
      </c>
      <c r="T56" s="6" t="s">
        <v>71</v>
      </c>
      <c r="U56" s="6" t="s">
        <v>72</v>
      </c>
      <c r="V56" s="7" t="s">
        <v>74</v>
      </c>
      <c r="AQ56" s="6" t="s">
        <v>71</v>
      </c>
      <c r="AR56" s="6" t="s">
        <v>71</v>
      </c>
      <c r="AS56" s="6" t="s">
        <v>71</v>
      </c>
      <c r="AT56" s="6" t="s">
        <v>72</v>
      </c>
      <c r="AU56" s="6" t="s">
        <v>71</v>
      </c>
      <c r="AV56" s="6" t="s">
        <v>71</v>
      </c>
      <c r="AW56" s="6" t="s">
        <v>71</v>
      </c>
      <c r="AX56" s="6" t="s">
        <v>71</v>
      </c>
      <c r="AY56" s="6" t="s">
        <v>72</v>
      </c>
      <c r="AZ56" s="6" t="s">
        <v>72</v>
      </c>
      <c r="BA56" s="6" t="s">
        <v>71</v>
      </c>
      <c r="BB56" s="6" t="s">
        <v>71</v>
      </c>
      <c r="BC56" s="6" t="s">
        <v>71</v>
      </c>
      <c r="BD56" s="6" t="s">
        <v>72</v>
      </c>
      <c r="BE56" s="6" t="s">
        <v>72</v>
      </c>
      <c r="BF56" s="6" t="s">
        <v>72</v>
      </c>
      <c r="BG56" s="6" t="s">
        <v>72</v>
      </c>
      <c r="BH56" s="6" t="s">
        <v>72</v>
      </c>
      <c r="BI56" s="6" t="s">
        <v>72</v>
      </c>
    </row>
    <row r="57" spans="1:62">
      <c r="A57" s="5">
        <v>45368.409880960651</v>
      </c>
      <c r="B57" s="6" t="s">
        <v>433</v>
      </c>
      <c r="C57" s="6" t="s">
        <v>434</v>
      </c>
      <c r="D57" s="7" t="s">
        <v>428</v>
      </c>
      <c r="E57" s="6" t="s">
        <v>84</v>
      </c>
      <c r="F57" s="6" t="s">
        <v>438</v>
      </c>
      <c r="G57" s="6" t="s">
        <v>64</v>
      </c>
      <c r="H57" s="6" t="s">
        <v>436</v>
      </c>
      <c r="I57" s="6" t="s">
        <v>431</v>
      </c>
      <c r="J57" s="6" t="s">
        <v>429</v>
      </c>
      <c r="K57" s="6" t="s">
        <v>433</v>
      </c>
      <c r="L57" s="6" t="s">
        <v>89</v>
      </c>
      <c r="M57" s="6" t="s">
        <v>432</v>
      </c>
      <c r="N57" s="6">
        <v>30</v>
      </c>
      <c r="O57" s="6" t="s">
        <v>70</v>
      </c>
      <c r="P57" s="6">
        <v>3</v>
      </c>
      <c r="Q57" s="6">
        <v>2</v>
      </c>
      <c r="R57" s="6">
        <v>30</v>
      </c>
      <c r="T57" s="6" t="s">
        <v>71</v>
      </c>
      <c r="U57" s="6" t="s">
        <v>72</v>
      </c>
      <c r="V57" s="7" t="s">
        <v>74</v>
      </c>
      <c r="AQ57" s="6" t="s">
        <v>71</v>
      </c>
      <c r="AR57" s="6" t="s">
        <v>71</v>
      </c>
      <c r="AS57" s="6" t="s">
        <v>71</v>
      </c>
      <c r="AT57" s="6" t="s">
        <v>72</v>
      </c>
      <c r="AU57" s="6" t="s">
        <v>71</v>
      </c>
      <c r="AV57" s="6" t="s">
        <v>71</v>
      </c>
      <c r="AW57" s="6" t="s">
        <v>71</v>
      </c>
      <c r="AX57" s="6" t="s">
        <v>71</v>
      </c>
      <c r="AY57" s="6" t="s">
        <v>72</v>
      </c>
      <c r="AZ57" s="6" t="s">
        <v>72</v>
      </c>
      <c r="BA57" s="6" t="s">
        <v>71</v>
      </c>
      <c r="BB57" s="6" t="s">
        <v>71</v>
      </c>
      <c r="BC57" s="6" t="s">
        <v>71</v>
      </c>
      <c r="BD57" s="6" t="s">
        <v>72</v>
      </c>
      <c r="BE57" s="6" t="s">
        <v>72</v>
      </c>
      <c r="BF57" s="6" t="s">
        <v>72</v>
      </c>
      <c r="BG57" s="6" t="s">
        <v>72</v>
      </c>
      <c r="BH57" s="6" t="s">
        <v>72</v>
      </c>
      <c r="BI57" s="6" t="s">
        <v>72</v>
      </c>
    </row>
    <row r="58" spans="1:62">
      <c r="A58" s="5">
        <v>45368.411909189817</v>
      </c>
      <c r="B58" s="6" t="s">
        <v>433</v>
      </c>
      <c r="C58" s="6" t="s">
        <v>434</v>
      </c>
      <c r="D58" s="7" t="s">
        <v>428</v>
      </c>
      <c r="E58" s="6" t="s">
        <v>133</v>
      </c>
      <c r="F58" s="6" t="s">
        <v>439</v>
      </c>
      <c r="G58" s="6" t="s">
        <v>64</v>
      </c>
      <c r="H58" s="6" t="s">
        <v>436</v>
      </c>
      <c r="I58" s="6" t="s">
        <v>431</v>
      </c>
      <c r="J58" s="6" t="s">
        <v>429</v>
      </c>
      <c r="K58" s="6" t="s">
        <v>433</v>
      </c>
      <c r="L58" s="6" t="s">
        <v>89</v>
      </c>
      <c r="M58" s="6" t="s">
        <v>432</v>
      </c>
      <c r="N58" s="6">
        <v>21</v>
      </c>
      <c r="O58" s="6" t="s">
        <v>70</v>
      </c>
      <c r="P58" s="6">
        <v>3</v>
      </c>
      <c r="Q58" s="6">
        <v>2</v>
      </c>
      <c r="R58" s="6">
        <v>30</v>
      </c>
      <c r="T58" s="6" t="s">
        <v>71</v>
      </c>
      <c r="U58" s="6" t="s">
        <v>72</v>
      </c>
      <c r="V58" s="7" t="s">
        <v>74</v>
      </c>
      <c r="AQ58" s="6" t="s">
        <v>71</v>
      </c>
      <c r="AR58" s="6" t="s">
        <v>71</v>
      </c>
      <c r="AS58" s="6" t="s">
        <v>71</v>
      </c>
      <c r="AT58" s="6" t="s">
        <v>72</v>
      </c>
      <c r="AU58" s="6" t="s">
        <v>71</v>
      </c>
      <c r="AV58" s="6" t="s">
        <v>71</v>
      </c>
      <c r="AW58" s="6" t="s">
        <v>71</v>
      </c>
      <c r="AX58" s="6" t="s">
        <v>71</v>
      </c>
      <c r="AY58" s="6" t="s">
        <v>72</v>
      </c>
      <c r="AZ58" s="6" t="s">
        <v>72</v>
      </c>
      <c r="BA58" s="6" t="s">
        <v>71</v>
      </c>
      <c r="BB58" s="6" t="s">
        <v>71</v>
      </c>
      <c r="BC58" s="6" t="s">
        <v>71</v>
      </c>
      <c r="BD58" s="6" t="s">
        <v>72</v>
      </c>
      <c r="BE58" s="6" t="s">
        <v>72</v>
      </c>
      <c r="BF58" s="6" t="s">
        <v>72</v>
      </c>
      <c r="BG58" s="6" t="s">
        <v>72</v>
      </c>
      <c r="BH58" s="6" t="s">
        <v>72</v>
      </c>
      <c r="BI58" s="6" t="s">
        <v>72</v>
      </c>
    </row>
    <row r="59" spans="1:62">
      <c r="A59" s="5">
        <v>45368.663241516202</v>
      </c>
      <c r="B59" s="6" t="s">
        <v>440</v>
      </c>
      <c r="C59" s="6" t="s">
        <v>441</v>
      </c>
      <c r="D59" s="7" t="s">
        <v>442</v>
      </c>
      <c r="E59" s="6" t="s">
        <v>387</v>
      </c>
      <c r="F59" s="6" t="s">
        <v>443</v>
      </c>
      <c r="G59" s="6" t="s">
        <v>64</v>
      </c>
      <c r="H59" s="6" t="s">
        <v>444</v>
      </c>
      <c r="I59" s="6" t="s">
        <v>445</v>
      </c>
      <c r="K59" s="6" t="s">
        <v>440</v>
      </c>
      <c r="L59" s="6" t="s">
        <v>89</v>
      </c>
      <c r="M59" s="6" t="s">
        <v>446</v>
      </c>
      <c r="N59" s="6">
        <v>20</v>
      </c>
      <c r="O59" s="6" t="s">
        <v>70</v>
      </c>
      <c r="P59" s="6">
        <v>5</v>
      </c>
      <c r="Q59" s="6">
        <v>5</v>
      </c>
      <c r="R59" s="6">
        <v>0</v>
      </c>
      <c r="T59" s="6" t="s">
        <v>71</v>
      </c>
      <c r="U59" s="6" t="s">
        <v>72</v>
      </c>
      <c r="V59" s="7" t="s">
        <v>74</v>
      </c>
      <c r="AQ59" s="6" t="s">
        <v>71</v>
      </c>
      <c r="AR59" s="6" t="s">
        <v>72</v>
      </c>
      <c r="AS59" s="6" t="s">
        <v>72</v>
      </c>
      <c r="AT59" s="6" t="s">
        <v>72</v>
      </c>
      <c r="AU59" s="6" t="s">
        <v>72</v>
      </c>
      <c r="AV59" s="6" t="s">
        <v>71</v>
      </c>
      <c r="AW59" s="6" t="s">
        <v>72</v>
      </c>
      <c r="AX59" s="6" t="s">
        <v>72</v>
      </c>
      <c r="AY59" s="6" t="s">
        <v>72</v>
      </c>
      <c r="AZ59" s="6" t="s">
        <v>72</v>
      </c>
      <c r="BA59" s="6" t="s">
        <v>72</v>
      </c>
      <c r="BB59" s="6" t="s">
        <v>71</v>
      </c>
      <c r="BC59" s="6" t="s">
        <v>72</v>
      </c>
      <c r="BD59" s="6" t="s">
        <v>72</v>
      </c>
      <c r="BE59" s="6" t="s">
        <v>72</v>
      </c>
      <c r="BF59" s="6" t="s">
        <v>72</v>
      </c>
      <c r="BG59" s="6" t="s">
        <v>72</v>
      </c>
      <c r="BH59" s="6" t="s">
        <v>72</v>
      </c>
      <c r="BI59" s="6" t="s">
        <v>72</v>
      </c>
    </row>
    <row r="60" spans="1:62">
      <c r="A60" s="5">
        <v>45368.666432337966</v>
      </c>
      <c r="B60" s="6" t="s">
        <v>440</v>
      </c>
      <c r="C60" s="6" t="s">
        <v>441</v>
      </c>
      <c r="D60" s="7" t="s">
        <v>442</v>
      </c>
      <c r="E60" s="6" t="s">
        <v>84</v>
      </c>
      <c r="F60" s="6" t="s">
        <v>249</v>
      </c>
      <c r="G60" s="6" t="s">
        <v>64</v>
      </c>
      <c r="H60" s="6" t="s">
        <v>444</v>
      </c>
      <c r="I60" s="6" t="s">
        <v>445</v>
      </c>
      <c r="K60" s="6" t="s">
        <v>440</v>
      </c>
      <c r="L60" s="6" t="s">
        <v>89</v>
      </c>
      <c r="M60" s="6" t="s">
        <v>446</v>
      </c>
      <c r="N60" s="6">
        <v>17</v>
      </c>
      <c r="O60" s="6" t="s">
        <v>70</v>
      </c>
      <c r="P60" s="6">
        <v>5</v>
      </c>
      <c r="Q60" s="6">
        <v>5</v>
      </c>
      <c r="R60" s="6">
        <v>0</v>
      </c>
      <c r="T60" s="6" t="s">
        <v>71</v>
      </c>
      <c r="U60" s="6" t="s">
        <v>72</v>
      </c>
      <c r="V60" s="7" t="s">
        <v>74</v>
      </c>
      <c r="AQ60" s="6" t="s">
        <v>72</v>
      </c>
      <c r="AR60" s="6" t="s">
        <v>71</v>
      </c>
      <c r="AS60" s="6" t="s">
        <v>72</v>
      </c>
      <c r="AT60" s="6" t="s">
        <v>72</v>
      </c>
      <c r="AU60" s="6" t="s">
        <v>71</v>
      </c>
      <c r="AV60" s="6" t="s">
        <v>72</v>
      </c>
      <c r="AW60" s="6" t="s">
        <v>72</v>
      </c>
      <c r="AX60" s="6" t="s">
        <v>72</v>
      </c>
      <c r="AY60" s="6" t="s">
        <v>72</v>
      </c>
      <c r="AZ60" s="6" t="s">
        <v>72</v>
      </c>
      <c r="BA60" s="6" t="s">
        <v>72</v>
      </c>
      <c r="BB60" s="6" t="s">
        <v>71</v>
      </c>
      <c r="BC60" s="6" t="s">
        <v>72</v>
      </c>
      <c r="BD60" s="6" t="s">
        <v>72</v>
      </c>
      <c r="BE60" s="6" t="s">
        <v>72</v>
      </c>
      <c r="BF60" s="6" t="s">
        <v>72</v>
      </c>
      <c r="BG60" s="6" t="s">
        <v>72</v>
      </c>
      <c r="BH60" s="6" t="s">
        <v>72</v>
      </c>
      <c r="BI60" s="6" t="s">
        <v>72</v>
      </c>
    </row>
    <row r="61" spans="1:62">
      <c r="A61" s="5">
        <v>45368.812671458334</v>
      </c>
      <c r="B61" s="6" t="s">
        <v>447</v>
      </c>
      <c r="C61" s="6" t="s">
        <v>448</v>
      </c>
      <c r="D61" s="7" t="s">
        <v>449</v>
      </c>
      <c r="E61" s="6" t="s">
        <v>133</v>
      </c>
      <c r="F61" s="6" t="s">
        <v>450</v>
      </c>
      <c r="G61" s="6" t="s">
        <v>105</v>
      </c>
      <c r="H61" s="6" t="s">
        <v>451</v>
      </c>
      <c r="I61" s="6" t="s">
        <v>452</v>
      </c>
      <c r="J61" s="6" t="s">
        <v>453</v>
      </c>
      <c r="K61" s="6" t="s">
        <v>447</v>
      </c>
      <c r="L61" s="6" t="s">
        <v>138</v>
      </c>
      <c r="M61" s="6" t="s">
        <v>454</v>
      </c>
      <c r="N61" s="6">
        <v>35</v>
      </c>
      <c r="O61" s="6" t="s">
        <v>70</v>
      </c>
      <c r="P61" s="6">
        <v>3</v>
      </c>
      <c r="Q61" s="6">
        <v>1</v>
      </c>
      <c r="R61" s="6">
        <v>70</v>
      </c>
      <c r="S61" s="6" t="s">
        <v>455</v>
      </c>
      <c r="T61" s="6" t="s">
        <v>71</v>
      </c>
      <c r="U61" s="6" t="s">
        <v>71</v>
      </c>
      <c r="V61" s="7" t="s">
        <v>74</v>
      </c>
      <c r="AQ61" s="6" t="s">
        <v>71</v>
      </c>
      <c r="AR61" s="6" t="s">
        <v>72</v>
      </c>
      <c r="AS61" s="6" t="s">
        <v>72</v>
      </c>
      <c r="AT61" s="6" t="s">
        <v>72</v>
      </c>
      <c r="AU61" s="6" t="s">
        <v>72</v>
      </c>
      <c r="AV61" s="6" t="s">
        <v>71</v>
      </c>
      <c r="AW61" s="6" t="s">
        <v>72</v>
      </c>
      <c r="AX61" s="6" t="s">
        <v>72</v>
      </c>
      <c r="AY61" s="6" t="s">
        <v>72</v>
      </c>
      <c r="AZ61" s="6" t="s">
        <v>72</v>
      </c>
      <c r="BA61" s="6" t="s">
        <v>72</v>
      </c>
      <c r="BB61" s="6" t="s">
        <v>72</v>
      </c>
      <c r="BC61" s="6" t="s">
        <v>71</v>
      </c>
      <c r="BD61" s="6" t="s">
        <v>72</v>
      </c>
      <c r="BE61" s="6" t="s">
        <v>72</v>
      </c>
      <c r="BF61" s="6" t="s">
        <v>72</v>
      </c>
      <c r="BG61" s="6" t="s">
        <v>72</v>
      </c>
      <c r="BH61" s="6" t="s">
        <v>71</v>
      </c>
      <c r="BI61" s="6" t="s">
        <v>72</v>
      </c>
      <c r="BJ61" s="6" t="s">
        <v>456</v>
      </c>
    </row>
    <row r="62" spans="1:62">
      <c r="A62" s="5">
        <v>45368.822797256944</v>
      </c>
      <c r="B62" s="6" t="s">
        <v>457</v>
      </c>
      <c r="C62" s="6" t="s">
        <v>458</v>
      </c>
      <c r="D62" s="7" t="s">
        <v>459</v>
      </c>
      <c r="E62" s="6" t="s">
        <v>84</v>
      </c>
      <c r="F62" s="6" t="s">
        <v>177</v>
      </c>
      <c r="G62" s="6" t="s">
        <v>64</v>
      </c>
      <c r="H62" s="6" t="s">
        <v>460</v>
      </c>
      <c r="I62" s="6" t="s">
        <v>461</v>
      </c>
      <c r="J62" s="6" t="s">
        <v>462</v>
      </c>
      <c r="K62" s="6" t="s">
        <v>457</v>
      </c>
      <c r="L62" s="6" t="s">
        <v>68</v>
      </c>
      <c r="M62" s="6" t="s">
        <v>463</v>
      </c>
      <c r="N62" s="6">
        <v>28</v>
      </c>
      <c r="O62" s="6" t="s">
        <v>148</v>
      </c>
      <c r="P62" s="6">
        <v>5</v>
      </c>
      <c r="Q62" s="6">
        <v>3</v>
      </c>
      <c r="R62" s="6">
        <v>30</v>
      </c>
      <c r="T62" s="6" t="s">
        <v>71</v>
      </c>
      <c r="U62" s="6" t="s">
        <v>72</v>
      </c>
      <c r="V62" s="7" t="s">
        <v>74</v>
      </c>
      <c r="AQ62" s="6" t="s">
        <v>71</v>
      </c>
      <c r="AR62" s="6" t="s">
        <v>72</v>
      </c>
      <c r="AS62" s="6" t="s">
        <v>72</v>
      </c>
      <c r="AT62" s="6" t="s">
        <v>72</v>
      </c>
      <c r="AU62" s="6" t="s">
        <v>72</v>
      </c>
      <c r="AV62" s="6" t="s">
        <v>72</v>
      </c>
      <c r="AW62" s="6" t="s">
        <v>71</v>
      </c>
      <c r="AX62" s="6" t="s">
        <v>71</v>
      </c>
      <c r="AY62" s="6" t="s">
        <v>72</v>
      </c>
      <c r="AZ62" s="6" t="s">
        <v>72</v>
      </c>
      <c r="BA62" s="6" t="s">
        <v>72</v>
      </c>
      <c r="BB62" s="6" t="s">
        <v>72</v>
      </c>
      <c r="BC62" s="6" t="s">
        <v>71</v>
      </c>
      <c r="BD62" s="6" t="s">
        <v>71</v>
      </c>
      <c r="BE62" s="6" t="s">
        <v>72</v>
      </c>
      <c r="BF62" s="6" t="s">
        <v>71</v>
      </c>
      <c r="BG62" s="6" t="s">
        <v>71</v>
      </c>
      <c r="BH62" s="6" t="s">
        <v>72</v>
      </c>
      <c r="BI62" s="6" t="s">
        <v>72</v>
      </c>
    </row>
    <row r="63" spans="1:62">
      <c r="A63" s="5">
        <v>45369.356535173611</v>
      </c>
      <c r="B63" s="6" t="s">
        <v>464</v>
      </c>
      <c r="C63" s="6" t="s">
        <v>76</v>
      </c>
      <c r="D63" s="7" t="s">
        <v>61</v>
      </c>
      <c r="E63" s="6" t="s">
        <v>62</v>
      </c>
      <c r="F63" s="6" t="s">
        <v>63</v>
      </c>
      <c r="G63" s="6" t="s">
        <v>64</v>
      </c>
      <c r="H63" s="6" t="s">
        <v>465</v>
      </c>
      <c r="I63" s="6" t="s">
        <v>65</v>
      </c>
      <c r="J63" s="6" t="s">
        <v>78</v>
      </c>
      <c r="K63" s="6" t="s">
        <v>464</v>
      </c>
      <c r="L63" s="6" t="s">
        <v>138</v>
      </c>
      <c r="M63" s="6" t="s">
        <v>100</v>
      </c>
      <c r="N63" s="6">
        <v>34</v>
      </c>
      <c r="O63" s="6" t="s">
        <v>148</v>
      </c>
      <c r="P63" s="6">
        <v>2</v>
      </c>
      <c r="Q63" s="6">
        <v>3</v>
      </c>
      <c r="R63" s="6">
        <v>50</v>
      </c>
      <c r="T63" s="6" t="s">
        <v>71</v>
      </c>
      <c r="U63" s="6" t="s">
        <v>72</v>
      </c>
      <c r="V63" s="7" t="s">
        <v>74</v>
      </c>
      <c r="AQ63" s="6" t="s">
        <v>71</v>
      </c>
      <c r="AR63" s="6" t="s">
        <v>71</v>
      </c>
      <c r="AS63" s="6" t="s">
        <v>71</v>
      </c>
      <c r="AT63" s="6" t="s">
        <v>72</v>
      </c>
      <c r="AU63" s="6" t="s">
        <v>71</v>
      </c>
      <c r="AV63" s="6" t="s">
        <v>71</v>
      </c>
      <c r="AW63" s="6" t="s">
        <v>71</v>
      </c>
      <c r="AX63" s="6" t="s">
        <v>72</v>
      </c>
      <c r="AY63" s="6" t="s">
        <v>72</v>
      </c>
      <c r="AZ63" s="6" t="s">
        <v>72</v>
      </c>
      <c r="BA63" s="6" t="s">
        <v>71</v>
      </c>
      <c r="BB63" s="6" t="s">
        <v>71</v>
      </c>
      <c r="BC63" s="6" t="s">
        <v>71</v>
      </c>
      <c r="BD63" s="6" t="s">
        <v>72</v>
      </c>
      <c r="BE63" s="6" t="s">
        <v>72</v>
      </c>
      <c r="BF63" s="6" t="s">
        <v>71</v>
      </c>
      <c r="BG63" s="6" t="s">
        <v>71</v>
      </c>
      <c r="BH63" s="6" t="s">
        <v>72</v>
      </c>
      <c r="BI63" s="6" t="s">
        <v>72</v>
      </c>
    </row>
    <row r="64" spans="1:62">
      <c r="A64" s="5">
        <v>45369.441806215276</v>
      </c>
      <c r="B64" s="6" t="s">
        <v>466</v>
      </c>
      <c r="C64" s="6" t="s">
        <v>467</v>
      </c>
      <c r="D64" s="7" t="s">
        <v>468</v>
      </c>
      <c r="E64" s="6" t="s">
        <v>133</v>
      </c>
      <c r="F64" s="6" t="s">
        <v>469</v>
      </c>
      <c r="G64" s="6" t="s">
        <v>64</v>
      </c>
      <c r="H64" s="6" t="s">
        <v>470</v>
      </c>
      <c r="I64" s="6" t="s">
        <v>471</v>
      </c>
      <c r="J64" s="6" t="s">
        <v>472</v>
      </c>
      <c r="K64" s="6" t="s">
        <v>466</v>
      </c>
      <c r="L64" s="6" t="s">
        <v>89</v>
      </c>
      <c r="M64" s="6" t="s">
        <v>473</v>
      </c>
      <c r="N64" s="6">
        <v>28</v>
      </c>
      <c r="O64" s="6" t="s">
        <v>148</v>
      </c>
      <c r="P64" s="6">
        <v>5</v>
      </c>
      <c r="Q64" s="6">
        <v>3</v>
      </c>
      <c r="R64" s="6">
        <v>2</v>
      </c>
      <c r="T64" s="6" t="s">
        <v>71</v>
      </c>
      <c r="U64" s="6" t="s">
        <v>71</v>
      </c>
      <c r="V64" s="7" t="s">
        <v>74</v>
      </c>
      <c r="AQ64" s="6" t="s">
        <v>72</v>
      </c>
      <c r="AR64" s="6" t="s">
        <v>72</v>
      </c>
      <c r="AS64" s="6" t="s">
        <v>71</v>
      </c>
      <c r="AT64" s="6" t="s">
        <v>71</v>
      </c>
      <c r="AU64" s="6" t="s">
        <v>72</v>
      </c>
      <c r="AV64" s="6" t="s">
        <v>72</v>
      </c>
      <c r="AW64" s="6" t="s">
        <v>71</v>
      </c>
      <c r="AX64" s="6" t="s">
        <v>71</v>
      </c>
      <c r="AY64" s="6" t="s">
        <v>71</v>
      </c>
      <c r="AZ64" s="6" t="s">
        <v>71</v>
      </c>
      <c r="BA64" s="6" t="s">
        <v>72</v>
      </c>
      <c r="BB64" s="6" t="s">
        <v>72</v>
      </c>
      <c r="BC64" s="6" t="s">
        <v>71</v>
      </c>
      <c r="BD64" s="6" t="s">
        <v>71</v>
      </c>
      <c r="BE64" s="6" t="s">
        <v>71</v>
      </c>
      <c r="BF64" s="6" t="s">
        <v>72</v>
      </c>
      <c r="BG64" s="6" t="s">
        <v>71</v>
      </c>
      <c r="BH64" s="6" t="s">
        <v>71</v>
      </c>
      <c r="BI64" s="6" t="s">
        <v>71</v>
      </c>
    </row>
    <row r="65" spans="1:62">
      <c r="A65" s="5">
        <v>45369.443823530091</v>
      </c>
      <c r="B65" s="6" t="s">
        <v>466</v>
      </c>
      <c r="C65" s="6" t="s">
        <v>474</v>
      </c>
      <c r="D65" s="7" t="s">
        <v>468</v>
      </c>
      <c r="E65" s="6" t="s">
        <v>133</v>
      </c>
      <c r="F65" s="6" t="s">
        <v>475</v>
      </c>
      <c r="G65" s="6" t="s">
        <v>64</v>
      </c>
      <c r="H65" s="6" t="s">
        <v>471</v>
      </c>
      <c r="I65" s="6" t="s">
        <v>476</v>
      </c>
      <c r="J65" s="6" t="s">
        <v>472</v>
      </c>
      <c r="K65" s="6" t="s">
        <v>466</v>
      </c>
      <c r="L65" s="6" t="s">
        <v>89</v>
      </c>
      <c r="M65" s="6" t="s">
        <v>477</v>
      </c>
      <c r="N65" s="6">
        <v>23</v>
      </c>
      <c r="O65" s="6" t="s">
        <v>70</v>
      </c>
      <c r="P65" s="6">
        <v>5</v>
      </c>
      <c r="Q65" s="6">
        <v>3</v>
      </c>
      <c r="R65" s="6">
        <v>2</v>
      </c>
      <c r="T65" s="6" t="s">
        <v>71</v>
      </c>
      <c r="U65" s="6" t="s">
        <v>71</v>
      </c>
      <c r="V65" s="7" t="s">
        <v>74</v>
      </c>
      <c r="AQ65" s="6" t="s">
        <v>72</v>
      </c>
      <c r="AR65" s="6" t="s">
        <v>72</v>
      </c>
      <c r="AS65" s="6" t="s">
        <v>71</v>
      </c>
      <c r="AT65" s="6" t="s">
        <v>71</v>
      </c>
      <c r="AU65" s="6" t="s">
        <v>72</v>
      </c>
      <c r="AV65" s="6" t="s">
        <v>72</v>
      </c>
      <c r="AW65" s="6" t="s">
        <v>71</v>
      </c>
      <c r="AX65" s="6" t="s">
        <v>71</v>
      </c>
      <c r="AY65" s="6" t="s">
        <v>71</v>
      </c>
      <c r="AZ65" s="6" t="s">
        <v>71</v>
      </c>
      <c r="BA65" s="6" t="s">
        <v>72</v>
      </c>
      <c r="BB65" s="6" t="s">
        <v>72</v>
      </c>
      <c r="BC65" s="6" t="s">
        <v>71</v>
      </c>
      <c r="BD65" s="6" t="s">
        <v>71</v>
      </c>
      <c r="BE65" s="6" t="s">
        <v>71</v>
      </c>
      <c r="BF65" s="6" t="s">
        <v>72</v>
      </c>
      <c r="BG65" s="6" t="s">
        <v>71</v>
      </c>
      <c r="BH65" s="6" t="s">
        <v>71</v>
      </c>
      <c r="BI65" s="6" t="s">
        <v>71</v>
      </c>
    </row>
    <row r="66" spans="1:62">
      <c r="A66" s="5">
        <v>45369.545665833335</v>
      </c>
      <c r="B66" s="6" t="s">
        <v>478</v>
      </c>
      <c r="C66" s="6" t="s">
        <v>479</v>
      </c>
      <c r="D66" s="7" t="s">
        <v>480</v>
      </c>
      <c r="E66" s="6" t="s">
        <v>62</v>
      </c>
      <c r="F66" s="6" t="s">
        <v>481</v>
      </c>
      <c r="G66" s="6" t="s">
        <v>64</v>
      </c>
      <c r="H66" s="6" t="s">
        <v>482</v>
      </c>
      <c r="I66" s="6" t="s">
        <v>483</v>
      </c>
      <c r="K66" s="6" t="s">
        <v>478</v>
      </c>
      <c r="L66" s="6" t="s">
        <v>89</v>
      </c>
      <c r="M66" s="6" t="s">
        <v>473</v>
      </c>
      <c r="N66" s="6">
        <v>17</v>
      </c>
      <c r="O66" s="6" t="s">
        <v>70</v>
      </c>
      <c r="P66" s="6">
        <v>5</v>
      </c>
      <c r="Q66" s="6">
        <v>5</v>
      </c>
      <c r="R66" s="6">
        <v>0</v>
      </c>
      <c r="T66" s="6" t="s">
        <v>71</v>
      </c>
      <c r="U66" s="6" t="s">
        <v>72</v>
      </c>
      <c r="V66" s="7" t="s">
        <v>74</v>
      </c>
      <c r="AQ66" s="6" t="s">
        <v>72</v>
      </c>
      <c r="AR66" s="6" t="s">
        <v>71</v>
      </c>
      <c r="AS66" s="6" t="s">
        <v>71</v>
      </c>
      <c r="AT66" s="6" t="s">
        <v>72</v>
      </c>
      <c r="AU66" s="6" t="s">
        <v>72</v>
      </c>
      <c r="AV66" s="6" t="s">
        <v>72</v>
      </c>
      <c r="AW66" s="6" t="s">
        <v>72</v>
      </c>
      <c r="AX66" s="6" t="s">
        <v>71</v>
      </c>
      <c r="AY66" s="6" t="s">
        <v>72</v>
      </c>
      <c r="AZ66" s="6" t="s">
        <v>72</v>
      </c>
      <c r="BA66" s="6" t="s">
        <v>72</v>
      </c>
      <c r="BB66" s="6" t="s">
        <v>71</v>
      </c>
      <c r="BC66" s="6" t="s">
        <v>71</v>
      </c>
      <c r="BD66" s="6" t="s">
        <v>72</v>
      </c>
      <c r="BE66" s="6" t="s">
        <v>72</v>
      </c>
      <c r="BF66" s="6" t="s">
        <v>72</v>
      </c>
      <c r="BG66" s="6" t="s">
        <v>72</v>
      </c>
      <c r="BH66" s="6" t="s">
        <v>72</v>
      </c>
      <c r="BI66" s="6" t="s">
        <v>72</v>
      </c>
    </row>
    <row r="67" spans="1:62">
      <c r="A67" s="5">
        <v>45369.658399386579</v>
      </c>
      <c r="B67" s="6" t="s">
        <v>484</v>
      </c>
      <c r="C67" s="6" t="s">
        <v>485</v>
      </c>
      <c r="D67" s="7" t="s">
        <v>486</v>
      </c>
      <c r="E67" s="6" t="s">
        <v>286</v>
      </c>
      <c r="F67" s="6" t="s">
        <v>487</v>
      </c>
      <c r="G67" s="6" t="s">
        <v>105</v>
      </c>
      <c r="H67" s="6" t="s">
        <v>488</v>
      </c>
      <c r="I67" s="6" t="s">
        <v>489</v>
      </c>
      <c r="K67" s="6" t="s">
        <v>484</v>
      </c>
      <c r="L67" s="6" t="s">
        <v>245</v>
      </c>
      <c r="M67" s="6" t="s">
        <v>490</v>
      </c>
      <c r="N67" s="6">
        <v>25</v>
      </c>
      <c r="O67" s="6" t="s">
        <v>148</v>
      </c>
      <c r="P67" s="6">
        <v>4</v>
      </c>
      <c r="Q67" s="6">
        <v>4</v>
      </c>
      <c r="R67" s="6">
        <v>15</v>
      </c>
      <c r="S67" s="6" t="s">
        <v>491</v>
      </c>
      <c r="T67" s="6" t="s">
        <v>71</v>
      </c>
      <c r="U67" s="6" t="s">
        <v>72</v>
      </c>
      <c r="V67" s="7" t="s">
        <v>74</v>
      </c>
      <c r="AQ67" s="6" t="s">
        <v>71</v>
      </c>
      <c r="AR67" s="6" t="s">
        <v>71</v>
      </c>
      <c r="AS67" s="6" t="s">
        <v>71</v>
      </c>
      <c r="AT67" s="6" t="s">
        <v>72</v>
      </c>
      <c r="AU67" s="6" t="s">
        <v>71</v>
      </c>
      <c r="AV67" s="6" t="s">
        <v>71</v>
      </c>
      <c r="AW67" s="6" t="s">
        <v>71</v>
      </c>
      <c r="AX67" s="6" t="s">
        <v>72</v>
      </c>
      <c r="AY67" s="6" t="s">
        <v>72</v>
      </c>
      <c r="AZ67" s="6" t="s">
        <v>72</v>
      </c>
      <c r="BA67" s="6" t="s">
        <v>71</v>
      </c>
      <c r="BB67" s="6" t="s">
        <v>71</v>
      </c>
      <c r="BC67" s="6" t="s">
        <v>71</v>
      </c>
      <c r="BD67" s="6" t="s">
        <v>72</v>
      </c>
      <c r="BE67" s="6" t="s">
        <v>72</v>
      </c>
      <c r="BF67" s="6" t="s">
        <v>71</v>
      </c>
      <c r="BG67" s="6" t="s">
        <v>71</v>
      </c>
      <c r="BH67" s="6" t="s">
        <v>72</v>
      </c>
      <c r="BI67" s="6" t="s">
        <v>72</v>
      </c>
    </row>
    <row r="68" spans="1:62">
      <c r="A68" s="5">
        <v>45369.662996574072</v>
      </c>
      <c r="B68" s="6" t="s">
        <v>484</v>
      </c>
      <c r="C68" s="6" t="s">
        <v>485</v>
      </c>
      <c r="D68" s="7" t="s">
        <v>486</v>
      </c>
      <c r="E68" s="6" t="s">
        <v>286</v>
      </c>
      <c r="F68" s="6" t="s">
        <v>487</v>
      </c>
      <c r="G68" s="6" t="s">
        <v>105</v>
      </c>
      <c r="H68" s="6" t="s">
        <v>488</v>
      </c>
      <c r="I68" s="6" t="s">
        <v>492</v>
      </c>
      <c r="K68" s="6" t="s">
        <v>484</v>
      </c>
      <c r="L68" s="6" t="s">
        <v>245</v>
      </c>
      <c r="M68" s="6" t="s">
        <v>490</v>
      </c>
      <c r="N68" s="6">
        <v>35</v>
      </c>
      <c r="O68" s="6" t="s">
        <v>148</v>
      </c>
      <c r="P68" s="6">
        <v>4</v>
      </c>
      <c r="Q68" s="6">
        <v>4</v>
      </c>
      <c r="R68" s="6">
        <v>25</v>
      </c>
      <c r="S68" s="6" t="s">
        <v>493</v>
      </c>
      <c r="T68" s="6" t="s">
        <v>71</v>
      </c>
      <c r="U68" s="6" t="s">
        <v>72</v>
      </c>
      <c r="V68" s="7" t="s">
        <v>74</v>
      </c>
      <c r="AQ68" s="6" t="s">
        <v>71</v>
      </c>
      <c r="AR68" s="6" t="s">
        <v>71</v>
      </c>
      <c r="AS68" s="6" t="s">
        <v>71</v>
      </c>
      <c r="AT68" s="6" t="s">
        <v>72</v>
      </c>
      <c r="AU68" s="6" t="s">
        <v>71</v>
      </c>
      <c r="AV68" s="6" t="s">
        <v>71</v>
      </c>
      <c r="AW68" s="6" t="s">
        <v>71</v>
      </c>
      <c r="AX68" s="6" t="s">
        <v>72</v>
      </c>
      <c r="AY68" s="6" t="s">
        <v>72</v>
      </c>
      <c r="AZ68" s="6" t="s">
        <v>72</v>
      </c>
      <c r="BA68" s="6" t="s">
        <v>71</v>
      </c>
      <c r="BB68" s="6" t="s">
        <v>71</v>
      </c>
      <c r="BC68" s="6" t="s">
        <v>71</v>
      </c>
      <c r="BD68" s="6" t="s">
        <v>72</v>
      </c>
      <c r="BE68" s="6" t="s">
        <v>72</v>
      </c>
      <c r="BF68" s="6" t="s">
        <v>71</v>
      </c>
      <c r="BG68" s="6" t="s">
        <v>71</v>
      </c>
      <c r="BH68" s="6" t="s">
        <v>72</v>
      </c>
      <c r="BI68" s="6" t="s">
        <v>72</v>
      </c>
      <c r="BJ68" s="6" t="s">
        <v>494</v>
      </c>
    </row>
    <row r="69" spans="1:62">
      <c r="A69" s="5">
        <v>45369.788724664351</v>
      </c>
      <c r="B69" s="6" t="s">
        <v>495</v>
      </c>
      <c r="C69" s="6" t="s">
        <v>496</v>
      </c>
      <c r="D69" s="7" t="s">
        <v>497</v>
      </c>
      <c r="E69" s="6" t="s">
        <v>133</v>
      </c>
      <c r="F69" s="6" t="s">
        <v>498</v>
      </c>
      <c r="G69" s="6" t="s">
        <v>64</v>
      </c>
      <c r="H69" s="6" t="s">
        <v>499</v>
      </c>
      <c r="I69" s="6" t="s">
        <v>500</v>
      </c>
      <c r="J69" s="6" t="s">
        <v>501</v>
      </c>
      <c r="K69" s="6" t="s">
        <v>495</v>
      </c>
      <c r="L69" s="6" t="s">
        <v>89</v>
      </c>
      <c r="M69" s="6" t="s">
        <v>502</v>
      </c>
      <c r="N69" s="6">
        <v>32</v>
      </c>
      <c r="O69" s="6" t="s">
        <v>70</v>
      </c>
      <c r="P69" s="6">
        <v>5</v>
      </c>
      <c r="Q69" s="6">
        <v>3</v>
      </c>
      <c r="R69" s="6">
        <v>30</v>
      </c>
      <c r="T69" s="6" t="s">
        <v>71</v>
      </c>
      <c r="U69" s="6" t="s">
        <v>72</v>
      </c>
      <c r="V69" s="7" t="s">
        <v>74</v>
      </c>
      <c r="AQ69" s="6" t="s">
        <v>72</v>
      </c>
      <c r="AR69" s="6" t="s">
        <v>72</v>
      </c>
      <c r="AS69" s="6" t="s">
        <v>71</v>
      </c>
      <c r="AT69" s="6" t="s">
        <v>72</v>
      </c>
      <c r="AU69" s="6" t="s">
        <v>71</v>
      </c>
      <c r="AV69" s="6" t="s">
        <v>71</v>
      </c>
      <c r="AW69" s="6" t="s">
        <v>72</v>
      </c>
      <c r="AX69" s="6" t="s">
        <v>72</v>
      </c>
      <c r="AY69" s="6" t="s">
        <v>72</v>
      </c>
      <c r="AZ69" s="6" t="s">
        <v>72</v>
      </c>
      <c r="BA69" s="6" t="s">
        <v>71</v>
      </c>
      <c r="BB69" s="6" t="s">
        <v>71</v>
      </c>
      <c r="BC69" s="6" t="s">
        <v>71</v>
      </c>
      <c r="BD69" s="6" t="s">
        <v>72</v>
      </c>
      <c r="BE69" s="6" t="s">
        <v>72</v>
      </c>
      <c r="BF69" s="6" t="s">
        <v>72</v>
      </c>
      <c r="BG69" s="6" t="s">
        <v>71</v>
      </c>
      <c r="BH69" s="6" t="s">
        <v>72</v>
      </c>
      <c r="BI69" s="6" t="s">
        <v>72</v>
      </c>
    </row>
    <row r="70" spans="1:62">
      <c r="A70" s="5">
        <v>45369.816999803239</v>
      </c>
      <c r="B70" s="6" t="s">
        <v>503</v>
      </c>
      <c r="C70" s="6" t="s">
        <v>504</v>
      </c>
      <c r="D70" s="7" t="s">
        <v>505</v>
      </c>
      <c r="E70" s="6" t="s">
        <v>506</v>
      </c>
      <c r="F70" s="6" t="s">
        <v>507</v>
      </c>
      <c r="G70" s="6" t="s">
        <v>105</v>
      </c>
      <c r="H70" s="6" t="s">
        <v>508</v>
      </c>
      <c r="I70" s="6" t="s">
        <v>509</v>
      </c>
      <c r="J70" s="6" t="s">
        <v>510</v>
      </c>
      <c r="K70" s="6" t="s">
        <v>503</v>
      </c>
      <c r="L70" s="6" t="s">
        <v>138</v>
      </c>
      <c r="M70" s="6" t="s">
        <v>511</v>
      </c>
      <c r="N70" s="6">
        <v>30</v>
      </c>
      <c r="O70" s="6" t="s">
        <v>148</v>
      </c>
      <c r="P70" s="6">
        <v>2</v>
      </c>
      <c r="Q70" s="6">
        <v>1</v>
      </c>
      <c r="R70" s="6">
        <v>90</v>
      </c>
      <c r="T70" s="6" t="s">
        <v>71</v>
      </c>
      <c r="U70" s="6" t="s">
        <v>71</v>
      </c>
      <c r="V70" s="7" t="s">
        <v>74</v>
      </c>
      <c r="AQ70" s="6" t="s">
        <v>72</v>
      </c>
      <c r="AR70" s="6" t="s">
        <v>72</v>
      </c>
      <c r="AS70" s="6" t="s">
        <v>72</v>
      </c>
      <c r="AT70" s="6" t="s">
        <v>72</v>
      </c>
      <c r="AU70" s="6" t="s">
        <v>72</v>
      </c>
      <c r="AV70" s="6" t="s">
        <v>72</v>
      </c>
      <c r="AW70" s="6" t="s">
        <v>72</v>
      </c>
      <c r="AX70" s="6" t="s">
        <v>71</v>
      </c>
      <c r="AY70" s="6" t="s">
        <v>72</v>
      </c>
      <c r="AZ70" s="6" t="s">
        <v>72</v>
      </c>
      <c r="BA70" s="6" t="s">
        <v>72</v>
      </c>
      <c r="BB70" s="6" t="s">
        <v>71</v>
      </c>
      <c r="BC70" s="6" t="s">
        <v>72</v>
      </c>
      <c r="BD70" s="6" t="s">
        <v>72</v>
      </c>
      <c r="BE70" s="6" t="s">
        <v>72</v>
      </c>
      <c r="BF70" s="6" t="s">
        <v>72</v>
      </c>
      <c r="BG70" s="6" t="s">
        <v>71</v>
      </c>
      <c r="BH70" s="6" t="s">
        <v>72</v>
      </c>
      <c r="BI70" s="6" t="s">
        <v>72</v>
      </c>
      <c r="BJ70" s="6" t="s">
        <v>512</v>
      </c>
    </row>
    <row r="71" spans="1:62">
      <c r="A71" s="5">
        <v>45364.433396400462</v>
      </c>
      <c r="B71" s="6" t="s">
        <v>1289</v>
      </c>
      <c r="C71" s="6" t="s">
        <v>1290</v>
      </c>
      <c r="D71" s="7" t="s">
        <v>720</v>
      </c>
      <c r="E71" s="6" t="s">
        <v>286</v>
      </c>
      <c r="F71" s="6" t="s">
        <v>1291</v>
      </c>
      <c r="G71" s="6" t="s">
        <v>105</v>
      </c>
      <c r="H71" s="6" t="s">
        <v>1292</v>
      </c>
      <c r="I71" s="6" t="s">
        <v>1293</v>
      </c>
      <c r="K71" s="6" t="s">
        <v>1289</v>
      </c>
      <c r="L71" s="6" t="s">
        <v>245</v>
      </c>
      <c r="M71" s="6" t="s">
        <v>281</v>
      </c>
      <c r="N71" s="6">
        <v>28</v>
      </c>
      <c r="O71" s="6" t="s">
        <v>282</v>
      </c>
      <c r="P71" s="6">
        <v>5</v>
      </c>
      <c r="Q71" s="6">
        <v>5</v>
      </c>
      <c r="R71" s="6">
        <v>60</v>
      </c>
      <c r="T71" s="6" t="s">
        <v>71</v>
      </c>
      <c r="U71" s="6" t="s">
        <v>72</v>
      </c>
      <c r="V71" s="7" t="s">
        <v>74</v>
      </c>
      <c r="AQ71" s="6" t="s">
        <v>71</v>
      </c>
      <c r="AR71" s="6" t="s">
        <v>72</v>
      </c>
      <c r="AS71" s="6" t="s">
        <v>72</v>
      </c>
      <c r="AT71" s="6" t="s">
        <v>72</v>
      </c>
      <c r="AU71" s="6" t="s">
        <v>71</v>
      </c>
      <c r="AV71" s="6" t="s">
        <v>71</v>
      </c>
      <c r="AW71" s="6" t="s">
        <v>71</v>
      </c>
      <c r="AX71" s="6" t="s">
        <v>72</v>
      </c>
      <c r="AY71" s="6" t="s">
        <v>72</v>
      </c>
      <c r="AZ71" s="6" t="s">
        <v>72</v>
      </c>
      <c r="BA71" s="6" t="s">
        <v>71</v>
      </c>
      <c r="BB71" s="6" t="s">
        <v>71</v>
      </c>
      <c r="BC71" s="6" t="s">
        <v>71</v>
      </c>
      <c r="BF71" s="6" t="s">
        <v>71</v>
      </c>
    </row>
    <row r="72" spans="1:62">
      <c r="A72" s="5">
        <v>45364.461548946754</v>
      </c>
      <c r="B72" s="6" t="s">
        <v>1294</v>
      </c>
      <c r="C72" s="6" t="s">
        <v>1295</v>
      </c>
      <c r="D72" s="7" t="s">
        <v>720</v>
      </c>
      <c r="E72" s="6" t="s">
        <v>286</v>
      </c>
      <c r="F72" s="6" t="s">
        <v>1296</v>
      </c>
      <c r="G72" s="6" t="s">
        <v>105</v>
      </c>
      <c r="H72" s="6" t="s">
        <v>1297</v>
      </c>
      <c r="I72" s="6" t="s">
        <v>1298</v>
      </c>
      <c r="J72" s="6" t="s">
        <v>1299</v>
      </c>
      <c r="K72" s="6" t="s">
        <v>1294</v>
      </c>
      <c r="L72" s="6" t="s">
        <v>245</v>
      </c>
      <c r="M72" s="6" t="s">
        <v>1036</v>
      </c>
      <c r="N72" s="6">
        <v>34</v>
      </c>
      <c r="O72" s="6" t="s">
        <v>282</v>
      </c>
      <c r="P72" s="6">
        <v>3</v>
      </c>
      <c r="Q72" s="6">
        <v>4</v>
      </c>
      <c r="R72" s="6">
        <v>45</v>
      </c>
      <c r="T72" s="6" t="s">
        <v>71</v>
      </c>
      <c r="U72" s="6" t="s">
        <v>71</v>
      </c>
      <c r="V72" s="7" t="s">
        <v>74</v>
      </c>
      <c r="AQ72" s="6" t="s">
        <v>71</v>
      </c>
      <c r="AR72" s="6" t="s">
        <v>71</v>
      </c>
      <c r="AS72" s="6" t="s">
        <v>71</v>
      </c>
      <c r="AT72" s="6" t="s">
        <v>71</v>
      </c>
      <c r="AU72" s="6" t="s">
        <v>71</v>
      </c>
      <c r="AV72" s="6" t="s">
        <v>71</v>
      </c>
      <c r="AW72" s="6" t="s">
        <v>71</v>
      </c>
      <c r="AX72" s="6" t="s">
        <v>71</v>
      </c>
      <c r="AY72" s="6" t="s">
        <v>71</v>
      </c>
      <c r="AZ72" s="6" t="s">
        <v>71</v>
      </c>
      <c r="BB72" s="6" t="s">
        <v>71</v>
      </c>
      <c r="BF72" s="6" t="s">
        <v>71</v>
      </c>
    </row>
    <row r="74" spans="1:62">
      <c r="N74" s="17">
        <f>SUM(N2:N70)</f>
        <v>2022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J69"/>
  <sheetViews>
    <sheetView workbookViewId="0"/>
  </sheetViews>
  <sheetFormatPr baseColWidth="10" defaultColWidth="12.6640625" defaultRowHeight="15.75" customHeight="1"/>
  <sheetData>
    <row r="1" spans="1:88">
      <c r="A1" s="18" t="s">
        <v>0</v>
      </c>
      <c r="B1" s="18" t="s">
        <v>1</v>
      </c>
      <c r="C1" s="18" t="s">
        <v>2</v>
      </c>
      <c r="D1" s="18" t="s">
        <v>1241</v>
      </c>
      <c r="E1" s="18" t="s">
        <v>1242</v>
      </c>
      <c r="F1" s="18" t="s">
        <v>5</v>
      </c>
      <c r="G1" s="18" t="s">
        <v>6</v>
      </c>
      <c r="H1" s="18" t="s">
        <v>7</v>
      </c>
      <c r="I1" s="18" t="s">
        <v>8</v>
      </c>
      <c r="J1" s="18" t="s">
        <v>9</v>
      </c>
      <c r="K1" s="18" t="s">
        <v>10</v>
      </c>
      <c r="L1" s="18" t="s">
        <v>1243</v>
      </c>
      <c r="M1" s="18" t="s">
        <v>12</v>
      </c>
      <c r="N1" s="18" t="s">
        <v>1244</v>
      </c>
      <c r="O1" s="18" t="s">
        <v>1245</v>
      </c>
      <c r="P1" s="18" t="s">
        <v>15</v>
      </c>
      <c r="Q1" s="18" t="s">
        <v>16</v>
      </c>
      <c r="R1" s="18" t="s">
        <v>1246</v>
      </c>
      <c r="S1" s="18" t="s">
        <v>18</v>
      </c>
      <c r="T1" s="18" t="s">
        <v>19</v>
      </c>
      <c r="U1" s="18" t="s">
        <v>20</v>
      </c>
      <c r="V1" s="18" t="s">
        <v>1247</v>
      </c>
      <c r="W1" s="18" t="s">
        <v>1248</v>
      </c>
      <c r="X1" s="18" t="s">
        <v>1249</v>
      </c>
      <c r="Y1" s="18" t="s">
        <v>1250</v>
      </c>
      <c r="Z1" s="18" t="s">
        <v>1251</v>
      </c>
      <c r="AA1" s="18" t="s">
        <v>26</v>
      </c>
      <c r="AB1" s="18" t="s">
        <v>27</v>
      </c>
      <c r="AC1" s="18" t="s">
        <v>28</v>
      </c>
      <c r="AD1" s="18" t="s">
        <v>29</v>
      </c>
      <c r="AE1" s="18" t="s">
        <v>30</v>
      </c>
      <c r="AF1" s="18" t="s">
        <v>31</v>
      </c>
      <c r="AG1" s="18" t="s">
        <v>32</v>
      </c>
      <c r="AH1" s="18" t="s">
        <v>33</v>
      </c>
      <c r="AI1" s="18" t="s">
        <v>34</v>
      </c>
      <c r="AJ1" s="18" t="s">
        <v>35</v>
      </c>
      <c r="AK1" s="18" t="s">
        <v>36</v>
      </c>
      <c r="AL1" s="18" t="s">
        <v>42</v>
      </c>
      <c r="AM1" s="18" t="s">
        <v>43</v>
      </c>
      <c r="AN1" s="18" t="s">
        <v>44</v>
      </c>
      <c r="AO1" s="18" t="s">
        <v>45</v>
      </c>
      <c r="AP1" s="18" t="s">
        <v>46</v>
      </c>
      <c r="AQ1" s="18" t="s">
        <v>1248</v>
      </c>
      <c r="AR1" s="18" t="s">
        <v>1249</v>
      </c>
      <c r="AS1" s="18" t="s">
        <v>1250</v>
      </c>
      <c r="AT1" s="18" t="s">
        <v>1251</v>
      </c>
      <c r="AU1" s="18" t="s">
        <v>26</v>
      </c>
      <c r="AV1" s="18" t="s">
        <v>27</v>
      </c>
      <c r="AW1" s="18" t="s">
        <v>28</v>
      </c>
      <c r="AX1" s="18" t="s">
        <v>29</v>
      </c>
      <c r="AY1" s="18" t="s">
        <v>30</v>
      </c>
      <c r="AZ1" s="18" t="s">
        <v>31</v>
      </c>
      <c r="BA1" s="18" t="s">
        <v>50</v>
      </c>
      <c r="BB1" s="18" t="s">
        <v>33</v>
      </c>
      <c r="BC1" s="18" t="s">
        <v>34</v>
      </c>
      <c r="BD1" s="18" t="s">
        <v>35</v>
      </c>
      <c r="BE1" s="18" t="s">
        <v>36</v>
      </c>
      <c r="BF1" s="18" t="s">
        <v>51</v>
      </c>
      <c r="BG1" s="18" t="s">
        <v>52</v>
      </c>
      <c r="BH1" s="18" t="s">
        <v>53</v>
      </c>
      <c r="BI1" s="18" t="s">
        <v>54</v>
      </c>
      <c r="BJ1" s="18" t="s">
        <v>46</v>
      </c>
      <c r="BK1" s="18" t="s">
        <v>1248</v>
      </c>
      <c r="BL1" s="18" t="s">
        <v>1249</v>
      </c>
      <c r="BM1" s="18" t="s">
        <v>1250</v>
      </c>
      <c r="BN1" s="18" t="s">
        <v>1251</v>
      </c>
      <c r="BO1" s="18" t="s">
        <v>26</v>
      </c>
      <c r="BP1" s="18" t="s">
        <v>27</v>
      </c>
      <c r="BQ1" s="18" t="s">
        <v>28</v>
      </c>
      <c r="BR1" s="18" t="s">
        <v>29</v>
      </c>
      <c r="BS1" s="18" t="s">
        <v>30</v>
      </c>
      <c r="BT1" s="18" t="s">
        <v>31</v>
      </c>
      <c r="BU1" s="18" t="s">
        <v>32</v>
      </c>
      <c r="BV1" s="18" t="s">
        <v>58</v>
      </c>
      <c r="BW1" s="18" t="s">
        <v>34</v>
      </c>
      <c r="BX1" s="18" t="s">
        <v>35</v>
      </c>
      <c r="BY1" s="18" t="s">
        <v>36</v>
      </c>
      <c r="BZ1" s="18" t="s">
        <v>51</v>
      </c>
      <c r="CA1" s="18" t="s">
        <v>52</v>
      </c>
      <c r="CB1" s="18" t="s">
        <v>53</v>
      </c>
      <c r="CC1" s="18" t="s">
        <v>54</v>
      </c>
      <c r="CD1" s="18" t="s">
        <v>46</v>
      </c>
      <c r="CE1" s="12"/>
      <c r="CF1" s="12"/>
      <c r="CG1" s="12"/>
      <c r="CH1" s="12"/>
      <c r="CI1" s="12"/>
      <c r="CJ1" s="12"/>
    </row>
    <row r="2" spans="1:88">
      <c r="A2" s="5">
        <v>45363.509056180555</v>
      </c>
      <c r="B2" s="6" t="s">
        <v>919</v>
      </c>
      <c r="C2" s="6" t="s">
        <v>920</v>
      </c>
      <c r="D2" s="7" t="s">
        <v>921</v>
      </c>
      <c r="E2" s="6" t="s">
        <v>133</v>
      </c>
      <c r="F2" s="6" t="s">
        <v>134</v>
      </c>
      <c r="G2" s="6" t="s">
        <v>64</v>
      </c>
      <c r="H2" s="6" t="s">
        <v>922</v>
      </c>
      <c r="I2" s="6" t="s">
        <v>923</v>
      </c>
      <c r="J2" s="6" t="s">
        <v>924</v>
      </c>
      <c r="K2" s="6" t="s">
        <v>919</v>
      </c>
      <c r="L2" s="6" t="s">
        <v>138</v>
      </c>
      <c r="M2" s="6" t="s">
        <v>139</v>
      </c>
      <c r="N2" s="6">
        <v>35</v>
      </c>
      <c r="O2" s="6" t="s">
        <v>70</v>
      </c>
      <c r="P2" s="6">
        <v>1</v>
      </c>
      <c r="Q2" s="6">
        <v>3</v>
      </c>
      <c r="R2" s="6">
        <v>15</v>
      </c>
      <c r="S2" s="6" t="s">
        <v>925</v>
      </c>
      <c r="T2" s="6" t="s">
        <v>71</v>
      </c>
      <c r="U2" s="6" t="s">
        <v>72</v>
      </c>
      <c r="V2" s="7" t="s">
        <v>926</v>
      </c>
      <c r="BK2" s="6" t="s">
        <v>71</v>
      </c>
      <c r="BL2" s="6" t="s">
        <v>71</v>
      </c>
      <c r="BM2" s="6" t="s">
        <v>71</v>
      </c>
      <c r="BN2" s="6" t="s">
        <v>72</v>
      </c>
      <c r="BO2" s="6" t="s">
        <v>71</v>
      </c>
      <c r="BP2" s="6" t="s">
        <v>71</v>
      </c>
      <c r="BQ2" s="6" t="s">
        <v>71</v>
      </c>
      <c r="BR2" s="6" t="s">
        <v>71</v>
      </c>
      <c r="BS2" s="6" t="s">
        <v>72</v>
      </c>
      <c r="BT2" s="6" t="s">
        <v>72</v>
      </c>
      <c r="BU2" s="6" t="s">
        <v>71</v>
      </c>
      <c r="BV2" s="6" t="s">
        <v>71</v>
      </c>
      <c r="BW2" s="6" t="s">
        <v>71</v>
      </c>
      <c r="BX2" s="6" t="s">
        <v>72</v>
      </c>
      <c r="BY2" s="6" t="s">
        <v>72</v>
      </c>
      <c r="BZ2" s="6" t="s">
        <v>71</v>
      </c>
      <c r="CA2" s="6" t="s">
        <v>71</v>
      </c>
      <c r="CB2" s="6" t="s">
        <v>72</v>
      </c>
      <c r="CC2" s="6" t="s">
        <v>72</v>
      </c>
      <c r="CD2" s="6" t="s">
        <v>927</v>
      </c>
    </row>
    <row r="3" spans="1:88">
      <c r="A3" s="5">
        <v>45363.512064814815</v>
      </c>
      <c r="B3" s="6" t="s">
        <v>928</v>
      </c>
      <c r="C3" s="6" t="s">
        <v>929</v>
      </c>
      <c r="D3" s="7" t="s">
        <v>930</v>
      </c>
      <c r="E3" s="6" t="s">
        <v>62</v>
      </c>
      <c r="F3" s="6" t="s">
        <v>931</v>
      </c>
      <c r="G3" s="6" t="s">
        <v>105</v>
      </c>
      <c r="H3" s="6" t="s">
        <v>645</v>
      </c>
      <c r="I3" s="6" t="s">
        <v>645</v>
      </c>
      <c r="K3" s="6" t="s">
        <v>932</v>
      </c>
      <c r="L3" s="6" t="s">
        <v>89</v>
      </c>
      <c r="M3" s="6" t="s">
        <v>933</v>
      </c>
      <c r="N3" s="6">
        <v>20</v>
      </c>
      <c r="O3" s="6" t="s">
        <v>70</v>
      </c>
      <c r="P3" s="6">
        <v>3</v>
      </c>
      <c r="Q3" s="6">
        <v>2</v>
      </c>
      <c r="R3" s="6">
        <v>20</v>
      </c>
      <c r="T3" s="6" t="s">
        <v>72</v>
      </c>
      <c r="U3" s="6" t="s">
        <v>71</v>
      </c>
      <c r="V3" s="7" t="s">
        <v>926</v>
      </c>
      <c r="BK3" s="6" t="s">
        <v>72</v>
      </c>
      <c r="BL3" s="6" t="s">
        <v>72</v>
      </c>
      <c r="BM3" s="6" t="s">
        <v>72</v>
      </c>
      <c r="BN3" s="6" t="s">
        <v>71</v>
      </c>
      <c r="BO3" s="6" t="s">
        <v>72</v>
      </c>
      <c r="BP3" s="6" t="s">
        <v>72</v>
      </c>
      <c r="BQ3" s="6" t="s">
        <v>72</v>
      </c>
      <c r="BR3" s="6" t="s">
        <v>71</v>
      </c>
      <c r="BS3" s="6" t="s">
        <v>71</v>
      </c>
      <c r="BT3" s="6" t="s">
        <v>71</v>
      </c>
      <c r="BX3" s="6" t="s">
        <v>71</v>
      </c>
      <c r="BY3" s="6" t="s">
        <v>71</v>
      </c>
    </row>
    <row r="4" spans="1:88">
      <c r="A4" s="5">
        <v>45363.514309247686</v>
      </c>
      <c r="B4" s="6" t="s">
        <v>934</v>
      </c>
      <c r="C4" s="6" t="s">
        <v>935</v>
      </c>
      <c r="D4" s="7" t="s">
        <v>936</v>
      </c>
      <c r="E4" s="6" t="s">
        <v>133</v>
      </c>
      <c r="F4" s="6" t="s">
        <v>937</v>
      </c>
      <c r="G4" s="6" t="s">
        <v>64</v>
      </c>
      <c r="H4" s="6" t="s">
        <v>938</v>
      </c>
      <c r="I4" s="6" t="s">
        <v>939</v>
      </c>
      <c r="K4" s="6" t="s">
        <v>934</v>
      </c>
      <c r="L4" s="6" t="s">
        <v>245</v>
      </c>
      <c r="M4" s="6" t="s">
        <v>940</v>
      </c>
      <c r="N4" s="6">
        <v>35</v>
      </c>
      <c r="O4" s="6" t="s">
        <v>70</v>
      </c>
      <c r="P4" s="6">
        <v>3</v>
      </c>
      <c r="Q4" s="6">
        <v>1</v>
      </c>
      <c r="R4" s="6">
        <v>10</v>
      </c>
      <c r="T4" s="6" t="s">
        <v>71</v>
      </c>
      <c r="U4" s="6" t="s">
        <v>72</v>
      </c>
      <c r="V4" s="7" t="s">
        <v>926</v>
      </c>
      <c r="BK4" s="6" t="s">
        <v>71</v>
      </c>
      <c r="BL4" s="6" t="s">
        <v>71</v>
      </c>
      <c r="BM4" s="6" t="s">
        <v>71</v>
      </c>
      <c r="BN4" s="6" t="s">
        <v>72</v>
      </c>
      <c r="BO4" s="6" t="s">
        <v>71</v>
      </c>
      <c r="BP4" s="6" t="s">
        <v>71</v>
      </c>
      <c r="BQ4" s="6" t="s">
        <v>71</v>
      </c>
      <c r="BR4" s="6" t="s">
        <v>72</v>
      </c>
      <c r="BS4" s="6" t="s">
        <v>72</v>
      </c>
      <c r="BT4" s="6" t="s">
        <v>72</v>
      </c>
      <c r="BU4" s="6" t="s">
        <v>71</v>
      </c>
      <c r="BV4" s="6" t="s">
        <v>71</v>
      </c>
      <c r="BW4" s="6" t="s">
        <v>71</v>
      </c>
      <c r="BX4" s="6" t="s">
        <v>72</v>
      </c>
      <c r="BY4" s="6" t="s">
        <v>72</v>
      </c>
      <c r="BZ4" s="6" t="s">
        <v>71</v>
      </c>
      <c r="CA4" s="6" t="s">
        <v>71</v>
      </c>
      <c r="CB4" s="6" t="s">
        <v>72</v>
      </c>
      <c r="CC4" s="6" t="s">
        <v>72</v>
      </c>
    </row>
    <row r="5" spans="1:88">
      <c r="A5" s="5">
        <v>45363.518783287036</v>
      </c>
      <c r="B5" s="6" t="s">
        <v>941</v>
      </c>
      <c r="C5" s="6" t="s">
        <v>942</v>
      </c>
      <c r="D5" s="7" t="s">
        <v>943</v>
      </c>
      <c r="E5" s="6" t="s">
        <v>133</v>
      </c>
      <c r="F5" s="6" t="s">
        <v>944</v>
      </c>
      <c r="G5" s="6" t="s">
        <v>105</v>
      </c>
      <c r="H5" s="6" t="s">
        <v>945</v>
      </c>
      <c r="I5" s="6" t="s">
        <v>946</v>
      </c>
      <c r="J5" s="6" t="s">
        <v>947</v>
      </c>
      <c r="K5" s="6" t="s">
        <v>941</v>
      </c>
      <c r="L5" s="6" t="s">
        <v>245</v>
      </c>
      <c r="M5" s="6" t="s">
        <v>948</v>
      </c>
      <c r="N5" s="6">
        <v>35</v>
      </c>
      <c r="O5" s="6" t="s">
        <v>70</v>
      </c>
      <c r="P5" s="6">
        <v>2</v>
      </c>
      <c r="Q5" s="6">
        <v>3</v>
      </c>
      <c r="R5" s="6">
        <v>90</v>
      </c>
      <c r="S5" s="6" t="s">
        <v>949</v>
      </c>
      <c r="T5" s="6" t="s">
        <v>71</v>
      </c>
      <c r="U5" s="6" t="s">
        <v>71</v>
      </c>
      <c r="V5" s="7" t="s">
        <v>926</v>
      </c>
      <c r="BK5" s="6" t="s">
        <v>71</v>
      </c>
      <c r="BL5" s="6" t="s">
        <v>72</v>
      </c>
      <c r="BM5" s="6" t="s">
        <v>72</v>
      </c>
      <c r="BN5" s="6" t="s">
        <v>72</v>
      </c>
      <c r="BO5" s="6" t="s">
        <v>72</v>
      </c>
      <c r="BP5" s="6" t="s">
        <v>71</v>
      </c>
      <c r="BQ5" s="6" t="s">
        <v>71</v>
      </c>
      <c r="BR5" s="6" t="s">
        <v>72</v>
      </c>
      <c r="BS5" s="6" t="s">
        <v>72</v>
      </c>
      <c r="BT5" s="6" t="s">
        <v>72</v>
      </c>
      <c r="BU5" s="6" t="s">
        <v>72</v>
      </c>
      <c r="BV5" s="6" t="s">
        <v>72</v>
      </c>
      <c r="BW5" s="6" t="s">
        <v>72</v>
      </c>
      <c r="BX5" s="6" t="s">
        <v>71</v>
      </c>
      <c r="BY5" s="6" t="s">
        <v>71</v>
      </c>
      <c r="CC5" s="6" t="s">
        <v>71</v>
      </c>
    </row>
    <row r="6" spans="1:88">
      <c r="A6" s="5">
        <v>45363.534479386573</v>
      </c>
      <c r="B6" s="6" t="s">
        <v>123</v>
      </c>
      <c r="C6" s="6" t="s">
        <v>124</v>
      </c>
      <c r="D6" s="7" t="s">
        <v>125</v>
      </c>
      <c r="E6" s="6" t="s">
        <v>62</v>
      </c>
      <c r="F6" s="6" t="s">
        <v>126</v>
      </c>
      <c r="G6" s="6" t="s">
        <v>64</v>
      </c>
      <c r="H6" s="6" t="s">
        <v>128</v>
      </c>
      <c r="I6" s="6" t="s">
        <v>127</v>
      </c>
      <c r="K6" s="6" t="s">
        <v>123</v>
      </c>
      <c r="L6" s="6" t="s">
        <v>89</v>
      </c>
      <c r="M6" s="6" t="s">
        <v>129</v>
      </c>
      <c r="N6" s="6">
        <v>29</v>
      </c>
      <c r="O6" s="6" t="s">
        <v>148</v>
      </c>
      <c r="P6" s="6">
        <v>4</v>
      </c>
      <c r="Q6" s="6">
        <v>3</v>
      </c>
      <c r="R6" s="6">
        <v>5</v>
      </c>
      <c r="T6" s="6" t="s">
        <v>71</v>
      </c>
      <c r="U6" s="6" t="s">
        <v>72</v>
      </c>
      <c r="V6" s="7" t="s">
        <v>926</v>
      </c>
      <c r="BK6" s="6" t="s">
        <v>71</v>
      </c>
      <c r="BL6" s="6" t="s">
        <v>72</v>
      </c>
      <c r="BM6" s="6" t="s">
        <v>72</v>
      </c>
      <c r="BN6" s="6" t="s">
        <v>72</v>
      </c>
      <c r="BO6" s="6" t="s">
        <v>72</v>
      </c>
      <c r="BP6" s="6" t="s">
        <v>72</v>
      </c>
      <c r="BQ6" s="6" t="s">
        <v>71</v>
      </c>
      <c r="BR6" s="6" t="s">
        <v>72</v>
      </c>
      <c r="BS6" s="6" t="s">
        <v>72</v>
      </c>
      <c r="BT6" s="6" t="s">
        <v>72</v>
      </c>
      <c r="BU6" s="6" t="s">
        <v>72</v>
      </c>
      <c r="BV6" s="6" t="s">
        <v>71</v>
      </c>
      <c r="BW6" s="6" t="s">
        <v>72</v>
      </c>
      <c r="BX6" s="6" t="s">
        <v>72</v>
      </c>
      <c r="BY6" s="6" t="s">
        <v>72</v>
      </c>
      <c r="BZ6" s="6" t="s">
        <v>72</v>
      </c>
      <c r="CA6" s="6" t="s">
        <v>72</v>
      </c>
      <c r="CB6" s="6" t="s">
        <v>72</v>
      </c>
      <c r="CC6" s="6" t="s">
        <v>72</v>
      </c>
    </row>
    <row r="7" spans="1:88">
      <c r="A7" s="5">
        <v>45363.544117581019</v>
      </c>
      <c r="B7" s="6" t="s">
        <v>950</v>
      </c>
      <c r="C7" s="6" t="s">
        <v>951</v>
      </c>
      <c r="D7" s="7" t="s">
        <v>952</v>
      </c>
      <c r="E7" s="6" t="s">
        <v>84</v>
      </c>
      <c r="F7" s="6" t="s">
        <v>953</v>
      </c>
      <c r="G7" s="6" t="s">
        <v>64</v>
      </c>
      <c r="H7" s="6" t="s">
        <v>692</v>
      </c>
      <c r="I7" s="6" t="s">
        <v>954</v>
      </c>
      <c r="J7" s="6" t="s">
        <v>955</v>
      </c>
      <c r="K7" s="6" t="s">
        <v>950</v>
      </c>
      <c r="L7" s="6" t="s">
        <v>138</v>
      </c>
      <c r="M7" s="6" t="s">
        <v>956</v>
      </c>
      <c r="N7" s="6">
        <v>25</v>
      </c>
      <c r="O7" s="6" t="s">
        <v>70</v>
      </c>
      <c r="P7" s="6">
        <v>4</v>
      </c>
      <c r="Q7" s="6">
        <v>1</v>
      </c>
      <c r="R7" s="6">
        <v>75</v>
      </c>
      <c r="T7" s="6" t="s">
        <v>71</v>
      </c>
      <c r="U7" s="6" t="s">
        <v>71</v>
      </c>
      <c r="V7" s="7" t="s">
        <v>926</v>
      </c>
      <c r="BK7" s="6" t="s">
        <v>71</v>
      </c>
      <c r="BL7" s="6" t="s">
        <v>71</v>
      </c>
      <c r="BM7" s="6" t="s">
        <v>71</v>
      </c>
      <c r="BN7" s="6" t="s">
        <v>71</v>
      </c>
      <c r="BO7" s="6" t="s">
        <v>71</v>
      </c>
      <c r="BP7" s="6" t="s">
        <v>71</v>
      </c>
      <c r="BQ7" s="6" t="s">
        <v>71</v>
      </c>
      <c r="BR7" s="6" t="s">
        <v>71</v>
      </c>
      <c r="BS7" s="6" t="s">
        <v>71</v>
      </c>
      <c r="BT7" s="6" t="s">
        <v>72</v>
      </c>
      <c r="BU7" s="6" t="s">
        <v>71</v>
      </c>
      <c r="BV7" s="6" t="s">
        <v>71</v>
      </c>
      <c r="BW7" s="6" t="s">
        <v>71</v>
      </c>
      <c r="BX7" s="6" t="s">
        <v>71</v>
      </c>
      <c r="BY7" s="6" t="s">
        <v>72</v>
      </c>
      <c r="BZ7" s="6" t="s">
        <v>71</v>
      </c>
      <c r="CA7" s="6" t="s">
        <v>71</v>
      </c>
      <c r="CB7" s="6" t="s">
        <v>71</v>
      </c>
      <c r="CC7" s="6" t="s">
        <v>72</v>
      </c>
    </row>
    <row r="8" spans="1:88">
      <c r="A8" s="5">
        <v>45363.544123437503</v>
      </c>
      <c r="B8" s="6" t="s">
        <v>957</v>
      </c>
      <c r="C8" s="6" t="s">
        <v>958</v>
      </c>
      <c r="D8" s="7" t="s">
        <v>952</v>
      </c>
      <c r="E8" s="6" t="s">
        <v>84</v>
      </c>
      <c r="F8" s="6" t="s">
        <v>953</v>
      </c>
      <c r="G8" s="6" t="s">
        <v>64</v>
      </c>
      <c r="H8" s="6" t="s">
        <v>954</v>
      </c>
      <c r="I8" s="6" t="s">
        <v>700</v>
      </c>
      <c r="J8" s="6" t="s">
        <v>955</v>
      </c>
      <c r="K8" s="6" t="s">
        <v>957</v>
      </c>
      <c r="L8" s="6" t="s">
        <v>138</v>
      </c>
      <c r="M8" s="6" t="s">
        <v>956</v>
      </c>
      <c r="N8" s="6">
        <v>25</v>
      </c>
      <c r="O8" s="6" t="s">
        <v>70</v>
      </c>
      <c r="P8" s="6">
        <v>4</v>
      </c>
      <c r="Q8" s="6">
        <v>1</v>
      </c>
      <c r="R8" s="6">
        <v>75</v>
      </c>
      <c r="T8" s="6" t="s">
        <v>71</v>
      </c>
      <c r="U8" s="6" t="s">
        <v>71</v>
      </c>
      <c r="V8" s="7" t="s">
        <v>926</v>
      </c>
      <c r="BK8" s="6" t="s">
        <v>71</v>
      </c>
      <c r="BL8" s="6" t="s">
        <v>71</v>
      </c>
      <c r="BM8" s="6" t="s">
        <v>71</v>
      </c>
      <c r="BN8" s="6" t="s">
        <v>71</v>
      </c>
      <c r="BO8" s="6" t="s">
        <v>71</v>
      </c>
      <c r="BP8" s="6" t="s">
        <v>71</v>
      </c>
      <c r="BQ8" s="6" t="s">
        <v>71</v>
      </c>
      <c r="BR8" s="6" t="s">
        <v>71</v>
      </c>
      <c r="BS8" s="6" t="s">
        <v>71</v>
      </c>
      <c r="BT8" s="6" t="s">
        <v>72</v>
      </c>
      <c r="BU8" s="6" t="s">
        <v>71</v>
      </c>
      <c r="BV8" s="6" t="s">
        <v>71</v>
      </c>
      <c r="BW8" s="6" t="s">
        <v>71</v>
      </c>
      <c r="BX8" s="6" t="s">
        <v>71</v>
      </c>
      <c r="BY8" s="6" t="s">
        <v>72</v>
      </c>
      <c r="BZ8" s="6" t="s">
        <v>71</v>
      </c>
      <c r="CA8" s="6" t="s">
        <v>71</v>
      </c>
      <c r="CB8" s="6" t="s">
        <v>71</v>
      </c>
      <c r="CC8" s="6" t="s">
        <v>72</v>
      </c>
    </row>
    <row r="9" spans="1:88">
      <c r="A9" s="5">
        <v>45363.601264791665</v>
      </c>
      <c r="B9" s="6" t="s">
        <v>959</v>
      </c>
      <c r="C9" s="6" t="s">
        <v>960</v>
      </c>
      <c r="D9" s="6">
        <v>201699</v>
      </c>
      <c r="E9" s="6" t="s">
        <v>84</v>
      </c>
      <c r="F9" s="6" t="s">
        <v>961</v>
      </c>
      <c r="G9" s="6" t="s">
        <v>64</v>
      </c>
      <c r="H9" s="6" t="s">
        <v>583</v>
      </c>
      <c r="I9" s="6" t="s">
        <v>962</v>
      </c>
      <c r="J9" s="6" t="s">
        <v>963</v>
      </c>
      <c r="K9" s="6" t="s">
        <v>959</v>
      </c>
      <c r="L9" s="6" t="s">
        <v>89</v>
      </c>
      <c r="M9" s="6" t="s">
        <v>664</v>
      </c>
      <c r="N9" s="6">
        <v>35</v>
      </c>
      <c r="O9" s="6" t="s">
        <v>70</v>
      </c>
      <c r="P9" s="6">
        <v>4</v>
      </c>
      <c r="Q9" s="6">
        <v>2</v>
      </c>
      <c r="R9" s="6">
        <v>0</v>
      </c>
      <c r="T9" s="6" t="s">
        <v>71</v>
      </c>
      <c r="U9" s="6" t="s">
        <v>72</v>
      </c>
      <c r="V9" s="7" t="s">
        <v>926</v>
      </c>
      <c r="BK9" s="6" t="s">
        <v>71</v>
      </c>
      <c r="BL9" s="6" t="s">
        <v>71</v>
      </c>
      <c r="BM9" s="6" t="s">
        <v>72</v>
      </c>
      <c r="BN9" s="6" t="s">
        <v>72</v>
      </c>
      <c r="BO9" s="6" t="s">
        <v>71</v>
      </c>
      <c r="BP9" s="6" t="s">
        <v>71</v>
      </c>
      <c r="BQ9" s="6" t="s">
        <v>71</v>
      </c>
      <c r="BR9" s="6" t="s">
        <v>72</v>
      </c>
      <c r="BS9" s="6" t="s">
        <v>72</v>
      </c>
      <c r="BT9" s="6" t="s">
        <v>72</v>
      </c>
      <c r="BU9" s="6" t="s">
        <v>71</v>
      </c>
      <c r="BV9" s="6" t="s">
        <v>71</v>
      </c>
      <c r="BW9" s="6" t="s">
        <v>71</v>
      </c>
      <c r="BX9" s="6" t="s">
        <v>72</v>
      </c>
      <c r="BY9" s="6" t="s">
        <v>72</v>
      </c>
      <c r="BZ9" s="6" t="s">
        <v>71</v>
      </c>
      <c r="CA9" s="6" t="s">
        <v>71</v>
      </c>
      <c r="CB9" s="6" t="s">
        <v>72</v>
      </c>
      <c r="CC9" s="6" t="s">
        <v>72</v>
      </c>
    </row>
    <row r="10" spans="1:88">
      <c r="A10" s="5">
        <v>45363.605080439811</v>
      </c>
      <c r="B10" s="6" t="s">
        <v>959</v>
      </c>
      <c r="C10" s="6" t="s">
        <v>960</v>
      </c>
      <c r="D10" s="6">
        <v>201699</v>
      </c>
      <c r="E10" s="6" t="s">
        <v>84</v>
      </c>
      <c r="F10" s="6" t="s">
        <v>582</v>
      </c>
      <c r="G10" s="6" t="s">
        <v>64</v>
      </c>
      <c r="H10" s="6" t="s">
        <v>583</v>
      </c>
      <c r="I10" s="6" t="s">
        <v>962</v>
      </c>
      <c r="J10" s="6" t="s">
        <v>963</v>
      </c>
      <c r="K10" s="6" t="s">
        <v>959</v>
      </c>
      <c r="L10" s="6" t="s">
        <v>89</v>
      </c>
      <c r="M10" s="6" t="s">
        <v>664</v>
      </c>
      <c r="N10" s="6">
        <v>35</v>
      </c>
      <c r="O10" s="6" t="s">
        <v>70</v>
      </c>
      <c r="P10" s="6">
        <v>4</v>
      </c>
      <c r="Q10" s="6">
        <v>2</v>
      </c>
      <c r="R10" s="6">
        <v>0</v>
      </c>
      <c r="T10" s="6" t="s">
        <v>71</v>
      </c>
      <c r="U10" s="6" t="s">
        <v>72</v>
      </c>
      <c r="V10" s="7" t="s">
        <v>926</v>
      </c>
      <c r="BK10" s="6" t="s">
        <v>71</v>
      </c>
      <c r="BL10" s="6" t="s">
        <v>71</v>
      </c>
      <c r="BM10" s="6" t="s">
        <v>72</v>
      </c>
      <c r="BN10" s="6" t="s">
        <v>72</v>
      </c>
      <c r="BO10" s="6" t="s">
        <v>71</v>
      </c>
      <c r="BP10" s="6" t="s">
        <v>71</v>
      </c>
      <c r="BQ10" s="6" t="s">
        <v>71</v>
      </c>
      <c r="BR10" s="6" t="s">
        <v>72</v>
      </c>
      <c r="BS10" s="6" t="s">
        <v>72</v>
      </c>
      <c r="BT10" s="6" t="s">
        <v>72</v>
      </c>
      <c r="BU10" s="6" t="s">
        <v>71</v>
      </c>
      <c r="BV10" s="6" t="s">
        <v>71</v>
      </c>
      <c r="BW10" s="6" t="s">
        <v>71</v>
      </c>
      <c r="BX10" s="6" t="s">
        <v>72</v>
      </c>
      <c r="BY10" s="6" t="s">
        <v>72</v>
      </c>
      <c r="BZ10" s="6" t="s">
        <v>71</v>
      </c>
      <c r="CA10" s="6" t="s">
        <v>71</v>
      </c>
      <c r="CB10" s="6" t="s">
        <v>72</v>
      </c>
      <c r="CC10" s="6" t="s">
        <v>72</v>
      </c>
    </row>
    <row r="11" spans="1:88">
      <c r="A11" s="5">
        <v>45363.673763750005</v>
      </c>
      <c r="B11" s="6" t="s">
        <v>964</v>
      </c>
      <c r="C11" s="6" t="s">
        <v>965</v>
      </c>
      <c r="D11" s="7" t="s">
        <v>966</v>
      </c>
      <c r="E11" s="6" t="s">
        <v>62</v>
      </c>
      <c r="F11" s="6" t="s">
        <v>967</v>
      </c>
      <c r="G11" s="6" t="s">
        <v>64</v>
      </c>
      <c r="H11" s="6" t="s">
        <v>968</v>
      </c>
      <c r="I11" s="6" t="s">
        <v>969</v>
      </c>
      <c r="J11" s="6" t="s">
        <v>970</v>
      </c>
      <c r="K11" s="6" t="s">
        <v>964</v>
      </c>
      <c r="L11" s="6" t="s">
        <v>68</v>
      </c>
      <c r="M11" s="6" t="s">
        <v>971</v>
      </c>
      <c r="N11" s="6">
        <v>35</v>
      </c>
      <c r="O11" s="6" t="s">
        <v>70</v>
      </c>
      <c r="P11" s="6">
        <v>3</v>
      </c>
      <c r="Q11" s="6">
        <v>5</v>
      </c>
      <c r="R11" s="6">
        <v>40</v>
      </c>
      <c r="T11" s="6" t="s">
        <v>71</v>
      </c>
      <c r="U11" s="6" t="s">
        <v>71</v>
      </c>
      <c r="V11" s="7" t="s">
        <v>926</v>
      </c>
      <c r="BK11" s="6" t="s">
        <v>71</v>
      </c>
      <c r="BL11" s="6" t="s">
        <v>71</v>
      </c>
      <c r="BM11" s="6" t="s">
        <v>71</v>
      </c>
      <c r="BN11" s="6" t="s">
        <v>71</v>
      </c>
      <c r="BO11" s="6" t="s">
        <v>71</v>
      </c>
      <c r="BP11" s="6" t="s">
        <v>71</v>
      </c>
      <c r="BQ11" s="6" t="s">
        <v>71</v>
      </c>
      <c r="BR11" s="6" t="s">
        <v>71</v>
      </c>
      <c r="BS11" s="6" t="s">
        <v>71</v>
      </c>
      <c r="BT11" s="6" t="s">
        <v>71</v>
      </c>
      <c r="BU11" s="6" t="s">
        <v>71</v>
      </c>
      <c r="BV11" s="6" t="s">
        <v>71</v>
      </c>
      <c r="BW11" s="6" t="s">
        <v>71</v>
      </c>
      <c r="BX11" s="6" t="s">
        <v>71</v>
      </c>
      <c r="BZ11" s="6" t="s">
        <v>71</v>
      </c>
      <c r="CA11" s="6" t="s">
        <v>71</v>
      </c>
      <c r="CB11" s="6" t="s">
        <v>71</v>
      </c>
    </row>
    <row r="12" spans="1:88">
      <c r="A12" s="5">
        <v>45363.688114999997</v>
      </c>
      <c r="B12" s="6" t="s">
        <v>972</v>
      </c>
      <c r="C12" s="6" t="s">
        <v>973</v>
      </c>
      <c r="D12" s="7" t="s">
        <v>974</v>
      </c>
      <c r="E12" s="6" t="s">
        <v>387</v>
      </c>
      <c r="F12" s="6" t="s">
        <v>975</v>
      </c>
      <c r="G12" s="6" t="s">
        <v>64</v>
      </c>
      <c r="H12" s="6" t="s">
        <v>976</v>
      </c>
      <c r="I12" s="6" t="s">
        <v>977</v>
      </c>
      <c r="J12" s="6" t="s">
        <v>978</v>
      </c>
      <c r="K12" s="6" t="s">
        <v>972</v>
      </c>
      <c r="L12" s="6" t="s">
        <v>245</v>
      </c>
      <c r="M12" s="6" t="s">
        <v>979</v>
      </c>
      <c r="N12" s="6">
        <v>29</v>
      </c>
      <c r="O12" s="6" t="s">
        <v>70</v>
      </c>
      <c r="P12" s="6">
        <v>3</v>
      </c>
      <c r="Q12" s="6">
        <v>1</v>
      </c>
      <c r="R12" s="6">
        <v>40</v>
      </c>
      <c r="S12" s="6" t="s">
        <v>980</v>
      </c>
      <c r="T12" s="6" t="s">
        <v>71</v>
      </c>
      <c r="U12" s="6" t="s">
        <v>72</v>
      </c>
      <c r="V12" s="7" t="s">
        <v>926</v>
      </c>
      <c r="BK12" s="6" t="s">
        <v>72</v>
      </c>
      <c r="BL12" s="6" t="s">
        <v>71</v>
      </c>
      <c r="BM12" s="6" t="s">
        <v>72</v>
      </c>
      <c r="BN12" s="6" t="s">
        <v>72</v>
      </c>
      <c r="BO12" s="6" t="s">
        <v>71</v>
      </c>
      <c r="BP12" s="6" t="s">
        <v>72</v>
      </c>
      <c r="BQ12" s="6" t="s">
        <v>71</v>
      </c>
      <c r="BR12" s="6" t="s">
        <v>72</v>
      </c>
      <c r="BS12" s="6" t="s">
        <v>72</v>
      </c>
      <c r="BT12" s="6" t="s">
        <v>72</v>
      </c>
      <c r="BU12" s="6" t="s">
        <v>71</v>
      </c>
      <c r="BV12" s="6" t="s">
        <v>72</v>
      </c>
      <c r="BW12" s="6" t="s">
        <v>71</v>
      </c>
      <c r="BX12" s="6" t="s">
        <v>72</v>
      </c>
      <c r="BY12" s="6" t="s">
        <v>72</v>
      </c>
      <c r="BZ12" s="6" t="s">
        <v>72</v>
      </c>
      <c r="CA12" s="6" t="s">
        <v>72</v>
      </c>
      <c r="CB12" s="6" t="s">
        <v>72</v>
      </c>
      <c r="CC12" s="6" t="s">
        <v>72</v>
      </c>
      <c r="CD12" s="6" t="s">
        <v>981</v>
      </c>
    </row>
    <row r="13" spans="1:88">
      <c r="A13" s="5">
        <v>45363.6912443287</v>
      </c>
      <c r="B13" s="6" t="s">
        <v>982</v>
      </c>
      <c r="C13" s="6" t="s">
        <v>983</v>
      </c>
      <c r="D13" s="7" t="s">
        <v>974</v>
      </c>
      <c r="E13" s="6" t="s">
        <v>387</v>
      </c>
      <c r="F13" s="6" t="s">
        <v>984</v>
      </c>
      <c r="G13" s="6" t="s">
        <v>64</v>
      </c>
      <c r="H13" s="6" t="s">
        <v>977</v>
      </c>
      <c r="I13" s="6" t="s">
        <v>976</v>
      </c>
      <c r="J13" s="6" t="s">
        <v>978</v>
      </c>
      <c r="K13" s="6" t="s">
        <v>982</v>
      </c>
      <c r="L13" s="6" t="s">
        <v>245</v>
      </c>
      <c r="M13" s="6" t="s">
        <v>985</v>
      </c>
      <c r="N13" s="6">
        <v>17</v>
      </c>
      <c r="O13" s="6" t="s">
        <v>70</v>
      </c>
      <c r="P13" s="6">
        <v>3</v>
      </c>
      <c r="Q13" s="6">
        <v>1</v>
      </c>
      <c r="R13" s="6">
        <v>40</v>
      </c>
      <c r="T13" s="6" t="s">
        <v>71</v>
      </c>
      <c r="U13" s="6" t="s">
        <v>72</v>
      </c>
      <c r="V13" s="7" t="s">
        <v>926</v>
      </c>
      <c r="BK13" s="6" t="s">
        <v>72</v>
      </c>
      <c r="BL13" s="6" t="s">
        <v>71</v>
      </c>
      <c r="BM13" s="6" t="s">
        <v>71</v>
      </c>
      <c r="BN13" s="6" t="s">
        <v>72</v>
      </c>
      <c r="BO13" s="6" t="s">
        <v>71</v>
      </c>
      <c r="BP13" s="6" t="s">
        <v>72</v>
      </c>
      <c r="BQ13" s="6" t="s">
        <v>71</v>
      </c>
      <c r="BR13" s="6" t="s">
        <v>72</v>
      </c>
      <c r="BS13" s="6" t="s">
        <v>72</v>
      </c>
      <c r="BT13" s="6" t="s">
        <v>72</v>
      </c>
      <c r="BU13" s="6" t="s">
        <v>72</v>
      </c>
      <c r="BV13" s="6" t="s">
        <v>72</v>
      </c>
      <c r="BW13" s="6" t="s">
        <v>71</v>
      </c>
      <c r="BX13" s="6" t="s">
        <v>72</v>
      </c>
      <c r="BY13" s="6" t="s">
        <v>72</v>
      </c>
      <c r="BZ13" s="6" t="s">
        <v>72</v>
      </c>
      <c r="CA13" s="6" t="s">
        <v>72</v>
      </c>
      <c r="CB13" s="6" t="s">
        <v>72</v>
      </c>
      <c r="CC13" s="6" t="s">
        <v>72</v>
      </c>
      <c r="CD13" s="6" t="s">
        <v>986</v>
      </c>
    </row>
    <row r="14" spans="1:88">
      <c r="A14" s="5">
        <v>45363.768122928246</v>
      </c>
      <c r="B14" s="6" t="s">
        <v>202</v>
      </c>
      <c r="C14" s="6" t="s">
        <v>203</v>
      </c>
      <c r="D14" s="6">
        <v>29003000</v>
      </c>
      <c r="E14" s="6" t="s">
        <v>62</v>
      </c>
      <c r="F14" s="6" t="s">
        <v>235</v>
      </c>
      <c r="G14" s="6" t="s">
        <v>64</v>
      </c>
      <c r="H14" s="6" t="s">
        <v>205</v>
      </c>
      <c r="I14" s="6" t="s">
        <v>206</v>
      </c>
      <c r="J14" s="6" t="s">
        <v>987</v>
      </c>
      <c r="K14" s="6" t="s">
        <v>202</v>
      </c>
      <c r="L14" s="6" t="s">
        <v>89</v>
      </c>
      <c r="M14" s="6" t="s">
        <v>208</v>
      </c>
      <c r="N14" s="6">
        <v>32</v>
      </c>
      <c r="O14" s="6" t="s">
        <v>70</v>
      </c>
      <c r="P14" s="6">
        <v>5</v>
      </c>
      <c r="Q14" s="6">
        <v>5</v>
      </c>
      <c r="R14" s="6">
        <v>10</v>
      </c>
      <c r="T14" s="6" t="s">
        <v>71</v>
      </c>
      <c r="U14" s="6" t="s">
        <v>72</v>
      </c>
      <c r="V14" s="7" t="s">
        <v>926</v>
      </c>
      <c r="BK14" s="6" t="s">
        <v>71</v>
      </c>
      <c r="BL14" s="6" t="s">
        <v>71</v>
      </c>
      <c r="BM14" s="6" t="s">
        <v>71</v>
      </c>
      <c r="BN14" s="6" t="s">
        <v>72</v>
      </c>
      <c r="BO14" s="6" t="s">
        <v>71</v>
      </c>
      <c r="BP14" s="6" t="s">
        <v>71</v>
      </c>
      <c r="BQ14" s="6" t="s">
        <v>71</v>
      </c>
      <c r="BR14" s="6" t="s">
        <v>72</v>
      </c>
      <c r="BS14" s="6" t="s">
        <v>72</v>
      </c>
      <c r="BT14" s="6" t="s">
        <v>72</v>
      </c>
      <c r="BU14" s="6" t="s">
        <v>71</v>
      </c>
      <c r="BV14" s="6" t="s">
        <v>71</v>
      </c>
      <c r="BW14" s="6" t="s">
        <v>71</v>
      </c>
      <c r="BX14" s="6" t="s">
        <v>72</v>
      </c>
      <c r="BY14" s="6" t="s">
        <v>72</v>
      </c>
      <c r="BZ14" s="6" t="s">
        <v>71</v>
      </c>
      <c r="CA14" s="6" t="s">
        <v>71</v>
      </c>
      <c r="CB14" s="6" t="s">
        <v>72</v>
      </c>
      <c r="CC14" s="6" t="s">
        <v>72</v>
      </c>
    </row>
    <row r="15" spans="1:88">
      <c r="A15" s="5">
        <v>45363.775411030088</v>
      </c>
      <c r="B15" s="6" t="s">
        <v>484</v>
      </c>
      <c r="C15" s="6" t="s">
        <v>988</v>
      </c>
      <c r="D15" s="7" t="s">
        <v>989</v>
      </c>
      <c r="E15" s="6" t="s">
        <v>212</v>
      </c>
      <c r="F15" s="6" t="s">
        <v>990</v>
      </c>
      <c r="G15" s="6" t="s">
        <v>105</v>
      </c>
      <c r="H15" s="6" t="s">
        <v>991</v>
      </c>
      <c r="I15" s="6" t="s">
        <v>992</v>
      </c>
      <c r="K15" s="6" t="s">
        <v>484</v>
      </c>
      <c r="L15" s="6" t="s">
        <v>245</v>
      </c>
      <c r="M15" s="6" t="s">
        <v>993</v>
      </c>
      <c r="N15" s="6">
        <v>30</v>
      </c>
      <c r="O15" s="6" t="s">
        <v>148</v>
      </c>
      <c r="P15" s="6">
        <v>4</v>
      </c>
      <c r="Q15" s="6">
        <v>4</v>
      </c>
      <c r="R15" s="6">
        <v>20</v>
      </c>
      <c r="S15" s="6" t="s">
        <v>994</v>
      </c>
      <c r="T15" s="6" t="s">
        <v>71</v>
      </c>
      <c r="U15" s="6" t="s">
        <v>72</v>
      </c>
      <c r="V15" s="7" t="s">
        <v>926</v>
      </c>
      <c r="BK15" s="6" t="s">
        <v>71</v>
      </c>
      <c r="BL15" s="6" t="s">
        <v>71</v>
      </c>
      <c r="BM15" s="6" t="s">
        <v>72</v>
      </c>
      <c r="BN15" s="6" t="s">
        <v>72</v>
      </c>
      <c r="BO15" s="6" t="s">
        <v>71</v>
      </c>
      <c r="BP15" s="6" t="s">
        <v>71</v>
      </c>
      <c r="BQ15" s="6" t="s">
        <v>71</v>
      </c>
      <c r="BR15" s="6" t="s">
        <v>72</v>
      </c>
      <c r="BS15" s="6" t="s">
        <v>72</v>
      </c>
      <c r="BT15" s="6" t="s">
        <v>72</v>
      </c>
      <c r="BU15" s="6" t="s">
        <v>71</v>
      </c>
      <c r="BV15" s="6" t="s">
        <v>71</v>
      </c>
      <c r="BW15" s="6" t="s">
        <v>71</v>
      </c>
      <c r="BX15" s="6" t="s">
        <v>72</v>
      </c>
      <c r="BY15" s="6" t="s">
        <v>72</v>
      </c>
      <c r="BZ15" s="6" t="s">
        <v>71</v>
      </c>
      <c r="CA15" s="6" t="s">
        <v>71</v>
      </c>
      <c r="CB15" s="6" t="s">
        <v>72</v>
      </c>
      <c r="CC15" s="6" t="s">
        <v>72</v>
      </c>
      <c r="CD15" s="6" t="s">
        <v>995</v>
      </c>
    </row>
    <row r="16" spans="1:88">
      <c r="A16" s="5">
        <v>45363.857439733794</v>
      </c>
      <c r="B16" s="6" t="s">
        <v>996</v>
      </c>
      <c r="C16" s="6" t="s">
        <v>997</v>
      </c>
      <c r="D16" s="7" t="s">
        <v>998</v>
      </c>
      <c r="E16" s="6" t="s">
        <v>62</v>
      </c>
      <c r="F16" s="6" t="s">
        <v>999</v>
      </c>
      <c r="G16" s="6" t="s">
        <v>105</v>
      </c>
      <c r="H16" s="6" t="s">
        <v>1000</v>
      </c>
      <c r="I16" s="6" t="s">
        <v>1001</v>
      </c>
      <c r="K16" s="6" t="s">
        <v>996</v>
      </c>
      <c r="L16" s="6" t="s">
        <v>68</v>
      </c>
      <c r="M16" s="6" t="s">
        <v>852</v>
      </c>
      <c r="N16" s="6">
        <v>20</v>
      </c>
      <c r="O16" s="6" t="s">
        <v>1002</v>
      </c>
      <c r="P16" s="6">
        <v>3</v>
      </c>
      <c r="Q16" s="6">
        <v>4</v>
      </c>
      <c r="R16" s="6">
        <v>25</v>
      </c>
      <c r="S16" s="6" t="s">
        <v>1003</v>
      </c>
      <c r="T16" s="6" t="s">
        <v>71</v>
      </c>
      <c r="U16" s="6" t="s">
        <v>72</v>
      </c>
      <c r="V16" s="7" t="s">
        <v>926</v>
      </c>
      <c r="BK16" s="6" t="s">
        <v>71</v>
      </c>
      <c r="BL16" s="6" t="s">
        <v>72</v>
      </c>
      <c r="BM16" s="6" t="s">
        <v>72</v>
      </c>
      <c r="BN16" s="6" t="s">
        <v>72</v>
      </c>
      <c r="BO16" s="6" t="s">
        <v>71</v>
      </c>
      <c r="BP16" s="6" t="s">
        <v>72</v>
      </c>
      <c r="BQ16" s="6" t="s">
        <v>72</v>
      </c>
      <c r="BR16" s="6" t="s">
        <v>72</v>
      </c>
      <c r="BS16" s="6" t="s">
        <v>72</v>
      </c>
      <c r="BT16" s="6" t="s">
        <v>72</v>
      </c>
      <c r="BU16" s="6" t="s">
        <v>72</v>
      </c>
      <c r="BV16" s="6" t="s">
        <v>71</v>
      </c>
      <c r="BW16" s="6" t="s">
        <v>72</v>
      </c>
      <c r="BX16" s="6" t="s">
        <v>72</v>
      </c>
      <c r="BY16" s="6" t="s">
        <v>72</v>
      </c>
      <c r="BZ16" s="6" t="s">
        <v>72</v>
      </c>
      <c r="CA16" s="6" t="s">
        <v>71</v>
      </c>
      <c r="CB16" s="6" t="s">
        <v>72</v>
      </c>
      <c r="CC16" s="6" t="s">
        <v>72</v>
      </c>
      <c r="CD16" s="6" t="s">
        <v>1004</v>
      </c>
    </row>
    <row r="17" spans="1:82">
      <c r="A17" s="5">
        <v>45363.867391284723</v>
      </c>
      <c r="B17" s="6" t="s">
        <v>1005</v>
      </c>
      <c r="C17" s="6" t="s">
        <v>1006</v>
      </c>
      <c r="D17" s="7" t="s">
        <v>1007</v>
      </c>
      <c r="E17" s="6" t="s">
        <v>62</v>
      </c>
      <c r="F17" s="6" t="s">
        <v>1008</v>
      </c>
      <c r="G17" s="6" t="s">
        <v>105</v>
      </c>
      <c r="H17" s="6" t="s">
        <v>1009</v>
      </c>
      <c r="I17" s="6" t="s">
        <v>1010</v>
      </c>
      <c r="K17" s="6" t="s">
        <v>1005</v>
      </c>
      <c r="L17" s="6" t="s">
        <v>245</v>
      </c>
      <c r="M17" s="6" t="s">
        <v>1011</v>
      </c>
      <c r="N17" s="6">
        <v>25</v>
      </c>
      <c r="O17" s="6" t="s">
        <v>148</v>
      </c>
      <c r="P17" s="6">
        <v>4</v>
      </c>
      <c r="Q17" s="6">
        <v>3</v>
      </c>
      <c r="R17" s="6">
        <v>60</v>
      </c>
      <c r="T17" s="6" t="s">
        <v>72</v>
      </c>
      <c r="U17" s="6" t="s">
        <v>71</v>
      </c>
      <c r="V17" s="7" t="s">
        <v>926</v>
      </c>
      <c r="BK17" s="6" t="s">
        <v>72</v>
      </c>
      <c r="BL17" s="6" t="s">
        <v>72</v>
      </c>
      <c r="BM17" s="6" t="s">
        <v>72</v>
      </c>
      <c r="BN17" s="6" t="s">
        <v>71</v>
      </c>
      <c r="BO17" s="6" t="s">
        <v>72</v>
      </c>
      <c r="BP17" s="6" t="s">
        <v>72</v>
      </c>
      <c r="BQ17" s="6" t="s">
        <v>72</v>
      </c>
      <c r="BR17" s="6" t="s">
        <v>71</v>
      </c>
      <c r="BS17" s="6" t="s">
        <v>71</v>
      </c>
      <c r="BT17" s="6" t="s">
        <v>71</v>
      </c>
      <c r="BU17" s="6" t="s">
        <v>72</v>
      </c>
      <c r="BV17" s="6" t="s">
        <v>72</v>
      </c>
      <c r="BW17" s="6" t="s">
        <v>72</v>
      </c>
      <c r="BX17" s="6" t="s">
        <v>71</v>
      </c>
      <c r="BY17" s="6" t="s">
        <v>71</v>
      </c>
      <c r="BZ17" s="6" t="s">
        <v>72</v>
      </c>
      <c r="CA17" s="6" t="s">
        <v>72</v>
      </c>
      <c r="CB17" s="6" t="s">
        <v>71</v>
      </c>
      <c r="CC17" s="6" t="s">
        <v>71</v>
      </c>
    </row>
    <row r="18" spans="1:82">
      <c r="A18" s="5">
        <v>45363.883584583338</v>
      </c>
      <c r="B18" s="6" t="s">
        <v>1012</v>
      </c>
      <c r="C18" s="6" t="s">
        <v>862</v>
      </c>
      <c r="D18" s="6">
        <v>20067300</v>
      </c>
      <c r="E18" s="6" t="s">
        <v>84</v>
      </c>
      <c r="F18" s="6" t="s">
        <v>582</v>
      </c>
      <c r="G18" s="6" t="s">
        <v>64</v>
      </c>
      <c r="H18" s="6" t="s">
        <v>1013</v>
      </c>
      <c r="I18" s="6" t="s">
        <v>1014</v>
      </c>
      <c r="J18" s="6" t="s">
        <v>565</v>
      </c>
      <c r="K18" s="6" t="s">
        <v>1012</v>
      </c>
      <c r="L18" s="6" t="s">
        <v>89</v>
      </c>
      <c r="M18" s="6" t="s">
        <v>473</v>
      </c>
      <c r="N18" s="6">
        <v>18</v>
      </c>
      <c r="O18" s="6" t="s">
        <v>70</v>
      </c>
      <c r="P18" s="6">
        <v>4</v>
      </c>
      <c r="Q18" s="6">
        <v>3</v>
      </c>
      <c r="R18" s="6">
        <v>30</v>
      </c>
      <c r="S18" s="6" t="s">
        <v>1015</v>
      </c>
      <c r="T18" s="6" t="s">
        <v>71</v>
      </c>
      <c r="U18" s="6" t="s">
        <v>72</v>
      </c>
      <c r="V18" s="7" t="s">
        <v>926</v>
      </c>
      <c r="BK18" s="6" t="s">
        <v>71</v>
      </c>
      <c r="BL18" s="6" t="s">
        <v>71</v>
      </c>
      <c r="BM18" s="6" t="s">
        <v>71</v>
      </c>
      <c r="BN18" s="6" t="s">
        <v>72</v>
      </c>
      <c r="BO18" s="6" t="s">
        <v>71</v>
      </c>
      <c r="BP18" s="6" t="s">
        <v>71</v>
      </c>
      <c r="BQ18" s="6" t="s">
        <v>71</v>
      </c>
      <c r="BR18" s="6" t="s">
        <v>72</v>
      </c>
      <c r="BS18" s="6" t="s">
        <v>72</v>
      </c>
      <c r="BT18" s="6" t="s">
        <v>72</v>
      </c>
      <c r="BU18" s="6" t="s">
        <v>71</v>
      </c>
      <c r="BV18" s="6" t="s">
        <v>71</v>
      </c>
      <c r="BW18" s="6" t="s">
        <v>71</v>
      </c>
      <c r="BX18" s="6" t="s">
        <v>72</v>
      </c>
      <c r="BY18" s="6" t="s">
        <v>72</v>
      </c>
      <c r="BZ18" s="6" t="s">
        <v>71</v>
      </c>
      <c r="CA18" s="6" t="s">
        <v>71</v>
      </c>
      <c r="CB18" s="6" t="s">
        <v>72</v>
      </c>
      <c r="CC18" s="6" t="s">
        <v>72</v>
      </c>
    </row>
    <row r="19" spans="1:82">
      <c r="A19" s="5">
        <v>45363.888119386575</v>
      </c>
      <c r="B19" s="6" t="s">
        <v>1012</v>
      </c>
      <c r="C19" s="6" t="s">
        <v>862</v>
      </c>
      <c r="D19" s="6">
        <v>20067300</v>
      </c>
      <c r="E19" s="6" t="s">
        <v>133</v>
      </c>
      <c r="F19" s="6" t="s">
        <v>192</v>
      </c>
      <c r="G19" s="6" t="s">
        <v>64</v>
      </c>
      <c r="H19" s="6" t="s">
        <v>1013</v>
      </c>
      <c r="I19" s="6" t="s">
        <v>1014</v>
      </c>
      <c r="J19" s="6" t="s">
        <v>1016</v>
      </c>
      <c r="K19" s="6" t="s">
        <v>1012</v>
      </c>
      <c r="L19" s="6" t="s">
        <v>89</v>
      </c>
      <c r="M19" s="6" t="s">
        <v>473</v>
      </c>
      <c r="N19" s="6">
        <v>22</v>
      </c>
      <c r="O19" s="6" t="s">
        <v>70</v>
      </c>
      <c r="P19" s="6">
        <v>4</v>
      </c>
      <c r="Q19" s="6">
        <v>3</v>
      </c>
      <c r="R19" s="6">
        <v>35</v>
      </c>
      <c r="S19" s="6" t="s">
        <v>1015</v>
      </c>
      <c r="T19" s="6" t="s">
        <v>71</v>
      </c>
      <c r="U19" s="6" t="s">
        <v>72</v>
      </c>
      <c r="V19" s="7" t="s">
        <v>926</v>
      </c>
      <c r="BK19" s="6" t="s">
        <v>71</v>
      </c>
      <c r="BL19" s="6" t="s">
        <v>71</v>
      </c>
      <c r="BM19" s="6" t="s">
        <v>71</v>
      </c>
      <c r="BN19" s="6" t="s">
        <v>72</v>
      </c>
      <c r="BO19" s="6" t="s">
        <v>71</v>
      </c>
      <c r="BP19" s="6" t="s">
        <v>71</v>
      </c>
      <c r="BQ19" s="6" t="s">
        <v>71</v>
      </c>
      <c r="BR19" s="6" t="s">
        <v>72</v>
      </c>
      <c r="BS19" s="6" t="s">
        <v>72</v>
      </c>
      <c r="BT19" s="6" t="s">
        <v>72</v>
      </c>
      <c r="BU19" s="6" t="s">
        <v>71</v>
      </c>
      <c r="BV19" s="6" t="s">
        <v>71</v>
      </c>
      <c r="BW19" s="6" t="s">
        <v>71</v>
      </c>
      <c r="BX19" s="6" t="s">
        <v>72</v>
      </c>
      <c r="BY19" s="6" t="s">
        <v>72</v>
      </c>
      <c r="BZ19" s="6" t="s">
        <v>71</v>
      </c>
      <c r="CA19" s="6" t="s">
        <v>71</v>
      </c>
      <c r="CB19" s="6" t="s">
        <v>72</v>
      </c>
      <c r="CC19" s="6" t="s">
        <v>72</v>
      </c>
    </row>
    <row r="20" spans="1:82">
      <c r="A20" s="5">
        <v>45363.938248749997</v>
      </c>
      <c r="B20" s="6" t="s">
        <v>352</v>
      </c>
      <c r="C20" s="6" t="s">
        <v>1017</v>
      </c>
      <c r="D20" s="7" t="s">
        <v>1018</v>
      </c>
      <c r="E20" s="6" t="s">
        <v>133</v>
      </c>
      <c r="F20" s="6" t="s">
        <v>1019</v>
      </c>
      <c r="G20" s="6" t="s">
        <v>105</v>
      </c>
      <c r="H20" s="6" t="s">
        <v>1020</v>
      </c>
      <c r="I20" s="6" t="s">
        <v>1021</v>
      </c>
      <c r="J20" s="6" t="s">
        <v>1022</v>
      </c>
      <c r="K20" s="6" t="s">
        <v>352</v>
      </c>
      <c r="L20" s="6" t="s">
        <v>68</v>
      </c>
      <c r="M20" s="6" t="s">
        <v>1023</v>
      </c>
      <c r="N20" s="6">
        <v>35</v>
      </c>
      <c r="O20" s="6" t="s">
        <v>70</v>
      </c>
      <c r="P20" s="6">
        <v>3</v>
      </c>
      <c r="Q20" s="6">
        <v>3</v>
      </c>
      <c r="R20" s="6">
        <v>60</v>
      </c>
      <c r="T20" s="6" t="s">
        <v>71</v>
      </c>
      <c r="U20" s="6" t="s">
        <v>72</v>
      </c>
      <c r="V20" s="7" t="s">
        <v>926</v>
      </c>
      <c r="BK20" s="6" t="s">
        <v>71</v>
      </c>
      <c r="BL20" s="6" t="s">
        <v>72</v>
      </c>
      <c r="BM20" s="6" t="s">
        <v>72</v>
      </c>
      <c r="BN20" s="6" t="s">
        <v>72</v>
      </c>
      <c r="BO20" s="6" t="s">
        <v>72</v>
      </c>
      <c r="BP20" s="6" t="s">
        <v>71</v>
      </c>
      <c r="BQ20" s="6" t="s">
        <v>72</v>
      </c>
      <c r="BR20" s="6" t="s">
        <v>72</v>
      </c>
      <c r="BS20" s="6" t="s">
        <v>72</v>
      </c>
      <c r="BT20" s="6" t="s">
        <v>72</v>
      </c>
      <c r="BU20" s="6" t="s">
        <v>72</v>
      </c>
      <c r="BV20" s="6" t="s">
        <v>72</v>
      </c>
      <c r="BW20" s="6" t="s">
        <v>71</v>
      </c>
      <c r="BY20" s="6" t="s">
        <v>72</v>
      </c>
      <c r="BZ20" s="6" t="s">
        <v>72</v>
      </c>
      <c r="CA20" s="6" t="s">
        <v>72</v>
      </c>
      <c r="CB20" s="6" t="s">
        <v>71</v>
      </c>
      <c r="CC20" s="6" t="s">
        <v>72</v>
      </c>
    </row>
    <row r="21" spans="1:82">
      <c r="A21" s="5">
        <v>45364.395298090283</v>
      </c>
      <c r="B21" s="6" t="s">
        <v>680</v>
      </c>
      <c r="C21" s="6" t="s">
        <v>575</v>
      </c>
      <c r="D21" s="6">
        <v>61</v>
      </c>
      <c r="E21" s="6" t="s">
        <v>133</v>
      </c>
      <c r="F21" s="6" t="s">
        <v>345</v>
      </c>
      <c r="G21" s="6" t="s">
        <v>64</v>
      </c>
      <c r="H21" s="6" t="s">
        <v>683</v>
      </c>
      <c r="I21" s="6" t="s">
        <v>684</v>
      </c>
      <c r="J21" s="6" t="s">
        <v>1024</v>
      </c>
      <c r="K21" s="6" t="s">
        <v>680</v>
      </c>
      <c r="L21" s="6" t="s">
        <v>89</v>
      </c>
      <c r="M21" s="6" t="s">
        <v>686</v>
      </c>
      <c r="N21" s="6">
        <v>35</v>
      </c>
      <c r="O21" s="6" t="s">
        <v>148</v>
      </c>
      <c r="P21" s="6">
        <v>4</v>
      </c>
      <c r="Q21" s="6">
        <v>4</v>
      </c>
      <c r="R21" s="6">
        <v>10</v>
      </c>
      <c r="T21" s="6" t="s">
        <v>71</v>
      </c>
      <c r="U21" s="6" t="s">
        <v>72</v>
      </c>
      <c r="V21" s="7" t="s">
        <v>926</v>
      </c>
      <c r="BK21" s="6" t="s">
        <v>71</v>
      </c>
      <c r="BL21" s="6" t="s">
        <v>71</v>
      </c>
      <c r="BM21" s="6" t="s">
        <v>72</v>
      </c>
      <c r="BN21" s="6" t="s">
        <v>72</v>
      </c>
      <c r="BO21" s="6" t="s">
        <v>71</v>
      </c>
      <c r="BP21" s="6" t="s">
        <v>71</v>
      </c>
      <c r="BQ21" s="6" t="s">
        <v>71</v>
      </c>
      <c r="BR21" s="6" t="s">
        <v>71</v>
      </c>
      <c r="BS21" s="6" t="s">
        <v>72</v>
      </c>
      <c r="BT21" s="6" t="s">
        <v>72</v>
      </c>
      <c r="BU21" s="6" t="s">
        <v>71</v>
      </c>
      <c r="BV21" s="6" t="s">
        <v>71</v>
      </c>
      <c r="BW21" s="6" t="s">
        <v>71</v>
      </c>
      <c r="BX21" s="6" t="s">
        <v>72</v>
      </c>
      <c r="BY21" s="6" t="s">
        <v>72</v>
      </c>
      <c r="BZ21" s="6" t="s">
        <v>71</v>
      </c>
      <c r="CA21" s="6" t="s">
        <v>71</v>
      </c>
      <c r="CB21" s="6" t="s">
        <v>72</v>
      </c>
      <c r="CC21" s="6" t="s">
        <v>72</v>
      </c>
    </row>
    <row r="22" spans="1:82">
      <c r="A22" s="5">
        <v>45364.411596504629</v>
      </c>
      <c r="B22" s="6" t="s">
        <v>1025</v>
      </c>
      <c r="C22" s="6" t="s">
        <v>1026</v>
      </c>
      <c r="D22" s="7" t="s">
        <v>275</v>
      </c>
      <c r="E22" s="6" t="s">
        <v>286</v>
      </c>
      <c r="F22" s="6" t="s">
        <v>1027</v>
      </c>
      <c r="G22" s="6" t="s">
        <v>105</v>
      </c>
      <c r="H22" s="6" t="s">
        <v>1028</v>
      </c>
      <c r="I22" s="6" t="s">
        <v>1029</v>
      </c>
      <c r="J22" s="6" t="s">
        <v>1030</v>
      </c>
      <c r="K22" s="6" t="s">
        <v>1025</v>
      </c>
      <c r="L22" s="6" t="s">
        <v>245</v>
      </c>
      <c r="M22" s="6" t="s">
        <v>1031</v>
      </c>
      <c r="N22" s="6">
        <v>35</v>
      </c>
      <c r="O22" s="6" t="s">
        <v>282</v>
      </c>
      <c r="P22" s="6">
        <v>4</v>
      </c>
      <c r="Q22" s="6">
        <v>3</v>
      </c>
      <c r="R22" s="6">
        <v>50</v>
      </c>
      <c r="T22" s="6" t="s">
        <v>72</v>
      </c>
      <c r="U22" s="6" t="s">
        <v>71</v>
      </c>
      <c r="V22" s="7" t="s">
        <v>926</v>
      </c>
      <c r="BK22" s="6" t="s">
        <v>72</v>
      </c>
      <c r="BL22" s="6" t="s">
        <v>72</v>
      </c>
      <c r="BM22" s="6" t="s">
        <v>72</v>
      </c>
      <c r="BN22" s="6" t="s">
        <v>71</v>
      </c>
      <c r="BO22" s="6" t="s">
        <v>72</v>
      </c>
      <c r="BP22" s="6" t="s">
        <v>72</v>
      </c>
      <c r="BQ22" s="6" t="s">
        <v>72</v>
      </c>
      <c r="BR22" s="6" t="s">
        <v>71</v>
      </c>
      <c r="BS22" s="6" t="s">
        <v>71</v>
      </c>
      <c r="BT22" s="6" t="s">
        <v>71</v>
      </c>
      <c r="BU22" s="6" t="s">
        <v>72</v>
      </c>
      <c r="BV22" s="6" t="s">
        <v>72</v>
      </c>
      <c r="BW22" s="6" t="s">
        <v>72</v>
      </c>
      <c r="BX22" s="6" t="s">
        <v>71</v>
      </c>
      <c r="BY22" s="6" t="s">
        <v>71</v>
      </c>
      <c r="BZ22" s="6" t="s">
        <v>72</v>
      </c>
      <c r="CA22" s="6" t="s">
        <v>72</v>
      </c>
      <c r="CB22" s="6" t="s">
        <v>71</v>
      </c>
      <c r="CC22" s="6" t="s">
        <v>72</v>
      </c>
    </row>
    <row r="23" spans="1:82">
      <c r="A23" s="5">
        <v>45364.459560277777</v>
      </c>
      <c r="B23" s="6" t="s">
        <v>1032</v>
      </c>
      <c r="C23" s="6" t="s">
        <v>1033</v>
      </c>
      <c r="D23" s="7" t="s">
        <v>720</v>
      </c>
      <c r="E23" s="6" t="s">
        <v>286</v>
      </c>
      <c r="F23" s="6" t="s">
        <v>1027</v>
      </c>
      <c r="G23" s="6" t="s">
        <v>105</v>
      </c>
      <c r="H23" s="6" t="s">
        <v>1034</v>
      </c>
      <c r="I23" s="6" t="s">
        <v>279</v>
      </c>
      <c r="J23" s="6" t="s">
        <v>280</v>
      </c>
      <c r="K23" s="6" t="s">
        <v>1035</v>
      </c>
      <c r="L23" s="6" t="s">
        <v>138</v>
      </c>
      <c r="M23" s="6" t="s">
        <v>1036</v>
      </c>
      <c r="N23" s="6">
        <v>35</v>
      </c>
      <c r="O23" s="6" t="s">
        <v>282</v>
      </c>
      <c r="P23" s="6">
        <v>5</v>
      </c>
      <c r="Q23" s="6">
        <v>5</v>
      </c>
      <c r="R23" s="6">
        <v>50</v>
      </c>
      <c r="T23" s="6" t="s">
        <v>71</v>
      </c>
      <c r="U23" s="6" t="s">
        <v>71</v>
      </c>
      <c r="V23" s="7" t="s">
        <v>926</v>
      </c>
      <c r="BK23" s="6" t="s">
        <v>71</v>
      </c>
      <c r="BL23" s="6" t="s">
        <v>71</v>
      </c>
      <c r="BM23" s="6" t="s">
        <v>71</v>
      </c>
      <c r="BN23" s="6" t="s">
        <v>71</v>
      </c>
      <c r="BO23" s="6" t="s">
        <v>72</v>
      </c>
      <c r="BP23" s="6" t="s">
        <v>72</v>
      </c>
      <c r="BQ23" s="6" t="s">
        <v>71</v>
      </c>
      <c r="BR23" s="6" t="s">
        <v>71</v>
      </c>
      <c r="BS23" s="6" t="s">
        <v>72</v>
      </c>
      <c r="BT23" s="6" t="s">
        <v>71</v>
      </c>
      <c r="BU23" s="6" t="s">
        <v>71</v>
      </c>
      <c r="BV23" s="6" t="s">
        <v>71</v>
      </c>
      <c r="BW23" s="6" t="s">
        <v>71</v>
      </c>
      <c r="BX23" s="6" t="s">
        <v>71</v>
      </c>
      <c r="BY23" s="6" t="s">
        <v>71</v>
      </c>
      <c r="BZ23" s="6" t="s">
        <v>71</v>
      </c>
      <c r="CA23" s="6" t="s">
        <v>71</v>
      </c>
      <c r="CB23" s="6" t="s">
        <v>71</v>
      </c>
      <c r="CC23" s="6" t="s">
        <v>71</v>
      </c>
    </row>
    <row r="24" spans="1:82">
      <c r="A24" s="5">
        <v>45364.473455208332</v>
      </c>
      <c r="B24" s="6" t="s">
        <v>1035</v>
      </c>
      <c r="C24" s="6" t="s">
        <v>1037</v>
      </c>
      <c r="D24" s="7" t="s">
        <v>720</v>
      </c>
      <c r="E24" s="6" t="s">
        <v>286</v>
      </c>
      <c r="F24" s="6" t="s">
        <v>277</v>
      </c>
      <c r="G24" s="6" t="s">
        <v>105</v>
      </c>
      <c r="H24" s="6" t="s">
        <v>1038</v>
      </c>
      <c r="I24" s="6" t="s">
        <v>723</v>
      </c>
      <c r="J24" s="6" t="s">
        <v>280</v>
      </c>
      <c r="K24" s="6" t="s">
        <v>1035</v>
      </c>
      <c r="L24" s="6" t="s">
        <v>138</v>
      </c>
      <c r="M24" s="6" t="s">
        <v>1036</v>
      </c>
      <c r="N24" s="6">
        <v>35</v>
      </c>
      <c r="O24" s="6" t="s">
        <v>282</v>
      </c>
      <c r="P24" s="6">
        <v>5</v>
      </c>
      <c r="Q24" s="6">
        <v>5</v>
      </c>
      <c r="R24" s="6">
        <v>50</v>
      </c>
      <c r="T24" s="6" t="s">
        <v>71</v>
      </c>
      <c r="U24" s="6" t="s">
        <v>71</v>
      </c>
      <c r="V24" s="7" t="s">
        <v>926</v>
      </c>
      <c r="BK24" s="6" t="s">
        <v>71</v>
      </c>
      <c r="BL24" s="6" t="s">
        <v>72</v>
      </c>
      <c r="BM24" s="6" t="s">
        <v>71</v>
      </c>
      <c r="BN24" s="6" t="s">
        <v>71</v>
      </c>
      <c r="BO24" s="6" t="s">
        <v>72</v>
      </c>
      <c r="BP24" s="6" t="s">
        <v>71</v>
      </c>
      <c r="BQ24" s="6" t="s">
        <v>72</v>
      </c>
      <c r="BR24" s="6" t="s">
        <v>71</v>
      </c>
      <c r="BS24" s="6" t="s">
        <v>72</v>
      </c>
      <c r="BT24" s="6" t="s">
        <v>71</v>
      </c>
      <c r="BU24" s="6" t="s">
        <v>71</v>
      </c>
      <c r="BV24" s="6" t="s">
        <v>71</v>
      </c>
      <c r="BW24" s="6" t="s">
        <v>71</v>
      </c>
      <c r="BX24" s="6" t="s">
        <v>71</v>
      </c>
      <c r="BY24" s="6" t="s">
        <v>71</v>
      </c>
      <c r="BZ24" s="6" t="s">
        <v>71</v>
      </c>
      <c r="CA24" s="6" t="s">
        <v>71</v>
      </c>
      <c r="CB24" s="6" t="s">
        <v>71</v>
      </c>
      <c r="CC24" s="6" t="s">
        <v>71</v>
      </c>
      <c r="CD24" s="6" t="s">
        <v>1039</v>
      </c>
    </row>
    <row r="25" spans="1:82">
      <c r="A25" s="5">
        <v>45364.735914375</v>
      </c>
      <c r="B25" s="6" t="s">
        <v>1040</v>
      </c>
      <c r="C25" s="6" t="s">
        <v>1041</v>
      </c>
      <c r="D25" s="7" t="s">
        <v>1042</v>
      </c>
      <c r="E25" s="6" t="s">
        <v>133</v>
      </c>
      <c r="F25" s="6" t="s">
        <v>1043</v>
      </c>
      <c r="G25" s="6" t="s">
        <v>64</v>
      </c>
      <c r="H25" s="6" t="s">
        <v>1044</v>
      </c>
      <c r="I25" s="6" t="s">
        <v>1045</v>
      </c>
      <c r="K25" s="6" t="s">
        <v>1046</v>
      </c>
      <c r="L25" s="6" t="s">
        <v>1047</v>
      </c>
      <c r="M25" s="6" t="s">
        <v>1048</v>
      </c>
      <c r="N25" s="6">
        <v>32</v>
      </c>
      <c r="O25" s="6" t="s">
        <v>70</v>
      </c>
      <c r="P25" s="6">
        <v>2</v>
      </c>
      <c r="Q25" s="6">
        <v>2</v>
      </c>
      <c r="R25" s="6">
        <v>10</v>
      </c>
      <c r="S25" s="6" t="s">
        <v>1049</v>
      </c>
      <c r="T25" s="6" t="s">
        <v>72</v>
      </c>
      <c r="U25" s="6" t="s">
        <v>71</v>
      </c>
      <c r="V25" s="7" t="s">
        <v>926</v>
      </c>
      <c r="BK25" s="6" t="s">
        <v>72</v>
      </c>
      <c r="BL25" s="6" t="s">
        <v>72</v>
      </c>
      <c r="BM25" s="6" t="s">
        <v>72</v>
      </c>
      <c r="BN25" s="6" t="s">
        <v>71</v>
      </c>
      <c r="BO25" s="6" t="s">
        <v>72</v>
      </c>
      <c r="BP25" s="6" t="s">
        <v>72</v>
      </c>
      <c r="BQ25" s="6" t="s">
        <v>72</v>
      </c>
      <c r="BR25" s="6" t="s">
        <v>71</v>
      </c>
      <c r="BS25" s="6" t="s">
        <v>72</v>
      </c>
      <c r="BT25" s="6" t="s">
        <v>72</v>
      </c>
      <c r="BU25" s="6" t="s">
        <v>72</v>
      </c>
      <c r="BV25" s="6" t="s">
        <v>72</v>
      </c>
      <c r="BW25" s="6" t="s">
        <v>72</v>
      </c>
      <c r="BX25" s="6" t="s">
        <v>72</v>
      </c>
      <c r="BY25" s="6" t="s">
        <v>71</v>
      </c>
      <c r="BZ25" s="6" t="s">
        <v>71</v>
      </c>
      <c r="CA25" s="6" t="s">
        <v>71</v>
      </c>
      <c r="CB25" s="6" t="s">
        <v>71</v>
      </c>
      <c r="CC25" s="6" t="s">
        <v>71</v>
      </c>
    </row>
    <row r="26" spans="1:82">
      <c r="A26" s="5">
        <v>45364.947471805557</v>
      </c>
      <c r="B26" s="6" t="s">
        <v>209</v>
      </c>
      <c r="C26" s="6" t="s">
        <v>210</v>
      </c>
      <c r="D26" s="7" t="s">
        <v>211</v>
      </c>
      <c r="E26" s="6" t="s">
        <v>286</v>
      </c>
      <c r="F26" s="6" t="s">
        <v>1050</v>
      </c>
      <c r="G26" s="6" t="s">
        <v>105</v>
      </c>
      <c r="H26" s="6" t="s">
        <v>214</v>
      </c>
      <c r="I26" s="6" t="s">
        <v>1051</v>
      </c>
      <c r="J26" s="6" t="s">
        <v>1052</v>
      </c>
      <c r="K26" s="6" t="s">
        <v>209</v>
      </c>
      <c r="L26" s="6" t="s">
        <v>89</v>
      </c>
      <c r="M26" s="6" t="s">
        <v>217</v>
      </c>
      <c r="N26" s="6">
        <v>20</v>
      </c>
      <c r="O26" s="6" t="s">
        <v>70</v>
      </c>
      <c r="P26" s="6">
        <v>5</v>
      </c>
      <c r="Q26" s="6">
        <v>5</v>
      </c>
      <c r="R26" s="6">
        <v>80</v>
      </c>
      <c r="T26" s="6" t="s">
        <v>71</v>
      </c>
      <c r="U26" s="6" t="s">
        <v>72</v>
      </c>
      <c r="V26" s="7" t="s">
        <v>926</v>
      </c>
      <c r="BK26" s="6" t="s">
        <v>72</v>
      </c>
      <c r="BL26" s="6" t="s">
        <v>72</v>
      </c>
      <c r="BM26" s="6" t="s">
        <v>72</v>
      </c>
      <c r="BN26" s="6" t="s">
        <v>72</v>
      </c>
      <c r="BO26" s="6" t="s">
        <v>71</v>
      </c>
      <c r="BP26" s="6" t="s">
        <v>72</v>
      </c>
      <c r="BQ26" s="6" t="s">
        <v>72</v>
      </c>
      <c r="BR26" s="6" t="s">
        <v>72</v>
      </c>
      <c r="BS26" s="6" t="s">
        <v>72</v>
      </c>
      <c r="BT26" s="6" t="s">
        <v>72</v>
      </c>
      <c r="BU26" s="6" t="s">
        <v>72</v>
      </c>
      <c r="BV26" s="6" t="s">
        <v>71</v>
      </c>
      <c r="BW26" s="6" t="s">
        <v>72</v>
      </c>
      <c r="BX26" s="6" t="s">
        <v>72</v>
      </c>
      <c r="BY26" s="6" t="s">
        <v>72</v>
      </c>
      <c r="BZ26" s="6" t="s">
        <v>72</v>
      </c>
      <c r="CA26" s="6" t="s">
        <v>71</v>
      </c>
      <c r="CB26" s="6" t="s">
        <v>72</v>
      </c>
      <c r="CC26" s="6" t="s">
        <v>72</v>
      </c>
    </row>
    <row r="27" spans="1:82">
      <c r="A27" s="5">
        <v>45364.951024606482</v>
      </c>
      <c r="B27" s="6" t="s">
        <v>209</v>
      </c>
      <c r="C27" s="6" t="s">
        <v>210</v>
      </c>
      <c r="D27" s="7" t="s">
        <v>211</v>
      </c>
      <c r="E27" s="6" t="s">
        <v>212</v>
      </c>
      <c r="F27" s="6" t="s">
        <v>1053</v>
      </c>
      <c r="G27" s="6" t="s">
        <v>105</v>
      </c>
      <c r="H27" s="6" t="s">
        <v>214</v>
      </c>
      <c r="I27" s="6" t="s">
        <v>1051</v>
      </c>
      <c r="J27" s="6" t="s">
        <v>1052</v>
      </c>
      <c r="K27" s="6" t="s">
        <v>209</v>
      </c>
      <c r="L27" s="6" t="s">
        <v>89</v>
      </c>
      <c r="M27" s="6" t="s">
        <v>217</v>
      </c>
      <c r="N27" s="6">
        <v>20</v>
      </c>
      <c r="O27" s="6" t="s">
        <v>70</v>
      </c>
      <c r="P27" s="6">
        <v>5</v>
      </c>
      <c r="Q27" s="6">
        <v>5</v>
      </c>
      <c r="R27" s="6">
        <v>80</v>
      </c>
      <c r="T27" s="6" t="s">
        <v>71</v>
      </c>
      <c r="U27" s="6" t="s">
        <v>72</v>
      </c>
      <c r="V27" s="7" t="s">
        <v>926</v>
      </c>
      <c r="BK27" s="6" t="s">
        <v>72</v>
      </c>
      <c r="BL27" s="6" t="s">
        <v>72</v>
      </c>
      <c r="BM27" s="6" t="s">
        <v>72</v>
      </c>
      <c r="BN27" s="6" t="s">
        <v>72</v>
      </c>
      <c r="BO27" s="6" t="s">
        <v>71</v>
      </c>
      <c r="BP27" s="6" t="s">
        <v>72</v>
      </c>
      <c r="BQ27" s="6" t="s">
        <v>72</v>
      </c>
      <c r="BR27" s="6" t="s">
        <v>72</v>
      </c>
      <c r="BS27" s="6" t="s">
        <v>72</v>
      </c>
      <c r="BT27" s="6" t="s">
        <v>72</v>
      </c>
      <c r="BU27" s="6" t="s">
        <v>72</v>
      </c>
      <c r="BV27" s="6" t="s">
        <v>71</v>
      </c>
      <c r="BW27" s="6" t="s">
        <v>72</v>
      </c>
      <c r="BX27" s="6" t="s">
        <v>72</v>
      </c>
      <c r="BY27" s="6" t="s">
        <v>72</v>
      </c>
      <c r="BZ27" s="6" t="s">
        <v>72</v>
      </c>
      <c r="CA27" s="6" t="s">
        <v>71</v>
      </c>
      <c r="CB27" s="6" t="s">
        <v>72</v>
      </c>
      <c r="CC27" s="6" t="s">
        <v>72</v>
      </c>
    </row>
    <row r="28" spans="1:82">
      <c r="A28" s="5">
        <v>45365.331200879635</v>
      </c>
      <c r="B28" s="6" t="s">
        <v>1054</v>
      </c>
      <c r="C28" s="6" t="s">
        <v>1055</v>
      </c>
      <c r="D28" s="7" t="s">
        <v>1056</v>
      </c>
      <c r="E28" s="6" t="s">
        <v>62</v>
      </c>
      <c r="F28" s="6" t="s">
        <v>235</v>
      </c>
      <c r="G28" s="6" t="s">
        <v>105</v>
      </c>
      <c r="H28" s="6" t="s">
        <v>1057</v>
      </c>
      <c r="I28" s="6" t="s">
        <v>1058</v>
      </c>
      <c r="J28" s="6" t="s">
        <v>1059</v>
      </c>
      <c r="K28" s="6" t="s">
        <v>1054</v>
      </c>
      <c r="L28" s="6" t="s">
        <v>245</v>
      </c>
      <c r="M28" s="6" t="s">
        <v>1060</v>
      </c>
      <c r="N28" s="6">
        <v>19</v>
      </c>
      <c r="O28" s="6" t="s">
        <v>70</v>
      </c>
      <c r="P28" s="6">
        <v>3</v>
      </c>
      <c r="Q28" s="6">
        <v>1</v>
      </c>
      <c r="R28" s="6">
        <v>80</v>
      </c>
      <c r="T28" s="6" t="s">
        <v>71</v>
      </c>
      <c r="U28" s="6" t="s">
        <v>72</v>
      </c>
      <c r="V28" s="7" t="s">
        <v>926</v>
      </c>
      <c r="BK28" s="6" t="s">
        <v>72</v>
      </c>
      <c r="BL28" s="6" t="s">
        <v>71</v>
      </c>
      <c r="BM28" s="6" t="s">
        <v>72</v>
      </c>
      <c r="BN28" s="6" t="s">
        <v>72</v>
      </c>
      <c r="BO28" s="6" t="s">
        <v>71</v>
      </c>
      <c r="BP28" s="6" t="s">
        <v>72</v>
      </c>
      <c r="BQ28" s="6" t="s">
        <v>72</v>
      </c>
      <c r="BR28" s="6" t="s">
        <v>72</v>
      </c>
      <c r="BS28" s="6" t="s">
        <v>72</v>
      </c>
      <c r="BT28" s="6" t="s">
        <v>72</v>
      </c>
      <c r="BU28" s="6" t="s">
        <v>72</v>
      </c>
      <c r="BV28" s="6" t="s">
        <v>72</v>
      </c>
      <c r="BW28" s="6" t="s">
        <v>71</v>
      </c>
      <c r="BX28" s="6" t="s">
        <v>72</v>
      </c>
      <c r="BY28" s="6" t="s">
        <v>72</v>
      </c>
      <c r="BZ28" s="6" t="s">
        <v>72</v>
      </c>
      <c r="CA28" s="6" t="s">
        <v>72</v>
      </c>
      <c r="CB28" s="6" t="s">
        <v>72</v>
      </c>
      <c r="CC28" s="6" t="s">
        <v>72</v>
      </c>
    </row>
    <row r="29" spans="1:82">
      <c r="A29" s="5">
        <v>45365.401173217593</v>
      </c>
      <c r="B29" s="6" t="s">
        <v>1061</v>
      </c>
      <c r="C29" s="6" t="s">
        <v>1062</v>
      </c>
      <c r="D29" s="7" t="s">
        <v>1063</v>
      </c>
      <c r="E29" s="6" t="s">
        <v>84</v>
      </c>
      <c r="F29" s="6" t="s">
        <v>1064</v>
      </c>
      <c r="G29" s="6" t="s">
        <v>64</v>
      </c>
      <c r="H29" s="6" t="s">
        <v>1065</v>
      </c>
      <c r="I29" s="6" t="s">
        <v>1066</v>
      </c>
      <c r="J29" s="6" t="s">
        <v>1067</v>
      </c>
      <c r="K29" s="6" t="s">
        <v>1061</v>
      </c>
      <c r="L29" s="6" t="s">
        <v>89</v>
      </c>
      <c r="M29" s="6" t="s">
        <v>1068</v>
      </c>
      <c r="N29" s="6">
        <v>35</v>
      </c>
      <c r="O29" s="6" t="s">
        <v>148</v>
      </c>
      <c r="P29" s="6">
        <v>2</v>
      </c>
      <c r="Q29" s="6">
        <v>3</v>
      </c>
      <c r="R29" s="6">
        <v>15</v>
      </c>
      <c r="T29" s="6" t="s">
        <v>71</v>
      </c>
      <c r="U29" s="6" t="s">
        <v>72</v>
      </c>
      <c r="V29" s="7" t="s">
        <v>926</v>
      </c>
      <c r="BK29" s="6" t="s">
        <v>71</v>
      </c>
      <c r="BL29" s="6" t="s">
        <v>71</v>
      </c>
      <c r="BM29" s="6" t="s">
        <v>72</v>
      </c>
      <c r="BN29" s="6" t="s">
        <v>72</v>
      </c>
      <c r="BO29" s="6" t="s">
        <v>71</v>
      </c>
      <c r="BP29" s="6" t="s">
        <v>71</v>
      </c>
      <c r="BQ29" s="6" t="s">
        <v>71</v>
      </c>
      <c r="BR29" s="6" t="s">
        <v>72</v>
      </c>
      <c r="BS29" s="6" t="s">
        <v>72</v>
      </c>
      <c r="BT29" s="6" t="s">
        <v>72</v>
      </c>
      <c r="BU29" s="6" t="s">
        <v>71</v>
      </c>
      <c r="BV29" s="6" t="s">
        <v>71</v>
      </c>
      <c r="BW29" s="6" t="s">
        <v>71</v>
      </c>
      <c r="BX29" s="6" t="s">
        <v>72</v>
      </c>
      <c r="BY29" s="6" t="s">
        <v>72</v>
      </c>
      <c r="BZ29" s="6" t="s">
        <v>71</v>
      </c>
      <c r="CA29" s="6" t="s">
        <v>71</v>
      </c>
      <c r="CB29" s="6" t="s">
        <v>72</v>
      </c>
      <c r="CC29" s="6" t="s">
        <v>72</v>
      </c>
    </row>
    <row r="30" spans="1:82">
      <c r="A30" s="5">
        <v>45365.406489108791</v>
      </c>
      <c r="B30" s="6" t="s">
        <v>1061</v>
      </c>
      <c r="C30" s="6" t="s">
        <v>1069</v>
      </c>
      <c r="D30" s="7" t="s">
        <v>1070</v>
      </c>
      <c r="E30" s="6" t="s">
        <v>84</v>
      </c>
      <c r="F30" s="6" t="s">
        <v>582</v>
      </c>
      <c r="G30" s="6" t="s">
        <v>64</v>
      </c>
      <c r="H30" s="6" t="s">
        <v>1065</v>
      </c>
      <c r="I30" s="6" t="s">
        <v>1071</v>
      </c>
      <c r="J30" s="6" t="s">
        <v>1072</v>
      </c>
      <c r="K30" s="6" t="s">
        <v>1061</v>
      </c>
      <c r="L30" s="6" t="s">
        <v>89</v>
      </c>
      <c r="M30" s="6" t="s">
        <v>1068</v>
      </c>
      <c r="N30" s="6">
        <v>33</v>
      </c>
      <c r="O30" s="6" t="s">
        <v>148</v>
      </c>
      <c r="P30" s="6">
        <v>2</v>
      </c>
      <c r="Q30" s="6">
        <v>3</v>
      </c>
      <c r="R30" s="6">
        <v>15</v>
      </c>
      <c r="T30" s="6" t="s">
        <v>71</v>
      </c>
      <c r="U30" s="6" t="s">
        <v>72</v>
      </c>
      <c r="V30" s="7" t="s">
        <v>926</v>
      </c>
      <c r="BK30" s="6" t="s">
        <v>71</v>
      </c>
      <c r="BL30" s="6" t="s">
        <v>71</v>
      </c>
      <c r="BM30" s="6" t="s">
        <v>71</v>
      </c>
      <c r="BN30" s="6" t="s">
        <v>72</v>
      </c>
      <c r="BO30" s="6" t="s">
        <v>71</v>
      </c>
      <c r="BP30" s="6" t="s">
        <v>71</v>
      </c>
      <c r="BQ30" s="6" t="s">
        <v>71</v>
      </c>
      <c r="BR30" s="6" t="s">
        <v>72</v>
      </c>
      <c r="BS30" s="6" t="s">
        <v>72</v>
      </c>
      <c r="BT30" s="6" t="s">
        <v>72</v>
      </c>
      <c r="BU30" s="6" t="s">
        <v>71</v>
      </c>
      <c r="BV30" s="6" t="s">
        <v>71</v>
      </c>
      <c r="BW30" s="6" t="s">
        <v>71</v>
      </c>
      <c r="BX30" s="6" t="s">
        <v>72</v>
      </c>
      <c r="BY30" s="6" t="s">
        <v>72</v>
      </c>
      <c r="BZ30" s="6" t="s">
        <v>71</v>
      </c>
      <c r="CA30" s="6" t="s">
        <v>71</v>
      </c>
      <c r="CB30" s="6" t="s">
        <v>72</v>
      </c>
      <c r="CC30" s="6" t="s">
        <v>72</v>
      </c>
    </row>
    <row r="31" spans="1:82">
      <c r="A31" s="5">
        <v>45365.435829652779</v>
      </c>
      <c r="B31" s="6" t="s">
        <v>1073</v>
      </c>
      <c r="C31" s="6" t="s">
        <v>1074</v>
      </c>
      <c r="D31" s="7" t="s">
        <v>720</v>
      </c>
      <c r="E31" s="6" t="s">
        <v>286</v>
      </c>
      <c r="F31" s="6" t="s">
        <v>1075</v>
      </c>
      <c r="G31" s="6" t="s">
        <v>105</v>
      </c>
      <c r="H31" s="6" t="s">
        <v>1076</v>
      </c>
      <c r="I31" s="6" t="s">
        <v>1077</v>
      </c>
      <c r="J31" s="6" t="s">
        <v>1078</v>
      </c>
      <c r="K31" s="6" t="s">
        <v>1073</v>
      </c>
      <c r="L31" s="6" t="s">
        <v>245</v>
      </c>
      <c r="M31" s="6" t="s">
        <v>1079</v>
      </c>
      <c r="N31" s="6">
        <v>33</v>
      </c>
      <c r="O31" s="6" t="s">
        <v>282</v>
      </c>
      <c r="P31" s="6">
        <v>2</v>
      </c>
      <c r="Q31" s="6">
        <v>2</v>
      </c>
      <c r="R31" s="6">
        <v>40</v>
      </c>
      <c r="T31" s="6" t="s">
        <v>71</v>
      </c>
      <c r="U31" s="6" t="s">
        <v>71</v>
      </c>
      <c r="V31" s="7" t="s">
        <v>926</v>
      </c>
      <c r="BK31" s="6" t="s">
        <v>71</v>
      </c>
      <c r="BL31" s="6" t="s">
        <v>71</v>
      </c>
      <c r="BM31" s="6" t="s">
        <v>71</v>
      </c>
      <c r="BN31" s="6" t="s">
        <v>71</v>
      </c>
      <c r="BO31" s="6" t="s">
        <v>71</v>
      </c>
      <c r="BP31" s="6" t="s">
        <v>71</v>
      </c>
      <c r="BQ31" s="6" t="s">
        <v>71</v>
      </c>
      <c r="BR31" s="6" t="s">
        <v>71</v>
      </c>
      <c r="BS31" s="6" t="s">
        <v>71</v>
      </c>
      <c r="BT31" s="6" t="s">
        <v>71</v>
      </c>
      <c r="BU31" s="6" t="s">
        <v>71</v>
      </c>
      <c r="BV31" s="6" t="s">
        <v>71</v>
      </c>
      <c r="BW31" s="6" t="s">
        <v>71</v>
      </c>
      <c r="BX31" s="6" t="s">
        <v>71</v>
      </c>
      <c r="BY31" s="6" t="s">
        <v>71</v>
      </c>
      <c r="BZ31" s="6" t="s">
        <v>71</v>
      </c>
      <c r="CA31" s="6" t="s">
        <v>71</v>
      </c>
      <c r="CB31" s="6" t="s">
        <v>71</v>
      </c>
      <c r="CC31" s="6" t="s">
        <v>71</v>
      </c>
    </row>
    <row r="32" spans="1:82">
      <c r="A32" s="5">
        <v>45365.489663020839</v>
      </c>
      <c r="B32" s="6" t="s">
        <v>732</v>
      </c>
      <c r="C32" s="6" t="s">
        <v>1080</v>
      </c>
      <c r="D32" s="6">
        <v>20068000</v>
      </c>
      <c r="E32" s="6" t="s">
        <v>133</v>
      </c>
      <c r="F32" s="6" t="s">
        <v>961</v>
      </c>
      <c r="G32" s="6" t="s">
        <v>105</v>
      </c>
      <c r="H32" s="6" t="s">
        <v>734</v>
      </c>
      <c r="I32" s="6" t="s">
        <v>1081</v>
      </c>
      <c r="J32" s="6" t="s">
        <v>736</v>
      </c>
      <c r="K32" s="6" t="s">
        <v>732</v>
      </c>
      <c r="L32" s="6" t="s">
        <v>89</v>
      </c>
      <c r="M32" s="6" t="s">
        <v>89</v>
      </c>
      <c r="N32" s="6">
        <v>25</v>
      </c>
      <c r="O32" s="6" t="s">
        <v>70</v>
      </c>
      <c r="P32" s="6">
        <v>4</v>
      </c>
      <c r="Q32" s="6">
        <v>4</v>
      </c>
      <c r="R32" s="6">
        <v>50</v>
      </c>
      <c r="T32" s="6" t="s">
        <v>71</v>
      </c>
      <c r="U32" s="6" t="s">
        <v>72</v>
      </c>
      <c r="V32" s="7" t="s">
        <v>926</v>
      </c>
      <c r="BK32" s="6" t="s">
        <v>71</v>
      </c>
      <c r="BL32" s="6" t="s">
        <v>72</v>
      </c>
      <c r="BM32" s="6" t="s">
        <v>72</v>
      </c>
      <c r="BN32" s="6" t="s">
        <v>72</v>
      </c>
      <c r="BO32" s="6" t="s">
        <v>72</v>
      </c>
      <c r="BP32" s="6" t="s">
        <v>71</v>
      </c>
      <c r="BQ32" s="6" t="s">
        <v>71</v>
      </c>
      <c r="BR32" s="6" t="s">
        <v>72</v>
      </c>
      <c r="BS32" s="6" t="s">
        <v>72</v>
      </c>
      <c r="BT32" s="6" t="s">
        <v>72</v>
      </c>
      <c r="BU32" s="6" t="s">
        <v>72</v>
      </c>
      <c r="BV32" s="6" t="s">
        <v>71</v>
      </c>
      <c r="BW32" s="6" t="s">
        <v>72</v>
      </c>
      <c r="BX32" s="6" t="s">
        <v>72</v>
      </c>
      <c r="BY32" s="6" t="s">
        <v>72</v>
      </c>
      <c r="BZ32" s="6" t="s">
        <v>72</v>
      </c>
      <c r="CA32" s="6" t="s">
        <v>72</v>
      </c>
      <c r="CB32" s="6" t="s">
        <v>72</v>
      </c>
      <c r="CC32" s="6" t="s">
        <v>72</v>
      </c>
    </row>
    <row r="33" spans="1:82">
      <c r="A33" s="5">
        <v>45365.492322418984</v>
      </c>
      <c r="B33" s="6" t="s">
        <v>732</v>
      </c>
      <c r="C33" s="6" t="s">
        <v>733</v>
      </c>
      <c r="D33" s="6">
        <v>20068000</v>
      </c>
      <c r="E33" s="6" t="s">
        <v>133</v>
      </c>
      <c r="F33" s="6" t="s">
        <v>961</v>
      </c>
      <c r="G33" s="6" t="s">
        <v>105</v>
      </c>
      <c r="H33" s="6" t="s">
        <v>734</v>
      </c>
      <c r="I33" s="6" t="s">
        <v>1081</v>
      </c>
      <c r="J33" s="6" t="s">
        <v>736</v>
      </c>
      <c r="K33" s="6" t="s">
        <v>732</v>
      </c>
      <c r="L33" s="6" t="s">
        <v>89</v>
      </c>
      <c r="M33" s="6" t="s">
        <v>737</v>
      </c>
      <c r="N33" s="6">
        <v>28</v>
      </c>
      <c r="O33" s="6" t="s">
        <v>70</v>
      </c>
      <c r="P33" s="6">
        <v>4</v>
      </c>
      <c r="Q33" s="6">
        <v>4</v>
      </c>
      <c r="R33" s="6">
        <v>50</v>
      </c>
      <c r="T33" s="6" t="s">
        <v>71</v>
      </c>
      <c r="U33" s="6" t="s">
        <v>72</v>
      </c>
      <c r="V33" s="7" t="s">
        <v>926</v>
      </c>
      <c r="BK33" s="6" t="s">
        <v>71</v>
      </c>
      <c r="BL33" s="6" t="s">
        <v>72</v>
      </c>
      <c r="BM33" s="6" t="s">
        <v>72</v>
      </c>
      <c r="BN33" s="6" t="s">
        <v>72</v>
      </c>
      <c r="BO33" s="6" t="s">
        <v>72</v>
      </c>
      <c r="BP33" s="6" t="s">
        <v>71</v>
      </c>
      <c r="BQ33" s="6" t="s">
        <v>71</v>
      </c>
      <c r="BR33" s="6" t="s">
        <v>72</v>
      </c>
      <c r="BS33" s="6" t="s">
        <v>72</v>
      </c>
      <c r="BT33" s="6" t="s">
        <v>72</v>
      </c>
      <c r="BU33" s="6" t="s">
        <v>72</v>
      </c>
      <c r="BV33" s="6" t="s">
        <v>71</v>
      </c>
      <c r="BW33" s="6" t="s">
        <v>72</v>
      </c>
      <c r="BX33" s="6" t="s">
        <v>72</v>
      </c>
      <c r="BY33" s="6" t="s">
        <v>72</v>
      </c>
      <c r="BZ33" s="6" t="s">
        <v>72</v>
      </c>
      <c r="CA33" s="6" t="s">
        <v>72</v>
      </c>
      <c r="CB33" s="6" t="s">
        <v>72</v>
      </c>
      <c r="CC33" s="6" t="s">
        <v>72</v>
      </c>
    </row>
    <row r="34" spans="1:82">
      <c r="A34" s="5">
        <v>45365.522917511575</v>
      </c>
      <c r="B34" s="6" t="s">
        <v>1082</v>
      </c>
      <c r="C34" s="6" t="s">
        <v>1083</v>
      </c>
      <c r="D34" s="7" t="s">
        <v>1084</v>
      </c>
      <c r="E34" s="6" t="s">
        <v>133</v>
      </c>
      <c r="F34" s="6" t="s">
        <v>1085</v>
      </c>
      <c r="G34" s="6" t="s">
        <v>64</v>
      </c>
      <c r="H34" s="6" t="s">
        <v>1086</v>
      </c>
      <c r="I34" s="6" t="s">
        <v>1087</v>
      </c>
      <c r="J34" s="6" t="s">
        <v>1088</v>
      </c>
      <c r="K34" s="6" t="s">
        <v>1082</v>
      </c>
      <c r="L34" s="6" t="s">
        <v>89</v>
      </c>
      <c r="M34" s="6" t="s">
        <v>1089</v>
      </c>
      <c r="N34" s="6">
        <v>27</v>
      </c>
      <c r="O34" s="6" t="s">
        <v>70</v>
      </c>
      <c r="P34" s="6">
        <v>5</v>
      </c>
      <c r="Q34" s="6">
        <v>2</v>
      </c>
      <c r="R34" s="6">
        <v>0</v>
      </c>
      <c r="T34" s="6" t="s">
        <v>71</v>
      </c>
      <c r="U34" s="6" t="s">
        <v>71</v>
      </c>
      <c r="V34" s="7" t="s">
        <v>926</v>
      </c>
      <c r="BK34" s="6" t="s">
        <v>71</v>
      </c>
      <c r="BL34" s="6" t="s">
        <v>72</v>
      </c>
      <c r="BM34" s="6" t="s">
        <v>72</v>
      </c>
      <c r="BN34" s="6" t="s">
        <v>72</v>
      </c>
      <c r="BO34" s="6" t="s">
        <v>72</v>
      </c>
      <c r="BP34" s="6" t="s">
        <v>72</v>
      </c>
      <c r="BQ34" s="6" t="s">
        <v>71</v>
      </c>
      <c r="BR34" s="6" t="s">
        <v>72</v>
      </c>
      <c r="BS34" s="6" t="s">
        <v>71</v>
      </c>
      <c r="BT34" s="6" t="s">
        <v>72</v>
      </c>
      <c r="BU34" s="6" t="s">
        <v>72</v>
      </c>
      <c r="BV34" s="6" t="s">
        <v>71</v>
      </c>
      <c r="BW34" s="6" t="s">
        <v>72</v>
      </c>
      <c r="BX34" s="6" t="s">
        <v>72</v>
      </c>
      <c r="BY34" s="6" t="s">
        <v>71</v>
      </c>
      <c r="BZ34" s="6" t="s">
        <v>72</v>
      </c>
      <c r="CA34" s="6" t="s">
        <v>71</v>
      </c>
      <c r="CB34" s="6" t="s">
        <v>71</v>
      </c>
      <c r="CC34" s="6" t="s">
        <v>72</v>
      </c>
      <c r="CD34" s="6" t="s">
        <v>1090</v>
      </c>
    </row>
    <row r="35" spans="1:82">
      <c r="A35" s="5">
        <v>45365.525436377313</v>
      </c>
      <c r="B35" s="6" t="s">
        <v>1082</v>
      </c>
      <c r="C35" s="6" t="s">
        <v>1091</v>
      </c>
      <c r="D35" s="7" t="s">
        <v>1084</v>
      </c>
      <c r="E35" s="6" t="s">
        <v>133</v>
      </c>
      <c r="F35" s="6" t="s">
        <v>1085</v>
      </c>
      <c r="G35" s="6" t="s">
        <v>64</v>
      </c>
      <c r="H35" s="6" t="s">
        <v>1086</v>
      </c>
      <c r="I35" s="6" t="s">
        <v>1087</v>
      </c>
      <c r="J35" s="6" t="s">
        <v>1088</v>
      </c>
      <c r="K35" s="6" t="s">
        <v>1082</v>
      </c>
      <c r="L35" s="6" t="s">
        <v>89</v>
      </c>
      <c r="M35" s="6" t="s">
        <v>1089</v>
      </c>
      <c r="N35" s="6">
        <v>27</v>
      </c>
      <c r="O35" s="6" t="s">
        <v>70</v>
      </c>
      <c r="P35" s="6">
        <v>5</v>
      </c>
      <c r="Q35" s="6">
        <v>2</v>
      </c>
      <c r="R35" s="6">
        <v>0</v>
      </c>
      <c r="T35" s="6" t="s">
        <v>71</v>
      </c>
      <c r="U35" s="6" t="s">
        <v>71</v>
      </c>
      <c r="V35" s="7" t="s">
        <v>926</v>
      </c>
      <c r="BK35" s="6" t="s">
        <v>71</v>
      </c>
      <c r="BL35" s="6" t="s">
        <v>72</v>
      </c>
      <c r="BM35" s="6" t="s">
        <v>72</v>
      </c>
      <c r="BN35" s="6" t="s">
        <v>71</v>
      </c>
      <c r="BO35" s="6" t="s">
        <v>72</v>
      </c>
      <c r="BP35" s="6" t="s">
        <v>71</v>
      </c>
      <c r="BQ35" s="6" t="s">
        <v>72</v>
      </c>
      <c r="BR35" s="6" t="s">
        <v>72</v>
      </c>
      <c r="BS35" s="6" t="s">
        <v>72</v>
      </c>
      <c r="BT35" s="6" t="s">
        <v>71</v>
      </c>
      <c r="BU35" s="6" t="s">
        <v>72</v>
      </c>
      <c r="BV35" s="6" t="s">
        <v>72</v>
      </c>
      <c r="BW35" s="6" t="s">
        <v>71</v>
      </c>
      <c r="BX35" s="6" t="s">
        <v>72</v>
      </c>
      <c r="BY35" s="6" t="s">
        <v>71</v>
      </c>
      <c r="BZ35" s="6" t="s">
        <v>72</v>
      </c>
      <c r="CA35" s="6" t="s">
        <v>71</v>
      </c>
      <c r="CB35" s="6" t="s">
        <v>71</v>
      </c>
      <c r="CC35" s="6" t="s">
        <v>72</v>
      </c>
      <c r="CD35" s="6" t="s">
        <v>1092</v>
      </c>
    </row>
    <row r="36" spans="1:82">
      <c r="A36" s="5">
        <v>45365.527291342594</v>
      </c>
      <c r="B36" s="6" t="s">
        <v>1082</v>
      </c>
      <c r="C36" s="6" t="s">
        <v>1083</v>
      </c>
      <c r="D36" s="7" t="s">
        <v>1084</v>
      </c>
      <c r="E36" s="6" t="s">
        <v>133</v>
      </c>
      <c r="F36" s="6" t="s">
        <v>1093</v>
      </c>
      <c r="G36" s="6" t="s">
        <v>64</v>
      </c>
      <c r="H36" s="6" t="s">
        <v>1086</v>
      </c>
      <c r="I36" s="6" t="s">
        <v>1087</v>
      </c>
      <c r="J36" s="6" t="s">
        <v>1088</v>
      </c>
      <c r="K36" s="6" t="s">
        <v>1082</v>
      </c>
      <c r="L36" s="6" t="s">
        <v>89</v>
      </c>
      <c r="M36" s="6" t="s">
        <v>1094</v>
      </c>
      <c r="N36" s="6">
        <v>22</v>
      </c>
      <c r="O36" s="6" t="s">
        <v>70</v>
      </c>
      <c r="P36" s="6">
        <v>5</v>
      </c>
      <c r="Q36" s="6">
        <v>2</v>
      </c>
      <c r="R36" s="6">
        <v>0</v>
      </c>
      <c r="T36" s="6" t="s">
        <v>72</v>
      </c>
      <c r="U36" s="6" t="s">
        <v>71</v>
      </c>
      <c r="V36" s="7" t="s">
        <v>926</v>
      </c>
      <c r="BK36" s="6" t="s">
        <v>72</v>
      </c>
      <c r="BL36" s="6" t="s">
        <v>72</v>
      </c>
      <c r="BM36" s="6" t="s">
        <v>72</v>
      </c>
      <c r="BN36" s="6" t="s">
        <v>71</v>
      </c>
      <c r="BO36" s="6" t="s">
        <v>72</v>
      </c>
      <c r="BP36" s="6" t="s">
        <v>72</v>
      </c>
      <c r="BQ36" s="6" t="s">
        <v>72</v>
      </c>
      <c r="BR36" s="6" t="s">
        <v>72</v>
      </c>
      <c r="BS36" s="6" t="s">
        <v>71</v>
      </c>
      <c r="BT36" s="6" t="s">
        <v>72</v>
      </c>
      <c r="BU36" s="6" t="s">
        <v>72</v>
      </c>
      <c r="BV36" s="6" t="s">
        <v>72</v>
      </c>
      <c r="BW36" s="6" t="s">
        <v>72</v>
      </c>
      <c r="BX36" s="6" t="s">
        <v>72</v>
      </c>
      <c r="BY36" s="6" t="s">
        <v>71</v>
      </c>
      <c r="BZ36" s="6" t="s">
        <v>72</v>
      </c>
      <c r="CA36" s="6" t="s">
        <v>72</v>
      </c>
      <c r="CB36" s="6" t="s">
        <v>72</v>
      </c>
      <c r="CC36" s="6" t="s">
        <v>71</v>
      </c>
      <c r="CD36" s="6" t="s">
        <v>1095</v>
      </c>
    </row>
    <row r="37" spans="1:82">
      <c r="A37" s="5">
        <v>45365.572138888892</v>
      </c>
      <c r="B37" s="6" t="s">
        <v>1096</v>
      </c>
      <c r="C37" s="6" t="s">
        <v>1097</v>
      </c>
      <c r="D37" s="6">
        <v>200883</v>
      </c>
      <c r="E37" s="6" t="s">
        <v>62</v>
      </c>
      <c r="F37" s="6" t="s">
        <v>1098</v>
      </c>
      <c r="G37" s="6" t="s">
        <v>105</v>
      </c>
      <c r="H37" s="6" t="s">
        <v>1099</v>
      </c>
      <c r="I37" s="6" t="s">
        <v>1100</v>
      </c>
      <c r="J37" s="6" t="s">
        <v>1101</v>
      </c>
      <c r="K37" s="6" t="s">
        <v>1096</v>
      </c>
      <c r="L37" s="6" t="s">
        <v>89</v>
      </c>
      <c r="M37" s="6" t="s">
        <v>1102</v>
      </c>
      <c r="N37" s="6">
        <v>30</v>
      </c>
      <c r="O37" s="6" t="s">
        <v>70</v>
      </c>
      <c r="P37" s="6">
        <v>3</v>
      </c>
      <c r="Q37" s="6">
        <v>3</v>
      </c>
      <c r="R37" s="6">
        <v>50</v>
      </c>
      <c r="T37" s="6" t="s">
        <v>71</v>
      </c>
      <c r="U37" s="6" t="s">
        <v>72</v>
      </c>
      <c r="V37" s="7" t="s">
        <v>926</v>
      </c>
      <c r="BK37" s="6" t="s">
        <v>72</v>
      </c>
      <c r="BL37" s="6" t="s">
        <v>71</v>
      </c>
      <c r="BM37" s="6" t="s">
        <v>71</v>
      </c>
      <c r="BN37" s="6" t="s">
        <v>72</v>
      </c>
      <c r="BO37" s="6" t="s">
        <v>71</v>
      </c>
      <c r="BP37" s="6" t="s">
        <v>71</v>
      </c>
      <c r="BQ37" s="6" t="s">
        <v>71</v>
      </c>
      <c r="BR37" s="6" t="s">
        <v>72</v>
      </c>
      <c r="BS37" s="6" t="s">
        <v>72</v>
      </c>
      <c r="BT37" s="6" t="s">
        <v>72</v>
      </c>
      <c r="BU37" s="6" t="s">
        <v>71</v>
      </c>
      <c r="BV37" s="6" t="s">
        <v>71</v>
      </c>
      <c r="BW37" s="6" t="s">
        <v>71</v>
      </c>
      <c r="BX37" s="6" t="s">
        <v>72</v>
      </c>
      <c r="BY37" s="6" t="s">
        <v>72</v>
      </c>
      <c r="BZ37" s="6" t="s">
        <v>72</v>
      </c>
      <c r="CA37" s="6" t="s">
        <v>72</v>
      </c>
      <c r="CB37" s="6" t="s">
        <v>72</v>
      </c>
      <c r="CC37" s="6" t="s">
        <v>72</v>
      </c>
    </row>
    <row r="38" spans="1:82">
      <c r="A38" s="5">
        <v>45365.572177638889</v>
      </c>
      <c r="B38" s="6" t="s">
        <v>1103</v>
      </c>
      <c r="C38" s="6" t="s">
        <v>1104</v>
      </c>
      <c r="D38" s="6">
        <v>200883</v>
      </c>
      <c r="E38" s="6" t="s">
        <v>62</v>
      </c>
      <c r="F38" s="6" t="s">
        <v>1105</v>
      </c>
      <c r="G38" s="6" t="s">
        <v>105</v>
      </c>
      <c r="H38" s="6" t="s">
        <v>1100</v>
      </c>
      <c r="I38" s="6" t="s">
        <v>1099</v>
      </c>
      <c r="K38" s="6" t="s">
        <v>1103</v>
      </c>
      <c r="L38" s="6" t="s">
        <v>89</v>
      </c>
      <c r="M38" s="6" t="s">
        <v>208</v>
      </c>
      <c r="N38" s="6">
        <v>20</v>
      </c>
      <c r="O38" s="6" t="s">
        <v>70</v>
      </c>
      <c r="P38" s="6">
        <v>3</v>
      </c>
      <c r="Q38" s="6">
        <v>3</v>
      </c>
      <c r="R38" s="6">
        <v>50</v>
      </c>
      <c r="T38" s="6" t="s">
        <v>71</v>
      </c>
      <c r="U38" s="6" t="s">
        <v>72</v>
      </c>
      <c r="V38" s="7" t="s">
        <v>926</v>
      </c>
      <c r="BK38" s="6" t="s">
        <v>72</v>
      </c>
      <c r="BL38" s="6" t="s">
        <v>71</v>
      </c>
      <c r="BM38" s="6" t="s">
        <v>71</v>
      </c>
      <c r="BN38" s="6" t="s">
        <v>72</v>
      </c>
      <c r="BO38" s="6" t="s">
        <v>71</v>
      </c>
      <c r="BP38" s="6" t="s">
        <v>71</v>
      </c>
      <c r="BQ38" s="6" t="s">
        <v>71</v>
      </c>
      <c r="BR38" s="6" t="s">
        <v>72</v>
      </c>
      <c r="BS38" s="6" t="s">
        <v>72</v>
      </c>
      <c r="BT38" s="6" t="s">
        <v>72</v>
      </c>
      <c r="BU38" s="6" t="s">
        <v>71</v>
      </c>
      <c r="BV38" s="6" t="s">
        <v>71</v>
      </c>
      <c r="BW38" s="6" t="s">
        <v>71</v>
      </c>
      <c r="BX38" s="6" t="s">
        <v>72</v>
      </c>
      <c r="BY38" s="6" t="s">
        <v>72</v>
      </c>
      <c r="BZ38" s="6" t="s">
        <v>72</v>
      </c>
      <c r="CA38" s="6" t="s">
        <v>72</v>
      </c>
      <c r="CB38" s="6" t="s">
        <v>72</v>
      </c>
      <c r="CC38" s="6" t="s">
        <v>72</v>
      </c>
    </row>
    <row r="39" spans="1:82">
      <c r="A39" s="5">
        <v>45365.572235324071</v>
      </c>
      <c r="B39" s="6" t="s">
        <v>1106</v>
      </c>
      <c r="C39" s="6" t="s">
        <v>1107</v>
      </c>
      <c r="D39" s="6">
        <v>200883</v>
      </c>
      <c r="E39" s="6" t="s">
        <v>62</v>
      </c>
      <c r="F39" s="6" t="s">
        <v>1108</v>
      </c>
      <c r="G39" s="6" t="s">
        <v>105</v>
      </c>
      <c r="H39" s="6" t="s">
        <v>1109</v>
      </c>
      <c r="I39" s="6" t="s">
        <v>1110</v>
      </c>
      <c r="J39" s="6" t="s">
        <v>1111</v>
      </c>
      <c r="K39" s="6" t="s">
        <v>1106</v>
      </c>
      <c r="L39" s="6" t="s">
        <v>89</v>
      </c>
      <c r="M39" s="6" t="s">
        <v>1112</v>
      </c>
      <c r="N39" s="6">
        <v>20</v>
      </c>
      <c r="O39" s="6" t="s">
        <v>70</v>
      </c>
      <c r="P39" s="6">
        <v>3</v>
      </c>
      <c r="Q39" s="6">
        <v>3</v>
      </c>
      <c r="R39" s="6">
        <v>50</v>
      </c>
      <c r="T39" s="6" t="s">
        <v>71</v>
      </c>
      <c r="U39" s="6" t="s">
        <v>72</v>
      </c>
      <c r="V39" s="7" t="s">
        <v>926</v>
      </c>
      <c r="BK39" s="6" t="s">
        <v>72</v>
      </c>
      <c r="BL39" s="6" t="s">
        <v>71</v>
      </c>
      <c r="BM39" s="6" t="s">
        <v>71</v>
      </c>
      <c r="BN39" s="6" t="s">
        <v>72</v>
      </c>
      <c r="BO39" s="6" t="s">
        <v>71</v>
      </c>
      <c r="BP39" s="6" t="s">
        <v>71</v>
      </c>
      <c r="BQ39" s="6" t="s">
        <v>71</v>
      </c>
      <c r="BR39" s="6" t="s">
        <v>72</v>
      </c>
      <c r="BS39" s="6" t="s">
        <v>72</v>
      </c>
      <c r="BT39" s="6" t="s">
        <v>72</v>
      </c>
      <c r="BU39" s="6" t="s">
        <v>71</v>
      </c>
      <c r="BV39" s="6" t="s">
        <v>71</v>
      </c>
      <c r="BW39" s="6" t="s">
        <v>71</v>
      </c>
      <c r="BX39" s="6" t="s">
        <v>72</v>
      </c>
      <c r="BY39" s="6" t="s">
        <v>72</v>
      </c>
      <c r="BZ39" s="6" t="s">
        <v>72</v>
      </c>
      <c r="CA39" s="6" t="s">
        <v>72</v>
      </c>
      <c r="CB39" s="6" t="s">
        <v>72</v>
      </c>
      <c r="CC39" s="6" t="s">
        <v>72</v>
      </c>
    </row>
    <row r="40" spans="1:82">
      <c r="A40" s="5">
        <v>45365.577211342592</v>
      </c>
      <c r="B40" s="6" t="s">
        <v>1113</v>
      </c>
      <c r="C40" s="6" t="s">
        <v>1114</v>
      </c>
      <c r="D40" s="7" t="s">
        <v>1115</v>
      </c>
      <c r="E40" s="6" t="s">
        <v>84</v>
      </c>
      <c r="F40" s="6" t="s">
        <v>269</v>
      </c>
      <c r="G40" s="6" t="s">
        <v>64</v>
      </c>
      <c r="H40" s="6" t="s">
        <v>1116</v>
      </c>
      <c r="I40" s="6" t="s">
        <v>1117</v>
      </c>
      <c r="K40" s="6" t="s">
        <v>1113</v>
      </c>
      <c r="L40" s="6" t="s">
        <v>138</v>
      </c>
      <c r="M40" s="6" t="s">
        <v>1118</v>
      </c>
      <c r="N40" s="6">
        <v>20</v>
      </c>
      <c r="O40" s="6" t="s">
        <v>70</v>
      </c>
      <c r="P40" s="6">
        <v>4</v>
      </c>
      <c r="Q40" s="6">
        <v>3</v>
      </c>
      <c r="R40" s="6">
        <v>30</v>
      </c>
      <c r="S40" s="6" t="s">
        <v>1119</v>
      </c>
      <c r="T40" s="6" t="s">
        <v>71</v>
      </c>
      <c r="U40" s="6" t="s">
        <v>71</v>
      </c>
      <c r="V40" s="7" t="s">
        <v>926</v>
      </c>
      <c r="BK40" s="6" t="s">
        <v>71</v>
      </c>
      <c r="BL40" s="6" t="s">
        <v>71</v>
      </c>
      <c r="BM40" s="6" t="s">
        <v>71</v>
      </c>
      <c r="BN40" s="6" t="s">
        <v>71</v>
      </c>
      <c r="BO40" s="6" t="s">
        <v>71</v>
      </c>
      <c r="BP40" s="6" t="s">
        <v>71</v>
      </c>
      <c r="BQ40" s="6" t="s">
        <v>71</v>
      </c>
      <c r="BR40" s="6" t="s">
        <v>71</v>
      </c>
      <c r="BS40" s="6" t="s">
        <v>71</v>
      </c>
      <c r="BT40" s="6" t="s">
        <v>71</v>
      </c>
      <c r="BU40" s="6" t="s">
        <v>71</v>
      </c>
      <c r="BV40" s="6" t="s">
        <v>71</v>
      </c>
      <c r="BW40" s="6" t="s">
        <v>71</v>
      </c>
      <c r="BX40" s="6" t="s">
        <v>71</v>
      </c>
      <c r="BY40" s="6" t="s">
        <v>71</v>
      </c>
      <c r="BZ40" s="6" t="s">
        <v>71</v>
      </c>
      <c r="CA40" s="6" t="s">
        <v>71</v>
      </c>
      <c r="CB40" s="6" t="s">
        <v>71</v>
      </c>
      <c r="CC40" s="6" t="s">
        <v>71</v>
      </c>
      <c r="CD40" s="6" t="s">
        <v>1120</v>
      </c>
    </row>
    <row r="41" spans="1:82">
      <c r="A41" s="5">
        <v>45365.666555393516</v>
      </c>
      <c r="B41" s="6" t="s">
        <v>1121</v>
      </c>
      <c r="C41" s="6" t="s">
        <v>1122</v>
      </c>
      <c r="D41" s="7" t="s">
        <v>1123</v>
      </c>
      <c r="E41" s="6" t="s">
        <v>62</v>
      </c>
      <c r="F41" s="6" t="s">
        <v>235</v>
      </c>
      <c r="G41" s="6" t="s">
        <v>105</v>
      </c>
      <c r="H41" s="6" t="s">
        <v>117</v>
      </c>
      <c r="I41" s="6" t="s">
        <v>1124</v>
      </c>
      <c r="J41" s="6" t="s">
        <v>1125</v>
      </c>
      <c r="K41" s="6" t="s">
        <v>1121</v>
      </c>
      <c r="L41" s="6" t="s">
        <v>245</v>
      </c>
      <c r="M41" s="6" t="s">
        <v>1126</v>
      </c>
      <c r="N41" s="6">
        <v>35</v>
      </c>
      <c r="O41" s="6" t="s">
        <v>70</v>
      </c>
      <c r="P41" s="6">
        <v>4</v>
      </c>
      <c r="Q41" s="6">
        <v>4</v>
      </c>
      <c r="R41" s="6">
        <v>25</v>
      </c>
      <c r="S41" s="6" t="s">
        <v>1127</v>
      </c>
      <c r="T41" s="6" t="s">
        <v>72</v>
      </c>
      <c r="U41" s="6" t="s">
        <v>71</v>
      </c>
      <c r="V41" s="7" t="s">
        <v>926</v>
      </c>
      <c r="BK41" s="6" t="s">
        <v>72</v>
      </c>
      <c r="BL41" s="6" t="s">
        <v>72</v>
      </c>
      <c r="BM41" s="6" t="s">
        <v>72</v>
      </c>
      <c r="BN41" s="6" t="s">
        <v>71</v>
      </c>
      <c r="BO41" s="6" t="s">
        <v>72</v>
      </c>
      <c r="BP41" s="6" t="s">
        <v>72</v>
      </c>
      <c r="BQ41" s="6" t="s">
        <v>72</v>
      </c>
      <c r="BR41" s="6" t="s">
        <v>71</v>
      </c>
      <c r="BS41" s="6" t="s">
        <v>72</v>
      </c>
      <c r="BT41" s="6" t="s">
        <v>72</v>
      </c>
      <c r="BU41" s="6" t="s">
        <v>72</v>
      </c>
      <c r="BV41" s="6" t="s">
        <v>72</v>
      </c>
      <c r="BW41" s="6" t="s">
        <v>72</v>
      </c>
      <c r="BX41" s="6" t="s">
        <v>71</v>
      </c>
      <c r="BZ41" s="6" t="s">
        <v>72</v>
      </c>
      <c r="CA41" s="6" t="s">
        <v>72</v>
      </c>
      <c r="CB41" s="6" t="s">
        <v>72</v>
      </c>
      <c r="CC41" s="6" t="s">
        <v>71</v>
      </c>
      <c r="CD41" s="6" t="s">
        <v>1127</v>
      </c>
    </row>
    <row r="42" spans="1:82">
      <c r="A42" s="5">
        <v>45365.668596724536</v>
      </c>
      <c r="B42" s="6" t="s">
        <v>1121</v>
      </c>
      <c r="C42" s="6" t="s">
        <v>1122</v>
      </c>
      <c r="D42" s="7" t="s">
        <v>1123</v>
      </c>
      <c r="E42" s="6" t="s">
        <v>84</v>
      </c>
      <c r="F42" s="6" t="s">
        <v>1128</v>
      </c>
      <c r="G42" s="6" t="s">
        <v>105</v>
      </c>
      <c r="H42" s="6" t="s">
        <v>117</v>
      </c>
      <c r="I42" s="6" t="s">
        <v>1124</v>
      </c>
      <c r="J42" s="6" t="s">
        <v>1125</v>
      </c>
      <c r="K42" s="6" t="s">
        <v>1121</v>
      </c>
      <c r="L42" s="6" t="s">
        <v>245</v>
      </c>
      <c r="M42" s="6" t="s">
        <v>1126</v>
      </c>
      <c r="N42" s="6">
        <v>35</v>
      </c>
      <c r="O42" s="6" t="s">
        <v>70</v>
      </c>
      <c r="P42" s="6">
        <v>4</v>
      </c>
      <c r="Q42" s="6">
        <v>4</v>
      </c>
      <c r="R42" s="6">
        <v>25</v>
      </c>
      <c r="S42" s="6" t="s">
        <v>1127</v>
      </c>
      <c r="T42" s="6" t="s">
        <v>72</v>
      </c>
      <c r="U42" s="6" t="s">
        <v>71</v>
      </c>
      <c r="V42" s="7" t="s">
        <v>926</v>
      </c>
      <c r="BK42" s="6" t="s">
        <v>72</v>
      </c>
      <c r="BL42" s="6" t="s">
        <v>72</v>
      </c>
      <c r="BM42" s="6" t="s">
        <v>72</v>
      </c>
      <c r="BN42" s="6" t="s">
        <v>71</v>
      </c>
      <c r="BO42" s="6" t="s">
        <v>72</v>
      </c>
      <c r="BP42" s="6" t="s">
        <v>72</v>
      </c>
      <c r="BQ42" s="6" t="s">
        <v>72</v>
      </c>
      <c r="BR42" s="6" t="s">
        <v>71</v>
      </c>
      <c r="BS42" s="6" t="s">
        <v>72</v>
      </c>
      <c r="BT42" s="6" t="s">
        <v>72</v>
      </c>
      <c r="BU42" s="6" t="s">
        <v>72</v>
      </c>
      <c r="BV42" s="6" t="s">
        <v>72</v>
      </c>
      <c r="BW42" s="6" t="s">
        <v>72</v>
      </c>
      <c r="BX42" s="6" t="s">
        <v>71</v>
      </c>
      <c r="BY42" s="6" t="s">
        <v>72</v>
      </c>
      <c r="BZ42" s="6" t="s">
        <v>72</v>
      </c>
      <c r="CA42" s="6" t="s">
        <v>72</v>
      </c>
      <c r="CB42" s="6" t="s">
        <v>72</v>
      </c>
      <c r="CC42" s="6" t="s">
        <v>71</v>
      </c>
      <c r="CD42" s="6" t="s">
        <v>1127</v>
      </c>
    </row>
    <row r="43" spans="1:82">
      <c r="A43" s="5">
        <v>45365.670216296297</v>
      </c>
      <c r="B43" s="6" t="s">
        <v>1121</v>
      </c>
      <c r="C43" s="6" t="s">
        <v>1122</v>
      </c>
      <c r="D43" s="7" t="s">
        <v>1123</v>
      </c>
      <c r="E43" s="6" t="s">
        <v>133</v>
      </c>
      <c r="F43" s="6" t="s">
        <v>894</v>
      </c>
      <c r="G43" s="6" t="s">
        <v>105</v>
      </c>
      <c r="H43" s="6" t="s">
        <v>117</v>
      </c>
      <c r="I43" s="6" t="s">
        <v>1124</v>
      </c>
      <c r="J43" s="6" t="s">
        <v>1125</v>
      </c>
      <c r="K43" s="6" t="s">
        <v>1121</v>
      </c>
      <c r="L43" s="6" t="s">
        <v>245</v>
      </c>
      <c r="M43" s="6" t="s">
        <v>1126</v>
      </c>
      <c r="N43" s="6">
        <v>26</v>
      </c>
      <c r="O43" s="6" t="s">
        <v>70</v>
      </c>
      <c r="P43" s="6">
        <v>4</v>
      </c>
      <c r="Q43" s="6">
        <v>4</v>
      </c>
      <c r="R43" s="6">
        <v>25</v>
      </c>
      <c r="S43" s="6" t="s">
        <v>1127</v>
      </c>
      <c r="T43" s="6" t="s">
        <v>72</v>
      </c>
      <c r="U43" s="6" t="s">
        <v>71</v>
      </c>
      <c r="V43" s="7" t="s">
        <v>926</v>
      </c>
      <c r="BK43" s="6" t="s">
        <v>72</v>
      </c>
      <c r="BL43" s="6" t="s">
        <v>72</v>
      </c>
      <c r="BM43" s="6" t="s">
        <v>72</v>
      </c>
      <c r="BN43" s="6" t="s">
        <v>71</v>
      </c>
      <c r="BO43" s="6" t="s">
        <v>72</v>
      </c>
      <c r="BP43" s="6" t="s">
        <v>72</v>
      </c>
      <c r="BQ43" s="6" t="s">
        <v>72</v>
      </c>
      <c r="BR43" s="6" t="s">
        <v>71</v>
      </c>
      <c r="BS43" s="6" t="s">
        <v>72</v>
      </c>
      <c r="BT43" s="6" t="s">
        <v>72</v>
      </c>
      <c r="BU43" s="6" t="s">
        <v>72</v>
      </c>
      <c r="BV43" s="6" t="s">
        <v>72</v>
      </c>
      <c r="BW43" s="6" t="s">
        <v>72</v>
      </c>
      <c r="BX43" s="6" t="s">
        <v>71</v>
      </c>
      <c r="BY43" s="6" t="s">
        <v>72</v>
      </c>
      <c r="BZ43" s="6" t="s">
        <v>72</v>
      </c>
      <c r="CA43" s="6" t="s">
        <v>72</v>
      </c>
      <c r="CB43" s="6" t="s">
        <v>72</v>
      </c>
      <c r="CC43" s="6" t="s">
        <v>71</v>
      </c>
      <c r="CD43" s="6" t="s">
        <v>1127</v>
      </c>
    </row>
    <row r="44" spans="1:82">
      <c r="A44" s="5">
        <v>45366.480739606486</v>
      </c>
      <c r="B44" s="6" t="s">
        <v>1129</v>
      </c>
      <c r="C44" s="6" t="s">
        <v>1130</v>
      </c>
      <c r="D44" s="6">
        <v>20014300</v>
      </c>
      <c r="E44" s="6" t="s">
        <v>62</v>
      </c>
      <c r="F44" s="6" t="s">
        <v>235</v>
      </c>
      <c r="G44" s="6" t="s">
        <v>105</v>
      </c>
      <c r="H44" s="6" t="s">
        <v>1131</v>
      </c>
      <c r="I44" s="6" t="s">
        <v>1132</v>
      </c>
      <c r="K44" s="6" t="s">
        <v>1129</v>
      </c>
      <c r="L44" s="6" t="s">
        <v>89</v>
      </c>
      <c r="M44" s="6" t="s">
        <v>313</v>
      </c>
      <c r="N44" s="6">
        <v>25</v>
      </c>
      <c r="O44" s="6" t="s">
        <v>70</v>
      </c>
      <c r="P44" s="6">
        <v>5</v>
      </c>
      <c r="Q44" s="6">
        <v>3</v>
      </c>
      <c r="R44" s="6">
        <v>50</v>
      </c>
      <c r="T44" s="6" t="s">
        <v>72</v>
      </c>
      <c r="U44" s="6" t="s">
        <v>71</v>
      </c>
      <c r="V44" s="7" t="s">
        <v>926</v>
      </c>
      <c r="BK44" s="6" t="s">
        <v>72</v>
      </c>
      <c r="BL44" s="6" t="s">
        <v>72</v>
      </c>
      <c r="BM44" s="6" t="s">
        <v>72</v>
      </c>
      <c r="BN44" s="6" t="s">
        <v>71</v>
      </c>
      <c r="BO44" s="6" t="s">
        <v>72</v>
      </c>
      <c r="BP44" s="6" t="s">
        <v>72</v>
      </c>
      <c r="BQ44" s="6" t="s">
        <v>72</v>
      </c>
      <c r="BR44" s="6" t="s">
        <v>71</v>
      </c>
      <c r="BS44" s="6" t="s">
        <v>71</v>
      </c>
      <c r="BT44" s="6" t="s">
        <v>71</v>
      </c>
      <c r="BU44" s="6" t="s">
        <v>72</v>
      </c>
      <c r="BV44" s="6" t="s">
        <v>72</v>
      </c>
      <c r="BW44" s="6" t="s">
        <v>72</v>
      </c>
      <c r="BX44" s="6" t="s">
        <v>71</v>
      </c>
      <c r="BY44" s="6" t="s">
        <v>71</v>
      </c>
      <c r="BZ44" s="6" t="s">
        <v>72</v>
      </c>
      <c r="CA44" s="6" t="s">
        <v>72</v>
      </c>
      <c r="CB44" s="6" t="s">
        <v>71</v>
      </c>
      <c r="CC44" s="6" t="s">
        <v>71</v>
      </c>
    </row>
    <row r="45" spans="1:82">
      <c r="A45" s="5">
        <v>45366.556322187505</v>
      </c>
      <c r="B45" s="6" t="s">
        <v>1133</v>
      </c>
      <c r="C45" s="6" t="s">
        <v>1134</v>
      </c>
      <c r="D45" s="7" t="s">
        <v>1135</v>
      </c>
      <c r="E45" s="6" t="s">
        <v>133</v>
      </c>
      <c r="F45" s="6" t="s">
        <v>192</v>
      </c>
      <c r="G45" s="6" t="s">
        <v>64</v>
      </c>
      <c r="H45" s="6" t="s">
        <v>1136</v>
      </c>
      <c r="I45" s="6" t="s">
        <v>1137</v>
      </c>
      <c r="J45" s="6" t="s">
        <v>1138</v>
      </c>
      <c r="K45" s="6" t="s">
        <v>1133</v>
      </c>
      <c r="L45" s="6" t="s">
        <v>89</v>
      </c>
      <c r="M45" s="6" t="s">
        <v>89</v>
      </c>
      <c r="N45" s="6">
        <v>20</v>
      </c>
      <c r="O45" s="6" t="s">
        <v>70</v>
      </c>
      <c r="P45" s="6">
        <v>5</v>
      </c>
      <c r="Q45" s="6">
        <v>2</v>
      </c>
      <c r="R45" s="6">
        <v>1</v>
      </c>
      <c r="T45" s="6" t="s">
        <v>71</v>
      </c>
      <c r="U45" s="6" t="s">
        <v>72</v>
      </c>
      <c r="V45" s="7" t="s">
        <v>926</v>
      </c>
      <c r="BK45" s="6" t="s">
        <v>71</v>
      </c>
      <c r="BL45" s="6" t="s">
        <v>71</v>
      </c>
      <c r="BM45" s="6" t="s">
        <v>72</v>
      </c>
      <c r="BN45" s="6" t="s">
        <v>72</v>
      </c>
      <c r="BO45" s="6" t="s">
        <v>71</v>
      </c>
      <c r="BP45" s="6" t="s">
        <v>71</v>
      </c>
      <c r="BQ45" s="6" t="s">
        <v>71</v>
      </c>
      <c r="BR45" s="6" t="s">
        <v>72</v>
      </c>
      <c r="BS45" s="6" t="s">
        <v>72</v>
      </c>
      <c r="BT45" s="6" t="s">
        <v>72</v>
      </c>
      <c r="BU45" s="6" t="s">
        <v>71</v>
      </c>
      <c r="BV45" s="6" t="s">
        <v>71</v>
      </c>
      <c r="BW45" s="6" t="s">
        <v>71</v>
      </c>
      <c r="BX45" s="6" t="s">
        <v>72</v>
      </c>
      <c r="BY45" s="6" t="s">
        <v>72</v>
      </c>
      <c r="BZ45" s="6" t="s">
        <v>71</v>
      </c>
      <c r="CA45" s="6" t="s">
        <v>71</v>
      </c>
      <c r="CB45" s="6" t="s">
        <v>72</v>
      </c>
      <c r="CC45" s="6" t="s">
        <v>72</v>
      </c>
    </row>
    <row r="46" spans="1:82">
      <c r="A46" s="5">
        <v>45366.56606420139</v>
      </c>
      <c r="B46" s="6" t="s">
        <v>1133</v>
      </c>
      <c r="C46" s="6" t="s">
        <v>1134</v>
      </c>
      <c r="D46" s="7" t="s">
        <v>1135</v>
      </c>
      <c r="E46" s="6" t="s">
        <v>133</v>
      </c>
      <c r="F46" s="6" t="s">
        <v>1139</v>
      </c>
      <c r="G46" s="6" t="s">
        <v>64</v>
      </c>
      <c r="H46" s="6" t="s">
        <v>1140</v>
      </c>
      <c r="I46" s="6" t="s">
        <v>1137</v>
      </c>
      <c r="J46" s="6" t="s">
        <v>1138</v>
      </c>
      <c r="K46" s="6" t="s">
        <v>1133</v>
      </c>
      <c r="L46" s="6" t="s">
        <v>89</v>
      </c>
      <c r="M46" s="6" t="s">
        <v>1141</v>
      </c>
      <c r="N46" s="6">
        <v>24</v>
      </c>
      <c r="O46" s="6" t="s">
        <v>70</v>
      </c>
      <c r="P46" s="6">
        <v>5</v>
      </c>
      <c r="Q46" s="6">
        <v>2</v>
      </c>
      <c r="R46" s="6">
        <v>1</v>
      </c>
      <c r="S46" s="6" t="s">
        <v>1142</v>
      </c>
      <c r="T46" s="6" t="s">
        <v>71</v>
      </c>
      <c r="U46" s="6" t="s">
        <v>72</v>
      </c>
      <c r="V46" s="7" t="s">
        <v>926</v>
      </c>
      <c r="BK46" s="6" t="s">
        <v>71</v>
      </c>
      <c r="BL46" s="6" t="s">
        <v>71</v>
      </c>
      <c r="BM46" s="6" t="s">
        <v>72</v>
      </c>
      <c r="BN46" s="6" t="s">
        <v>72</v>
      </c>
      <c r="BO46" s="6" t="s">
        <v>71</v>
      </c>
      <c r="BP46" s="6" t="s">
        <v>71</v>
      </c>
      <c r="BQ46" s="6" t="s">
        <v>71</v>
      </c>
      <c r="BR46" s="6" t="s">
        <v>72</v>
      </c>
      <c r="BS46" s="6" t="s">
        <v>72</v>
      </c>
      <c r="BT46" s="6" t="s">
        <v>72</v>
      </c>
      <c r="BU46" s="6" t="s">
        <v>71</v>
      </c>
      <c r="BV46" s="6" t="s">
        <v>71</v>
      </c>
      <c r="BW46" s="6" t="s">
        <v>71</v>
      </c>
      <c r="BX46" s="6" t="s">
        <v>72</v>
      </c>
      <c r="BY46" s="6" t="s">
        <v>72</v>
      </c>
      <c r="BZ46" s="6" t="s">
        <v>71</v>
      </c>
      <c r="CA46" s="6" t="s">
        <v>71</v>
      </c>
      <c r="CB46" s="6" t="s">
        <v>72</v>
      </c>
      <c r="CC46" s="6" t="s">
        <v>72</v>
      </c>
      <c r="CD46" s="6" t="s">
        <v>1142</v>
      </c>
    </row>
    <row r="47" spans="1:82">
      <c r="A47" s="5">
        <v>45366.696653692125</v>
      </c>
      <c r="B47" s="6" t="s">
        <v>1143</v>
      </c>
      <c r="C47" s="6" t="s">
        <v>1144</v>
      </c>
      <c r="D47" s="7" t="s">
        <v>1145</v>
      </c>
      <c r="E47" s="6" t="s">
        <v>62</v>
      </c>
      <c r="F47" s="6" t="s">
        <v>1146</v>
      </c>
      <c r="G47" s="6" t="s">
        <v>105</v>
      </c>
      <c r="H47" s="6" t="s">
        <v>1147</v>
      </c>
      <c r="I47" s="6" t="s">
        <v>1148</v>
      </c>
      <c r="J47" s="6" t="s">
        <v>1149</v>
      </c>
      <c r="K47" s="6" t="s">
        <v>1143</v>
      </c>
      <c r="L47" s="6" t="s">
        <v>68</v>
      </c>
      <c r="M47" s="6" t="s">
        <v>1150</v>
      </c>
      <c r="N47" s="6">
        <v>35</v>
      </c>
      <c r="O47" s="6" t="s">
        <v>70</v>
      </c>
      <c r="P47" s="6">
        <v>4</v>
      </c>
      <c r="Q47" s="6">
        <v>4</v>
      </c>
      <c r="R47" s="6">
        <v>50</v>
      </c>
      <c r="T47" s="6" t="s">
        <v>71</v>
      </c>
      <c r="U47" s="6" t="s">
        <v>71</v>
      </c>
      <c r="V47" s="7" t="s">
        <v>926</v>
      </c>
      <c r="BK47" s="6" t="s">
        <v>71</v>
      </c>
      <c r="BL47" s="6" t="s">
        <v>72</v>
      </c>
      <c r="BM47" s="6" t="s">
        <v>72</v>
      </c>
      <c r="BN47" s="6" t="s">
        <v>72</v>
      </c>
      <c r="BO47" s="6" t="s">
        <v>72</v>
      </c>
      <c r="BP47" s="6" t="s">
        <v>71</v>
      </c>
      <c r="BQ47" s="6" t="s">
        <v>72</v>
      </c>
      <c r="BR47" s="6" t="s">
        <v>72</v>
      </c>
      <c r="BS47" s="6" t="s">
        <v>72</v>
      </c>
      <c r="BT47" s="6" t="s">
        <v>72</v>
      </c>
      <c r="BU47" s="6" t="s">
        <v>72</v>
      </c>
      <c r="BV47" s="6" t="s">
        <v>72</v>
      </c>
      <c r="BW47" s="6" t="s">
        <v>71</v>
      </c>
      <c r="BX47" s="6" t="s">
        <v>71</v>
      </c>
      <c r="BY47" s="6" t="s">
        <v>72</v>
      </c>
      <c r="BZ47" s="6" t="s">
        <v>72</v>
      </c>
      <c r="CA47" s="6" t="s">
        <v>72</v>
      </c>
      <c r="CB47" s="6" t="s">
        <v>72</v>
      </c>
      <c r="CC47" s="6" t="s">
        <v>71</v>
      </c>
    </row>
    <row r="48" spans="1:82">
      <c r="A48" s="5">
        <v>45366.871050347225</v>
      </c>
      <c r="B48" s="6" t="s">
        <v>1151</v>
      </c>
      <c r="C48" s="6" t="s">
        <v>1152</v>
      </c>
      <c r="D48" s="7" t="s">
        <v>1153</v>
      </c>
      <c r="E48" s="6" t="s">
        <v>133</v>
      </c>
      <c r="F48" s="6" t="s">
        <v>894</v>
      </c>
      <c r="G48" s="6" t="s">
        <v>64</v>
      </c>
      <c r="H48" s="6" t="s">
        <v>1154</v>
      </c>
      <c r="I48" s="6" t="s">
        <v>1155</v>
      </c>
      <c r="K48" s="6" t="s">
        <v>1151</v>
      </c>
      <c r="L48" s="6" t="s">
        <v>89</v>
      </c>
      <c r="M48" s="6" t="s">
        <v>1156</v>
      </c>
      <c r="N48" s="6">
        <v>20</v>
      </c>
      <c r="O48" s="6" t="s">
        <v>70</v>
      </c>
      <c r="P48" s="6">
        <v>4</v>
      </c>
      <c r="Q48" s="6">
        <v>3</v>
      </c>
      <c r="R48" s="6">
        <v>30</v>
      </c>
      <c r="T48" s="6" t="s">
        <v>71</v>
      </c>
      <c r="U48" s="6" t="s">
        <v>71</v>
      </c>
      <c r="V48" s="7" t="s">
        <v>926</v>
      </c>
      <c r="BK48" s="6" t="s">
        <v>71</v>
      </c>
      <c r="BL48" s="6" t="s">
        <v>71</v>
      </c>
      <c r="BM48" s="6" t="s">
        <v>71</v>
      </c>
      <c r="BN48" s="6" t="s">
        <v>71</v>
      </c>
      <c r="BO48" s="6" t="s">
        <v>71</v>
      </c>
      <c r="BP48" s="6" t="s">
        <v>71</v>
      </c>
      <c r="BQ48" s="6" t="s">
        <v>71</v>
      </c>
      <c r="BR48" s="6" t="s">
        <v>71</v>
      </c>
      <c r="BS48" s="6" t="s">
        <v>71</v>
      </c>
      <c r="BT48" s="6" t="s">
        <v>71</v>
      </c>
      <c r="BU48" s="6" t="s">
        <v>71</v>
      </c>
      <c r="BV48" s="6" t="s">
        <v>71</v>
      </c>
      <c r="BW48" s="6" t="s">
        <v>71</v>
      </c>
      <c r="BX48" s="6" t="s">
        <v>71</v>
      </c>
      <c r="BY48" s="6" t="s">
        <v>71</v>
      </c>
      <c r="BZ48" s="6" t="s">
        <v>71</v>
      </c>
      <c r="CA48" s="6" t="s">
        <v>71</v>
      </c>
      <c r="CB48" s="6" t="s">
        <v>71</v>
      </c>
      <c r="CC48" s="6" t="s">
        <v>71</v>
      </c>
    </row>
    <row r="49" spans="1:82">
      <c r="A49" s="5">
        <v>45367.572838148146</v>
      </c>
      <c r="B49" s="6" t="s">
        <v>820</v>
      </c>
      <c r="C49" s="6" t="s">
        <v>1157</v>
      </c>
      <c r="D49" s="7" t="s">
        <v>1158</v>
      </c>
      <c r="E49" s="6" t="s">
        <v>133</v>
      </c>
      <c r="F49" s="6" t="s">
        <v>192</v>
      </c>
      <c r="G49" s="6" t="s">
        <v>64</v>
      </c>
      <c r="H49" s="6" t="s">
        <v>1159</v>
      </c>
      <c r="I49" s="6" t="s">
        <v>1160</v>
      </c>
      <c r="J49" s="6" t="s">
        <v>824</v>
      </c>
      <c r="K49" s="6" t="s">
        <v>820</v>
      </c>
      <c r="L49" s="6" t="s">
        <v>68</v>
      </c>
      <c r="M49" s="6" t="s">
        <v>825</v>
      </c>
      <c r="N49" s="6">
        <v>20</v>
      </c>
      <c r="O49" s="6" t="s">
        <v>70</v>
      </c>
      <c r="P49" s="6">
        <v>4</v>
      </c>
      <c r="Q49" s="6">
        <v>2</v>
      </c>
      <c r="R49" s="6">
        <v>10</v>
      </c>
      <c r="S49" s="6" t="s">
        <v>1161</v>
      </c>
      <c r="T49" s="6" t="s">
        <v>71</v>
      </c>
      <c r="U49" s="6" t="s">
        <v>72</v>
      </c>
      <c r="V49" s="7" t="s">
        <v>926</v>
      </c>
      <c r="BK49" s="6" t="s">
        <v>71</v>
      </c>
      <c r="BL49" s="6" t="s">
        <v>71</v>
      </c>
      <c r="BM49" s="6" t="s">
        <v>71</v>
      </c>
      <c r="BN49" s="6" t="s">
        <v>72</v>
      </c>
      <c r="BO49" s="6" t="s">
        <v>71</v>
      </c>
      <c r="BP49" s="6" t="s">
        <v>71</v>
      </c>
      <c r="BQ49" s="6" t="s">
        <v>71</v>
      </c>
      <c r="BR49" s="6" t="s">
        <v>72</v>
      </c>
      <c r="BS49" s="6" t="s">
        <v>72</v>
      </c>
      <c r="BT49" s="6" t="s">
        <v>72</v>
      </c>
      <c r="BU49" s="6" t="s">
        <v>71</v>
      </c>
      <c r="BV49" s="6" t="s">
        <v>71</v>
      </c>
      <c r="BW49" s="6" t="s">
        <v>71</v>
      </c>
      <c r="BX49" s="6" t="s">
        <v>72</v>
      </c>
      <c r="BY49" s="6" t="s">
        <v>72</v>
      </c>
      <c r="BZ49" s="6" t="s">
        <v>71</v>
      </c>
      <c r="CA49" s="6" t="s">
        <v>71</v>
      </c>
      <c r="CB49" s="6" t="s">
        <v>72</v>
      </c>
      <c r="CC49" s="6" t="s">
        <v>72</v>
      </c>
      <c r="CD49" s="6" t="s">
        <v>1162</v>
      </c>
    </row>
    <row r="50" spans="1:82">
      <c r="A50" s="5">
        <v>45367.575208194445</v>
      </c>
      <c r="B50" s="6" t="s">
        <v>820</v>
      </c>
      <c r="C50" s="6" t="s">
        <v>1157</v>
      </c>
      <c r="D50" s="7" t="s">
        <v>1158</v>
      </c>
      <c r="E50" s="6" t="s">
        <v>133</v>
      </c>
      <c r="F50" s="6" t="s">
        <v>192</v>
      </c>
      <c r="G50" s="6" t="s">
        <v>64</v>
      </c>
      <c r="H50" s="6" t="s">
        <v>822</v>
      </c>
      <c r="I50" s="6" t="s">
        <v>1160</v>
      </c>
      <c r="J50" s="6" t="s">
        <v>824</v>
      </c>
      <c r="K50" s="6" t="s">
        <v>820</v>
      </c>
      <c r="L50" s="6" t="s">
        <v>68</v>
      </c>
      <c r="M50" s="6" t="s">
        <v>825</v>
      </c>
      <c r="N50" s="6">
        <v>25</v>
      </c>
      <c r="O50" s="6" t="s">
        <v>70</v>
      </c>
      <c r="P50" s="6">
        <v>4</v>
      </c>
      <c r="Q50" s="6">
        <v>2</v>
      </c>
      <c r="R50" s="6">
        <v>10</v>
      </c>
      <c r="S50" s="6" t="s">
        <v>1163</v>
      </c>
      <c r="T50" s="6" t="s">
        <v>71</v>
      </c>
      <c r="U50" s="6" t="s">
        <v>72</v>
      </c>
      <c r="V50" s="7" t="s">
        <v>926</v>
      </c>
      <c r="BK50" s="6" t="s">
        <v>71</v>
      </c>
      <c r="BL50" s="6" t="s">
        <v>71</v>
      </c>
      <c r="BM50" s="6" t="s">
        <v>71</v>
      </c>
      <c r="BN50" s="6" t="s">
        <v>72</v>
      </c>
      <c r="BO50" s="6" t="s">
        <v>71</v>
      </c>
      <c r="BP50" s="6" t="s">
        <v>71</v>
      </c>
      <c r="BQ50" s="6" t="s">
        <v>71</v>
      </c>
      <c r="BR50" s="6" t="s">
        <v>72</v>
      </c>
      <c r="BS50" s="6" t="s">
        <v>72</v>
      </c>
      <c r="BT50" s="6" t="s">
        <v>72</v>
      </c>
      <c r="BU50" s="6" t="s">
        <v>71</v>
      </c>
      <c r="BV50" s="6" t="s">
        <v>71</v>
      </c>
      <c r="BW50" s="6" t="s">
        <v>71</v>
      </c>
      <c r="BX50" s="6" t="s">
        <v>72</v>
      </c>
      <c r="BY50" s="6" t="s">
        <v>72</v>
      </c>
      <c r="BZ50" s="6" t="s">
        <v>71</v>
      </c>
      <c r="CA50" s="6" t="s">
        <v>71</v>
      </c>
      <c r="CB50" s="6" t="s">
        <v>72</v>
      </c>
      <c r="CC50" s="6" t="s">
        <v>72</v>
      </c>
      <c r="CD50" s="6" t="s">
        <v>1164</v>
      </c>
    </row>
    <row r="51" spans="1:82">
      <c r="A51" s="5">
        <v>45367.576759942131</v>
      </c>
      <c r="B51" s="6" t="s">
        <v>1165</v>
      </c>
      <c r="C51" s="6" t="s">
        <v>1166</v>
      </c>
      <c r="D51" s="6">
        <v>30640241698</v>
      </c>
      <c r="E51" s="6" t="s">
        <v>84</v>
      </c>
      <c r="F51" s="6" t="s">
        <v>228</v>
      </c>
      <c r="G51" s="6" t="s">
        <v>64</v>
      </c>
      <c r="H51" s="6" t="s">
        <v>1167</v>
      </c>
      <c r="I51" s="6" t="s">
        <v>1168</v>
      </c>
      <c r="K51" s="6" t="s">
        <v>1165</v>
      </c>
      <c r="L51" s="6" t="s">
        <v>89</v>
      </c>
      <c r="M51" s="6" t="s">
        <v>737</v>
      </c>
      <c r="N51" s="6">
        <v>35</v>
      </c>
      <c r="O51" s="6" t="s">
        <v>148</v>
      </c>
      <c r="P51" s="6">
        <v>4</v>
      </c>
      <c r="Q51" s="6">
        <v>3</v>
      </c>
      <c r="R51" s="6">
        <v>30</v>
      </c>
      <c r="T51" s="6" t="s">
        <v>71</v>
      </c>
      <c r="U51" s="6" t="s">
        <v>72</v>
      </c>
      <c r="V51" s="7" t="s">
        <v>926</v>
      </c>
      <c r="BK51" s="6" t="s">
        <v>71</v>
      </c>
      <c r="BL51" s="6" t="s">
        <v>71</v>
      </c>
      <c r="BM51" s="6" t="s">
        <v>71</v>
      </c>
      <c r="BN51" s="6" t="s">
        <v>71</v>
      </c>
      <c r="BO51" s="6" t="s">
        <v>71</v>
      </c>
      <c r="BP51" s="6" t="s">
        <v>71</v>
      </c>
      <c r="BQ51" s="6" t="s">
        <v>71</v>
      </c>
      <c r="BR51" s="6" t="s">
        <v>71</v>
      </c>
      <c r="BS51" s="6" t="s">
        <v>71</v>
      </c>
      <c r="BT51" s="6" t="s">
        <v>71</v>
      </c>
      <c r="BU51" s="6" t="s">
        <v>71</v>
      </c>
      <c r="BV51" s="6" t="s">
        <v>71</v>
      </c>
      <c r="BW51" s="6" t="s">
        <v>71</v>
      </c>
      <c r="BX51" s="6" t="s">
        <v>71</v>
      </c>
      <c r="BY51" s="6" t="s">
        <v>71</v>
      </c>
      <c r="BZ51" s="6" t="s">
        <v>71</v>
      </c>
      <c r="CA51" s="6" t="s">
        <v>71</v>
      </c>
      <c r="CB51" s="6" t="s">
        <v>71</v>
      </c>
      <c r="CC51" s="6" t="s">
        <v>71</v>
      </c>
    </row>
    <row r="52" spans="1:82">
      <c r="A52" s="5">
        <v>45367.578485081016</v>
      </c>
      <c r="B52" s="6" t="s">
        <v>820</v>
      </c>
      <c r="C52" s="6" t="s">
        <v>1157</v>
      </c>
      <c r="D52" s="7" t="s">
        <v>1158</v>
      </c>
      <c r="E52" s="6" t="s">
        <v>84</v>
      </c>
      <c r="F52" s="6" t="s">
        <v>249</v>
      </c>
      <c r="G52" s="6" t="s">
        <v>64</v>
      </c>
      <c r="H52" s="6" t="s">
        <v>822</v>
      </c>
      <c r="I52" s="6" t="s">
        <v>1169</v>
      </c>
      <c r="J52" s="6" t="s">
        <v>824</v>
      </c>
      <c r="K52" s="6" t="s">
        <v>820</v>
      </c>
      <c r="L52" s="6" t="s">
        <v>68</v>
      </c>
      <c r="M52" s="6" t="s">
        <v>825</v>
      </c>
      <c r="N52" s="6">
        <v>30</v>
      </c>
      <c r="O52" s="6" t="s">
        <v>70</v>
      </c>
      <c r="P52" s="6">
        <v>4</v>
      </c>
      <c r="Q52" s="6">
        <v>2</v>
      </c>
      <c r="R52" s="6">
        <v>10</v>
      </c>
      <c r="S52" s="6" t="s">
        <v>1170</v>
      </c>
      <c r="T52" s="6" t="s">
        <v>71</v>
      </c>
      <c r="U52" s="6" t="s">
        <v>72</v>
      </c>
      <c r="V52" s="7" t="s">
        <v>926</v>
      </c>
      <c r="BK52" s="6" t="s">
        <v>71</v>
      </c>
      <c r="BL52" s="6" t="s">
        <v>71</v>
      </c>
      <c r="BM52" s="6" t="s">
        <v>71</v>
      </c>
      <c r="BN52" s="6" t="s">
        <v>72</v>
      </c>
      <c r="BO52" s="6" t="s">
        <v>71</v>
      </c>
      <c r="BP52" s="6" t="s">
        <v>71</v>
      </c>
      <c r="BQ52" s="6" t="s">
        <v>71</v>
      </c>
      <c r="BR52" s="6" t="s">
        <v>72</v>
      </c>
      <c r="BS52" s="6" t="s">
        <v>72</v>
      </c>
      <c r="BT52" s="6" t="s">
        <v>72</v>
      </c>
      <c r="BU52" s="6" t="s">
        <v>71</v>
      </c>
      <c r="BV52" s="6" t="s">
        <v>71</v>
      </c>
      <c r="BW52" s="6" t="s">
        <v>71</v>
      </c>
      <c r="BX52" s="6" t="s">
        <v>72</v>
      </c>
      <c r="BY52" s="6" t="s">
        <v>72</v>
      </c>
      <c r="BZ52" s="6" t="s">
        <v>71</v>
      </c>
      <c r="CA52" s="6" t="s">
        <v>71</v>
      </c>
      <c r="CB52" s="6" t="s">
        <v>72</v>
      </c>
      <c r="CC52" s="6" t="s">
        <v>72</v>
      </c>
      <c r="CD52" s="6" t="s">
        <v>1164</v>
      </c>
    </row>
    <row r="53" spans="1:82">
      <c r="A53" s="5">
        <v>45367.580832245367</v>
      </c>
      <c r="B53" s="6" t="s">
        <v>1165</v>
      </c>
      <c r="C53" s="6" t="s">
        <v>1166</v>
      </c>
      <c r="D53" s="6">
        <v>30640241698</v>
      </c>
      <c r="E53" s="6" t="s">
        <v>84</v>
      </c>
      <c r="F53" s="6" t="s">
        <v>228</v>
      </c>
      <c r="G53" s="6" t="s">
        <v>64</v>
      </c>
      <c r="H53" s="6" t="s">
        <v>1167</v>
      </c>
      <c r="I53" s="6" t="s">
        <v>1168</v>
      </c>
      <c r="K53" s="6" t="s">
        <v>1165</v>
      </c>
      <c r="L53" s="6" t="s">
        <v>89</v>
      </c>
      <c r="M53" s="6" t="s">
        <v>737</v>
      </c>
      <c r="N53" s="6">
        <v>32</v>
      </c>
      <c r="O53" s="6" t="s">
        <v>148</v>
      </c>
      <c r="P53" s="6">
        <v>4</v>
      </c>
      <c r="Q53" s="6">
        <v>3</v>
      </c>
      <c r="R53" s="6">
        <v>35</v>
      </c>
      <c r="T53" s="6" t="s">
        <v>71</v>
      </c>
      <c r="U53" s="6" t="s">
        <v>72</v>
      </c>
      <c r="V53" s="7" t="s">
        <v>926</v>
      </c>
      <c r="BK53" s="6" t="s">
        <v>71</v>
      </c>
      <c r="BL53" s="6" t="s">
        <v>71</v>
      </c>
      <c r="BM53" s="6" t="s">
        <v>71</v>
      </c>
      <c r="BN53" s="6" t="s">
        <v>71</v>
      </c>
      <c r="BO53" s="6" t="s">
        <v>71</v>
      </c>
      <c r="BP53" s="6" t="s">
        <v>71</v>
      </c>
      <c r="BQ53" s="6" t="s">
        <v>71</v>
      </c>
      <c r="BR53" s="6" t="s">
        <v>72</v>
      </c>
      <c r="BS53" s="6" t="s">
        <v>72</v>
      </c>
      <c r="BT53" s="6" t="s">
        <v>72</v>
      </c>
      <c r="BU53" s="6" t="s">
        <v>71</v>
      </c>
      <c r="BV53" s="6" t="s">
        <v>71</v>
      </c>
      <c r="BW53" s="6" t="s">
        <v>71</v>
      </c>
      <c r="BX53" s="6" t="s">
        <v>72</v>
      </c>
      <c r="BY53" s="6" t="s">
        <v>72</v>
      </c>
      <c r="BZ53" s="6" t="s">
        <v>71</v>
      </c>
      <c r="CA53" s="6" t="s">
        <v>71</v>
      </c>
      <c r="CB53" s="6" t="s">
        <v>72</v>
      </c>
      <c r="CC53" s="6" t="s">
        <v>72</v>
      </c>
    </row>
    <row r="54" spans="1:82">
      <c r="A54" s="5">
        <v>45367.660648611112</v>
      </c>
      <c r="B54" s="6" t="s">
        <v>1171</v>
      </c>
      <c r="C54" s="6" t="s">
        <v>1172</v>
      </c>
      <c r="D54" s="6">
        <v>20069600</v>
      </c>
      <c r="E54" s="6" t="s">
        <v>62</v>
      </c>
      <c r="F54" s="6" t="s">
        <v>1173</v>
      </c>
      <c r="G54" s="6" t="s">
        <v>105</v>
      </c>
      <c r="H54" s="6" t="s">
        <v>1174</v>
      </c>
      <c r="I54" s="6" t="s">
        <v>1175</v>
      </c>
      <c r="K54" s="6" t="s">
        <v>1171</v>
      </c>
      <c r="L54" s="6" t="s">
        <v>89</v>
      </c>
      <c r="M54" s="6" t="s">
        <v>1176</v>
      </c>
      <c r="N54" s="6">
        <v>35</v>
      </c>
      <c r="O54" s="6" t="s">
        <v>70</v>
      </c>
      <c r="P54" s="6">
        <v>5</v>
      </c>
      <c r="Q54" s="6">
        <v>5</v>
      </c>
      <c r="R54" s="6">
        <v>30</v>
      </c>
      <c r="S54" s="6" t="s">
        <v>1177</v>
      </c>
      <c r="T54" s="6" t="s">
        <v>71</v>
      </c>
      <c r="U54" s="6" t="s">
        <v>72</v>
      </c>
      <c r="V54" s="7" t="s">
        <v>926</v>
      </c>
      <c r="BK54" s="6" t="s">
        <v>71</v>
      </c>
      <c r="BL54" s="6" t="s">
        <v>72</v>
      </c>
      <c r="BM54" s="6" t="s">
        <v>72</v>
      </c>
      <c r="BN54" s="6" t="s">
        <v>72</v>
      </c>
      <c r="BO54" s="6" t="s">
        <v>72</v>
      </c>
      <c r="BP54" s="6" t="s">
        <v>71</v>
      </c>
      <c r="BQ54" s="6" t="s">
        <v>71</v>
      </c>
      <c r="BR54" s="6" t="s">
        <v>72</v>
      </c>
      <c r="BS54" s="6" t="s">
        <v>72</v>
      </c>
      <c r="BT54" s="6" t="s">
        <v>72</v>
      </c>
      <c r="BU54" s="6" t="s">
        <v>72</v>
      </c>
      <c r="BV54" s="6" t="s">
        <v>71</v>
      </c>
      <c r="BX54" s="6" t="s">
        <v>72</v>
      </c>
      <c r="BY54" s="6" t="s">
        <v>72</v>
      </c>
      <c r="BZ54" s="6" t="s">
        <v>72</v>
      </c>
      <c r="CA54" s="6" t="s">
        <v>71</v>
      </c>
      <c r="CB54" s="6" t="s">
        <v>72</v>
      </c>
      <c r="CC54" s="6" t="s">
        <v>72</v>
      </c>
      <c r="CD54" s="6" t="s">
        <v>1178</v>
      </c>
    </row>
    <row r="55" spans="1:82">
      <c r="A55" s="5">
        <v>45367.859103622686</v>
      </c>
      <c r="B55" s="6" t="s">
        <v>1179</v>
      </c>
      <c r="C55" s="6" t="s">
        <v>1180</v>
      </c>
      <c r="D55" s="7" t="s">
        <v>1181</v>
      </c>
      <c r="E55" s="6" t="s">
        <v>62</v>
      </c>
      <c r="F55" s="6" t="s">
        <v>1182</v>
      </c>
      <c r="G55" s="6" t="s">
        <v>64</v>
      </c>
      <c r="H55" s="6" t="s">
        <v>1183</v>
      </c>
      <c r="I55" s="6" t="s">
        <v>1184</v>
      </c>
      <c r="K55" s="6" t="s">
        <v>1179</v>
      </c>
      <c r="L55" s="6" t="s">
        <v>89</v>
      </c>
      <c r="M55" s="6" t="s">
        <v>1185</v>
      </c>
      <c r="N55" s="6">
        <v>28</v>
      </c>
      <c r="O55" s="6" t="s">
        <v>70</v>
      </c>
      <c r="P55" s="6">
        <v>5</v>
      </c>
      <c r="Q55" s="6">
        <v>5</v>
      </c>
      <c r="R55" s="6">
        <v>15</v>
      </c>
      <c r="T55" s="6" t="s">
        <v>72</v>
      </c>
      <c r="U55" s="6" t="s">
        <v>71</v>
      </c>
      <c r="V55" s="7" t="s">
        <v>926</v>
      </c>
      <c r="BK55" s="6" t="s">
        <v>72</v>
      </c>
      <c r="BL55" s="6" t="s">
        <v>72</v>
      </c>
      <c r="BM55" s="6" t="s">
        <v>72</v>
      </c>
      <c r="BN55" s="6" t="s">
        <v>71</v>
      </c>
      <c r="BO55" s="6" t="s">
        <v>72</v>
      </c>
      <c r="BP55" s="6" t="s">
        <v>72</v>
      </c>
      <c r="BQ55" s="6" t="s">
        <v>72</v>
      </c>
      <c r="BR55" s="6" t="s">
        <v>72</v>
      </c>
      <c r="BS55" s="6" t="s">
        <v>72</v>
      </c>
      <c r="BT55" s="6" t="s">
        <v>72</v>
      </c>
      <c r="BU55" s="6" t="s">
        <v>72</v>
      </c>
      <c r="BV55" s="6" t="s">
        <v>72</v>
      </c>
      <c r="BW55" s="6" t="s">
        <v>72</v>
      </c>
      <c r="BX55" s="6" t="s">
        <v>72</v>
      </c>
      <c r="BY55" s="6" t="s">
        <v>72</v>
      </c>
      <c r="BZ55" s="6" t="s">
        <v>72</v>
      </c>
      <c r="CA55" s="6" t="s">
        <v>72</v>
      </c>
      <c r="CB55" s="6" t="s">
        <v>72</v>
      </c>
      <c r="CC55" s="6" t="s">
        <v>72</v>
      </c>
    </row>
    <row r="56" spans="1:82">
      <c r="A56" s="5">
        <v>45368.531049953701</v>
      </c>
      <c r="B56" s="6" t="s">
        <v>1186</v>
      </c>
      <c r="C56" s="6" t="s">
        <v>1187</v>
      </c>
      <c r="D56" s="7" t="s">
        <v>1188</v>
      </c>
      <c r="E56" s="6" t="s">
        <v>62</v>
      </c>
      <c r="F56" s="6" t="s">
        <v>1189</v>
      </c>
      <c r="G56" s="6" t="s">
        <v>105</v>
      </c>
      <c r="H56" s="6" t="s">
        <v>1190</v>
      </c>
      <c r="I56" s="6" t="s">
        <v>1191</v>
      </c>
      <c r="K56" s="6" t="s">
        <v>1186</v>
      </c>
      <c r="L56" s="6" t="s">
        <v>68</v>
      </c>
      <c r="M56" s="6" t="s">
        <v>1192</v>
      </c>
      <c r="N56" s="6">
        <v>35</v>
      </c>
      <c r="O56" s="6" t="s">
        <v>70</v>
      </c>
      <c r="P56" s="6">
        <v>3</v>
      </c>
      <c r="Q56" s="6">
        <v>4</v>
      </c>
      <c r="R56" s="6">
        <v>60</v>
      </c>
      <c r="S56" s="6" t="s">
        <v>1193</v>
      </c>
      <c r="T56" s="6" t="s">
        <v>71</v>
      </c>
      <c r="U56" s="6" t="s">
        <v>71</v>
      </c>
      <c r="V56" s="7" t="s">
        <v>926</v>
      </c>
      <c r="BK56" s="6" t="s">
        <v>71</v>
      </c>
      <c r="BL56" s="6" t="s">
        <v>72</v>
      </c>
      <c r="BM56" s="6" t="s">
        <v>72</v>
      </c>
      <c r="BN56" s="6" t="s">
        <v>71</v>
      </c>
      <c r="BO56" s="6" t="s">
        <v>72</v>
      </c>
      <c r="BP56" s="6" t="s">
        <v>71</v>
      </c>
      <c r="BQ56" s="6" t="s">
        <v>71</v>
      </c>
      <c r="BR56" s="6" t="s">
        <v>72</v>
      </c>
      <c r="BS56" s="6" t="s">
        <v>72</v>
      </c>
      <c r="BT56" s="6" t="s">
        <v>72</v>
      </c>
      <c r="BU56" s="6" t="s">
        <v>71</v>
      </c>
      <c r="BV56" s="6" t="s">
        <v>72</v>
      </c>
      <c r="BW56" s="6" t="s">
        <v>71</v>
      </c>
      <c r="BX56" s="6" t="s">
        <v>71</v>
      </c>
      <c r="BY56" s="6" t="s">
        <v>71</v>
      </c>
      <c r="BZ56" s="6" t="s">
        <v>71</v>
      </c>
    </row>
    <row r="57" spans="1:82">
      <c r="A57" s="5">
        <v>45368.826779560186</v>
      </c>
      <c r="B57" s="6" t="s">
        <v>457</v>
      </c>
      <c r="C57" s="6" t="s">
        <v>458</v>
      </c>
      <c r="D57" s="7" t="s">
        <v>459</v>
      </c>
      <c r="E57" s="6" t="s">
        <v>84</v>
      </c>
      <c r="F57" s="6" t="s">
        <v>249</v>
      </c>
      <c r="G57" s="6" t="s">
        <v>64</v>
      </c>
      <c r="H57" s="6" t="s">
        <v>460</v>
      </c>
      <c r="I57" s="6" t="s">
        <v>461</v>
      </c>
      <c r="J57" s="6" t="s">
        <v>462</v>
      </c>
      <c r="K57" s="6" t="s">
        <v>457</v>
      </c>
      <c r="L57" s="6" t="s">
        <v>68</v>
      </c>
      <c r="M57" s="6" t="s">
        <v>1194</v>
      </c>
      <c r="N57" s="6">
        <v>32</v>
      </c>
      <c r="O57" s="6" t="s">
        <v>148</v>
      </c>
      <c r="P57" s="6">
        <v>5</v>
      </c>
      <c r="Q57" s="6">
        <v>3</v>
      </c>
      <c r="R57" s="6">
        <v>30</v>
      </c>
      <c r="T57" s="6" t="s">
        <v>72</v>
      </c>
      <c r="U57" s="6" t="s">
        <v>71</v>
      </c>
      <c r="V57" s="7" t="s">
        <v>926</v>
      </c>
      <c r="BK57" s="6" t="s">
        <v>72</v>
      </c>
      <c r="BL57" s="6" t="s">
        <v>72</v>
      </c>
      <c r="BM57" s="6" t="s">
        <v>72</v>
      </c>
      <c r="BN57" s="6" t="s">
        <v>71</v>
      </c>
      <c r="BO57" s="6" t="s">
        <v>72</v>
      </c>
      <c r="BP57" s="6" t="s">
        <v>72</v>
      </c>
      <c r="BQ57" s="6" t="s">
        <v>72</v>
      </c>
      <c r="BR57" s="6" t="s">
        <v>72</v>
      </c>
      <c r="BS57" s="6" t="s">
        <v>72</v>
      </c>
      <c r="BT57" s="6" t="s">
        <v>71</v>
      </c>
      <c r="BU57" s="6" t="s">
        <v>72</v>
      </c>
      <c r="BV57" s="6" t="s">
        <v>72</v>
      </c>
      <c r="BW57" s="6" t="s">
        <v>72</v>
      </c>
      <c r="BX57" s="6" t="s">
        <v>71</v>
      </c>
      <c r="BY57" s="6" t="s">
        <v>71</v>
      </c>
      <c r="BZ57" s="6" t="s">
        <v>72</v>
      </c>
      <c r="CA57" s="6" t="s">
        <v>72</v>
      </c>
      <c r="CB57" s="6" t="s">
        <v>71</v>
      </c>
      <c r="CC57" s="6" t="s">
        <v>71</v>
      </c>
    </row>
    <row r="58" spans="1:82">
      <c r="A58" s="5">
        <v>45368.931890219908</v>
      </c>
      <c r="B58" s="6" t="s">
        <v>503</v>
      </c>
      <c r="C58" s="6" t="s">
        <v>1195</v>
      </c>
      <c r="D58" s="7" t="s">
        <v>1196</v>
      </c>
      <c r="E58" s="6" t="s">
        <v>1197</v>
      </c>
      <c r="F58" s="6" t="s">
        <v>521</v>
      </c>
      <c r="G58" s="6" t="s">
        <v>105</v>
      </c>
      <c r="H58" s="6" t="s">
        <v>1198</v>
      </c>
      <c r="I58" s="6" t="s">
        <v>1199</v>
      </c>
      <c r="J58" s="6" t="s">
        <v>1200</v>
      </c>
      <c r="K58" s="6" t="s">
        <v>503</v>
      </c>
      <c r="L58" s="6" t="s">
        <v>138</v>
      </c>
      <c r="M58" s="6" t="s">
        <v>1201</v>
      </c>
      <c r="N58" s="6">
        <v>34</v>
      </c>
      <c r="O58" s="6" t="s">
        <v>70</v>
      </c>
      <c r="P58" s="6">
        <v>1</v>
      </c>
      <c r="Q58" s="6">
        <v>1</v>
      </c>
      <c r="R58" s="6">
        <v>90</v>
      </c>
      <c r="T58" s="6" t="s">
        <v>71</v>
      </c>
      <c r="U58" s="6" t="s">
        <v>71</v>
      </c>
      <c r="V58" s="7" t="s">
        <v>926</v>
      </c>
      <c r="BK58" s="6" t="s">
        <v>72</v>
      </c>
      <c r="BL58" s="6" t="s">
        <v>72</v>
      </c>
      <c r="BM58" s="6" t="s">
        <v>72</v>
      </c>
      <c r="BN58" s="6" t="s">
        <v>72</v>
      </c>
      <c r="BO58" s="6" t="s">
        <v>72</v>
      </c>
      <c r="BP58" s="6" t="s">
        <v>72</v>
      </c>
      <c r="BQ58" s="6" t="s">
        <v>72</v>
      </c>
      <c r="BR58" s="6" t="s">
        <v>71</v>
      </c>
      <c r="BS58" s="6" t="s">
        <v>72</v>
      </c>
      <c r="BT58" s="6" t="s">
        <v>72</v>
      </c>
      <c r="BU58" s="6" t="s">
        <v>72</v>
      </c>
      <c r="BV58" s="6" t="s">
        <v>71</v>
      </c>
      <c r="BW58" s="6" t="s">
        <v>72</v>
      </c>
      <c r="BX58" s="6" t="s">
        <v>72</v>
      </c>
      <c r="BY58" s="6" t="s">
        <v>72</v>
      </c>
      <c r="BZ58" s="6" t="s">
        <v>72</v>
      </c>
      <c r="CA58" s="6" t="s">
        <v>71</v>
      </c>
      <c r="CB58" s="6" t="s">
        <v>72</v>
      </c>
      <c r="CC58" s="6" t="s">
        <v>72</v>
      </c>
      <c r="CD58" s="6" t="s">
        <v>1202</v>
      </c>
    </row>
    <row r="59" spans="1:82">
      <c r="A59" s="5">
        <v>45369.368262858799</v>
      </c>
      <c r="B59" s="6" t="s">
        <v>1165</v>
      </c>
      <c r="C59" s="6" t="s">
        <v>1166</v>
      </c>
      <c r="D59" s="7" t="s">
        <v>1084</v>
      </c>
      <c r="E59" s="6" t="s">
        <v>133</v>
      </c>
      <c r="F59" s="6" t="s">
        <v>228</v>
      </c>
      <c r="G59" s="6" t="s">
        <v>64</v>
      </c>
      <c r="H59" s="6" t="s">
        <v>816</v>
      </c>
      <c r="I59" s="6" t="s">
        <v>1168</v>
      </c>
      <c r="K59" s="6" t="s">
        <v>1165</v>
      </c>
      <c r="L59" s="6" t="s">
        <v>89</v>
      </c>
      <c r="M59" s="6" t="s">
        <v>737</v>
      </c>
      <c r="N59" s="6">
        <v>33</v>
      </c>
      <c r="O59" s="6" t="s">
        <v>148</v>
      </c>
      <c r="P59" s="6">
        <v>4</v>
      </c>
      <c r="Q59" s="6">
        <v>3</v>
      </c>
      <c r="R59" s="6">
        <v>30</v>
      </c>
      <c r="T59" s="6" t="s">
        <v>71</v>
      </c>
      <c r="U59" s="6" t="s">
        <v>72</v>
      </c>
      <c r="V59" s="7" t="s">
        <v>926</v>
      </c>
      <c r="BK59" s="6" t="s">
        <v>71</v>
      </c>
      <c r="BL59" s="6" t="s">
        <v>71</v>
      </c>
      <c r="BM59" s="6" t="s">
        <v>71</v>
      </c>
      <c r="BN59" s="6" t="s">
        <v>72</v>
      </c>
      <c r="BO59" s="6" t="s">
        <v>71</v>
      </c>
      <c r="BP59" s="6" t="s">
        <v>71</v>
      </c>
      <c r="BQ59" s="6" t="s">
        <v>71</v>
      </c>
      <c r="BR59" s="6" t="s">
        <v>72</v>
      </c>
      <c r="BS59" s="6" t="s">
        <v>72</v>
      </c>
      <c r="BT59" s="6" t="s">
        <v>72</v>
      </c>
      <c r="BU59" s="6" t="s">
        <v>71</v>
      </c>
      <c r="BV59" s="6" t="s">
        <v>71</v>
      </c>
      <c r="BW59" s="6" t="s">
        <v>71</v>
      </c>
      <c r="BX59" s="6" t="s">
        <v>72</v>
      </c>
      <c r="BY59" s="6" t="s">
        <v>72</v>
      </c>
      <c r="BZ59" s="6" t="s">
        <v>71</v>
      </c>
      <c r="CA59" s="6" t="s">
        <v>71</v>
      </c>
      <c r="CB59" s="6" t="s">
        <v>72</v>
      </c>
      <c r="CC59" s="6" t="s">
        <v>72</v>
      </c>
    </row>
    <row r="60" spans="1:82">
      <c r="A60" s="5">
        <v>45369.426430405088</v>
      </c>
      <c r="B60" s="6" t="s">
        <v>1165</v>
      </c>
      <c r="C60" s="6" t="s">
        <v>1166</v>
      </c>
      <c r="D60" s="7" t="s">
        <v>1084</v>
      </c>
      <c r="E60" s="6" t="s">
        <v>133</v>
      </c>
      <c r="F60" s="6" t="s">
        <v>1203</v>
      </c>
      <c r="G60" s="6" t="s">
        <v>64</v>
      </c>
      <c r="H60" s="6" t="s">
        <v>816</v>
      </c>
      <c r="I60" s="6" t="s">
        <v>1168</v>
      </c>
      <c r="K60" s="6" t="s">
        <v>1165</v>
      </c>
      <c r="L60" s="6" t="s">
        <v>89</v>
      </c>
      <c r="M60" s="6" t="s">
        <v>737</v>
      </c>
      <c r="N60" s="6">
        <v>34</v>
      </c>
      <c r="O60" s="6" t="s">
        <v>148</v>
      </c>
      <c r="P60" s="6">
        <v>4</v>
      </c>
      <c r="Q60" s="6">
        <v>3</v>
      </c>
      <c r="R60" s="6">
        <v>30</v>
      </c>
      <c r="T60" s="6" t="s">
        <v>71</v>
      </c>
      <c r="U60" s="6" t="s">
        <v>72</v>
      </c>
      <c r="V60" s="7" t="s">
        <v>926</v>
      </c>
      <c r="BK60" s="6" t="s">
        <v>71</v>
      </c>
      <c r="BL60" s="6" t="s">
        <v>71</v>
      </c>
      <c r="BM60" s="6" t="s">
        <v>71</v>
      </c>
      <c r="BN60" s="6" t="s">
        <v>72</v>
      </c>
      <c r="BO60" s="6" t="s">
        <v>71</v>
      </c>
      <c r="BP60" s="6" t="s">
        <v>71</v>
      </c>
      <c r="BQ60" s="6" t="s">
        <v>71</v>
      </c>
      <c r="BR60" s="6" t="s">
        <v>72</v>
      </c>
      <c r="BS60" s="6" t="s">
        <v>72</v>
      </c>
      <c r="BT60" s="6" t="s">
        <v>72</v>
      </c>
      <c r="BU60" s="6" t="s">
        <v>71</v>
      </c>
      <c r="BV60" s="6" t="s">
        <v>71</v>
      </c>
      <c r="BW60" s="6" t="s">
        <v>71</v>
      </c>
      <c r="BX60" s="6" t="s">
        <v>72</v>
      </c>
      <c r="BY60" s="6" t="s">
        <v>72</v>
      </c>
      <c r="BZ60" s="6" t="s">
        <v>71</v>
      </c>
      <c r="CA60" s="6" t="s">
        <v>71</v>
      </c>
      <c r="CB60" s="6" t="s">
        <v>72</v>
      </c>
      <c r="CC60" s="6" t="s">
        <v>72</v>
      </c>
    </row>
    <row r="61" spans="1:82">
      <c r="A61" s="5">
        <v>45369.613210914351</v>
      </c>
      <c r="B61" s="6" t="s">
        <v>1204</v>
      </c>
      <c r="C61" s="6" t="s">
        <v>1205</v>
      </c>
      <c r="D61" s="6">
        <v>201448</v>
      </c>
      <c r="E61" s="6" t="s">
        <v>286</v>
      </c>
      <c r="F61" s="6" t="s">
        <v>1027</v>
      </c>
      <c r="G61" s="6" t="s">
        <v>105</v>
      </c>
      <c r="H61" s="6" t="s">
        <v>1051</v>
      </c>
      <c r="I61" s="6" t="s">
        <v>1051</v>
      </c>
      <c r="J61" s="6" t="s">
        <v>214</v>
      </c>
      <c r="K61" s="6" t="s">
        <v>1206</v>
      </c>
      <c r="L61" s="6" t="s">
        <v>89</v>
      </c>
      <c r="M61" s="6" t="s">
        <v>217</v>
      </c>
      <c r="N61" s="6">
        <v>12</v>
      </c>
      <c r="O61" s="6" t="s">
        <v>70</v>
      </c>
      <c r="P61" s="6">
        <v>4</v>
      </c>
      <c r="Q61" s="6">
        <v>3</v>
      </c>
      <c r="R61" s="6">
        <v>20</v>
      </c>
      <c r="S61" s="6" t="s">
        <v>1207</v>
      </c>
      <c r="T61" s="6" t="s">
        <v>71</v>
      </c>
      <c r="U61" s="6" t="s">
        <v>72</v>
      </c>
      <c r="V61" s="7" t="s">
        <v>926</v>
      </c>
      <c r="BK61" s="6" t="s">
        <v>72</v>
      </c>
      <c r="BL61" s="6" t="s">
        <v>72</v>
      </c>
      <c r="BM61" s="6" t="s">
        <v>72</v>
      </c>
      <c r="BN61" s="6" t="s">
        <v>72</v>
      </c>
      <c r="BO61" s="6" t="s">
        <v>72</v>
      </c>
      <c r="BP61" s="6" t="s">
        <v>71</v>
      </c>
      <c r="BQ61" s="6" t="s">
        <v>72</v>
      </c>
      <c r="BR61" s="6" t="s">
        <v>72</v>
      </c>
      <c r="BS61" s="6" t="s">
        <v>72</v>
      </c>
      <c r="BT61" s="6" t="s">
        <v>72</v>
      </c>
      <c r="BU61" s="6" t="s">
        <v>71</v>
      </c>
      <c r="BV61" s="6" t="s">
        <v>72</v>
      </c>
      <c r="BW61" s="6" t="s">
        <v>72</v>
      </c>
      <c r="BX61" s="6" t="s">
        <v>72</v>
      </c>
      <c r="BY61" s="6" t="s">
        <v>72</v>
      </c>
      <c r="BZ61" s="6" t="s">
        <v>72</v>
      </c>
      <c r="CA61" s="6" t="s">
        <v>71</v>
      </c>
      <c r="CB61" s="6" t="s">
        <v>72</v>
      </c>
      <c r="CC61" s="6" t="s">
        <v>72</v>
      </c>
    </row>
    <row r="62" spans="1:82">
      <c r="A62" s="5">
        <v>45369.805577164356</v>
      </c>
      <c r="B62" s="6" t="s">
        <v>1208</v>
      </c>
      <c r="C62" s="6" t="s">
        <v>1209</v>
      </c>
      <c r="D62" s="7" t="s">
        <v>1210</v>
      </c>
      <c r="E62" s="6" t="s">
        <v>133</v>
      </c>
      <c r="F62" s="6" t="s">
        <v>220</v>
      </c>
      <c r="G62" s="6" t="s">
        <v>64</v>
      </c>
      <c r="H62" s="6" t="s">
        <v>1211</v>
      </c>
      <c r="I62" s="6" t="s">
        <v>1212</v>
      </c>
      <c r="K62" s="6" t="s">
        <v>1208</v>
      </c>
      <c r="L62" s="6" t="s">
        <v>68</v>
      </c>
      <c r="M62" s="6" t="s">
        <v>1213</v>
      </c>
      <c r="N62" s="6">
        <v>12</v>
      </c>
      <c r="O62" s="6" t="s">
        <v>70</v>
      </c>
      <c r="P62" s="6">
        <v>5</v>
      </c>
      <c r="Q62" s="6">
        <v>3</v>
      </c>
      <c r="R62" s="6">
        <v>0</v>
      </c>
      <c r="T62" s="6" t="s">
        <v>71</v>
      </c>
      <c r="U62" s="6" t="s">
        <v>71</v>
      </c>
      <c r="V62" s="7" t="s">
        <v>926</v>
      </c>
      <c r="BK62" s="6" t="s">
        <v>72</v>
      </c>
      <c r="BL62" s="6" t="s">
        <v>72</v>
      </c>
      <c r="BM62" s="6" t="s">
        <v>71</v>
      </c>
      <c r="BN62" s="6" t="s">
        <v>71</v>
      </c>
      <c r="BO62" s="6" t="s">
        <v>71</v>
      </c>
      <c r="BP62" s="6" t="s">
        <v>72</v>
      </c>
      <c r="BQ62" s="6" t="s">
        <v>72</v>
      </c>
      <c r="BR62" s="6" t="s">
        <v>71</v>
      </c>
      <c r="BS62" s="6" t="s">
        <v>72</v>
      </c>
      <c r="BT62" s="6" t="s">
        <v>72</v>
      </c>
      <c r="BU62" s="6" t="s">
        <v>72</v>
      </c>
      <c r="BV62" s="6" t="s">
        <v>71</v>
      </c>
      <c r="BW62" s="6" t="s">
        <v>71</v>
      </c>
      <c r="BX62" s="6" t="s">
        <v>72</v>
      </c>
      <c r="BY62" s="6" t="s">
        <v>72</v>
      </c>
      <c r="BZ62" s="6" t="s">
        <v>71</v>
      </c>
      <c r="CA62" s="6" t="s">
        <v>71</v>
      </c>
      <c r="CB62" s="6" t="s">
        <v>71</v>
      </c>
      <c r="CC62" s="6" t="s">
        <v>72</v>
      </c>
    </row>
    <row r="63" spans="1:82">
      <c r="A63" s="5">
        <v>45369.808472696765</v>
      </c>
      <c r="B63" s="6" t="s">
        <v>1208</v>
      </c>
      <c r="C63" s="6" t="s">
        <v>1209</v>
      </c>
      <c r="D63" s="7" t="s">
        <v>1210</v>
      </c>
      <c r="E63" s="6" t="s">
        <v>133</v>
      </c>
      <c r="F63" s="6" t="s">
        <v>1214</v>
      </c>
      <c r="G63" s="6" t="s">
        <v>64</v>
      </c>
      <c r="H63" s="6" t="s">
        <v>1211</v>
      </c>
      <c r="I63" s="6" t="s">
        <v>1212</v>
      </c>
      <c r="K63" s="6" t="s">
        <v>1208</v>
      </c>
      <c r="L63" s="6" t="s">
        <v>68</v>
      </c>
      <c r="M63" s="6" t="s">
        <v>1215</v>
      </c>
      <c r="N63" s="6">
        <v>34</v>
      </c>
      <c r="O63" s="6" t="s">
        <v>70</v>
      </c>
      <c r="P63" s="6">
        <v>5</v>
      </c>
      <c r="Q63" s="6">
        <v>3</v>
      </c>
      <c r="R63" s="6">
        <v>0</v>
      </c>
      <c r="T63" s="6" t="s">
        <v>71</v>
      </c>
      <c r="U63" s="6" t="s">
        <v>71</v>
      </c>
      <c r="V63" s="7" t="s">
        <v>926</v>
      </c>
      <c r="BK63" s="6" t="s">
        <v>72</v>
      </c>
      <c r="BL63" s="6" t="s">
        <v>72</v>
      </c>
      <c r="BM63" s="6" t="s">
        <v>71</v>
      </c>
      <c r="BN63" s="6" t="s">
        <v>71</v>
      </c>
      <c r="BO63" s="6" t="s">
        <v>71</v>
      </c>
      <c r="BP63" s="6" t="s">
        <v>72</v>
      </c>
      <c r="BQ63" s="6" t="s">
        <v>72</v>
      </c>
      <c r="BR63" s="6" t="s">
        <v>71</v>
      </c>
      <c r="BS63" s="6" t="s">
        <v>72</v>
      </c>
      <c r="BT63" s="6" t="s">
        <v>72</v>
      </c>
      <c r="BU63" s="6" t="s">
        <v>72</v>
      </c>
      <c r="BV63" s="6" t="s">
        <v>71</v>
      </c>
      <c r="BW63" s="6" t="s">
        <v>71</v>
      </c>
      <c r="BX63" s="6" t="s">
        <v>72</v>
      </c>
      <c r="BY63" s="6" t="s">
        <v>72</v>
      </c>
      <c r="BZ63" s="6" t="s">
        <v>71</v>
      </c>
      <c r="CA63" s="6" t="s">
        <v>71</v>
      </c>
      <c r="CB63" s="6" t="s">
        <v>71</v>
      </c>
      <c r="CC63" s="6" t="s">
        <v>72</v>
      </c>
    </row>
    <row r="64" spans="1:82">
      <c r="A64" s="5">
        <v>45369.817293043983</v>
      </c>
      <c r="B64" s="6" t="s">
        <v>1216</v>
      </c>
      <c r="C64" s="6" t="s">
        <v>1217</v>
      </c>
      <c r="D64" s="7" t="s">
        <v>1218</v>
      </c>
      <c r="E64" s="6" t="s">
        <v>133</v>
      </c>
      <c r="F64" s="6" t="s">
        <v>1219</v>
      </c>
      <c r="G64" s="6" t="s">
        <v>105</v>
      </c>
      <c r="H64" s="6" t="s">
        <v>1220</v>
      </c>
      <c r="I64" s="6" t="s">
        <v>1221</v>
      </c>
      <c r="J64" s="6" t="s">
        <v>1222</v>
      </c>
      <c r="K64" s="6" t="s">
        <v>1216</v>
      </c>
      <c r="L64" s="6" t="s">
        <v>245</v>
      </c>
      <c r="M64" s="6" t="s">
        <v>1223</v>
      </c>
      <c r="N64" s="6">
        <v>35</v>
      </c>
      <c r="O64" s="6" t="s">
        <v>70</v>
      </c>
      <c r="P64" s="6">
        <v>2</v>
      </c>
      <c r="Q64" s="6">
        <v>3</v>
      </c>
      <c r="R64" s="6">
        <v>80</v>
      </c>
      <c r="S64" s="6" t="s">
        <v>1224</v>
      </c>
      <c r="T64" s="6" t="s">
        <v>72</v>
      </c>
      <c r="U64" s="6" t="s">
        <v>71</v>
      </c>
      <c r="V64" s="7" t="s">
        <v>926</v>
      </c>
      <c r="BK64" s="6" t="s">
        <v>72</v>
      </c>
      <c r="BL64" s="6" t="s">
        <v>72</v>
      </c>
      <c r="BM64" s="6" t="s">
        <v>71</v>
      </c>
      <c r="BN64" s="6" t="s">
        <v>71</v>
      </c>
      <c r="BO64" s="6" t="s">
        <v>72</v>
      </c>
      <c r="BP64" s="6" t="s">
        <v>72</v>
      </c>
      <c r="BQ64" s="6" t="s">
        <v>71</v>
      </c>
      <c r="BR64" s="6" t="s">
        <v>71</v>
      </c>
      <c r="BS64" s="6" t="s">
        <v>71</v>
      </c>
      <c r="BT64" s="6" t="s">
        <v>71</v>
      </c>
      <c r="BU64" s="6" t="s">
        <v>72</v>
      </c>
      <c r="BV64" s="6" t="s">
        <v>72</v>
      </c>
      <c r="BW64" s="6" t="s">
        <v>71</v>
      </c>
      <c r="BX64" s="6" t="s">
        <v>71</v>
      </c>
      <c r="BY64" s="6" t="s">
        <v>71</v>
      </c>
      <c r="BZ64" s="6" t="s">
        <v>71</v>
      </c>
      <c r="CA64" s="6" t="s">
        <v>72</v>
      </c>
      <c r="CB64" s="6" t="s">
        <v>72</v>
      </c>
      <c r="CC64" s="6" t="s">
        <v>72</v>
      </c>
      <c r="CD64" s="6" t="s">
        <v>1225</v>
      </c>
    </row>
    <row r="65" spans="1:88">
      <c r="A65" s="5">
        <v>45369.823601678239</v>
      </c>
      <c r="B65" s="6" t="s">
        <v>1216</v>
      </c>
      <c r="C65" s="6" t="s">
        <v>1217</v>
      </c>
      <c r="D65" s="7" t="s">
        <v>1218</v>
      </c>
      <c r="E65" s="6" t="s">
        <v>133</v>
      </c>
      <c r="F65" s="6" t="s">
        <v>1226</v>
      </c>
      <c r="G65" s="6" t="s">
        <v>105</v>
      </c>
      <c r="H65" s="6" t="s">
        <v>1227</v>
      </c>
      <c r="I65" s="6" t="s">
        <v>1228</v>
      </c>
      <c r="J65" s="6" t="s">
        <v>1229</v>
      </c>
      <c r="K65" s="6" t="s">
        <v>1216</v>
      </c>
      <c r="L65" s="6" t="s">
        <v>245</v>
      </c>
      <c r="M65" s="6" t="s">
        <v>1223</v>
      </c>
      <c r="N65" s="6">
        <v>35</v>
      </c>
      <c r="O65" s="6" t="s">
        <v>70</v>
      </c>
      <c r="P65" s="6">
        <v>2</v>
      </c>
      <c r="Q65" s="6">
        <v>3</v>
      </c>
      <c r="R65" s="6">
        <v>80</v>
      </c>
      <c r="S65" s="6" t="s">
        <v>1230</v>
      </c>
      <c r="T65" s="6" t="s">
        <v>72</v>
      </c>
      <c r="U65" s="6" t="s">
        <v>71</v>
      </c>
      <c r="V65" s="7" t="s">
        <v>926</v>
      </c>
      <c r="BK65" s="6" t="s">
        <v>72</v>
      </c>
      <c r="BL65" s="6" t="s">
        <v>72</v>
      </c>
      <c r="BM65" s="6" t="s">
        <v>71</v>
      </c>
      <c r="BN65" s="6" t="s">
        <v>71</v>
      </c>
      <c r="BO65" s="6" t="s">
        <v>72</v>
      </c>
      <c r="BP65" s="6" t="s">
        <v>72</v>
      </c>
      <c r="BQ65" s="6" t="s">
        <v>71</v>
      </c>
      <c r="BR65" s="6" t="s">
        <v>71</v>
      </c>
      <c r="BS65" s="6" t="s">
        <v>71</v>
      </c>
      <c r="BT65" s="6" t="s">
        <v>71</v>
      </c>
      <c r="BU65" s="6" t="s">
        <v>72</v>
      </c>
      <c r="BV65" s="6" t="s">
        <v>72</v>
      </c>
      <c r="BW65" s="6" t="s">
        <v>71</v>
      </c>
      <c r="BX65" s="6" t="s">
        <v>71</v>
      </c>
      <c r="BY65" s="6" t="s">
        <v>71</v>
      </c>
      <c r="BZ65" s="6" t="s">
        <v>71</v>
      </c>
      <c r="CA65" s="6" t="s">
        <v>72</v>
      </c>
      <c r="CB65" s="6" t="s">
        <v>72</v>
      </c>
      <c r="CC65" s="6" t="s">
        <v>72</v>
      </c>
      <c r="CD65" s="6" t="s">
        <v>1231</v>
      </c>
    </row>
    <row r="66" spans="1:88">
      <c r="A66" s="5">
        <v>45369.909722175929</v>
      </c>
      <c r="B66" s="6" t="s">
        <v>1232</v>
      </c>
      <c r="C66" s="6" t="s">
        <v>1233</v>
      </c>
      <c r="D66" s="7" t="s">
        <v>1234</v>
      </c>
      <c r="E66" s="6" t="s">
        <v>62</v>
      </c>
      <c r="F66" s="6" t="s">
        <v>1235</v>
      </c>
      <c r="G66" s="6" t="s">
        <v>105</v>
      </c>
      <c r="H66" s="6" t="s">
        <v>1236</v>
      </c>
      <c r="I66" s="6" t="s">
        <v>1237</v>
      </c>
      <c r="J66" s="6" t="s">
        <v>1238</v>
      </c>
      <c r="K66" s="6" t="s">
        <v>1232</v>
      </c>
      <c r="L66" s="6" t="s">
        <v>245</v>
      </c>
      <c r="M66" s="6" t="s">
        <v>1239</v>
      </c>
      <c r="N66" s="6">
        <v>35</v>
      </c>
      <c r="O66" s="6" t="s">
        <v>148</v>
      </c>
      <c r="P66" s="6">
        <v>1</v>
      </c>
      <c r="Q66" s="6">
        <v>1</v>
      </c>
      <c r="R66" s="6">
        <v>80</v>
      </c>
      <c r="T66" s="6" t="s">
        <v>71</v>
      </c>
      <c r="U66" s="6" t="s">
        <v>71</v>
      </c>
      <c r="V66" s="7" t="s">
        <v>926</v>
      </c>
      <c r="BK66" s="6" t="s">
        <v>72</v>
      </c>
      <c r="BL66" s="6" t="s">
        <v>71</v>
      </c>
      <c r="BM66" s="6" t="s">
        <v>71</v>
      </c>
      <c r="BN66" s="6" t="s">
        <v>72</v>
      </c>
      <c r="BO66" s="6" t="s">
        <v>71</v>
      </c>
      <c r="BP66" s="6" t="s">
        <v>71</v>
      </c>
      <c r="BQ66" s="6" t="s">
        <v>72</v>
      </c>
      <c r="BR66" s="6" t="s">
        <v>72</v>
      </c>
      <c r="BS66" s="6" t="s">
        <v>72</v>
      </c>
      <c r="BT66" s="6" t="s">
        <v>71</v>
      </c>
      <c r="BU66" s="6" t="s">
        <v>72</v>
      </c>
      <c r="BV66" s="6" t="s">
        <v>72</v>
      </c>
      <c r="BW66" s="6" t="s">
        <v>72</v>
      </c>
      <c r="BX66" s="6" t="s">
        <v>71</v>
      </c>
      <c r="BY66" s="6" t="s">
        <v>71</v>
      </c>
      <c r="BZ66" s="6" t="s">
        <v>72</v>
      </c>
      <c r="CA66" s="6" t="s">
        <v>71</v>
      </c>
      <c r="CB66" s="6" t="s">
        <v>72</v>
      </c>
      <c r="CC66" s="6" t="s">
        <v>71</v>
      </c>
      <c r="CD66" s="6" t="s">
        <v>1240</v>
      </c>
    </row>
    <row r="67" spans="1:88">
      <c r="A67" s="5">
        <v>45364.408420983797</v>
      </c>
      <c r="B67" s="6" t="s">
        <v>1025</v>
      </c>
      <c r="C67" s="6" t="s">
        <v>1026</v>
      </c>
      <c r="D67" s="7" t="s">
        <v>275</v>
      </c>
      <c r="E67" s="6" t="s">
        <v>286</v>
      </c>
      <c r="F67" s="6" t="s">
        <v>1291</v>
      </c>
      <c r="G67" s="6" t="s">
        <v>105</v>
      </c>
      <c r="H67" s="6" t="s">
        <v>1028</v>
      </c>
      <c r="I67" s="6" t="s">
        <v>1309</v>
      </c>
      <c r="J67" s="6" t="s">
        <v>1030</v>
      </c>
      <c r="K67" s="6" t="s">
        <v>1025</v>
      </c>
      <c r="L67" s="6" t="s">
        <v>245</v>
      </c>
      <c r="M67" s="6" t="s">
        <v>1031</v>
      </c>
      <c r="N67" s="6">
        <v>35</v>
      </c>
      <c r="O67" s="6" t="s">
        <v>282</v>
      </c>
      <c r="P67" s="6">
        <v>4</v>
      </c>
      <c r="Q67" s="6">
        <v>3</v>
      </c>
      <c r="R67" s="6">
        <v>50</v>
      </c>
      <c r="T67" s="6" t="s">
        <v>72</v>
      </c>
      <c r="U67" s="6" t="s">
        <v>71</v>
      </c>
      <c r="V67" s="7" t="s">
        <v>926</v>
      </c>
      <c r="BK67" s="6" t="s">
        <v>72</v>
      </c>
      <c r="BL67" s="6" t="s">
        <v>72</v>
      </c>
      <c r="BM67" s="6" t="s">
        <v>72</v>
      </c>
      <c r="BN67" s="6" t="s">
        <v>71</v>
      </c>
      <c r="BO67" s="6" t="s">
        <v>72</v>
      </c>
      <c r="BP67" s="6" t="s">
        <v>72</v>
      </c>
      <c r="BQ67" s="6" t="s">
        <v>72</v>
      </c>
      <c r="BR67" s="6" t="s">
        <v>71</v>
      </c>
      <c r="BS67" s="6" t="s">
        <v>71</v>
      </c>
      <c r="BT67" s="6" t="s">
        <v>71</v>
      </c>
      <c r="BU67" s="6" t="s">
        <v>72</v>
      </c>
      <c r="BV67" s="6" t="s">
        <v>72</v>
      </c>
      <c r="BW67" s="6" t="s">
        <v>72</v>
      </c>
      <c r="BX67" s="6" t="s">
        <v>71</v>
      </c>
      <c r="BY67" s="6" t="s">
        <v>71</v>
      </c>
      <c r="BZ67" s="6" t="s">
        <v>72</v>
      </c>
      <c r="CA67" s="6" t="s">
        <v>72</v>
      </c>
      <c r="CB67" s="6" t="s">
        <v>71</v>
      </c>
      <c r="CC67" s="6" t="s">
        <v>71</v>
      </c>
    </row>
    <row r="68" spans="1:88">
      <c r="A68" s="21">
        <v>45367.537544108796</v>
      </c>
      <c r="B68" s="22" t="s">
        <v>808</v>
      </c>
      <c r="C68" s="22" t="s">
        <v>421</v>
      </c>
      <c r="D68" s="22">
        <v>20116900</v>
      </c>
      <c r="E68" s="22" t="s">
        <v>286</v>
      </c>
      <c r="F68" s="22" t="s">
        <v>422</v>
      </c>
      <c r="G68" s="22" t="s">
        <v>105</v>
      </c>
      <c r="H68" s="22" t="s">
        <v>811</v>
      </c>
      <c r="I68" s="22" t="s">
        <v>812</v>
      </c>
      <c r="J68" s="22" t="s">
        <v>1310</v>
      </c>
      <c r="K68" s="22" t="s">
        <v>808</v>
      </c>
      <c r="L68" s="22" t="s">
        <v>89</v>
      </c>
      <c r="M68" s="22" t="s">
        <v>425</v>
      </c>
      <c r="N68" s="22">
        <v>35</v>
      </c>
      <c r="O68" s="22" t="s">
        <v>282</v>
      </c>
      <c r="P68" s="22">
        <v>5</v>
      </c>
      <c r="Q68" s="22">
        <v>4</v>
      </c>
      <c r="R68" s="22">
        <v>50</v>
      </c>
      <c r="S68" s="25"/>
      <c r="T68" s="22" t="s">
        <v>71</v>
      </c>
      <c r="U68" s="22" t="s">
        <v>72</v>
      </c>
      <c r="V68" s="24" t="s">
        <v>926</v>
      </c>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2" t="s">
        <v>71</v>
      </c>
      <c r="BL68" s="22" t="s">
        <v>72</v>
      </c>
      <c r="BM68" s="22" t="s">
        <v>72</v>
      </c>
      <c r="BN68" s="22" t="s">
        <v>72</v>
      </c>
      <c r="BO68" s="22" t="s">
        <v>72</v>
      </c>
      <c r="BP68" s="22" t="s">
        <v>71</v>
      </c>
      <c r="BQ68" s="22" t="s">
        <v>71</v>
      </c>
      <c r="BR68" s="22" t="s">
        <v>72</v>
      </c>
      <c r="BS68" s="22" t="s">
        <v>72</v>
      </c>
      <c r="BT68" s="22" t="s">
        <v>72</v>
      </c>
      <c r="BU68" s="22" t="s">
        <v>72</v>
      </c>
      <c r="BV68" s="22" t="s">
        <v>71</v>
      </c>
      <c r="BW68" s="22" t="s">
        <v>71</v>
      </c>
      <c r="BX68" s="22" t="s">
        <v>72</v>
      </c>
      <c r="BY68" s="22" t="s">
        <v>72</v>
      </c>
      <c r="BZ68" s="22" t="s">
        <v>71</v>
      </c>
      <c r="CA68" s="22" t="s">
        <v>71</v>
      </c>
      <c r="CB68" s="22" t="s">
        <v>72</v>
      </c>
      <c r="CC68" s="22" t="s">
        <v>72</v>
      </c>
      <c r="CD68" s="25"/>
      <c r="CE68" s="25"/>
      <c r="CF68" s="25"/>
      <c r="CG68" s="25"/>
      <c r="CH68" s="25"/>
      <c r="CI68" s="25"/>
      <c r="CJ68" s="25"/>
    </row>
    <row r="69" spans="1:88">
      <c r="N69" s="17">
        <f>SUM(N2:N66)</f>
        <v>1844</v>
      </c>
    </row>
  </sheetData>
  <autoFilter ref="A1:CJ6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28"/>
  <sheetViews>
    <sheetView workbookViewId="0"/>
  </sheetViews>
  <sheetFormatPr baseColWidth="10" defaultColWidth="12.6640625" defaultRowHeight="15.75" customHeight="1"/>
  <sheetData>
    <row r="1" spans="1:9">
      <c r="A1" s="6" t="s">
        <v>1311</v>
      </c>
      <c r="E1" s="6" t="s">
        <v>1312</v>
      </c>
      <c r="F1" s="6" t="s">
        <v>1313</v>
      </c>
      <c r="G1" s="6" t="s">
        <v>1314</v>
      </c>
    </row>
    <row r="2" spans="1:9">
      <c r="A2" s="63" t="s">
        <v>1315</v>
      </c>
      <c r="E2" s="17">
        <f>450+90+300</f>
        <v>840</v>
      </c>
      <c r="F2" s="6">
        <v>0</v>
      </c>
      <c r="G2" s="17">
        <f>SUM(E2:F2)</f>
        <v>840</v>
      </c>
    </row>
    <row r="3" spans="1:9">
      <c r="A3" s="64" t="s">
        <v>1316</v>
      </c>
    </row>
    <row r="4" spans="1:9">
      <c r="A4" s="64" t="s">
        <v>1317</v>
      </c>
    </row>
    <row r="5" spans="1:9">
      <c r="A5" s="65"/>
    </row>
    <row r="6" spans="1:9">
      <c r="A6" s="63" t="s">
        <v>1318</v>
      </c>
      <c r="E6" s="17">
        <f>90+45+45+60+90+500</f>
        <v>830</v>
      </c>
      <c r="F6" s="17">
        <f>30+30+30</f>
        <v>90</v>
      </c>
      <c r="G6" s="17">
        <f>SUM(E6:F6)</f>
        <v>920</v>
      </c>
      <c r="I6" s="6" t="s">
        <v>1319</v>
      </c>
    </row>
    <row r="7" spans="1:9">
      <c r="A7" s="64" t="s">
        <v>1320</v>
      </c>
    </row>
    <row r="8" spans="1:9">
      <c r="A8" s="64" t="s">
        <v>1321</v>
      </c>
    </row>
    <row r="9" spans="1:9">
      <c r="A9" s="64" t="s">
        <v>1322</v>
      </c>
    </row>
    <row r="10" spans="1:9">
      <c r="A10" s="65"/>
    </row>
    <row r="11" spans="1:9">
      <c r="A11" s="64" t="s">
        <v>1323</v>
      </c>
      <c r="E11" s="17">
        <f>450+45+45+400</f>
        <v>940</v>
      </c>
      <c r="F11" s="6">
        <v>60</v>
      </c>
      <c r="G11" s="17">
        <f>SUM(E11:F11)</f>
        <v>1000</v>
      </c>
    </row>
    <row r="12" spans="1:9">
      <c r="A12" s="64" t="s">
        <v>1324</v>
      </c>
    </row>
    <row r="13" spans="1:9">
      <c r="A13" s="65"/>
    </row>
    <row r="14" spans="1:9">
      <c r="A14" s="64" t="s">
        <v>1325</v>
      </c>
      <c r="E14" s="17">
        <f>450+45+400</f>
        <v>895</v>
      </c>
      <c r="F14" s="6">
        <v>60</v>
      </c>
      <c r="G14" s="17">
        <f>SUM(E14:F14)</f>
        <v>955</v>
      </c>
    </row>
    <row r="15" spans="1:9">
      <c r="A15" s="65"/>
    </row>
    <row r="16" spans="1:9">
      <c r="A16" s="63" t="s">
        <v>1326</v>
      </c>
      <c r="E16" s="6">
        <v>400</v>
      </c>
      <c r="F16" s="6">
        <v>90</v>
      </c>
      <c r="G16" s="17">
        <f>SUM(E16:F16)</f>
        <v>490</v>
      </c>
    </row>
    <row r="17" spans="1:1">
      <c r="A17" s="64"/>
    </row>
    <row r="18" spans="1:1">
      <c r="A18" s="64" t="s">
        <v>1327</v>
      </c>
    </row>
    <row r="19" spans="1:1">
      <c r="A19" s="64" t="s">
        <v>1328</v>
      </c>
    </row>
    <row r="20" spans="1:1">
      <c r="A20" s="64" t="s">
        <v>1329</v>
      </c>
    </row>
    <row r="21" spans="1:1">
      <c r="A21" s="64" t="s">
        <v>1330</v>
      </c>
    </row>
    <row r="22" spans="1:1">
      <c r="A22" s="65"/>
    </row>
    <row r="23" spans="1:1">
      <c r="A23" s="64" t="s">
        <v>1331</v>
      </c>
    </row>
    <row r="24" spans="1:1">
      <c r="A24" s="64" t="s">
        <v>1332</v>
      </c>
    </row>
    <row r="25" spans="1:1">
      <c r="A25" s="64" t="s">
        <v>1333</v>
      </c>
    </row>
    <row r="26" spans="1:1">
      <c r="A26" s="64" t="s">
        <v>1334</v>
      </c>
    </row>
    <row r="27" spans="1:1">
      <c r="A27" s="64" t="s">
        <v>1335</v>
      </c>
    </row>
    <row r="28" spans="1:1">
      <c r="A28" s="64" t="s">
        <v>1336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93"/>
  <sheetViews>
    <sheetView workbookViewId="0"/>
  </sheetViews>
  <sheetFormatPr baseColWidth="10" defaultColWidth="12.6640625" defaultRowHeight="15.75" customHeight="1"/>
  <cols>
    <col min="1" max="1" width="76.44140625" customWidth="1"/>
  </cols>
  <sheetData>
    <row r="1" spans="1:1">
      <c r="A1" s="66" t="s">
        <v>367</v>
      </c>
    </row>
    <row r="2" spans="1:1">
      <c r="A2" s="67" t="s">
        <v>412</v>
      </c>
    </row>
    <row r="3" spans="1:1">
      <c r="A3" s="67" t="s">
        <v>175</v>
      </c>
    </row>
    <row r="4" spans="1:1">
      <c r="A4" s="67" t="s">
        <v>131</v>
      </c>
    </row>
    <row r="5" spans="1:1">
      <c r="A5" s="67" t="s">
        <v>142</v>
      </c>
    </row>
    <row r="6" spans="1:1">
      <c r="A6" s="67" t="s">
        <v>114</v>
      </c>
    </row>
    <row r="7" spans="1:1">
      <c r="A7" s="67" t="s">
        <v>648</v>
      </c>
    </row>
    <row r="8" spans="1:1">
      <c r="A8" s="67" t="s">
        <v>474</v>
      </c>
    </row>
    <row r="9" spans="1:1">
      <c r="A9" s="67" t="s">
        <v>226</v>
      </c>
    </row>
    <row r="10" spans="1:1">
      <c r="A10" s="67" t="s">
        <v>485</v>
      </c>
    </row>
    <row r="11" spans="1:1">
      <c r="A11" s="67" t="s">
        <v>353</v>
      </c>
    </row>
    <row r="12" spans="1:1">
      <c r="A12" s="67" t="s">
        <v>196</v>
      </c>
    </row>
    <row r="13" spans="1:1">
      <c r="A13" s="67" t="s">
        <v>1308</v>
      </c>
    </row>
    <row r="14" spans="1:1">
      <c r="A14" s="67" t="s">
        <v>421</v>
      </c>
    </row>
    <row r="15" spans="1:1">
      <c r="A15" s="67" t="s">
        <v>253</v>
      </c>
    </row>
    <row r="16" spans="1:1">
      <c r="A16" s="67" t="s">
        <v>210</v>
      </c>
    </row>
    <row r="17" spans="1:1">
      <c r="A17" s="67" t="s">
        <v>479</v>
      </c>
    </row>
    <row r="18" spans="1:1">
      <c r="A18" s="67" t="s">
        <v>386</v>
      </c>
    </row>
    <row r="19" spans="1:1">
      <c r="A19" s="67" t="s">
        <v>240</v>
      </c>
    </row>
    <row r="20" spans="1:1">
      <c r="A20" s="67" t="s">
        <v>378</v>
      </c>
    </row>
    <row r="21" spans="1:1">
      <c r="A21" s="67" t="s">
        <v>274</v>
      </c>
    </row>
    <row r="22" spans="1:1">
      <c r="A22" s="67" t="s">
        <v>309</v>
      </c>
    </row>
    <row r="23" spans="1:1">
      <c r="A23" s="67" t="s">
        <v>642</v>
      </c>
    </row>
    <row r="24" spans="1:1">
      <c r="A24" s="67" t="s">
        <v>396</v>
      </c>
    </row>
    <row r="25" spans="1:1">
      <c r="A25" s="67" t="s">
        <v>878</v>
      </c>
    </row>
    <row r="26" spans="1:1">
      <c r="A26" s="67" t="s">
        <v>82</v>
      </c>
    </row>
    <row r="27" spans="1:1">
      <c r="A27" s="67" t="s">
        <v>406</v>
      </c>
    </row>
    <row r="28" spans="1:1">
      <c r="A28" s="67" t="s">
        <v>292</v>
      </c>
    </row>
    <row r="29" spans="1:1">
      <c r="A29" s="67" t="s">
        <v>613</v>
      </c>
    </row>
    <row r="30" spans="1:1">
      <c r="A30" s="67" t="s">
        <v>233</v>
      </c>
    </row>
    <row r="31" spans="1:1">
      <c r="A31" s="67" t="s">
        <v>496</v>
      </c>
    </row>
    <row r="32" spans="1:1">
      <c r="A32" s="67" t="s">
        <v>316</v>
      </c>
    </row>
    <row r="33" spans="1:1">
      <c r="A33" s="67" t="s">
        <v>60</v>
      </c>
    </row>
    <row r="34" spans="1:1">
      <c r="A34" s="67" t="s">
        <v>166</v>
      </c>
    </row>
    <row r="35" spans="1:1">
      <c r="A35" s="67" t="s">
        <v>303</v>
      </c>
    </row>
    <row r="36" spans="1:1">
      <c r="A36" s="67" t="s">
        <v>905</v>
      </c>
    </row>
    <row r="37" spans="1:1">
      <c r="A37" s="67" t="s">
        <v>689</v>
      </c>
    </row>
    <row r="38" spans="1:1">
      <c r="A38" s="67" t="s">
        <v>124</v>
      </c>
    </row>
    <row r="39" spans="1:1">
      <c r="A39" s="67" t="s">
        <v>219</v>
      </c>
    </row>
    <row r="40" spans="1:1">
      <c r="A40" s="67" t="s">
        <v>893</v>
      </c>
    </row>
    <row r="41" spans="1:1">
      <c r="A41" s="67" t="s">
        <v>504</v>
      </c>
    </row>
    <row r="42" spans="1:1">
      <c r="A42" s="67" t="s">
        <v>870</v>
      </c>
    </row>
    <row r="43" spans="1:1">
      <c r="A43" s="67" t="s">
        <v>1300</v>
      </c>
    </row>
    <row r="46" spans="1:1">
      <c r="A46" s="68" t="s">
        <v>625</v>
      </c>
    </row>
    <row r="47" spans="1:1">
      <c r="A47" s="69" t="s">
        <v>886</v>
      </c>
    </row>
    <row r="48" spans="1:1">
      <c r="A48" s="69" t="s">
        <v>935</v>
      </c>
    </row>
    <row r="49" spans="1:1">
      <c r="A49" s="69" t="s">
        <v>1114</v>
      </c>
    </row>
    <row r="50" spans="1:1">
      <c r="A50" s="69" t="s">
        <v>1130</v>
      </c>
    </row>
    <row r="51" spans="1:1">
      <c r="A51" s="69" t="s">
        <v>920</v>
      </c>
    </row>
    <row r="52" spans="1:1">
      <c r="A52" s="69" t="s">
        <v>726</v>
      </c>
    </row>
    <row r="53" spans="1:1">
      <c r="A53" s="69" t="s">
        <v>958</v>
      </c>
    </row>
    <row r="54" spans="1:1">
      <c r="A54" s="69" t="s">
        <v>1006</v>
      </c>
    </row>
    <row r="55" spans="1:1">
      <c r="A55" s="69" t="s">
        <v>1217</v>
      </c>
    </row>
    <row r="56" spans="1:1">
      <c r="A56" s="69" t="s">
        <v>1055</v>
      </c>
    </row>
    <row r="57" spans="1:1">
      <c r="A57" s="69" t="s">
        <v>1017</v>
      </c>
    </row>
    <row r="58" spans="1:1">
      <c r="A58" s="69" t="s">
        <v>1144</v>
      </c>
    </row>
    <row r="59" spans="1:1">
      <c r="A59" s="69" t="s">
        <v>988</v>
      </c>
    </row>
    <row r="60" spans="1:1">
      <c r="A60" s="69" t="s">
        <v>1074</v>
      </c>
    </row>
    <row r="61" spans="1:1">
      <c r="A61" s="69" t="s">
        <v>779</v>
      </c>
    </row>
    <row r="62" spans="1:1">
      <c r="A62" s="69" t="s">
        <v>929</v>
      </c>
    </row>
    <row r="63" spans="1:1">
      <c r="A63" s="69" t="s">
        <v>421</v>
      </c>
    </row>
    <row r="64" spans="1:1">
      <c r="A64" s="69" t="s">
        <v>733</v>
      </c>
    </row>
    <row r="65" spans="1:1">
      <c r="A65" s="69" t="s">
        <v>210</v>
      </c>
    </row>
    <row r="66" spans="1:1">
      <c r="A66" s="69" t="s">
        <v>836</v>
      </c>
    </row>
    <row r="67" spans="1:1">
      <c r="A67" s="69" t="s">
        <v>1122</v>
      </c>
    </row>
    <row r="68" spans="1:1">
      <c r="A68" s="69" t="s">
        <v>710</v>
      </c>
    </row>
    <row r="69" spans="1:1">
      <c r="A69" s="69" t="s">
        <v>942</v>
      </c>
    </row>
    <row r="70" spans="1:1">
      <c r="A70" s="69" t="s">
        <v>633</v>
      </c>
    </row>
    <row r="71" spans="1:1">
      <c r="A71" s="69" t="s">
        <v>1026</v>
      </c>
    </row>
    <row r="72" spans="1:1">
      <c r="A72" s="69" t="s">
        <v>1233</v>
      </c>
    </row>
    <row r="73" spans="1:1">
      <c r="A73" s="69" t="s">
        <v>1172</v>
      </c>
    </row>
    <row r="74" spans="1:1">
      <c r="A74" s="69" t="s">
        <v>1205</v>
      </c>
    </row>
    <row r="75" spans="1:1">
      <c r="A75" s="69" t="s">
        <v>748</v>
      </c>
    </row>
    <row r="76" spans="1:1">
      <c r="A76" s="69" t="s">
        <v>1209</v>
      </c>
    </row>
    <row r="77" spans="1:1">
      <c r="A77" s="69" t="s">
        <v>1041</v>
      </c>
    </row>
    <row r="78" spans="1:1">
      <c r="A78" s="69" t="s">
        <v>751</v>
      </c>
    </row>
    <row r="79" spans="1:1">
      <c r="A79" s="69" t="s">
        <v>569</v>
      </c>
    </row>
    <row r="80" spans="1:1">
      <c r="A80" s="69" t="s">
        <v>973</v>
      </c>
    </row>
    <row r="81" spans="1:1">
      <c r="A81" s="69" t="s">
        <v>768</v>
      </c>
    </row>
    <row r="82" spans="1:1">
      <c r="A82" s="69" t="s">
        <v>983</v>
      </c>
    </row>
    <row r="83" spans="1:1">
      <c r="A83" s="69" t="s">
        <v>862</v>
      </c>
    </row>
    <row r="84" spans="1:1">
      <c r="A84" s="69" t="s">
        <v>965</v>
      </c>
    </row>
    <row r="85" spans="1:1">
      <c r="A85" s="69" t="s">
        <v>587</v>
      </c>
    </row>
    <row r="86" spans="1:1">
      <c r="A86" s="69" t="s">
        <v>739</v>
      </c>
    </row>
    <row r="87" spans="1:1">
      <c r="A87" s="69" t="s">
        <v>960</v>
      </c>
    </row>
    <row r="88" spans="1:1">
      <c r="A88" s="69" t="s">
        <v>1091</v>
      </c>
    </row>
    <row r="89" spans="1:1">
      <c r="A89" s="69" t="s">
        <v>1134</v>
      </c>
    </row>
    <row r="90" spans="1:1">
      <c r="A90" s="69" t="s">
        <v>203</v>
      </c>
    </row>
    <row r="91" spans="1:1">
      <c r="A91" s="69" t="s">
        <v>1097</v>
      </c>
    </row>
    <row r="92" spans="1:1">
      <c r="A92" s="69" t="s">
        <v>1152</v>
      </c>
    </row>
    <row r="93" spans="1:1">
      <c r="A93" s="69" t="s">
        <v>1195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89"/>
  <sheetViews>
    <sheetView workbookViewId="0"/>
  </sheetViews>
  <sheetFormatPr baseColWidth="10" defaultColWidth="12.6640625" defaultRowHeight="15.75" customHeight="1"/>
  <cols>
    <col min="1" max="1" width="95.21875" customWidth="1"/>
  </cols>
  <sheetData>
    <row r="1" spans="1:1">
      <c r="A1" s="66" t="s">
        <v>367</v>
      </c>
    </row>
    <row r="2" spans="1:1">
      <c r="A2" s="67" t="s">
        <v>412</v>
      </c>
    </row>
    <row r="3" spans="1:1">
      <c r="A3" s="67" t="s">
        <v>175</v>
      </c>
    </row>
    <row r="4" spans="1:1">
      <c r="A4" s="67" t="s">
        <v>131</v>
      </c>
    </row>
    <row r="5" spans="1:1">
      <c r="A5" s="67" t="s">
        <v>142</v>
      </c>
    </row>
    <row r="6" spans="1:1">
      <c r="A6" s="67" t="s">
        <v>114</v>
      </c>
    </row>
    <row r="7" spans="1:1">
      <c r="A7" s="67" t="s">
        <v>648</v>
      </c>
    </row>
    <row r="8" spans="1:1">
      <c r="A8" s="67" t="s">
        <v>474</v>
      </c>
    </row>
    <row r="9" spans="1:1">
      <c r="A9" s="67" t="s">
        <v>226</v>
      </c>
    </row>
    <row r="10" spans="1:1">
      <c r="A10" s="67" t="s">
        <v>485</v>
      </c>
    </row>
    <row r="11" spans="1:1">
      <c r="A11" s="67" t="s">
        <v>353</v>
      </c>
    </row>
    <row r="12" spans="1:1">
      <c r="A12" s="67" t="s">
        <v>196</v>
      </c>
    </row>
    <row r="13" spans="1:1">
      <c r="A13" s="67" t="s">
        <v>1308</v>
      </c>
    </row>
    <row r="14" spans="1:1">
      <c r="A14" s="67" t="s">
        <v>421</v>
      </c>
    </row>
    <row r="15" spans="1:1">
      <c r="A15" s="67" t="s">
        <v>253</v>
      </c>
    </row>
    <row r="16" spans="1:1">
      <c r="A16" s="67" t="s">
        <v>210</v>
      </c>
    </row>
    <row r="17" spans="1:1">
      <c r="A17" s="67" t="s">
        <v>479</v>
      </c>
    </row>
    <row r="18" spans="1:1">
      <c r="A18" s="67" t="s">
        <v>386</v>
      </c>
    </row>
    <row r="19" spans="1:1">
      <c r="A19" s="67" t="s">
        <v>240</v>
      </c>
    </row>
    <row r="20" spans="1:1">
      <c r="A20" s="67" t="s">
        <v>378</v>
      </c>
    </row>
    <row r="21" spans="1:1">
      <c r="A21" s="67" t="s">
        <v>274</v>
      </c>
    </row>
    <row r="22" spans="1:1">
      <c r="A22" s="67" t="s">
        <v>309</v>
      </c>
    </row>
    <row r="23" spans="1:1">
      <c r="A23" s="67" t="s">
        <v>642</v>
      </c>
    </row>
    <row r="24" spans="1:1">
      <c r="A24" s="67" t="s">
        <v>396</v>
      </c>
    </row>
    <row r="25" spans="1:1">
      <c r="A25" s="67" t="s">
        <v>878</v>
      </c>
    </row>
    <row r="26" spans="1:1">
      <c r="A26" s="67" t="s">
        <v>82</v>
      </c>
    </row>
    <row r="27" spans="1:1">
      <c r="A27" s="67" t="s">
        <v>406</v>
      </c>
    </row>
    <row r="28" spans="1:1">
      <c r="A28" s="67" t="s">
        <v>292</v>
      </c>
    </row>
    <row r="29" spans="1:1">
      <c r="A29" s="67" t="s">
        <v>613</v>
      </c>
    </row>
    <row r="30" spans="1:1">
      <c r="A30" s="67" t="s">
        <v>233</v>
      </c>
    </row>
    <row r="31" spans="1:1">
      <c r="A31" s="67" t="s">
        <v>496</v>
      </c>
    </row>
    <row r="32" spans="1:1">
      <c r="A32" s="67" t="s">
        <v>316</v>
      </c>
    </row>
    <row r="33" spans="1:1">
      <c r="A33" s="67" t="s">
        <v>60</v>
      </c>
    </row>
    <row r="34" spans="1:1">
      <c r="A34" s="67" t="s">
        <v>166</v>
      </c>
    </row>
    <row r="35" spans="1:1">
      <c r="A35" s="67" t="s">
        <v>303</v>
      </c>
    </row>
    <row r="36" spans="1:1">
      <c r="A36" s="67" t="s">
        <v>905</v>
      </c>
    </row>
    <row r="37" spans="1:1">
      <c r="A37" s="67" t="s">
        <v>689</v>
      </c>
    </row>
    <row r="38" spans="1:1">
      <c r="A38" s="67" t="s">
        <v>124</v>
      </c>
    </row>
    <row r="39" spans="1:1">
      <c r="A39" s="67" t="s">
        <v>219</v>
      </c>
    </row>
    <row r="40" spans="1:1">
      <c r="A40" s="67" t="s">
        <v>893</v>
      </c>
    </row>
    <row r="41" spans="1:1">
      <c r="A41" s="67" t="s">
        <v>504</v>
      </c>
    </row>
    <row r="42" spans="1:1">
      <c r="A42" s="67" t="s">
        <v>870</v>
      </c>
    </row>
    <row r="43" spans="1:1">
      <c r="A43" s="67" t="s">
        <v>1300</v>
      </c>
    </row>
    <row r="44" spans="1:1">
      <c r="A44" s="70" t="s">
        <v>625</v>
      </c>
    </row>
    <row r="45" spans="1:1">
      <c r="A45" s="68" t="s">
        <v>886</v>
      </c>
    </row>
    <row r="46" spans="1:1">
      <c r="A46" s="69" t="s">
        <v>935</v>
      </c>
    </row>
    <row r="47" spans="1:1">
      <c r="A47" s="69" t="s">
        <v>1114</v>
      </c>
    </row>
    <row r="48" spans="1:1">
      <c r="A48" s="69" t="s">
        <v>1130</v>
      </c>
    </row>
    <row r="49" spans="1:1">
      <c r="A49" s="69" t="s">
        <v>920</v>
      </c>
    </row>
    <row r="50" spans="1:1">
      <c r="A50" s="69" t="s">
        <v>726</v>
      </c>
    </row>
    <row r="51" spans="1:1">
      <c r="A51" s="69" t="s">
        <v>958</v>
      </c>
    </row>
    <row r="52" spans="1:1">
      <c r="A52" s="69" t="s">
        <v>1006</v>
      </c>
    </row>
    <row r="53" spans="1:1">
      <c r="A53" s="69" t="s">
        <v>1217</v>
      </c>
    </row>
    <row r="54" spans="1:1">
      <c r="A54" s="69" t="s">
        <v>1055</v>
      </c>
    </row>
    <row r="55" spans="1:1">
      <c r="A55" s="69" t="s">
        <v>1017</v>
      </c>
    </row>
    <row r="56" spans="1:1">
      <c r="A56" s="69" t="s">
        <v>1144</v>
      </c>
    </row>
    <row r="57" spans="1:1">
      <c r="A57" s="69" t="s">
        <v>988</v>
      </c>
    </row>
    <row r="58" spans="1:1">
      <c r="A58" s="69" t="s">
        <v>1074</v>
      </c>
    </row>
    <row r="59" spans="1:1">
      <c r="A59" s="69" t="s">
        <v>779</v>
      </c>
    </row>
    <row r="60" spans="1:1">
      <c r="A60" s="69" t="s">
        <v>929</v>
      </c>
    </row>
    <row r="61" spans="1:1">
      <c r="A61" s="69" t="s">
        <v>733</v>
      </c>
    </row>
    <row r="62" spans="1:1">
      <c r="A62" s="69" t="s">
        <v>836</v>
      </c>
    </row>
    <row r="63" spans="1:1">
      <c r="A63" s="69" t="s">
        <v>1122</v>
      </c>
    </row>
    <row r="64" spans="1:1">
      <c r="A64" s="69" t="s">
        <v>710</v>
      </c>
    </row>
    <row r="65" spans="1:1">
      <c r="A65" s="69" t="s">
        <v>942</v>
      </c>
    </row>
    <row r="66" spans="1:1">
      <c r="A66" s="69" t="s">
        <v>633</v>
      </c>
    </row>
    <row r="67" spans="1:1">
      <c r="A67" s="69" t="s">
        <v>1026</v>
      </c>
    </row>
    <row r="68" spans="1:1">
      <c r="A68" s="69" t="s">
        <v>1233</v>
      </c>
    </row>
    <row r="69" spans="1:1">
      <c r="A69" s="69" t="s">
        <v>1172</v>
      </c>
    </row>
    <row r="70" spans="1:1">
      <c r="A70" s="69" t="s">
        <v>1205</v>
      </c>
    </row>
    <row r="71" spans="1:1">
      <c r="A71" s="69" t="s">
        <v>748</v>
      </c>
    </row>
    <row r="72" spans="1:1">
      <c r="A72" s="69" t="s">
        <v>1209</v>
      </c>
    </row>
    <row r="73" spans="1:1">
      <c r="A73" s="69" t="s">
        <v>1041</v>
      </c>
    </row>
    <row r="74" spans="1:1">
      <c r="A74" s="69" t="s">
        <v>751</v>
      </c>
    </row>
    <row r="75" spans="1:1">
      <c r="A75" s="69" t="s">
        <v>569</v>
      </c>
    </row>
    <row r="76" spans="1:1">
      <c r="A76" s="69" t="s">
        <v>973</v>
      </c>
    </row>
    <row r="77" spans="1:1">
      <c r="A77" s="69" t="s">
        <v>768</v>
      </c>
    </row>
    <row r="78" spans="1:1">
      <c r="A78" s="69" t="s">
        <v>983</v>
      </c>
    </row>
    <row r="79" spans="1:1">
      <c r="A79" s="69" t="s">
        <v>862</v>
      </c>
    </row>
    <row r="80" spans="1:1">
      <c r="A80" s="69" t="s">
        <v>965</v>
      </c>
    </row>
    <row r="81" spans="1:1">
      <c r="A81" s="69" t="s">
        <v>587</v>
      </c>
    </row>
    <row r="82" spans="1:1">
      <c r="A82" s="69" t="s">
        <v>739</v>
      </c>
    </row>
    <row r="83" spans="1:1">
      <c r="A83" s="69" t="s">
        <v>960</v>
      </c>
    </row>
    <row r="84" spans="1:1">
      <c r="A84" s="69" t="s">
        <v>1091</v>
      </c>
    </row>
    <row r="85" spans="1:1">
      <c r="A85" s="69" t="s">
        <v>1134</v>
      </c>
    </row>
    <row r="86" spans="1:1">
      <c r="A86" s="69" t="s">
        <v>203</v>
      </c>
    </row>
    <row r="87" spans="1:1">
      <c r="A87" s="69" t="s">
        <v>1097</v>
      </c>
    </row>
    <row r="88" spans="1:1">
      <c r="A88" s="69" t="s">
        <v>1152</v>
      </c>
    </row>
    <row r="89" spans="1:1">
      <c r="A89" s="69" t="s">
        <v>1195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V7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3" max="3" width="43.109375" customWidth="1"/>
  </cols>
  <sheetData>
    <row r="1" spans="1:48" ht="63.75" customHeight="1">
      <c r="A1" s="19" t="s">
        <v>0</v>
      </c>
      <c r="B1" s="19" t="s">
        <v>1</v>
      </c>
      <c r="C1" s="19" t="s">
        <v>2</v>
      </c>
      <c r="D1" s="19" t="s">
        <v>1241</v>
      </c>
      <c r="E1" s="19" t="s">
        <v>1242</v>
      </c>
      <c r="F1" s="19" t="s">
        <v>5</v>
      </c>
      <c r="G1" s="19" t="s">
        <v>6</v>
      </c>
      <c r="H1" s="19" t="s">
        <v>7</v>
      </c>
      <c r="I1" s="19" t="s">
        <v>8</v>
      </c>
      <c r="J1" s="19" t="s">
        <v>9</v>
      </c>
      <c r="K1" s="19" t="s">
        <v>10</v>
      </c>
      <c r="L1" s="19" t="s">
        <v>1243</v>
      </c>
      <c r="M1" s="19" t="s">
        <v>12</v>
      </c>
      <c r="N1" s="19" t="s">
        <v>1244</v>
      </c>
      <c r="O1" s="19" t="s">
        <v>1245</v>
      </c>
      <c r="P1" s="19" t="s">
        <v>15</v>
      </c>
      <c r="Q1" s="19" t="s">
        <v>16</v>
      </c>
      <c r="R1" s="19" t="s">
        <v>1246</v>
      </c>
      <c r="S1" s="19" t="s">
        <v>18</v>
      </c>
      <c r="T1" s="19" t="s">
        <v>19</v>
      </c>
      <c r="U1" s="19" t="s">
        <v>20</v>
      </c>
      <c r="V1" s="19" t="s">
        <v>1247</v>
      </c>
      <c r="W1" s="19" t="s">
        <v>1248</v>
      </c>
      <c r="X1" s="19" t="s">
        <v>1249</v>
      </c>
      <c r="Y1" s="19" t="s">
        <v>1250</v>
      </c>
      <c r="Z1" s="19" t="s">
        <v>1251</v>
      </c>
      <c r="AA1" s="19" t="s">
        <v>26</v>
      </c>
      <c r="AB1" s="19" t="s">
        <v>27</v>
      </c>
      <c r="AC1" s="19" t="s">
        <v>28</v>
      </c>
      <c r="AD1" s="19" t="s">
        <v>29</v>
      </c>
      <c r="AE1" s="19" t="s">
        <v>30</v>
      </c>
      <c r="AF1" s="19" t="s">
        <v>31</v>
      </c>
      <c r="AG1" s="19" t="s">
        <v>32</v>
      </c>
      <c r="AH1" s="19" t="s">
        <v>33</v>
      </c>
      <c r="AI1" s="19" t="s">
        <v>34</v>
      </c>
      <c r="AJ1" s="19" t="s">
        <v>35</v>
      </c>
      <c r="AK1" s="19" t="s">
        <v>36</v>
      </c>
      <c r="AL1" s="19" t="s">
        <v>42</v>
      </c>
      <c r="AM1" s="19" t="s">
        <v>43</v>
      </c>
      <c r="AN1" s="19" t="s">
        <v>44</v>
      </c>
      <c r="AO1" s="19" t="s">
        <v>45</v>
      </c>
      <c r="AP1" s="19" t="s">
        <v>46</v>
      </c>
      <c r="AQ1" s="71"/>
      <c r="AR1" s="71"/>
      <c r="AS1" s="71"/>
      <c r="AT1" s="71"/>
      <c r="AU1" s="71"/>
      <c r="AV1" s="71"/>
    </row>
    <row r="2" spans="1:48" ht="13.2">
      <c r="A2" s="21">
        <v>45364.395298090283</v>
      </c>
      <c r="B2" s="22" t="s">
        <v>680</v>
      </c>
      <c r="C2" s="22" t="s">
        <v>575</v>
      </c>
      <c r="D2" s="22">
        <v>61</v>
      </c>
      <c r="E2" s="22" t="s">
        <v>133</v>
      </c>
      <c r="F2" s="22" t="s">
        <v>345</v>
      </c>
      <c r="G2" s="22" t="s">
        <v>64</v>
      </c>
      <c r="H2" s="22" t="s">
        <v>683</v>
      </c>
      <c r="I2" s="22" t="s">
        <v>684</v>
      </c>
      <c r="J2" s="22" t="s">
        <v>1024</v>
      </c>
      <c r="K2" s="22" t="s">
        <v>680</v>
      </c>
      <c r="L2" s="22" t="s">
        <v>89</v>
      </c>
      <c r="M2" s="22" t="s">
        <v>686</v>
      </c>
      <c r="N2" s="22">
        <v>0</v>
      </c>
      <c r="O2" s="22" t="s">
        <v>148</v>
      </c>
      <c r="P2" s="22">
        <v>4</v>
      </c>
      <c r="Q2" s="22">
        <v>4</v>
      </c>
      <c r="R2" s="22">
        <v>10</v>
      </c>
      <c r="S2" s="25"/>
      <c r="T2" s="22" t="s">
        <v>71</v>
      </c>
      <c r="U2" s="22" t="s">
        <v>72</v>
      </c>
      <c r="V2" s="24" t="s">
        <v>926</v>
      </c>
      <c r="W2" s="26">
        <f>IF('CRUDO JUEVES'!BK21="Si",$N2,)</f>
        <v>0</v>
      </c>
      <c r="X2" s="26">
        <f>IF('CRUDO JUEVES'!BL21="Si",$N2,)</f>
        <v>0</v>
      </c>
      <c r="Y2" s="26">
        <f>IF('CRUDO JUEVES'!BM21="Si",$N2,)</f>
        <v>0</v>
      </c>
      <c r="Z2" s="26">
        <f>IF('CRUDO JUEVES'!BN21="Si",$N2,)</f>
        <v>0</v>
      </c>
      <c r="AA2" s="26">
        <f>IF('CRUDO JUEVES'!BO21="Si",$N2,)</f>
        <v>0</v>
      </c>
      <c r="AB2" s="26">
        <f>IF('CRUDO JUEVES'!BP21="Si",$N2,)</f>
        <v>0</v>
      </c>
      <c r="AC2" s="26">
        <f>IF('CRUDO JUEVES'!BQ21="Si",$N2,)</f>
        <v>0</v>
      </c>
      <c r="AD2" s="26">
        <f>IF('CRUDO JUEVES'!BR21="Si",$N2,)</f>
        <v>0</v>
      </c>
      <c r="AE2" s="26">
        <f>IF('CRUDO JUEVES'!BS21="Si",$N2,)</f>
        <v>0</v>
      </c>
      <c r="AF2" s="26">
        <f>IF('CRUDO JUEVES'!BT21="Si",$N2,)</f>
        <v>0</v>
      </c>
      <c r="AG2" s="26">
        <f>IF('CRUDO JUEVES'!BU21="Si",$N2,)</f>
        <v>0</v>
      </c>
      <c r="AH2" s="26">
        <f>IF('CRUDO JUEVES'!BV21="Si",$N2,)</f>
        <v>0</v>
      </c>
      <c r="AI2" s="26">
        <f>IF('CRUDO JUEVES'!BW21="Si",$N2,)</f>
        <v>0</v>
      </c>
      <c r="AJ2" s="26">
        <f>IF('CRUDO JUEVES'!BX21="Si",$N2,)</f>
        <v>0</v>
      </c>
      <c r="AK2" s="26">
        <f>IF('CRUDO JUEVES'!BY21="Si",$N2,)</f>
        <v>0</v>
      </c>
      <c r="AL2" s="26">
        <f>IF('CRUDO JUEVES'!BZ21="Si",$N2,)</f>
        <v>0</v>
      </c>
      <c r="AM2" s="26">
        <f>IF('CRUDO JUEVES'!CA21="Si",$N2,)</f>
        <v>0</v>
      </c>
      <c r="AN2" s="26">
        <f>IF('CRUDO JUEVES'!CB21="Si",$N2,)</f>
        <v>0</v>
      </c>
      <c r="AO2" s="26">
        <f>IF('CRUDO JUEVES'!CC21="Si",$N2,)</f>
        <v>0</v>
      </c>
      <c r="AP2" s="25"/>
      <c r="AQ2" s="25"/>
      <c r="AR2" s="25"/>
      <c r="AS2" s="25"/>
      <c r="AT2" s="25"/>
      <c r="AU2" s="25"/>
      <c r="AV2" s="25"/>
    </row>
    <row r="3" spans="1:48" ht="13.2">
      <c r="A3" s="13">
        <v>45365.572138888892</v>
      </c>
      <c r="B3" s="14" t="s">
        <v>1096</v>
      </c>
      <c r="C3" s="14" t="s">
        <v>1097</v>
      </c>
      <c r="D3" s="14">
        <v>200883</v>
      </c>
      <c r="E3" s="14" t="s">
        <v>62</v>
      </c>
      <c r="F3" s="14" t="s">
        <v>1098</v>
      </c>
      <c r="G3" s="14" t="s">
        <v>105</v>
      </c>
      <c r="H3" s="14" t="s">
        <v>1099</v>
      </c>
      <c r="I3" s="14" t="s">
        <v>1100</v>
      </c>
      <c r="J3" s="14" t="s">
        <v>1101</v>
      </c>
      <c r="K3" s="14" t="s">
        <v>1096</v>
      </c>
      <c r="L3" s="14" t="s">
        <v>89</v>
      </c>
      <c r="M3" s="14" t="s">
        <v>1102</v>
      </c>
      <c r="N3" s="14">
        <v>30</v>
      </c>
      <c r="O3" s="14" t="s">
        <v>70</v>
      </c>
      <c r="P3" s="14">
        <v>3</v>
      </c>
      <c r="Q3" s="14">
        <v>3</v>
      </c>
      <c r="R3" s="14">
        <v>50</v>
      </c>
      <c r="S3" s="16"/>
      <c r="T3" s="14" t="s">
        <v>71</v>
      </c>
      <c r="U3" s="14" t="s">
        <v>72</v>
      </c>
      <c r="V3" s="15" t="s">
        <v>926</v>
      </c>
      <c r="W3" s="30">
        <f>IF('CRUDO JUEVES'!BK37="Si",$N3,)</f>
        <v>0</v>
      </c>
      <c r="X3" s="30">
        <f>IF('CRUDO JUEVES'!BL37="Si",$N3,)</f>
        <v>30</v>
      </c>
      <c r="Y3" s="29">
        <v>0</v>
      </c>
      <c r="Z3" s="30">
        <f>IF('CRUDO JUEVES'!BN37="Si",$N3,)</f>
        <v>0</v>
      </c>
      <c r="AA3" s="30">
        <f>IF('CRUDO JUEVES'!BO37="Si",$N3,)</f>
        <v>30</v>
      </c>
      <c r="AB3" s="29">
        <v>0</v>
      </c>
      <c r="AC3" s="30">
        <f>IF('CRUDO JUEVES'!BQ37="Si",$N3,)</f>
        <v>30</v>
      </c>
      <c r="AD3" s="30">
        <f>IF('CRUDO JUEVES'!BR37="Si",$N3,)</f>
        <v>0</v>
      </c>
      <c r="AE3" s="30">
        <f>IF('CRUDO JUEVES'!BS37="Si",$N3,)</f>
        <v>0</v>
      </c>
      <c r="AF3" s="30">
        <f>IF('CRUDO JUEVES'!BT37="Si",$N3,)</f>
        <v>0</v>
      </c>
      <c r="AG3" s="30">
        <f>IF('CRUDO JUEVES'!BU37="Si",$N3,)</f>
        <v>30</v>
      </c>
      <c r="AH3" s="29">
        <v>0</v>
      </c>
      <c r="AI3" s="29">
        <v>0</v>
      </c>
      <c r="AJ3" s="30">
        <f>IF('CRUDO JUEVES'!BX37="Si",$N3,)</f>
        <v>0</v>
      </c>
      <c r="AK3" s="30">
        <f>IF('CRUDO JUEVES'!BY37="Si",$N3,)</f>
        <v>0</v>
      </c>
      <c r="AL3" s="30">
        <f>IF('CRUDO JUEVES'!BZ37="Si",$N3,)</f>
        <v>0</v>
      </c>
      <c r="AM3" s="30">
        <f>IF('CRUDO JUEVES'!CA37="Si",$N3,)</f>
        <v>0</v>
      </c>
      <c r="AN3" s="30">
        <f>IF('CRUDO JUEVES'!CB37="Si",$N3,)</f>
        <v>0</v>
      </c>
      <c r="AO3" s="30">
        <f>IF('CRUDO JUEVES'!CC37="Si",$N3,)</f>
        <v>0</v>
      </c>
      <c r="AP3" s="16"/>
      <c r="AQ3" s="16"/>
      <c r="AR3" s="16"/>
      <c r="AS3" s="16"/>
      <c r="AT3" s="16"/>
      <c r="AU3" s="14">
        <v>1</v>
      </c>
      <c r="AV3" s="16"/>
    </row>
    <row r="4" spans="1:48" ht="13.2">
      <c r="A4" s="13">
        <v>45365.572177638889</v>
      </c>
      <c r="B4" s="14" t="s">
        <v>1103</v>
      </c>
      <c r="C4" s="14" t="s">
        <v>1104</v>
      </c>
      <c r="D4" s="14">
        <v>200883</v>
      </c>
      <c r="E4" s="14" t="s">
        <v>62</v>
      </c>
      <c r="F4" s="14" t="s">
        <v>1105</v>
      </c>
      <c r="G4" s="14" t="s">
        <v>105</v>
      </c>
      <c r="H4" s="14" t="s">
        <v>1100</v>
      </c>
      <c r="I4" s="14" t="s">
        <v>1099</v>
      </c>
      <c r="J4" s="16"/>
      <c r="K4" s="14" t="s">
        <v>1103</v>
      </c>
      <c r="L4" s="14" t="s">
        <v>89</v>
      </c>
      <c r="M4" s="14" t="s">
        <v>208</v>
      </c>
      <c r="N4" s="14">
        <v>20</v>
      </c>
      <c r="O4" s="14" t="s">
        <v>70</v>
      </c>
      <c r="P4" s="14">
        <v>3</v>
      </c>
      <c r="Q4" s="14">
        <v>3</v>
      </c>
      <c r="R4" s="14">
        <v>50</v>
      </c>
      <c r="S4" s="16"/>
      <c r="T4" s="14" t="s">
        <v>71</v>
      </c>
      <c r="U4" s="14" t="s">
        <v>72</v>
      </c>
      <c r="V4" s="15" t="s">
        <v>926</v>
      </c>
      <c r="W4" s="30">
        <f>IF('CRUDO JUEVES'!BK38="Si",$N4,)</f>
        <v>0</v>
      </c>
      <c r="X4" s="30">
        <f>IF('CRUDO JUEVES'!BL38="Si",$N4,)</f>
        <v>20</v>
      </c>
      <c r="Y4" s="29">
        <v>0</v>
      </c>
      <c r="Z4" s="30">
        <f>IF('CRUDO JUEVES'!BN38="Si",$N4,)</f>
        <v>0</v>
      </c>
      <c r="AA4" s="30">
        <f>IF('CRUDO JUEVES'!BO38="Si",$N4,)</f>
        <v>20</v>
      </c>
      <c r="AB4" s="29">
        <v>0</v>
      </c>
      <c r="AC4" s="30">
        <f>IF('CRUDO JUEVES'!BQ38="Si",$N4,)</f>
        <v>20</v>
      </c>
      <c r="AD4" s="30">
        <f>IF('CRUDO JUEVES'!BR38="Si",$N4,)</f>
        <v>0</v>
      </c>
      <c r="AE4" s="30">
        <f>IF('CRUDO JUEVES'!BS38="Si",$N4,)</f>
        <v>0</v>
      </c>
      <c r="AF4" s="30">
        <f>IF('CRUDO JUEVES'!BT38="Si",$N4,)</f>
        <v>0</v>
      </c>
      <c r="AG4" s="30">
        <f>IF('CRUDO JUEVES'!BU38="Si",$N4,)</f>
        <v>20</v>
      </c>
      <c r="AH4" s="29">
        <v>0</v>
      </c>
      <c r="AI4" s="29">
        <v>0</v>
      </c>
      <c r="AJ4" s="30">
        <f>IF('CRUDO JUEVES'!BX38="Si",$N4,)</f>
        <v>0</v>
      </c>
      <c r="AK4" s="30">
        <f>IF('CRUDO JUEVES'!BY38="Si",$N4,)</f>
        <v>0</v>
      </c>
      <c r="AL4" s="30">
        <f>IF('CRUDO JUEVES'!BZ38="Si",$N4,)</f>
        <v>0</v>
      </c>
      <c r="AM4" s="30">
        <f>IF('CRUDO JUEVES'!CA38="Si",$N4,)</f>
        <v>0</v>
      </c>
      <c r="AN4" s="30">
        <f>IF('CRUDO JUEVES'!CB38="Si",$N4,)</f>
        <v>0</v>
      </c>
      <c r="AO4" s="30">
        <f>IF('CRUDO JUEVES'!CC38="Si",$N4,)</f>
        <v>0</v>
      </c>
      <c r="AP4" s="16"/>
      <c r="AQ4" s="16"/>
      <c r="AR4" s="16"/>
      <c r="AS4" s="16"/>
      <c r="AT4" s="16"/>
      <c r="AU4" s="14">
        <v>1</v>
      </c>
      <c r="AV4" s="16"/>
    </row>
    <row r="5" spans="1:48" ht="13.2">
      <c r="A5" s="13">
        <v>45365.572235324071</v>
      </c>
      <c r="B5" s="14" t="s">
        <v>1106</v>
      </c>
      <c r="C5" s="14" t="s">
        <v>1107</v>
      </c>
      <c r="D5" s="14">
        <v>200883</v>
      </c>
      <c r="E5" s="14" t="s">
        <v>62</v>
      </c>
      <c r="F5" s="14" t="s">
        <v>1108</v>
      </c>
      <c r="G5" s="14" t="s">
        <v>105</v>
      </c>
      <c r="H5" s="14" t="s">
        <v>1109</v>
      </c>
      <c r="I5" s="14" t="s">
        <v>1110</v>
      </c>
      <c r="J5" s="14" t="s">
        <v>1111</v>
      </c>
      <c r="K5" s="14" t="s">
        <v>1106</v>
      </c>
      <c r="L5" s="14" t="s">
        <v>89</v>
      </c>
      <c r="M5" s="14" t="s">
        <v>1112</v>
      </c>
      <c r="N5" s="14">
        <v>20</v>
      </c>
      <c r="O5" s="14" t="s">
        <v>70</v>
      </c>
      <c r="P5" s="14">
        <v>3</v>
      </c>
      <c r="Q5" s="14">
        <v>3</v>
      </c>
      <c r="R5" s="14">
        <v>50</v>
      </c>
      <c r="S5" s="16"/>
      <c r="T5" s="14" t="s">
        <v>71</v>
      </c>
      <c r="U5" s="14" t="s">
        <v>72</v>
      </c>
      <c r="V5" s="15" t="s">
        <v>926</v>
      </c>
      <c r="W5" s="30">
        <f>IF('CRUDO JUEVES'!BK39="Si",$N5,)</f>
        <v>0</v>
      </c>
      <c r="X5" s="30">
        <f>IF('CRUDO JUEVES'!BL39="Si",$N5,)</f>
        <v>20</v>
      </c>
      <c r="Y5" s="29">
        <v>0</v>
      </c>
      <c r="Z5" s="30">
        <f>IF('CRUDO JUEVES'!BN39="Si",$N5,)</f>
        <v>0</v>
      </c>
      <c r="AA5" s="30">
        <f>IF('CRUDO JUEVES'!BO39="Si",$N5,)</f>
        <v>20</v>
      </c>
      <c r="AB5" s="29">
        <v>0</v>
      </c>
      <c r="AC5" s="30">
        <f>IF('CRUDO JUEVES'!BQ39="Si",$N5,)</f>
        <v>20</v>
      </c>
      <c r="AD5" s="30">
        <f>IF('CRUDO JUEVES'!BR39="Si",$N5,)</f>
        <v>0</v>
      </c>
      <c r="AE5" s="30">
        <f>IF('CRUDO JUEVES'!BS39="Si",$N5,)</f>
        <v>0</v>
      </c>
      <c r="AF5" s="30">
        <f>IF('CRUDO JUEVES'!BT39="Si",$N5,)</f>
        <v>0</v>
      </c>
      <c r="AG5" s="30">
        <f>IF('CRUDO JUEVES'!BU39="Si",$N5,)</f>
        <v>20</v>
      </c>
      <c r="AH5" s="29">
        <v>0</v>
      </c>
      <c r="AI5" s="29">
        <v>0</v>
      </c>
      <c r="AJ5" s="30">
        <f>IF('CRUDO JUEVES'!BX39="Si",$N5,)</f>
        <v>0</v>
      </c>
      <c r="AK5" s="30">
        <f>IF('CRUDO JUEVES'!BY39="Si",$N5,)</f>
        <v>0</v>
      </c>
      <c r="AL5" s="30">
        <f>IF('CRUDO JUEVES'!BZ39="Si",$N5,)</f>
        <v>0</v>
      </c>
      <c r="AM5" s="30">
        <f>IF('CRUDO JUEVES'!CA39="Si",$N5,)</f>
        <v>0</v>
      </c>
      <c r="AN5" s="30">
        <f>IF('CRUDO JUEVES'!CB39="Si",$N5,)</f>
        <v>0</v>
      </c>
      <c r="AO5" s="30">
        <f>IF('CRUDO JUEVES'!CC39="Si",$N5,)</f>
        <v>0</v>
      </c>
      <c r="AP5" s="16"/>
      <c r="AQ5" s="16"/>
      <c r="AR5" s="16"/>
      <c r="AS5" s="16"/>
      <c r="AT5" s="16"/>
      <c r="AU5" s="14">
        <v>1</v>
      </c>
      <c r="AV5" s="16"/>
    </row>
    <row r="6" spans="1:48" ht="13.2">
      <c r="A6" s="13">
        <v>45369.613210914351</v>
      </c>
      <c r="B6" s="14" t="s">
        <v>1204</v>
      </c>
      <c r="C6" s="14" t="s">
        <v>1205</v>
      </c>
      <c r="D6" s="14">
        <v>201448</v>
      </c>
      <c r="E6" s="14" t="s">
        <v>286</v>
      </c>
      <c r="F6" s="14" t="s">
        <v>1027</v>
      </c>
      <c r="G6" s="14" t="s">
        <v>105</v>
      </c>
      <c r="H6" s="14" t="s">
        <v>1051</v>
      </c>
      <c r="I6" s="14" t="s">
        <v>1051</v>
      </c>
      <c r="J6" s="14" t="s">
        <v>214</v>
      </c>
      <c r="K6" s="14" t="s">
        <v>1206</v>
      </c>
      <c r="L6" s="14" t="s">
        <v>89</v>
      </c>
      <c r="M6" s="14" t="s">
        <v>217</v>
      </c>
      <c r="N6" s="14">
        <v>12</v>
      </c>
      <c r="O6" s="14" t="s">
        <v>70</v>
      </c>
      <c r="P6" s="14">
        <v>4</v>
      </c>
      <c r="Q6" s="14">
        <v>3</v>
      </c>
      <c r="R6" s="14">
        <v>20</v>
      </c>
      <c r="S6" s="14" t="s">
        <v>1207</v>
      </c>
      <c r="T6" s="14" t="s">
        <v>71</v>
      </c>
      <c r="U6" s="14" t="s">
        <v>72</v>
      </c>
      <c r="V6" s="15" t="s">
        <v>926</v>
      </c>
      <c r="W6" s="29">
        <v>12</v>
      </c>
      <c r="X6" s="30">
        <f>IF('CRUDO JUEVES'!BL61="Si",$N6,)</f>
        <v>0</v>
      </c>
      <c r="Y6" s="30">
        <f>IF('CRUDO JUEVES'!BM61="Si",$N6,)</f>
        <v>0</v>
      </c>
      <c r="Z6" s="30">
        <f>IF('CRUDO JUEVES'!BN61="Si",$N6,)</f>
        <v>0</v>
      </c>
      <c r="AA6" s="30">
        <f>IF('CRUDO JUEVES'!BO61="Si",$N6,)</f>
        <v>0</v>
      </c>
      <c r="AB6" s="30">
        <f>IF('CRUDO JUEVES'!BP61="Si",$N6,)</f>
        <v>12</v>
      </c>
      <c r="AC6" s="30">
        <f>IF('CRUDO JUEVES'!BQ61="Si",$N6,)</f>
        <v>0</v>
      </c>
      <c r="AD6" s="30">
        <f>IF('CRUDO JUEVES'!BR61="Si",$N6,)</f>
        <v>0</v>
      </c>
      <c r="AE6" s="30">
        <f>IF('CRUDO JUEVES'!BS61="Si",$N6,)</f>
        <v>0</v>
      </c>
      <c r="AF6" s="30">
        <f>IF('CRUDO JUEVES'!BT61="Si",$N6,)</f>
        <v>0</v>
      </c>
      <c r="AG6" s="30">
        <f>IF('CRUDO JUEVES'!BU61="Si",$N6,)</f>
        <v>12</v>
      </c>
      <c r="AH6" s="30">
        <f>IF('CRUDO JUEVES'!BV61="Si",$N6,)</f>
        <v>0</v>
      </c>
      <c r="AI6" s="30">
        <f>IF('CRUDO JUEVES'!BW61="Si",$N6,)</f>
        <v>0</v>
      </c>
      <c r="AJ6" s="30">
        <f>IF('CRUDO JUEVES'!BX61="Si",$N6,)</f>
        <v>0</v>
      </c>
      <c r="AK6" s="30">
        <f>IF('CRUDO JUEVES'!BY61="Si",$N6,)</f>
        <v>0</v>
      </c>
      <c r="AL6" s="30">
        <f>IF('CRUDO JUEVES'!BZ61="Si",$N6,)</f>
        <v>0</v>
      </c>
      <c r="AM6" s="29">
        <v>0</v>
      </c>
      <c r="AN6" s="30">
        <f>IF('CRUDO JUEVES'!CB61="Si",$N6,)</f>
        <v>0</v>
      </c>
      <c r="AO6" s="30">
        <f>IF('CRUDO JUEVES'!CC61="Si",$N6,)</f>
        <v>0</v>
      </c>
      <c r="AP6" s="16"/>
      <c r="AQ6" s="16"/>
      <c r="AR6" s="16"/>
      <c r="AS6" s="16"/>
      <c r="AT6" s="16"/>
      <c r="AU6" s="14">
        <v>1</v>
      </c>
      <c r="AV6" s="16"/>
    </row>
    <row r="7" spans="1:48" ht="13.2">
      <c r="A7" s="13">
        <v>45363.601264791665</v>
      </c>
      <c r="B7" s="14" t="s">
        <v>959</v>
      </c>
      <c r="C7" s="14" t="s">
        <v>960</v>
      </c>
      <c r="D7" s="14">
        <v>201699</v>
      </c>
      <c r="E7" s="14" t="s">
        <v>84</v>
      </c>
      <c r="F7" s="14" t="s">
        <v>961</v>
      </c>
      <c r="G7" s="14" t="s">
        <v>64</v>
      </c>
      <c r="H7" s="14" t="s">
        <v>583</v>
      </c>
      <c r="I7" s="14" t="s">
        <v>962</v>
      </c>
      <c r="J7" s="14" t="s">
        <v>963</v>
      </c>
      <c r="K7" s="14" t="s">
        <v>959</v>
      </c>
      <c r="L7" s="14" t="s">
        <v>89</v>
      </c>
      <c r="M7" s="14" t="s">
        <v>664</v>
      </c>
      <c r="N7" s="14">
        <v>35</v>
      </c>
      <c r="O7" s="14" t="s">
        <v>70</v>
      </c>
      <c r="P7" s="14">
        <v>4</v>
      </c>
      <c r="Q7" s="14">
        <v>2</v>
      </c>
      <c r="R7" s="14">
        <v>0</v>
      </c>
      <c r="S7" s="16"/>
      <c r="T7" s="14" t="s">
        <v>71</v>
      </c>
      <c r="U7" s="14" t="s">
        <v>72</v>
      </c>
      <c r="V7" s="15" t="s">
        <v>926</v>
      </c>
      <c r="W7" s="30">
        <f>IF('CRUDO JUEVES'!BK9="Si",$N7,)</f>
        <v>35</v>
      </c>
      <c r="X7" s="29">
        <v>0</v>
      </c>
      <c r="Y7" s="30">
        <f>IF('CRUDO JUEVES'!BM9="Si",$N7,)</f>
        <v>0</v>
      </c>
      <c r="Z7" s="30">
        <f>IF('CRUDO JUEVES'!BN9="Si",$N7,)</f>
        <v>0</v>
      </c>
      <c r="AA7" s="29">
        <v>0</v>
      </c>
      <c r="AB7" s="30">
        <f>IF('CRUDO JUEVES'!BP9="Si",$N7,)</f>
        <v>35</v>
      </c>
      <c r="AC7" s="29">
        <v>0</v>
      </c>
      <c r="AD7" s="30">
        <f>IF('CRUDO JUEVES'!BR9="Si",$N7,)</f>
        <v>0</v>
      </c>
      <c r="AE7" s="30">
        <f>IF('CRUDO JUEVES'!BS9="Si",$N7,)</f>
        <v>0</v>
      </c>
      <c r="AF7" s="30">
        <f>IF('CRUDO JUEVES'!BT9="Si",$N7,)</f>
        <v>0</v>
      </c>
      <c r="AG7" s="30">
        <f>IF('CRUDO JUEVES'!BU9="Si",$N7,)</f>
        <v>35</v>
      </c>
      <c r="AH7" s="29">
        <v>0</v>
      </c>
      <c r="AI7" s="29">
        <v>0</v>
      </c>
      <c r="AJ7" s="30">
        <f>IF('CRUDO JUEVES'!BX9="Si",$N7,)</f>
        <v>0</v>
      </c>
      <c r="AK7" s="30">
        <f>IF('CRUDO JUEVES'!BY9="Si",$N7,)</f>
        <v>0</v>
      </c>
      <c r="AL7" s="29">
        <v>0</v>
      </c>
      <c r="AM7" s="29">
        <v>0</v>
      </c>
      <c r="AN7" s="30">
        <f>IF('CRUDO JUEVES'!CB9="Si",$N7,)</f>
        <v>0</v>
      </c>
      <c r="AO7" s="30">
        <f>IF('CRUDO JUEVES'!CC9="Si",$N7,)</f>
        <v>0</v>
      </c>
      <c r="AP7" s="16"/>
      <c r="AQ7" s="16"/>
      <c r="AR7" s="16"/>
      <c r="AS7" s="16"/>
      <c r="AT7" s="16"/>
      <c r="AU7" s="14">
        <v>1</v>
      </c>
      <c r="AV7" s="16"/>
    </row>
    <row r="8" spans="1:48" ht="13.2">
      <c r="A8" s="13">
        <v>45363.605080439811</v>
      </c>
      <c r="B8" s="14" t="s">
        <v>959</v>
      </c>
      <c r="C8" s="14" t="s">
        <v>960</v>
      </c>
      <c r="D8" s="14">
        <v>201699</v>
      </c>
      <c r="E8" s="14" t="s">
        <v>84</v>
      </c>
      <c r="F8" s="14" t="s">
        <v>582</v>
      </c>
      <c r="G8" s="14" t="s">
        <v>64</v>
      </c>
      <c r="H8" s="14" t="s">
        <v>583</v>
      </c>
      <c r="I8" s="14" t="s">
        <v>962</v>
      </c>
      <c r="J8" s="14" t="s">
        <v>963</v>
      </c>
      <c r="K8" s="14" t="s">
        <v>959</v>
      </c>
      <c r="L8" s="14" t="s">
        <v>89</v>
      </c>
      <c r="M8" s="14" t="s">
        <v>664</v>
      </c>
      <c r="N8" s="14">
        <v>35</v>
      </c>
      <c r="O8" s="14" t="s">
        <v>70</v>
      </c>
      <c r="P8" s="14">
        <v>4</v>
      </c>
      <c r="Q8" s="14">
        <v>2</v>
      </c>
      <c r="R8" s="14">
        <v>0</v>
      </c>
      <c r="S8" s="16"/>
      <c r="T8" s="14" t="s">
        <v>71</v>
      </c>
      <c r="U8" s="14" t="s">
        <v>72</v>
      </c>
      <c r="V8" s="15" t="s">
        <v>926</v>
      </c>
      <c r="W8" s="30">
        <f>IF('CRUDO JUEVES'!BK10="Si",$N8,)</f>
        <v>35</v>
      </c>
      <c r="X8" s="29">
        <v>0</v>
      </c>
      <c r="Y8" s="30">
        <f>IF('CRUDO JUEVES'!BM10="Si",$N8,)</f>
        <v>0</v>
      </c>
      <c r="Z8" s="30">
        <f>IF('CRUDO JUEVES'!BN10="Si",$N8,)</f>
        <v>0</v>
      </c>
      <c r="AA8" s="29">
        <v>0</v>
      </c>
      <c r="AB8" s="30">
        <f>IF('CRUDO JUEVES'!BP10="Si",$N8,)</f>
        <v>35</v>
      </c>
      <c r="AC8" s="29">
        <v>0</v>
      </c>
      <c r="AD8" s="30">
        <f>IF('CRUDO JUEVES'!BR10="Si",$N8,)</f>
        <v>0</v>
      </c>
      <c r="AE8" s="30">
        <f>IF('CRUDO JUEVES'!BS10="Si",$N8,)</f>
        <v>0</v>
      </c>
      <c r="AF8" s="30">
        <f>IF('CRUDO JUEVES'!BT10="Si",$N8,)</f>
        <v>0</v>
      </c>
      <c r="AG8" s="30">
        <f>IF('CRUDO JUEVES'!BU10="Si",$N8,)</f>
        <v>35</v>
      </c>
      <c r="AH8" s="29">
        <v>0</v>
      </c>
      <c r="AI8" s="29">
        <v>0</v>
      </c>
      <c r="AJ8" s="30">
        <f>IF('CRUDO JUEVES'!BX10="Si",$N8,)</f>
        <v>0</v>
      </c>
      <c r="AK8" s="30">
        <f>IF('CRUDO JUEVES'!BY10="Si",$N8,)</f>
        <v>0</v>
      </c>
      <c r="AL8" s="29">
        <v>0</v>
      </c>
      <c r="AM8" s="29">
        <v>0</v>
      </c>
      <c r="AN8" s="30">
        <f>IF('CRUDO JUEVES'!CB10="Si",$N8,)</f>
        <v>0</v>
      </c>
      <c r="AO8" s="30">
        <f>IF('CRUDO JUEVES'!CC10="Si",$N8,)</f>
        <v>0</v>
      </c>
      <c r="AP8" s="16"/>
      <c r="AQ8" s="16"/>
      <c r="AR8" s="16"/>
      <c r="AS8" s="16"/>
      <c r="AT8" s="16"/>
      <c r="AU8" s="14">
        <v>1</v>
      </c>
      <c r="AV8" s="16"/>
    </row>
    <row r="9" spans="1:48" ht="13.2">
      <c r="A9" s="13">
        <v>45366.480739606486</v>
      </c>
      <c r="B9" s="14" t="s">
        <v>1129</v>
      </c>
      <c r="C9" s="14" t="s">
        <v>1130</v>
      </c>
      <c r="D9" s="14">
        <v>20014300</v>
      </c>
      <c r="E9" s="14" t="s">
        <v>62</v>
      </c>
      <c r="F9" s="14" t="s">
        <v>235</v>
      </c>
      <c r="G9" s="14" t="s">
        <v>105</v>
      </c>
      <c r="H9" s="14" t="s">
        <v>1131</v>
      </c>
      <c r="I9" s="14" t="s">
        <v>1132</v>
      </c>
      <c r="J9" s="16"/>
      <c r="K9" s="14" t="s">
        <v>1129</v>
      </c>
      <c r="L9" s="14" t="s">
        <v>89</v>
      </c>
      <c r="M9" s="14" t="s">
        <v>313</v>
      </c>
      <c r="N9" s="14">
        <v>25</v>
      </c>
      <c r="O9" s="14" t="s">
        <v>70</v>
      </c>
      <c r="P9" s="14">
        <v>5</v>
      </c>
      <c r="Q9" s="14">
        <v>3</v>
      </c>
      <c r="R9" s="14">
        <v>50</v>
      </c>
      <c r="S9" s="16"/>
      <c r="T9" s="14" t="s">
        <v>72</v>
      </c>
      <c r="U9" s="14" t="s">
        <v>71</v>
      </c>
      <c r="V9" s="15" t="s">
        <v>926</v>
      </c>
      <c r="W9" s="30">
        <f>IF('CRUDO JUEVES'!BK44="Si",$N9,)</f>
        <v>0</v>
      </c>
      <c r="X9" s="30">
        <f>IF('CRUDO JUEVES'!BL44="Si",$N9,)</f>
        <v>0</v>
      </c>
      <c r="Y9" s="30">
        <f>IF('CRUDO JUEVES'!BM44="Si",$N9,)</f>
        <v>0</v>
      </c>
      <c r="Z9" s="30">
        <f>IF('CRUDO JUEVES'!BN44="Si",$N9,)</f>
        <v>25</v>
      </c>
      <c r="AA9" s="30">
        <f>IF('CRUDO JUEVES'!BO44="Si",$N9,)</f>
        <v>0</v>
      </c>
      <c r="AB9" s="30">
        <f>IF('CRUDO JUEVES'!BP44="Si",$N9,)</f>
        <v>0</v>
      </c>
      <c r="AC9" s="30">
        <f>IF('CRUDO JUEVES'!BQ44="Si",$N9,)</f>
        <v>0</v>
      </c>
      <c r="AD9" s="30">
        <f>IF('CRUDO JUEVES'!BR44="Si",$N9,)</f>
        <v>25</v>
      </c>
      <c r="AE9" s="29">
        <v>0</v>
      </c>
      <c r="AF9" s="29">
        <v>0</v>
      </c>
      <c r="AG9" s="30">
        <f>IF('CRUDO JUEVES'!BU44="Si",$N9,)</f>
        <v>0</v>
      </c>
      <c r="AH9" s="30">
        <f>IF('CRUDO JUEVES'!BV44="Si",$N9,)</f>
        <v>0</v>
      </c>
      <c r="AI9" s="30">
        <f>IF('CRUDO JUEVES'!BW44="Si",$N9,)</f>
        <v>0</v>
      </c>
      <c r="AJ9" s="29">
        <v>0</v>
      </c>
      <c r="AK9" s="31">
        <f>IF('CRUDO JUEVES'!BY44="Si",$N9,)</f>
        <v>25</v>
      </c>
      <c r="AL9" s="30">
        <f>IF('CRUDO JUEVES'!BZ44="Si",$N9,)</f>
        <v>0</v>
      </c>
      <c r="AM9" s="30">
        <f>IF('CRUDO JUEVES'!CA44="Si",$N9,)</f>
        <v>0</v>
      </c>
      <c r="AN9" s="29">
        <v>0</v>
      </c>
      <c r="AO9" s="29">
        <v>0</v>
      </c>
      <c r="AP9" s="16"/>
      <c r="AQ9" s="16"/>
      <c r="AR9" s="16"/>
      <c r="AS9" s="16"/>
      <c r="AT9" s="16"/>
      <c r="AU9" s="14">
        <v>1</v>
      </c>
      <c r="AV9" s="16"/>
    </row>
    <row r="10" spans="1:48" ht="13.2">
      <c r="A10" s="13">
        <v>45363.883584583338</v>
      </c>
      <c r="B10" s="14" t="s">
        <v>1012</v>
      </c>
      <c r="C10" s="14" t="s">
        <v>862</v>
      </c>
      <c r="D10" s="14">
        <v>20067300</v>
      </c>
      <c r="E10" s="14" t="s">
        <v>84</v>
      </c>
      <c r="F10" s="14" t="s">
        <v>582</v>
      </c>
      <c r="G10" s="14" t="s">
        <v>64</v>
      </c>
      <c r="H10" s="14" t="s">
        <v>1013</v>
      </c>
      <c r="I10" s="14" t="s">
        <v>1014</v>
      </c>
      <c r="J10" s="14" t="s">
        <v>565</v>
      </c>
      <c r="K10" s="14" t="s">
        <v>1012</v>
      </c>
      <c r="L10" s="14" t="s">
        <v>89</v>
      </c>
      <c r="M10" s="14" t="s">
        <v>473</v>
      </c>
      <c r="N10" s="14">
        <v>18</v>
      </c>
      <c r="O10" s="14" t="s">
        <v>70</v>
      </c>
      <c r="P10" s="14">
        <v>4</v>
      </c>
      <c r="Q10" s="14">
        <v>3</v>
      </c>
      <c r="R10" s="14">
        <v>30</v>
      </c>
      <c r="S10" s="14" t="s">
        <v>1015</v>
      </c>
      <c r="T10" s="14" t="s">
        <v>71</v>
      </c>
      <c r="U10" s="14" t="s">
        <v>72</v>
      </c>
      <c r="V10" s="15" t="s">
        <v>926</v>
      </c>
      <c r="W10" s="30">
        <f>IF('CRUDO JUEVES'!BK18="Si",$N10,)</f>
        <v>18</v>
      </c>
      <c r="X10" s="29">
        <v>0</v>
      </c>
      <c r="Y10" s="29">
        <v>18</v>
      </c>
      <c r="Z10" s="30">
        <f>IF('CRUDO JUEVES'!BN18="Si",$N10,)</f>
        <v>0</v>
      </c>
      <c r="AA10" s="29">
        <v>0</v>
      </c>
      <c r="AB10" s="29">
        <v>0</v>
      </c>
      <c r="AC10" s="29">
        <v>0</v>
      </c>
      <c r="AD10" s="30">
        <f>IF('CRUDO JUEVES'!BR18="Si",$N10,)</f>
        <v>0</v>
      </c>
      <c r="AE10" s="30">
        <f>IF('CRUDO JUEVES'!BS18="Si",$N10,)</f>
        <v>0</v>
      </c>
      <c r="AF10" s="30">
        <f>IF('CRUDO JUEVES'!BT18="Si",$N10,)</f>
        <v>0</v>
      </c>
      <c r="AG10" s="30">
        <f>IF('CRUDO JUEVES'!BU18="Si",$N10,)</f>
        <v>18</v>
      </c>
      <c r="AH10" s="29">
        <v>0</v>
      </c>
      <c r="AI10" s="32">
        <v>0</v>
      </c>
      <c r="AJ10" s="30">
        <f>IF('CRUDO JUEVES'!BX18="Si",$N10,)</f>
        <v>0</v>
      </c>
      <c r="AK10" s="30">
        <f>IF('CRUDO JUEVES'!BY18="Si",$N10,)</f>
        <v>0</v>
      </c>
      <c r="AL10" s="31">
        <f>IF('CRUDO JUEVES'!BZ18="Si",$N10,)</f>
        <v>18</v>
      </c>
      <c r="AM10" s="29">
        <v>0</v>
      </c>
      <c r="AN10" s="30">
        <f>IF('CRUDO JUEVES'!CB18="Si",$N10,)</f>
        <v>0</v>
      </c>
      <c r="AO10" s="30">
        <f>IF('CRUDO JUEVES'!CC18="Si",$N10,)</f>
        <v>0</v>
      </c>
      <c r="AP10" s="16"/>
      <c r="AQ10" s="16"/>
      <c r="AR10" s="16"/>
      <c r="AS10" s="16"/>
      <c r="AT10" s="16"/>
      <c r="AU10" s="14">
        <v>1</v>
      </c>
      <c r="AV10" s="16"/>
    </row>
    <row r="11" spans="1:48" ht="13.2">
      <c r="A11" s="13">
        <v>45363.888119386575</v>
      </c>
      <c r="B11" s="14" t="s">
        <v>1012</v>
      </c>
      <c r="C11" s="14" t="s">
        <v>862</v>
      </c>
      <c r="D11" s="14">
        <v>20067300</v>
      </c>
      <c r="E11" s="14" t="s">
        <v>133</v>
      </c>
      <c r="F11" s="14" t="s">
        <v>192</v>
      </c>
      <c r="G11" s="14" t="s">
        <v>64</v>
      </c>
      <c r="H11" s="14" t="s">
        <v>1013</v>
      </c>
      <c r="I11" s="14" t="s">
        <v>1014</v>
      </c>
      <c r="J11" s="14" t="s">
        <v>1016</v>
      </c>
      <c r="K11" s="14" t="s">
        <v>1012</v>
      </c>
      <c r="L11" s="14" t="s">
        <v>89</v>
      </c>
      <c r="M11" s="14" t="s">
        <v>473</v>
      </c>
      <c r="N11" s="14">
        <v>22</v>
      </c>
      <c r="O11" s="14" t="s">
        <v>70</v>
      </c>
      <c r="P11" s="14">
        <v>4</v>
      </c>
      <c r="Q11" s="14">
        <v>3</v>
      </c>
      <c r="R11" s="14">
        <v>35</v>
      </c>
      <c r="S11" s="14" t="s">
        <v>1015</v>
      </c>
      <c r="T11" s="14" t="s">
        <v>71</v>
      </c>
      <c r="U11" s="14" t="s">
        <v>72</v>
      </c>
      <c r="V11" s="15" t="s">
        <v>926</v>
      </c>
      <c r="W11" s="30">
        <f>IF('CRUDO JUEVES'!BK19="Si",$N11,)</f>
        <v>22</v>
      </c>
      <c r="X11" s="29">
        <v>0</v>
      </c>
      <c r="Y11" s="29">
        <v>22</v>
      </c>
      <c r="Z11" s="30">
        <f>IF('CRUDO JUEVES'!BN19="Si",$N11,)</f>
        <v>0</v>
      </c>
      <c r="AA11" s="29">
        <v>0</v>
      </c>
      <c r="AB11" s="29">
        <v>0</v>
      </c>
      <c r="AC11" s="29">
        <v>0</v>
      </c>
      <c r="AD11" s="30">
        <f>IF('CRUDO JUEVES'!BR19="Si",$N11,)</f>
        <v>0</v>
      </c>
      <c r="AE11" s="30">
        <f>IF('CRUDO JUEVES'!BS19="Si",$N11,)</f>
        <v>0</v>
      </c>
      <c r="AF11" s="30">
        <f>IF('CRUDO JUEVES'!BT19="Si",$N11,)</f>
        <v>0</v>
      </c>
      <c r="AG11" s="30">
        <f>IF('CRUDO JUEVES'!BU19="Si",$N11,)</f>
        <v>22</v>
      </c>
      <c r="AH11" s="29">
        <v>0</v>
      </c>
      <c r="AI11" s="32">
        <v>0</v>
      </c>
      <c r="AJ11" s="30">
        <f>IF('CRUDO JUEVES'!BX19="Si",$N11,)</f>
        <v>0</v>
      </c>
      <c r="AK11" s="30">
        <f>IF('CRUDO JUEVES'!BY19="Si",$N11,)</f>
        <v>0</v>
      </c>
      <c r="AL11" s="31">
        <f>IF('CRUDO JUEVES'!BZ19="Si",$N11,)</f>
        <v>22</v>
      </c>
      <c r="AM11" s="29">
        <v>0</v>
      </c>
      <c r="AN11" s="30">
        <f>IF('CRUDO JUEVES'!CB19="Si",$N11,)</f>
        <v>0</v>
      </c>
      <c r="AO11" s="30">
        <f>IF('CRUDO JUEVES'!CC19="Si",$N11,)</f>
        <v>0</v>
      </c>
      <c r="AP11" s="16"/>
      <c r="AQ11" s="16"/>
      <c r="AR11" s="16"/>
      <c r="AS11" s="16"/>
      <c r="AT11" s="16"/>
      <c r="AU11" s="14">
        <v>1</v>
      </c>
      <c r="AV11" s="16"/>
    </row>
    <row r="12" spans="1:48" ht="13.2">
      <c r="A12" s="13">
        <v>45365.489663020839</v>
      </c>
      <c r="B12" s="14" t="s">
        <v>732</v>
      </c>
      <c r="C12" s="14" t="s">
        <v>1080</v>
      </c>
      <c r="D12" s="14">
        <v>20068000</v>
      </c>
      <c r="E12" s="14" t="s">
        <v>133</v>
      </c>
      <c r="F12" s="14" t="s">
        <v>961</v>
      </c>
      <c r="G12" s="14" t="s">
        <v>105</v>
      </c>
      <c r="H12" s="14" t="s">
        <v>734</v>
      </c>
      <c r="I12" s="14" t="s">
        <v>1081</v>
      </c>
      <c r="J12" s="14" t="s">
        <v>736</v>
      </c>
      <c r="K12" s="14" t="s">
        <v>732</v>
      </c>
      <c r="L12" s="14" t="s">
        <v>89</v>
      </c>
      <c r="M12" s="14" t="s">
        <v>89</v>
      </c>
      <c r="N12" s="14">
        <v>25</v>
      </c>
      <c r="O12" s="14" t="s">
        <v>70</v>
      </c>
      <c r="P12" s="14">
        <v>4</v>
      </c>
      <c r="Q12" s="14">
        <v>4</v>
      </c>
      <c r="R12" s="14">
        <v>50</v>
      </c>
      <c r="S12" s="16"/>
      <c r="T12" s="14" t="s">
        <v>71</v>
      </c>
      <c r="U12" s="14" t="s">
        <v>72</v>
      </c>
      <c r="V12" s="15" t="s">
        <v>926</v>
      </c>
      <c r="W12" s="30">
        <f>IF('CRUDO JUEVES'!BK32="Si",$N12,)</f>
        <v>25</v>
      </c>
      <c r="X12" s="30">
        <f>IF('CRUDO JUEVES'!BL32="Si",$N12,)</f>
        <v>0</v>
      </c>
      <c r="Y12" s="30">
        <f>IF('CRUDO JUEVES'!BM32="Si",$N12,)</f>
        <v>0</v>
      </c>
      <c r="Z12" s="30">
        <f>IF('CRUDO JUEVES'!BN32="Si",$N12,)</f>
        <v>0</v>
      </c>
      <c r="AA12" s="30">
        <f>IF('CRUDO JUEVES'!BO32="Si",$N12,)</f>
        <v>0</v>
      </c>
      <c r="AB12" s="29">
        <v>0</v>
      </c>
      <c r="AC12" s="30">
        <f>IF('CRUDO JUEVES'!BQ32="Si",$N12,)</f>
        <v>25</v>
      </c>
      <c r="AD12" s="30">
        <f>IF('CRUDO JUEVES'!BR32="Si",$N12,)</f>
        <v>0</v>
      </c>
      <c r="AE12" s="30">
        <f>IF('CRUDO JUEVES'!BS32="Si",$N12,)</f>
        <v>0</v>
      </c>
      <c r="AF12" s="30">
        <f>IF('CRUDO JUEVES'!BT32="Si",$N12,)</f>
        <v>0</v>
      </c>
      <c r="AG12" s="30">
        <f>IF('CRUDO JUEVES'!BU32="Si",$N12,)</f>
        <v>0</v>
      </c>
      <c r="AH12" s="31">
        <f>IF('CRUDO JUEVES'!BV32="Si",$N12,)</f>
        <v>25</v>
      </c>
      <c r="AI12" s="30">
        <f>IF('CRUDO JUEVES'!BW32="Si",$N12,)</f>
        <v>0</v>
      </c>
      <c r="AJ12" s="30">
        <f>IF('CRUDO JUEVES'!BX32="Si",$N12,)</f>
        <v>0</v>
      </c>
      <c r="AK12" s="30">
        <f>IF('CRUDO JUEVES'!BY32="Si",$N12,)</f>
        <v>0</v>
      </c>
      <c r="AL12" s="30">
        <f>IF('CRUDO JUEVES'!BZ32="Si",$N12,)</f>
        <v>0</v>
      </c>
      <c r="AM12" s="30">
        <f>IF('CRUDO JUEVES'!CA32="Si",$N12,)</f>
        <v>0</v>
      </c>
      <c r="AN12" s="30">
        <f>IF('CRUDO JUEVES'!CB32="Si",$N12,)</f>
        <v>0</v>
      </c>
      <c r="AO12" s="30">
        <f>IF('CRUDO JUEVES'!CC32="Si",$N12,)</f>
        <v>0</v>
      </c>
      <c r="AP12" s="16"/>
      <c r="AQ12" s="16"/>
      <c r="AR12" s="16"/>
      <c r="AS12" s="16"/>
      <c r="AT12" s="16"/>
      <c r="AU12" s="14">
        <v>1</v>
      </c>
      <c r="AV12" s="16"/>
    </row>
    <row r="13" spans="1:48" ht="13.2">
      <c r="A13" s="13">
        <v>45365.492322418984</v>
      </c>
      <c r="B13" s="14" t="s">
        <v>732</v>
      </c>
      <c r="C13" s="14" t="s">
        <v>733</v>
      </c>
      <c r="D13" s="14">
        <v>20068000</v>
      </c>
      <c r="E13" s="14" t="s">
        <v>133</v>
      </c>
      <c r="F13" s="14" t="s">
        <v>961</v>
      </c>
      <c r="G13" s="14" t="s">
        <v>105</v>
      </c>
      <c r="H13" s="14" t="s">
        <v>734</v>
      </c>
      <c r="I13" s="14" t="s">
        <v>1081</v>
      </c>
      <c r="J13" s="14" t="s">
        <v>736</v>
      </c>
      <c r="K13" s="14" t="s">
        <v>732</v>
      </c>
      <c r="L13" s="14" t="s">
        <v>89</v>
      </c>
      <c r="M13" s="14" t="s">
        <v>737</v>
      </c>
      <c r="N13" s="14">
        <v>28</v>
      </c>
      <c r="O13" s="14" t="s">
        <v>70</v>
      </c>
      <c r="P13" s="14">
        <v>4</v>
      </c>
      <c r="Q13" s="14">
        <v>4</v>
      </c>
      <c r="R13" s="14">
        <v>50</v>
      </c>
      <c r="S13" s="16"/>
      <c r="T13" s="14" t="s">
        <v>71</v>
      </c>
      <c r="U13" s="14" t="s">
        <v>72</v>
      </c>
      <c r="V13" s="15" t="s">
        <v>926</v>
      </c>
      <c r="W13" s="30">
        <f>IF('CRUDO JUEVES'!BK33="Si",$N13,)</f>
        <v>28</v>
      </c>
      <c r="X13" s="30">
        <f>IF('CRUDO JUEVES'!BL33="Si",$N13,)</f>
        <v>0</v>
      </c>
      <c r="Y13" s="30">
        <f>IF('CRUDO JUEVES'!BM33="Si",$N13,)</f>
        <v>0</v>
      </c>
      <c r="Z13" s="30">
        <f>IF('CRUDO JUEVES'!BN33="Si",$N13,)</f>
        <v>0</v>
      </c>
      <c r="AA13" s="30">
        <f>IF('CRUDO JUEVES'!BO33="Si",$N13,)</f>
        <v>0</v>
      </c>
      <c r="AB13" s="30">
        <f>IF('CRUDO JUEVES'!BP33="Si",$N13,)</f>
        <v>28</v>
      </c>
      <c r="AC13" s="29">
        <v>28</v>
      </c>
      <c r="AD13" s="30">
        <f>IF('CRUDO JUEVES'!BR33="Si",$N13,)</f>
        <v>0</v>
      </c>
      <c r="AE13" s="30">
        <f>IF('CRUDO JUEVES'!BS33="Si",$N13,)</f>
        <v>0</v>
      </c>
      <c r="AF13" s="30">
        <f>IF('CRUDO JUEVES'!BT33="Si",$N13,)</f>
        <v>0</v>
      </c>
      <c r="AG13" s="30">
        <f>IF('CRUDO JUEVES'!BU33="Si",$N13,)</f>
        <v>0</v>
      </c>
      <c r="AH13" s="29">
        <v>0</v>
      </c>
      <c r="AI13" s="30">
        <f>IF('CRUDO JUEVES'!BW33="Si",$N13,)</f>
        <v>0</v>
      </c>
      <c r="AJ13" s="30">
        <f>IF('CRUDO JUEVES'!BX33="Si",$N13,)</f>
        <v>0</v>
      </c>
      <c r="AK13" s="30">
        <f>IF('CRUDO JUEVES'!BY33="Si",$N13,)</f>
        <v>0</v>
      </c>
      <c r="AL13" s="30">
        <f>IF('CRUDO JUEVES'!BZ33="Si",$N13,)</f>
        <v>0</v>
      </c>
      <c r="AM13" s="30">
        <f>IF('CRUDO JUEVES'!CA33="Si",$N13,)</f>
        <v>0</v>
      </c>
      <c r="AN13" s="30">
        <f>IF('CRUDO JUEVES'!CB33="Si",$N13,)</f>
        <v>0</v>
      </c>
      <c r="AO13" s="30">
        <f>IF('CRUDO JUEVES'!CC33="Si",$N13,)</f>
        <v>0</v>
      </c>
      <c r="AP13" s="16"/>
      <c r="AQ13" s="16"/>
      <c r="AR13" s="16"/>
      <c r="AS13" s="16"/>
      <c r="AT13" s="16"/>
      <c r="AU13" s="14">
        <v>1</v>
      </c>
      <c r="AV13" s="16"/>
    </row>
    <row r="14" spans="1:48" ht="13.2">
      <c r="A14" s="13">
        <v>45367.660648611112</v>
      </c>
      <c r="B14" s="14" t="s">
        <v>1171</v>
      </c>
      <c r="C14" s="14" t="s">
        <v>1172</v>
      </c>
      <c r="D14" s="14">
        <v>20069600</v>
      </c>
      <c r="E14" s="14" t="s">
        <v>62</v>
      </c>
      <c r="F14" s="14" t="s">
        <v>1173</v>
      </c>
      <c r="G14" s="14" t="s">
        <v>105</v>
      </c>
      <c r="H14" s="14" t="s">
        <v>1174</v>
      </c>
      <c r="I14" s="14" t="s">
        <v>1175</v>
      </c>
      <c r="J14" s="16"/>
      <c r="K14" s="14" t="s">
        <v>1171</v>
      </c>
      <c r="L14" s="14" t="s">
        <v>89</v>
      </c>
      <c r="M14" s="14" t="s">
        <v>1176</v>
      </c>
      <c r="N14" s="14">
        <v>35</v>
      </c>
      <c r="O14" s="14" t="s">
        <v>70</v>
      </c>
      <c r="P14" s="14">
        <v>5</v>
      </c>
      <c r="Q14" s="14">
        <v>5</v>
      </c>
      <c r="R14" s="14">
        <v>30</v>
      </c>
      <c r="S14" s="14" t="s">
        <v>1177</v>
      </c>
      <c r="T14" s="14" t="s">
        <v>71</v>
      </c>
      <c r="U14" s="14" t="s">
        <v>72</v>
      </c>
      <c r="V14" s="15" t="s">
        <v>926</v>
      </c>
      <c r="W14" s="30">
        <f>IF('CRUDO JUEVES'!BK54="Si",$N14,)</f>
        <v>35</v>
      </c>
      <c r="X14" s="30">
        <f>IF('CRUDO JUEVES'!BL54="Si",$N14,)</f>
        <v>0</v>
      </c>
      <c r="Y14" s="30">
        <f>IF('CRUDO JUEVES'!BM54="Si",$N14,)</f>
        <v>0</v>
      </c>
      <c r="Z14" s="30">
        <f>IF('CRUDO JUEVES'!BN54="Si",$N14,)</f>
        <v>0</v>
      </c>
      <c r="AA14" s="30">
        <f>IF('CRUDO JUEVES'!BO54="Si",$N14,)</f>
        <v>0</v>
      </c>
      <c r="AB14" s="30">
        <f>IF('CRUDO JUEVES'!BP54="Si",$N14,)</f>
        <v>35</v>
      </c>
      <c r="AC14" s="29">
        <v>0</v>
      </c>
      <c r="AD14" s="30">
        <f>IF('CRUDO JUEVES'!BR54="Si",$N14,)</f>
        <v>0</v>
      </c>
      <c r="AE14" s="30">
        <f>IF('CRUDO JUEVES'!BS54="Si",$N14,)</f>
        <v>0</v>
      </c>
      <c r="AF14" s="30">
        <f>IF('CRUDO JUEVES'!BT54="Si",$N14,)</f>
        <v>0</v>
      </c>
      <c r="AG14" s="30">
        <f>IF('CRUDO JUEVES'!BU54="Si",$N14,)</f>
        <v>0</v>
      </c>
      <c r="AH14" s="29">
        <v>0</v>
      </c>
      <c r="AI14" s="32">
        <v>35</v>
      </c>
      <c r="AJ14" s="30">
        <f>IF('CRUDO JUEVES'!BX54="Si",$N14,)</f>
        <v>0</v>
      </c>
      <c r="AK14" s="30">
        <f>IF('CRUDO JUEVES'!BY54="Si",$N14,)</f>
        <v>0</v>
      </c>
      <c r="AL14" s="30">
        <f>IF('CRUDO JUEVES'!BZ54="Si",$N14,)</f>
        <v>0</v>
      </c>
      <c r="AM14" s="32">
        <v>0</v>
      </c>
      <c r="AN14" s="30">
        <f>IF('CRUDO JUEVES'!CB54="Si",$N14,)</f>
        <v>0</v>
      </c>
      <c r="AO14" s="30">
        <f>IF('CRUDO JUEVES'!CC54="Si",$N14,)</f>
        <v>0</v>
      </c>
      <c r="AP14" s="14" t="s">
        <v>1178</v>
      </c>
      <c r="AQ14" s="16"/>
      <c r="AR14" s="16"/>
      <c r="AS14" s="16"/>
      <c r="AT14" s="16"/>
      <c r="AU14" s="14">
        <v>1</v>
      </c>
      <c r="AV14" s="16"/>
    </row>
    <row r="15" spans="1:48" ht="13.2">
      <c r="A15" s="13">
        <v>45363.768122928246</v>
      </c>
      <c r="B15" s="14" t="s">
        <v>202</v>
      </c>
      <c r="C15" s="14" t="s">
        <v>203</v>
      </c>
      <c r="D15" s="14">
        <v>29003000</v>
      </c>
      <c r="E15" s="14" t="s">
        <v>62</v>
      </c>
      <c r="F15" s="14" t="s">
        <v>235</v>
      </c>
      <c r="G15" s="14" t="s">
        <v>64</v>
      </c>
      <c r="H15" s="14" t="s">
        <v>205</v>
      </c>
      <c r="I15" s="14" t="s">
        <v>206</v>
      </c>
      <c r="J15" s="14" t="s">
        <v>987</v>
      </c>
      <c r="K15" s="14" t="s">
        <v>202</v>
      </c>
      <c r="L15" s="14" t="s">
        <v>89</v>
      </c>
      <c r="M15" s="14" t="s">
        <v>208</v>
      </c>
      <c r="N15" s="14">
        <v>32</v>
      </c>
      <c r="O15" s="14" t="s">
        <v>70</v>
      </c>
      <c r="P15" s="14">
        <v>5</v>
      </c>
      <c r="Q15" s="14">
        <v>5</v>
      </c>
      <c r="R15" s="14">
        <v>10</v>
      </c>
      <c r="S15" s="16"/>
      <c r="T15" s="14" t="s">
        <v>71</v>
      </c>
      <c r="U15" s="14" t="s">
        <v>72</v>
      </c>
      <c r="V15" s="15" t="s">
        <v>926</v>
      </c>
      <c r="W15" s="30">
        <f>IF('CRUDO JUEVES'!BK14="Si",$N15,)</f>
        <v>32</v>
      </c>
      <c r="X15" s="29">
        <v>0</v>
      </c>
      <c r="Y15" s="29">
        <v>0</v>
      </c>
      <c r="Z15" s="30">
        <f>IF('CRUDO JUEVES'!BN14="Si",$N15,)</f>
        <v>0</v>
      </c>
      <c r="AA15" s="29">
        <v>0</v>
      </c>
      <c r="AB15" s="29">
        <v>0</v>
      </c>
      <c r="AC15" s="29">
        <v>32</v>
      </c>
      <c r="AD15" s="30">
        <f>IF('CRUDO JUEVES'!BR14="Si",$N15,)</f>
        <v>0</v>
      </c>
      <c r="AE15" s="30">
        <f>IF('CRUDO JUEVES'!BS14="Si",$N15,)</f>
        <v>0</v>
      </c>
      <c r="AF15" s="30">
        <f>IF('CRUDO JUEVES'!BT14="Si",$N15,)</f>
        <v>0</v>
      </c>
      <c r="AG15" s="30">
        <f>IF('CRUDO JUEVES'!BU14="Si",$N15,)</f>
        <v>32</v>
      </c>
      <c r="AH15" s="29">
        <v>0</v>
      </c>
      <c r="AI15" s="29">
        <v>0</v>
      </c>
      <c r="AJ15" s="30">
        <f>IF('CRUDO JUEVES'!BX14="Si",$N15,)</f>
        <v>0</v>
      </c>
      <c r="AK15" s="30">
        <f>IF('CRUDO JUEVES'!BY14="Si",$N15,)</f>
        <v>0</v>
      </c>
      <c r="AL15" s="31">
        <f>IF('CRUDO JUEVES'!BZ14="Si",$N15,)</f>
        <v>32</v>
      </c>
      <c r="AM15" s="29">
        <v>0</v>
      </c>
      <c r="AN15" s="30">
        <f>IF('CRUDO JUEVES'!CB14="Si",$N15,)</f>
        <v>0</v>
      </c>
      <c r="AO15" s="30">
        <f>IF('CRUDO JUEVES'!CC14="Si",$N15,)</f>
        <v>0</v>
      </c>
      <c r="AP15" s="16"/>
      <c r="AQ15" s="16"/>
      <c r="AR15" s="16"/>
      <c r="AS15" s="16"/>
      <c r="AT15" s="16"/>
      <c r="AU15" s="14">
        <v>1</v>
      </c>
      <c r="AV15" s="16"/>
    </row>
    <row r="16" spans="1:48" ht="13.2">
      <c r="A16" s="21">
        <v>45367.576759942131</v>
      </c>
      <c r="B16" s="22" t="s">
        <v>1165</v>
      </c>
      <c r="C16" s="22" t="s">
        <v>1166</v>
      </c>
      <c r="D16" s="22">
        <v>30640241698</v>
      </c>
      <c r="E16" s="22" t="s">
        <v>84</v>
      </c>
      <c r="F16" s="22" t="s">
        <v>228</v>
      </c>
      <c r="G16" s="22" t="s">
        <v>64</v>
      </c>
      <c r="H16" s="22" t="s">
        <v>1167</v>
      </c>
      <c r="I16" s="22" t="s">
        <v>1168</v>
      </c>
      <c r="J16" s="25"/>
      <c r="K16" s="22" t="s">
        <v>1165</v>
      </c>
      <c r="L16" s="22" t="s">
        <v>89</v>
      </c>
      <c r="M16" s="22" t="s">
        <v>737</v>
      </c>
      <c r="N16" s="22">
        <v>0</v>
      </c>
      <c r="O16" s="22" t="s">
        <v>148</v>
      </c>
      <c r="P16" s="22">
        <v>4</v>
      </c>
      <c r="Q16" s="22">
        <v>3</v>
      </c>
      <c r="R16" s="22">
        <v>30</v>
      </c>
      <c r="S16" s="25"/>
      <c r="T16" s="22" t="s">
        <v>71</v>
      </c>
      <c r="U16" s="22" t="s">
        <v>72</v>
      </c>
      <c r="V16" s="24" t="s">
        <v>926</v>
      </c>
      <c r="W16" s="26">
        <f>IF('CRUDO JUEVES'!BK51="Si",$N16,)</f>
        <v>0</v>
      </c>
      <c r="X16" s="26">
        <f>IF('CRUDO JUEVES'!BL51="Si",$N16,)</f>
        <v>0</v>
      </c>
      <c r="Y16" s="26">
        <f>IF('CRUDO JUEVES'!BM51="Si",$N16,)</f>
        <v>0</v>
      </c>
      <c r="Z16" s="26">
        <f>IF('CRUDO JUEVES'!BN51="Si",$N16,)</f>
        <v>0</v>
      </c>
      <c r="AA16" s="26">
        <f>IF('CRUDO JUEVES'!BO51="Si",$N16,)</f>
        <v>0</v>
      </c>
      <c r="AB16" s="26">
        <f>IF('CRUDO JUEVES'!BP51="Si",$N16,)</f>
        <v>0</v>
      </c>
      <c r="AC16" s="26">
        <f>IF('CRUDO JUEVES'!BQ51="Si",$N16,)</f>
        <v>0</v>
      </c>
      <c r="AD16" s="26">
        <f>IF('CRUDO JUEVES'!BR51="Si",$N16,)</f>
        <v>0</v>
      </c>
      <c r="AE16" s="26">
        <f>IF('CRUDO JUEVES'!BS51="Si",$N16,)</f>
        <v>0</v>
      </c>
      <c r="AF16" s="26">
        <f>IF('CRUDO JUEVES'!BT51="Si",$N16,)</f>
        <v>0</v>
      </c>
      <c r="AG16" s="26">
        <f>IF('CRUDO JUEVES'!BU51="Si",$N16,)</f>
        <v>0</v>
      </c>
      <c r="AH16" s="26">
        <f>IF('CRUDO JUEVES'!BV51="Si",$N16,)</f>
        <v>0</v>
      </c>
      <c r="AI16" s="26">
        <f>IF('CRUDO JUEVES'!BW51="Si",$N16,)</f>
        <v>0</v>
      </c>
      <c r="AJ16" s="26">
        <f>IF('CRUDO JUEVES'!BX51="Si",$N16,)</f>
        <v>0</v>
      </c>
      <c r="AK16" s="26">
        <f>IF('CRUDO JUEVES'!BY51="Si",$N16,)</f>
        <v>0</v>
      </c>
      <c r="AL16" s="26">
        <f>IF('CRUDO JUEVES'!BZ51="Si",$N16,)</f>
        <v>0</v>
      </c>
      <c r="AM16" s="26">
        <f>IF('CRUDO JUEVES'!CA51="Si",$N16,)</f>
        <v>0</v>
      </c>
      <c r="AN16" s="26">
        <f>IF('CRUDO JUEVES'!CB51="Si",$N16,)</f>
        <v>0</v>
      </c>
      <c r="AO16" s="26">
        <f>IF('CRUDO JUEVES'!CC51="Si",$N16,)</f>
        <v>0</v>
      </c>
      <c r="AP16" s="25"/>
      <c r="AQ16" s="25"/>
      <c r="AR16" s="25"/>
      <c r="AS16" s="25"/>
      <c r="AT16" s="25"/>
      <c r="AU16" s="25"/>
      <c r="AV16" s="25"/>
    </row>
    <row r="17" spans="1:48" ht="13.2">
      <c r="A17" s="21">
        <v>45367.580832245367</v>
      </c>
      <c r="B17" s="22" t="s">
        <v>1165</v>
      </c>
      <c r="C17" s="22" t="s">
        <v>1166</v>
      </c>
      <c r="D17" s="22">
        <v>30640241698</v>
      </c>
      <c r="E17" s="22" t="s">
        <v>84</v>
      </c>
      <c r="F17" s="22" t="s">
        <v>228</v>
      </c>
      <c r="G17" s="22" t="s">
        <v>64</v>
      </c>
      <c r="H17" s="22" t="s">
        <v>1167</v>
      </c>
      <c r="I17" s="22" t="s">
        <v>1168</v>
      </c>
      <c r="J17" s="25"/>
      <c r="K17" s="22" t="s">
        <v>1165</v>
      </c>
      <c r="L17" s="22" t="s">
        <v>89</v>
      </c>
      <c r="M17" s="22" t="s">
        <v>737</v>
      </c>
      <c r="N17" s="22">
        <v>0</v>
      </c>
      <c r="O17" s="22" t="s">
        <v>148</v>
      </c>
      <c r="P17" s="22">
        <v>4</v>
      </c>
      <c r="Q17" s="22">
        <v>3</v>
      </c>
      <c r="R17" s="22">
        <v>35</v>
      </c>
      <c r="S17" s="25"/>
      <c r="T17" s="22" t="s">
        <v>71</v>
      </c>
      <c r="U17" s="22" t="s">
        <v>72</v>
      </c>
      <c r="V17" s="24" t="s">
        <v>926</v>
      </c>
      <c r="W17" s="26">
        <f>IF('CRUDO JUEVES'!BK53="Si",$N17,)</f>
        <v>0</v>
      </c>
      <c r="X17" s="26">
        <f>IF('CRUDO JUEVES'!BL53="Si",$N17,)</f>
        <v>0</v>
      </c>
      <c r="Y17" s="26">
        <f>IF('CRUDO JUEVES'!BM53="Si",$N17,)</f>
        <v>0</v>
      </c>
      <c r="Z17" s="26">
        <f>IF('CRUDO JUEVES'!BN53="Si",$N17,)</f>
        <v>0</v>
      </c>
      <c r="AA17" s="26">
        <f>IF('CRUDO JUEVES'!BO53="Si",$N17,)</f>
        <v>0</v>
      </c>
      <c r="AB17" s="26">
        <f>IF('CRUDO JUEVES'!BP53="Si",$N17,)</f>
        <v>0</v>
      </c>
      <c r="AC17" s="26">
        <f>IF('CRUDO JUEVES'!BQ53="Si",$N17,)</f>
        <v>0</v>
      </c>
      <c r="AD17" s="26">
        <f>IF('CRUDO JUEVES'!BR53="Si",$N17,)</f>
        <v>0</v>
      </c>
      <c r="AE17" s="26">
        <f>IF('CRUDO JUEVES'!BS53="Si",$N17,)</f>
        <v>0</v>
      </c>
      <c r="AF17" s="26">
        <f>IF('CRUDO JUEVES'!BT53="Si",$N17,)</f>
        <v>0</v>
      </c>
      <c r="AG17" s="26">
        <f>IF('CRUDO JUEVES'!BU53="Si",$N17,)</f>
        <v>0</v>
      </c>
      <c r="AH17" s="26">
        <f>IF('CRUDO JUEVES'!BV53="Si",$N17,)</f>
        <v>0</v>
      </c>
      <c r="AI17" s="26">
        <f>IF('CRUDO JUEVES'!BW53="Si",$N17,)</f>
        <v>0</v>
      </c>
      <c r="AJ17" s="26">
        <f>IF('CRUDO JUEVES'!BX53="Si",$N17,)</f>
        <v>0</v>
      </c>
      <c r="AK17" s="26">
        <f>IF('CRUDO JUEVES'!BY53="Si",$N17,)</f>
        <v>0</v>
      </c>
      <c r="AL17" s="26">
        <f>IF('CRUDO JUEVES'!BZ53="Si",$N17,)</f>
        <v>0</v>
      </c>
      <c r="AM17" s="26">
        <f>IF('CRUDO JUEVES'!CA53="Si",$N17,)</f>
        <v>0</v>
      </c>
      <c r="AN17" s="26">
        <f>IF('CRUDO JUEVES'!CB53="Si",$N17,)</f>
        <v>0</v>
      </c>
      <c r="AO17" s="26">
        <f>IF('CRUDO JUEVES'!CC53="Si",$N17,)</f>
        <v>0</v>
      </c>
      <c r="AP17" s="25"/>
      <c r="AQ17" s="25"/>
      <c r="AR17" s="25"/>
      <c r="AS17" s="25"/>
      <c r="AT17" s="25"/>
      <c r="AU17" s="25"/>
      <c r="AV17" s="25"/>
    </row>
    <row r="18" spans="1:48" ht="13.2">
      <c r="A18" s="21">
        <v>45365.401173217593</v>
      </c>
      <c r="B18" s="22" t="s">
        <v>1061</v>
      </c>
      <c r="C18" s="22" t="s">
        <v>1062</v>
      </c>
      <c r="D18" s="24" t="s">
        <v>1063</v>
      </c>
      <c r="E18" s="22" t="s">
        <v>84</v>
      </c>
      <c r="F18" s="22" t="s">
        <v>1064</v>
      </c>
      <c r="G18" s="22" t="s">
        <v>64</v>
      </c>
      <c r="H18" s="22" t="s">
        <v>1065</v>
      </c>
      <c r="I18" s="22" t="s">
        <v>1066</v>
      </c>
      <c r="J18" s="22" t="s">
        <v>1067</v>
      </c>
      <c r="K18" s="22" t="s">
        <v>1061</v>
      </c>
      <c r="L18" s="22" t="s">
        <v>89</v>
      </c>
      <c r="M18" s="22" t="s">
        <v>1068</v>
      </c>
      <c r="N18" s="22">
        <v>0</v>
      </c>
      <c r="O18" s="22" t="s">
        <v>148</v>
      </c>
      <c r="P18" s="22">
        <v>2</v>
      </c>
      <c r="Q18" s="22">
        <v>3</v>
      </c>
      <c r="R18" s="22">
        <v>15</v>
      </c>
      <c r="S18" s="25"/>
      <c r="T18" s="22" t="s">
        <v>71</v>
      </c>
      <c r="U18" s="22" t="s">
        <v>72</v>
      </c>
      <c r="V18" s="24" t="s">
        <v>926</v>
      </c>
      <c r="W18" s="26">
        <f>IF('CRUDO JUEVES'!BK29="Si",$N18,)</f>
        <v>0</v>
      </c>
      <c r="X18" s="26">
        <f>IF('CRUDO JUEVES'!BL29="Si",$N18,)</f>
        <v>0</v>
      </c>
      <c r="Y18" s="26">
        <f>IF('CRUDO JUEVES'!BM29="Si",$N18,)</f>
        <v>0</v>
      </c>
      <c r="Z18" s="26">
        <f>IF('CRUDO JUEVES'!BN29="Si",$N18,)</f>
        <v>0</v>
      </c>
      <c r="AA18" s="26">
        <f>IF('CRUDO JUEVES'!BO29="Si",$N18,)</f>
        <v>0</v>
      </c>
      <c r="AB18" s="26">
        <f>IF('CRUDO JUEVES'!BP29="Si",$N18,)</f>
        <v>0</v>
      </c>
      <c r="AC18" s="26">
        <f>IF('CRUDO JUEVES'!BQ29="Si",$N18,)</f>
        <v>0</v>
      </c>
      <c r="AD18" s="26">
        <f>IF('CRUDO JUEVES'!BR29="Si",$N18,)</f>
        <v>0</v>
      </c>
      <c r="AE18" s="26">
        <f>IF('CRUDO JUEVES'!BS29="Si",$N18,)</f>
        <v>0</v>
      </c>
      <c r="AF18" s="26">
        <f>IF('CRUDO JUEVES'!BT29="Si",$N18,)</f>
        <v>0</v>
      </c>
      <c r="AG18" s="26">
        <f>IF('CRUDO JUEVES'!BU29="Si",$N18,)</f>
        <v>0</v>
      </c>
      <c r="AH18" s="26">
        <f>IF('CRUDO JUEVES'!BV29="Si",$N18,)</f>
        <v>0</v>
      </c>
      <c r="AI18" s="26">
        <f>IF('CRUDO JUEVES'!BW29="Si",$N18,)</f>
        <v>0</v>
      </c>
      <c r="AJ18" s="26">
        <f>IF('CRUDO JUEVES'!BX29="Si",$N18,)</f>
        <v>0</v>
      </c>
      <c r="AK18" s="26">
        <f>IF('CRUDO JUEVES'!BY29="Si",$N18,)</f>
        <v>0</v>
      </c>
      <c r="AL18" s="26">
        <f>IF('CRUDO JUEVES'!BZ29="Si",$N18,)</f>
        <v>0</v>
      </c>
      <c r="AM18" s="26">
        <f>IF('CRUDO JUEVES'!CA29="Si",$N18,)</f>
        <v>0</v>
      </c>
      <c r="AN18" s="26">
        <f>IF('CRUDO JUEVES'!CB29="Si",$N18,)</f>
        <v>0</v>
      </c>
      <c r="AO18" s="26">
        <f>IF('CRUDO JUEVES'!CC29="Si",$N18,)</f>
        <v>0</v>
      </c>
      <c r="AP18" s="25"/>
      <c r="AQ18" s="25"/>
      <c r="AR18" s="25"/>
      <c r="AS18" s="25"/>
      <c r="AT18" s="25"/>
      <c r="AU18" s="25"/>
      <c r="AV18" s="25"/>
    </row>
    <row r="19" spans="1:48" ht="13.2">
      <c r="A19" s="21">
        <v>45365.406489108791</v>
      </c>
      <c r="B19" s="22" t="s">
        <v>1061</v>
      </c>
      <c r="C19" s="22" t="s">
        <v>1069</v>
      </c>
      <c r="D19" s="24" t="s">
        <v>1070</v>
      </c>
      <c r="E19" s="22" t="s">
        <v>84</v>
      </c>
      <c r="F19" s="22" t="s">
        <v>582</v>
      </c>
      <c r="G19" s="22" t="s">
        <v>64</v>
      </c>
      <c r="H19" s="22" t="s">
        <v>1065</v>
      </c>
      <c r="I19" s="22" t="s">
        <v>1071</v>
      </c>
      <c r="J19" s="22" t="s">
        <v>1072</v>
      </c>
      <c r="K19" s="22" t="s">
        <v>1061</v>
      </c>
      <c r="L19" s="22" t="s">
        <v>89</v>
      </c>
      <c r="M19" s="22" t="s">
        <v>1068</v>
      </c>
      <c r="N19" s="22">
        <v>0</v>
      </c>
      <c r="O19" s="22" t="s">
        <v>148</v>
      </c>
      <c r="P19" s="22">
        <v>2</v>
      </c>
      <c r="Q19" s="22">
        <v>3</v>
      </c>
      <c r="R19" s="22">
        <v>15</v>
      </c>
      <c r="S19" s="25"/>
      <c r="T19" s="22" t="s">
        <v>71</v>
      </c>
      <c r="U19" s="22" t="s">
        <v>72</v>
      </c>
      <c r="V19" s="24" t="s">
        <v>926</v>
      </c>
      <c r="W19" s="26">
        <f>IF('CRUDO JUEVES'!BK30="Si",$N19,)</f>
        <v>0</v>
      </c>
      <c r="X19" s="26">
        <f>IF('CRUDO JUEVES'!BL30="Si",$N19,)</f>
        <v>0</v>
      </c>
      <c r="Y19" s="26">
        <f>IF('CRUDO JUEVES'!BM30="Si",$N19,)</f>
        <v>0</v>
      </c>
      <c r="Z19" s="26">
        <f>IF('CRUDO JUEVES'!BN30="Si",$N19,)</f>
        <v>0</v>
      </c>
      <c r="AA19" s="26">
        <f>IF('CRUDO JUEVES'!BO30="Si",$N19,)</f>
        <v>0</v>
      </c>
      <c r="AB19" s="26">
        <f>IF('CRUDO JUEVES'!BP30="Si",$N19,)</f>
        <v>0</v>
      </c>
      <c r="AC19" s="26">
        <f>IF('CRUDO JUEVES'!BQ30="Si",$N19,)</f>
        <v>0</v>
      </c>
      <c r="AD19" s="26">
        <f>IF('CRUDO JUEVES'!BR30="Si",$N19,)</f>
        <v>0</v>
      </c>
      <c r="AE19" s="26">
        <f>IF('CRUDO JUEVES'!BS30="Si",$N19,)</f>
        <v>0</v>
      </c>
      <c r="AF19" s="26">
        <f>IF('CRUDO JUEVES'!BT30="Si",$N19,)</f>
        <v>0</v>
      </c>
      <c r="AG19" s="26">
        <f>IF('CRUDO JUEVES'!BU30="Si",$N19,)</f>
        <v>0</v>
      </c>
      <c r="AH19" s="26">
        <f>IF('CRUDO JUEVES'!BV30="Si",$N19,)</f>
        <v>0</v>
      </c>
      <c r="AI19" s="26">
        <f>IF('CRUDO JUEVES'!BW30="Si",$N19,)</f>
        <v>0</v>
      </c>
      <c r="AJ19" s="26">
        <f>IF('CRUDO JUEVES'!BX30="Si",$N19,)</f>
        <v>0</v>
      </c>
      <c r="AK19" s="26">
        <f>IF('CRUDO JUEVES'!BY30="Si",$N19,)</f>
        <v>0</v>
      </c>
      <c r="AL19" s="26">
        <f>IF('CRUDO JUEVES'!BZ30="Si",$N19,)</f>
        <v>0</v>
      </c>
      <c r="AM19" s="26">
        <f>IF('CRUDO JUEVES'!CA30="Si",$N19,)</f>
        <v>0</v>
      </c>
      <c r="AN19" s="26">
        <f>IF('CRUDO JUEVES'!CB30="Si",$N19,)</f>
        <v>0</v>
      </c>
      <c r="AO19" s="26">
        <f>IF('CRUDO JUEVES'!CC30="Si",$N19,)</f>
        <v>0</v>
      </c>
      <c r="AP19" s="25"/>
      <c r="AQ19" s="25"/>
      <c r="AR19" s="25"/>
      <c r="AS19" s="25"/>
      <c r="AT19" s="25"/>
      <c r="AU19" s="25"/>
      <c r="AV19" s="25"/>
    </row>
    <row r="20" spans="1:48" ht="13.2">
      <c r="A20" s="21">
        <v>45363.534479386573</v>
      </c>
      <c r="B20" s="22" t="s">
        <v>123</v>
      </c>
      <c r="C20" s="22" t="s">
        <v>124</v>
      </c>
      <c r="D20" s="24" t="s">
        <v>125</v>
      </c>
      <c r="E20" s="22" t="s">
        <v>62</v>
      </c>
      <c r="F20" s="22" t="s">
        <v>126</v>
      </c>
      <c r="G20" s="22" t="s">
        <v>64</v>
      </c>
      <c r="H20" s="22" t="s">
        <v>128</v>
      </c>
      <c r="I20" s="22" t="s">
        <v>127</v>
      </c>
      <c r="J20" s="25"/>
      <c r="K20" s="22" t="s">
        <v>123</v>
      </c>
      <c r="L20" s="22" t="s">
        <v>89</v>
      </c>
      <c r="M20" s="22" t="s">
        <v>129</v>
      </c>
      <c r="N20" s="22">
        <v>0</v>
      </c>
      <c r="O20" s="22" t="s">
        <v>148</v>
      </c>
      <c r="P20" s="22">
        <v>4</v>
      </c>
      <c r="Q20" s="22">
        <v>3</v>
      </c>
      <c r="R20" s="22">
        <v>5</v>
      </c>
      <c r="S20" s="25"/>
      <c r="T20" s="22" t="s">
        <v>71</v>
      </c>
      <c r="U20" s="22" t="s">
        <v>72</v>
      </c>
      <c r="V20" s="24" t="s">
        <v>926</v>
      </c>
      <c r="W20" s="26">
        <f>IF('CRUDO JUEVES'!BK6="Si",$N20,)</f>
        <v>0</v>
      </c>
      <c r="X20" s="26">
        <f>IF('CRUDO JUEVES'!BL6="Si",$N20,)</f>
        <v>0</v>
      </c>
      <c r="Y20" s="26">
        <f>IF('CRUDO JUEVES'!BM6="Si",$N20,)</f>
        <v>0</v>
      </c>
      <c r="Z20" s="26">
        <f>IF('CRUDO JUEVES'!BN6="Si",$N20,)</f>
        <v>0</v>
      </c>
      <c r="AA20" s="26">
        <f>IF('CRUDO JUEVES'!BO6="Si",$N20,)</f>
        <v>0</v>
      </c>
      <c r="AB20" s="26">
        <f>IF('CRUDO JUEVES'!BP6="Si",$N20,)</f>
        <v>0</v>
      </c>
      <c r="AC20" s="26">
        <f>IF('CRUDO JUEVES'!BQ6="Si",$N20,)</f>
        <v>0</v>
      </c>
      <c r="AD20" s="26">
        <f>IF('CRUDO JUEVES'!BR6="Si",$N20,)</f>
        <v>0</v>
      </c>
      <c r="AE20" s="26">
        <f>IF('CRUDO JUEVES'!BS6="Si",$N20,)</f>
        <v>0</v>
      </c>
      <c r="AF20" s="26">
        <f>IF('CRUDO JUEVES'!BT6="Si",$N20,)</f>
        <v>0</v>
      </c>
      <c r="AG20" s="26">
        <f>IF('CRUDO JUEVES'!BU6="Si",$N20,)</f>
        <v>0</v>
      </c>
      <c r="AH20" s="26">
        <f>IF('CRUDO JUEVES'!BV6="Si",$N20,)</f>
        <v>0</v>
      </c>
      <c r="AI20" s="26">
        <f>IF('CRUDO JUEVES'!BW6="Si",$N20,)</f>
        <v>0</v>
      </c>
      <c r="AJ20" s="26">
        <f>IF('CRUDO JUEVES'!BX6="Si",$N20,)</f>
        <v>0</v>
      </c>
      <c r="AK20" s="26">
        <f>IF('CRUDO JUEVES'!BY6="Si",$N20,)</f>
        <v>0</v>
      </c>
      <c r="AL20" s="26">
        <f>IF('CRUDO JUEVES'!BZ6="Si",$N20,)</f>
        <v>0</v>
      </c>
      <c r="AM20" s="26">
        <f>IF('CRUDO JUEVES'!CA6="Si",$N20,)</f>
        <v>0</v>
      </c>
      <c r="AN20" s="26">
        <f>IF('CRUDO JUEVES'!CB6="Si",$N20,)</f>
        <v>0</v>
      </c>
      <c r="AO20" s="26">
        <f>IF('CRUDO JUEVES'!CC6="Si",$N20,)</f>
        <v>0</v>
      </c>
      <c r="AP20" s="25"/>
      <c r="AQ20" s="25"/>
      <c r="AR20" s="25"/>
      <c r="AS20" s="25"/>
      <c r="AT20" s="25"/>
      <c r="AU20" s="25"/>
      <c r="AV20" s="25"/>
    </row>
    <row r="21" spans="1:48" ht="13.2">
      <c r="A21" s="13">
        <v>45366.871050347225</v>
      </c>
      <c r="B21" s="14" t="s">
        <v>1151</v>
      </c>
      <c r="C21" s="14" t="s">
        <v>1152</v>
      </c>
      <c r="D21" s="15" t="s">
        <v>1153</v>
      </c>
      <c r="E21" s="14" t="s">
        <v>133</v>
      </c>
      <c r="F21" s="14" t="s">
        <v>894</v>
      </c>
      <c r="G21" s="14" t="s">
        <v>64</v>
      </c>
      <c r="H21" s="14" t="s">
        <v>1154</v>
      </c>
      <c r="I21" s="14" t="s">
        <v>1155</v>
      </c>
      <c r="J21" s="16"/>
      <c r="K21" s="14" t="s">
        <v>1151</v>
      </c>
      <c r="L21" s="14" t="s">
        <v>89</v>
      </c>
      <c r="M21" s="14" t="s">
        <v>1156</v>
      </c>
      <c r="N21" s="14">
        <v>20</v>
      </c>
      <c r="O21" s="14" t="s">
        <v>70</v>
      </c>
      <c r="P21" s="14">
        <v>4</v>
      </c>
      <c r="Q21" s="14">
        <v>3</v>
      </c>
      <c r="R21" s="14">
        <v>30</v>
      </c>
      <c r="S21" s="16"/>
      <c r="T21" s="14" t="s">
        <v>71</v>
      </c>
      <c r="U21" s="14" t="s">
        <v>71</v>
      </c>
      <c r="V21" s="15" t="s">
        <v>926</v>
      </c>
      <c r="W21" s="29">
        <v>0</v>
      </c>
      <c r="X21" s="29">
        <v>0</v>
      </c>
      <c r="Y21" s="30">
        <f>IF('CRUDO JUEVES'!BM48="Si",$N21,)</f>
        <v>20</v>
      </c>
      <c r="Z21" s="29">
        <v>0</v>
      </c>
      <c r="AA21" s="29">
        <v>0</v>
      </c>
      <c r="AB21" s="29">
        <v>0</v>
      </c>
      <c r="AC21" s="29">
        <v>0</v>
      </c>
      <c r="AD21" s="29">
        <v>0</v>
      </c>
      <c r="AE21" s="30">
        <f>IF('CRUDO JUEVES'!BS48="Si",$N21,)</f>
        <v>20</v>
      </c>
      <c r="AF21" s="30">
        <f>IF('CRUDO JUEVES'!BT48="Si",$N21,)</f>
        <v>20</v>
      </c>
      <c r="AG21" s="30">
        <f>IF('CRUDO JUEVES'!BU48="Si",$N21,)</f>
        <v>20</v>
      </c>
      <c r="AH21" s="31">
        <f>IF('CRUDO JUEVES'!BV48="Si",$N21,)</f>
        <v>20</v>
      </c>
      <c r="AI21" s="29">
        <v>0</v>
      </c>
      <c r="AJ21" s="29">
        <v>0</v>
      </c>
      <c r="AK21" s="29">
        <v>0</v>
      </c>
      <c r="AL21" s="29">
        <v>0</v>
      </c>
      <c r="AM21" s="29">
        <v>0</v>
      </c>
      <c r="AN21" s="29">
        <v>0</v>
      </c>
      <c r="AO21" s="29">
        <v>0</v>
      </c>
      <c r="AP21" s="16"/>
      <c r="AQ21" s="16"/>
      <c r="AR21" s="16"/>
      <c r="AS21" s="16"/>
      <c r="AT21" s="16"/>
      <c r="AU21" s="14">
        <v>1</v>
      </c>
      <c r="AV21" s="16"/>
    </row>
    <row r="22" spans="1:48" ht="13.2">
      <c r="A22" s="13">
        <v>45363.512064814815</v>
      </c>
      <c r="B22" s="14" t="s">
        <v>928</v>
      </c>
      <c r="C22" s="14" t="s">
        <v>929</v>
      </c>
      <c r="D22" s="15" t="s">
        <v>930</v>
      </c>
      <c r="E22" s="14" t="s">
        <v>62</v>
      </c>
      <c r="F22" s="14" t="s">
        <v>931</v>
      </c>
      <c r="G22" s="14" t="s">
        <v>105</v>
      </c>
      <c r="H22" s="14" t="s">
        <v>645</v>
      </c>
      <c r="I22" s="14" t="s">
        <v>645</v>
      </c>
      <c r="J22" s="16"/>
      <c r="K22" s="14" t="s">
        <v>932</v>
      </c>
      <c r="L22" s="14" t="s">
        <v>89</v>
      </c>
      <c r="M22" s="14" t="s">
        <v>933</v>
      </c>
      <c r="N22" s="14">
        <v>20</v>
      </c>
      <c r="O22" s="14" t="s">
        <v>70</v>
      </c>
      <c r="P22" s="14">
        <v>3</v>
      </c>
      <c r="Q22" s="14">
        <v>2</v>
      </c>
      <c r="R22" s="14">
        <v>20</v>
      </c>
      <c r="S22" s="16"/>
      <c r="T22" s="14" t="s">
        <v>72</v>
      </c>
      <c r="U22" s="14" t="s">
        <v>71</v>
      </c>
      <c r="V22" s="15" t="s">
        <v>926</v>
      </c>
      <c r="W22" s="30">
        <f>IF('CRUDO JUEVES'!BK3="Si",$N22,)</f>
        <v>0</v>
      </c>
      <c r="X22" s="30">
        <f>IF('CRUDO JUEVES'!BL3="Si",$N22,)</f>
        <v>0</v>
      </c>
      <c r="Y22" s="30">
        <f>IF('CRUDO JUEVES'!BM3="Si",$N22,)</f>
        <v>0</v>
      </c>
      <c r="Z22" s="30">
        <f>IF('CRUDO JUEVES'!BN3="Si",$N22,)</f>
        <v>20</v>
      </c>
      <c r="AA22" s="30">
        <f>IF('CRUDO JUEVES'!BO3="Si",$N22,)</f>
        <v>0</v>
      </c>
      <c r="AB22" s="30">
        <f>IF('CRUDO JUEVES'!BP3="Si",$N22,)</f>
        <v>0</v>
      </c>
      <c r="AC22" s="30">
        <f>IF('CRUDO JUEVES'!BQ3="Si",$N22,)</f>
        <v>0</v>
      </c>
      <c r="AD22" s="30">
        <f>IF('CRUDO JUEVES'!BR3="Si",$N22,)</f>
        <v>20</v>
      </c>
      <c r="AE22" s="29">
        <v>0</v>
      </c>
      <c r="AF22" s="30">
        <f>IF('CRUDO JUEVES'!BT3="Si",$N22,)</f>
        <v>20</v>
      </c>
      <c r="AG22" s="30">
        <f>IF('CRUDO JUEVES'!BU3="Si",$N22,)</f>
        <v>0</v>
      </c>
      <c r="AH22" s="30">
        <f>IF('CRUDO JUEVES'!BV3="Si",$N22,)</f>
        <v>0</v>
      </c>
      <c r="AI22" s="30">
        <f>IF('CRUDO JUEVES'!BW3="Si",$N22,)</f>
        <v>0</v>
      </c>
      <c r="AJ22" s="29">
        <v>0</v>
      </c>
      <c r="AK22" s="29">
        <v>0</v>
      </c>
      <c r="AL22" s="30">
        <f>IF('CRUDO JUEVES'!BZ3="Si",$N22,)</f>
        <v>0</v>
      </c>
      <c r="AM22" s="30">
        <f>IF('CRUDO JUEVES'!CA3="Si",$N22,)</f>
        <v>0</v>
      </c>
      <c r="AN22" s="30">
        <f>IF('CRUDO JUEVES'!CB3="Si",$N22,)</f>
        <v>0</v>
      </c>
      <c r="AO22" s="30">
        <f>IF('CRUDO JUEVES'!CC3="Si",$N22,)</f>
        <v>0</v>
      </c>
      <c r="AP22" s="16"/>
      <c r="AQ22" s="16"/>
      <c r="AR22" s="16"/>
      <c r="AS22" s="16"/>
      <c r="AT22" s="16"/>
      <c r="AU22" s="14">
        <v>1</v>
      </c>
      <c r="AV22" s="16"/>
    </row>
    <row r="23" spans="1:48" ht="13.2">
      <c r="A23" s="21">
        <v>45365.522917511575</v>
      </c>
      <c r="B23" s="22" t="s">
        <v>1082</v>
      </c>
      <c r="C23" s="22" t="s">
        <v>1083</v>
      </c>
      <c r="D23" s="24" t="s">
        <v>1084</v>
      </c>
      <c r="E23" s="22" t="s">
        <v>133</v>
      </c>
      <c r="F23" s="22" t="s">
        <v>1085</v>
      </c>
      <c r="G23" s="22" t="s">
        <v>64</v>
      </c>
      <c r="H23" s="22" t="s">
        <v>1086</v>
      </c>
      <c r="I23" s="22" t="s">
        <v>1087</v>
      </c>
      <c r="J23" s="22" t="s">
        <v>1088</v>
      </c>
      <c r="K23" s="22" t="s">
        <v>1082</v>
      </c>
      <c r="L23" s="22" t="s">
        <v>89</v>
      </c>
      <c r="M23" s="22" t="s">
        <v>1089</v>
      </c>
      <c r="N23" s="22">
        <v>0</v>
      </c>
      <c r="O23" s="22" t="s">
        <v>70</v>
      </c>
      <c r="P23" s="22">
        <v>5</v>
      </c>
      <c r="Q23" s="22">
        <v>2</v>
      </c>
      <c r="R23" s="22">
        <v>0</v>
      </c>
      <c r="S23" s="25"/>
      <c r="T23" s="22" t="s">
        <v>71</v>
      </c>
      <c r="U23" s="22" t="s">
        <v>71</v>
      </c>
      <c r="V23" s="24" t="s">
        <v>926</v>
      </c>
      <c r="W23" s="26">
        <f>IF('CRUDO JUEVES'!BK34="Si",$N23,)</f>
        <v>0</v>
      </c>
      <c r="X23" s="26">
        <f>IF('CRUDO JUEVES'!BL34="Si",$N23,)</f>
        <v>0</v>
      </c>
      <c r="Y23" s="26">
        <f>IF('CRUDO JUEVES'!BM34="Si",$N23,)</f>
        <v>0</v>
      </c>
      <c r="Z23" s="26">
        <f>IF('CRUDO JUEVES'!BN34="Si",$N23,)</f>
        <v>0</v>
      </c>
      <c r="AA23" s="26">
        <f>IF('CRUDO JUEVES'!BO34="Si",$N23,)</f>
        <v>0</v>
      </c>
      <c r="AB23" s="26">
        <f>IF('CRUDO JUEVES'!BP34="Si",$N23,)</f>
        <v>0</v>
      </c>
      <c r="AC23" s="26">
        <f>IF('CRUDO JUEVES'!BQ34="Si",$N23,)</f>
        <v>0</v>
      </c>
      <c r="AD23" s="26">
        <f>IF('CRUDO JUEVES'!BR34="Si",$N23,)</f>
        <v>0</v>
      </c>
      <c r="AE23" s="26">
        <f>IF('CRUDO JUEVES'!BS34="Si",$N23,)</f>
        <v>0</v>
      </c>
      <c r="AF23" s="26">
        <f>IF('CRUDO JUEVES'!BT34="Si",$N23,)</f>
        <v>0</v>
      </c>
      <c r="AG23" s="26">
        <f>IF('CRUDO JUEVES'!BU34="Si",$N23,)</f>
        <v>0</v>
      </c>
      <c r="AH23" s="26">
        <f>IF('CRUDO JUEVES'!BV34="Si",$N23,)</f>
        <v>0</v>
      </c>
      <c r="AI23" s="26">
        <f>IF('CRUDO JUEVES'!BW34="Si",$N23,)</f>
        <v>0</v>
      </c>
      <c r="AJ23" s="26">
        <f>IF('CRUDO JUEVES'!BX34="Si",$N23,)</f>
        <v>0</v>
      </c>
      <c r="AK23" s="26">
        <f>IF('CRUDO JUEVES'!BY34="Si",$N23,)</f>
        <v>0</v>
      </c>
      <c r="AL23" s="26">
        <f>IF('CRUDO JUEVES'!BZ34="Si",$N23,)</f>
        <v>0</v>
      </c>
      <c r="AM23" s="26">
        <f>IF('CRUDO JUEVES'!CA34="Si",$N23,)</f>
        <v>0</v>
      </c>
      <c r="AN23" s="26">
        <f>IF('CRUDO JUEVES'!CB34="Si",$N23,)</f>
        <v>0</v>
      </c>
      <c r="AO23" s="26">
        <f>IF('CRUDO JUEVES'!CC34="Si",$N23,)</f>
        <v>0</v>
      </c>
      <c r="AP23" s="22" t="s">
        <v>1090</v>
      </c>
      <c r="AQ23" s="25"/>
      <c r="AR23" s="25"/>
      <c r="AS23" s="25"/>
      <c r="AT23" s="25"/>
      <c r="AU23" s="25"/>
      <c r="AV23" s="25"/>
    </row>
    <row r="24" spans="1:48" ht="13.2">
      <c r="A24" s="13">
        <v>45365.525436377313</v>
      </c>
      <c r="B24" s="14" t="s">
        <v>1082</v>
      </c>
      <c r="C24" s="14" t="s">
        <v>1091</v>
      </c>
      <c r="D24" s="15" t="s">
        <v>1084</v>
      </c>
      <c r="E24" s="14" t="s">
        <v>133</v>
      </c>
      <c r="F24" s="14" t="s">
        <v>1085</v>
      </c>
      <c r="G24" s="14" t="s">
        <v>64</v>
      </c>
      <c r="H24" s="14" t="s">
        <v>1086</v>
      </c>
      <c r="I24" s="14" t="s">
        <v>1087</v>
      </c>
      <c r="J24" s="14" t="s">
        <v>1088</v>
      </c>
      <c r="K24" s="14" t="s">
        <v>1082</v>
      </c>
      <c r="L24" s="14" t="s">
        <v>89</v>
      </c>
      <c r="M24" s="14" t="s">
        <v>1089</v>
      </c>
      <c r="N24" s="14">
        <v>27</v>
      </c>
      <c r="O24" s="14" t="s">
        <v>70</v>
      </c>
      <c r="P24" s="14">
        <v>5</v>
      </c>
      <c r="Q24" s="14">
        <v>2</v>
      </c>
      <c r="R24" s="14">
        <v>0</v>
      </c>
      <c r="S24" s="16"/>
      <c r="T24" s="14" t="s">
        <v>71</v>
      </c>
      <c r="U24" s="14" t="s">
        <v>71</v>
      </c>
      <c r="V24" s="15" t="s">
        <v>926</v>
      </c>
      <c r="W24" s="29">
        <v>0</v>
      </c>
      <c r="X24" s="30">
        <f>IF('CRUDO JUEVES'!BL35="Si",$N24,)</f>
        <v>0</v>
      </c>
      <c r="Y24" s="30">
        <f>IF('CRUDO JUEVES'!BM35="Si",$N24,)</f>
        <v>0</v>
      </c>
      <c r="Z24" s="30">
        <f>IF('CRUDO JUEVES'!BN35="Si",$N24,)</f>
        <v>27</v>
      </c>
      <c r="AA24" s="30">
        <f>IF('CRUDO JUEVES'!BO35="Si",$N24,)</f>
        <v>0</v>
      </c>
      <c r="AB24" s="30">
        <f>IF('CRUDO JUEVES'!BP35="Si",$N24,)</f>
        <v>27</v>
      </c>
      <c r="AC24" s="30">
        <f>IF('CRUDO JUEVES'!BQ35="Si",$N24,)</f>
        <v>0</v>
      </c>
      <c r="AD24" s="30">
        <f>IF('CRUDO JUEVES'!BR35="Si",$N24,)</f>
        <v>0</v>
      </c>
      <c r="AE24" s="30">
        <f>IF('CRUDO JUEVES'!BS35="Si",$N24,)</f>
        <v>0</v>
      </c>
      <c r="AF24" s="30">
        <f>IF('CRUDO JUEVES'!BT35="Si",$N24,)</f>
        <v>27</v>
      </c>
      <c r="AG24" s="30">
        <f>IF('CRUDO JUEVES'!BU35="Si",$N24,)</f>
        <v>0</v>
      </c>
      <c r="AH24" s="30">
        <f>IF('CRUDO JUEVES'!BV35="Si",$N24,)</f>
        <v>0</v>
      </c>
      <c r="AI24" s="29">
        <v>0</v>
      </c>
      <c r="AJ24" s="30">
        <f>IF('CRUDO JUEVES'!BX35="Si",$N24,)</f>
        <v>0</v>
      </c>
      <c r="AK24" s="29">
        <v>0</v>
      </c>
      <c r="AL24" s="30">
        <f>IF('CRUDO JUEVES'!BZ35="Si",$N24,)</f>
        <v>0</v>
      </c>
      <c r="AM24" s="29">
        <v>0</v>
      </c>
      <c r="AN24" s="29">
        <v>0</v>
      </c>
      <c r="AO24" s="30">
        <f>IF('CRUDO JUEVES'!CC35="Si",$N24,)</f>
        <v>0</v>
      </c>
      <c r="AP24" s="14" t="s">
        <v>1092</v>
      </c>
      <c r="AQ24" s="16"/>
      <c r="AR24" s="16"/>
      <c r="AS24" s="16"/>
      <c r="AT24" s="16"/>
      <c r="AU24" s="14">
        <v>1</v>
      </c>
      <c r="AV24" s="16"/>
    </row>
    <row r="25" spans="1:48" ht="13.2">
      <c r="A25" s="13">
        <v>45365.527291342594</v>
      </c>
      <c r="B25" s="14" t="s">
        <v>1082</v>
      </c>
      <c r="C25" s="14" t="s">
        <v>1083</v>
      </c>
      <c r="D25" s="15" t="s">
        <v>1084</v>
      </c>
      <c r="E25" s="14" t="s">
        <v>133</v>
      </c>
      <c r="F25" s="14" t="s">
        <v>1093</v>
      </c>
      <c r="G25" s="14" t="s">
        <v>64</v>
      </c>
      <c r="H25" s="14" t="s">
        <v>1086</v>
      </c>
      <c r="I25" s="14" t="s">
        <v>1087</v>
      </c>
      <c r="J25" s="14" t="s">
        <v>1088</v>
      </c>
      <c r="K25" s="14" t="s">
        <v>1082</v>
      </c>
      <c r="L25" s="14" t="s">
        <v>89</v>
      </c>
      <c r="M25" s="14" t="s">
        <v>1094</v>
      </c>
      <c r="N25" s="14">
        <v>22</v>
      </c>
      <c r="O25" s="14" t="s">
        <v>70</v>
      </c>
      <c r="P25" s="14">
        <v>5</v>
      </c>
      <c r="Q25" s="14">
        <v>2</v>
      </c>
      <c r="R25" s="14">
        <v>0</v>
      </c>
      <c r="S25" s="16"/>
      <c r="T25" s="14" t="s">
        <v>72</v>
      </c>
      <c r="U25" s="14" t="s">
        <v>71</v>
      </c>
      <c r="V25" s="15" t="s">
        <v>926</v>
      </c>
      <c r="W25" s="30">
        <f>IF('CRUDO JUEVES'!BK36="Si",$N25,)</f>
        <v>0</v>
      </c>
      <c r="X25" s="30">
        <f>IF('CRUDO JUEVES'!BL36="Si",$N25,)</f>
        <v>0</v>
      </c>
      <c r="Y25" s="30">
        <f>IF('CRUDO JUEVES'!BM36="Si",$N25,)</f>
        <v>0</v>
      </c>
      <c r="Z25" s="30">
        <f>IF('CRUDO JUEVES'!BN36="Si",$N25,)</f>
        <v>22</v>
      </c>
      <c r="AA25" s="30">
        <f>IF('CRUDO JUEVES'!BO36="Si",$N25,)</f>
        <v>0</v>
      </c>
      <c r="AB25" s="30">
        <f>IF('CRUDO JUEVES'!BP36="Si",$N25,)</f>
        <v>0</v>
      </c>
      <c r="AC25" s="30">
        <f>IF('CRUDO JUEVES'!BQ36="Si",$N25,)</f>
        <v>0</v>
      </c>
      <c r="AD25" s="30">
        <f>IF('CRUDO JUEVES'!BR36="Si",$N25,)</f>
        <v>0</v>
      </c>
      <c r="AE25" s="29">
        <v>0</v>
      </c>
      <c r="AF25" s="29">
        <v>22</v>
      </c>
      <c r="AG25" s="30">
        <f>IF('CRUDO JUEVES'!BU36="Si",$N25,)</f>
        <v>0</v>
      </c>
      <c r="AH25" s="30">
        <f>IF('CRUDO JUEVES'!BV36="Si",$N25,)</f>
        <v>0</v>
      </c>
      <c r="AI25" s="30">
        <f>IF('CRUDO JUEVES'!BW36="Si",$N25,)</f>
        <v>0</v>
      </c>
      <c r="AJ25" s="30">
        <f>IF('CRUDO JUEVES'!BX36="Si",$N25,)</f>
        <v>0</v>
      </c>
      <c r="AK25" s="29">
        <v>0</v>
      </c>
      <c r="AL25" s="30">
        <f>IF('CRUDO JUEVES'!BZ36="Si",$N25,)</f>
        <v>0</v>
      </c>
      <c r="AM25" s="30">
        <f>IF('CRUDO JUEVES'!CA36="Si",$N25,)</f>
        <v>0</v>
      </c>
      <c r="AN25" s="30">
        <f>IF('CRUDO JUEVES'!CB36="Si",$N25,)</f>
        <v>0</v>
      </c>
      <c r="AO25" s="29">
        <v>0</v>
      </c>
      <c r="AP25" s="14" t="s">
        <v>1095</v>
      </c>
      <c r="AQ25" s="16"/>
      <c r="AR25" s="16"/>
      <c r="AS25" s="16"/>
      <c r="AT25" s="16"/>
      <c r="AU25" s="14">
        <v>1</v>
      </c>
      <c r="AV25" s="16"/>
    </row>
    <row r="26" spans="1:48" ht="13.2">
      <c r="A26" s="21">
        <v>45369.368262858799</v>
      </c>
      <c r="B26" s="22" t="s">
        <v>1165</v>
      </c>
      <c r="C26" s="22" t="s">
        <v>1166</v>
      </c>
      <c r="D26" s="24" t="s">
        <v>1084</v>
      </c>
      <c r="E26" s="22" t="s">
        <v>133</v>
      </c>
      <c r="F26" s="22" t="s">
        <v>228</v>
      </c>
      <c r="G26" s="22" t="s">
        <v>64</v>
      </c>
      <c r="H26" s="22" t="s">
        <v>816</v>
      </c>
      <c r="I26" s="22" t="s">
        <v>1168</v>
      </c>
      <c r="J26" s="25"/>
      <c r="K26" s="22" t="s">
        <v>1165</v>
      </c>
      <c r="L26" s="22" t="s">
        <v>89</v>
      </c>
      <c r="M26" s="22" t="s">
        <v>737</v>
      </c>
      <c r="N26" s="22">
        <v>0</v>
      </c>
      <c r="O26" s="22" t="s">
        <v>148</v>
      </c>
      <c r="P26" s="22">
        <v>4</v>
      </c>
      <c r="Q26" s="22">
        <v>3</v>
      </c>
      <c r="R26" s="22">
        <v>30</v>
      </c>
      <c r="S26" s="25"/>
      <c r="T26" s="22" t="s">
        <v>71</v>
      </c>
      <c r="U26" s="22" t="s">
        <v>72</v>
      </c>
      <c r="V26" s="24" t="s">
        <v>926</v>
      </c>
      <c r="W26" s="26">
        <f>IF('CRUDO JUEVES'!BK59="Si",$N26,)</f>
        <v>0</v>
      </c>
      <c r="X26" s="26">
        <f>IF('CRUDO JUEVES'!BL59="Si",$N26,)</f>
        <v>0</v>
      </c>
      <c r="Y26" s="26">
        <f>IF('CRUDO JUEVES'!BM59="Si",$N26,)</f>
        <v>0</v>
      </c>
      <c r="Z26" s="26">
        <f>IF('CRUDO JUEVES'!BN59="Si",$N26,)</f>
        <v>0</v>
      </c>
      <c r="AA26" s="26">
        <f>IF('CRUDO JUEVES'!BO59="Si",$N26,)</f>
        <v>0</v>
      </c>
      <c r="AB26" s="26">
        <f>IF('CRUDO JUEVES'!BP59="Si",$N26,)</f>
        <v>0</v>
      </c>
      <c r="AC26" s="26">
        <f>IF('CRUDO JUEVES'!BQ59="Si",$N26,)</f>
        <v>0</v>
      </c>
      <c r="AD26" s="26">
        <f>IF('CRUDO JUEVES'!BR59="Si",$N26,)</f>
        <v>0</v>
      </c>
      <c r="AE26" s="26">
        <f>IF('CRUDO JUEVES'!BS59="Si",$N26,)</f>
        <v>0</v>
      </c>
      <c r="AF26" s="26">
        <f>IF('CRUDO JUEVES'!BT59="Si",$N26,)</f>
        <v>0</v>
      </c>
      <c r="AG26" s="26">
        <f>IF('CRUDO JUEVES'!BU59="Si",$N26,)</f>
        <v>0</v>
      </c>
      <c r="AH26" s="26">
        <f>IF('CRUDO JUEVES'!BV59="Si",$N26,)</f>
        <v>0</v>
      </c>
      <c r="AI26" s="26">
        <f>IF('CRUDO JUEVES'!BW59="Si",$N26,)</f>
        <v>0</v>
      </c>
      <c r="AJ26" s="26">
        <f>IF('CRUDO JUEVES'!BX59="Si",$N26,)</f>
        <v>0</v>
      </c>
      <c r="AK26" s="26">
        <f>IF('CRUDO JUEVES'!BY59="Si",$N26,)</f>
        <v>0</v>
      </c>
      <c r="AL26" s="26">
        <f>IF('CRUDO JUEVES'!BZ59="Si",$N26,)</f>
        <v>0</v>
      </c>
      <c r="AM26" s="26">
        <f>IF('CRUDO JUEVES'!CA59="Si",$N26,)</f>
        <v>0</v>
      </c>
      <c r="AN26" s="26">
        <f>IF('CRUDO JUEVES'!CB59="Si",$N26,)</f>
        <v>0</v>
      </c>
      <c r="AO26" s="26">
        <f>IF('CRUDO JUEVES'!CC59="Si",$N26,)</f>
        <v>0</v>
      </c>
      <c r="AP26" s="25"/>
      <c r="AQ26" s="25"/>
      <c r="AR26" s="25"/>
      <c r="AS26" s="25"/>
      <c r="AT26" s="25"/>
      <c r="AU26" s="25"/>
      <c r="AV26" s="25"/>
    </row>
    <row r="27" spans="1:48" ht="13.2">
      <c r="A27" s="21">
        <v>45369.426430405088</v>
      </c>
      <c r="B27" s="22" t="s">
        <v>1165</v>
      </c>
      <c r="C27" s="22" t="s">
        <v>1166</v>
      </c>
      <c r="D27" s="24" t="s">
        <v>1084</v>
      </c>
      <c r="E27" s="22" t="s">
        <v>133</v>
      </c>
      <c r="F27" s="22" t="s">
        <v>1203</v>
      </c>
      <c r="G27" s="22" t="s">
        <v>64</v>
      </c>
      <c r="H27" s="22" t="s">
        <v>816</v>
      </c>
      <c r="I27" s="22" t="s">
        <v>1168</v>
      </c>
      <c r="J27" s="25"/>
      <c r="K27" s="22" t="s">
        <v>1165</v>
      </c>
      <c r="L27" s="22" t="s">
        <v>89</v>
      </c>
      <c r="M27" s="22" t="s">
        <v>737</v>
      </c>
      <c r="N27" s="22">
        <v>0</v>
      </c>
      <c r="O27" s="22" t="s">
        <v>148</v>
      </c>
      <c r="P27" s="22">
        <v>4</v>
      </c>
      <c r="Q27" s="22">
        <v>3</v>
      </c>
      <c r="R27" s="22">
        <v>30</v>
      </c>
      <c r="S27" s="25"/>
      <c r="T27" s="22" t="s">
        <v>71</v>
      </c>
      <c r="U27" s="22" t="s">
        <v>72</v>
      </c>
      <c r="V27" s="24" t="s">
        <v>926</v>
      </c>
      <c r="W27" s="26">
        <f>IF('CRUDO JUEVES'!BK60="Si",$N27,)</f>
        <v>0</v>
      </c>
      <c r="X27" s="26">
        <f>IF('CRUDO JUEVES'!BL60="Si",$N27,)</f>
        <v>0</v>
      </c>
      <c r="Y27" s="26">
        <f>IF('CRUDO JUEVES'!BM60="Si",$N27,)</f>
        <v>0</v>
      </c>
      <c r="Z27" s="26">
        <f>IF('CRUDO JUEVES'!BN60="Si",$N27,)</f>
        <v>0</v>
      </c>
      <c r="AA27" s="26">
        <f>IF('CRUDO JUEVES'!BO60="Si",$N27,)</f>
        <v>0</v>
      </c>
      <c r="AB27" s="26">
        <f>IF('CRUDO JUEVES'!BP60="Si",$N27,)</f>
        <v>0</v>
      </c>
      <c r="AC27" s="26">
        <f>IF('CRUDO JUEVES'!BQ60="Si",$N27,)</f>
        <v>0</v>
      </c>
      <c r="AD27" s="26">
        <f>IF('CRUDO JUEVES'!BR60="Si",$N27,)</f>
        <v>0</v>
      </c>
      <c r="AE27" s="26">
        <f>IF('CRUDO JUEVES'!BS60="Si",$N27,)</f>
        <v>0</v>
      </c>
      <c r="AF27" s="26">
        <f>IF('CRUDO JUEVES'!BT60="Si",$N27,)</f>
        <v>0</v>
      </c>
      <c r="AG27" s="26">
        <f>IF('CRUDO JUEVES'!BU60="Si",$N27,)</f>
        <v>0</v>
      </c>
      <c r="AH27" s="26">
        <f>IF('CRUDO JUEVES'!BV60="Si",$N27,)</f>
        <v>0</v>
      </c>
      <c r="AI27" s="26">
        <f>IF('CRUDO JUEVES'!BW60="Si",$N27,)</f>
        <v>0</v>
      </c>
      <c r="AJ27" s="26">
        <f>IF('CRUDO JUEVES'!BX60="Si",$N27,)</f>
        <v>0</v>
      </c>
      <c r="AK27" s="26">
        <f>IF('CRUDO JUEVES'!BY60="Si",$N27,)</f>
        <v>0</v>
      </c>
      <c r="AL27" s="26">
        <f>IF('CRUDO JUEVES'!BZ60="Si",$N27,)</f>
        <v>0</v>
      </c>
      <c r="AM27" s="26">
        <f>IF('CRUDO JUEVES'!CA60="Si",$N27,)</f>
        <v>0</v>
      </c>
      <c r="AN27" s="26">
        <f>IF('CRUDO JUEVES'!CB60="Si",$N27,)</f>
        <v>0</v>
      </c>
      <c r="AO27" s="26">
        <f>IF('CRUDO JUEVES'!CC60="Si",$N27,)</f>
        <v>0</v>
      </c>
      <c r="AP27" s="25"/>
      <c r="AQ27" s="25"/>
      <c r="AR27" s="25"/>
      <c r="AS27" s="25"/>
      <c r="AT27" s="25"/>
      <c r="AU27" s="25"/>
      <c r="AV27" s="25"/>
    </row>
    <row r="28" spans="1:48" ht="13.2">
      <c r="A28" s="21">
        <v>45367.859103622686</v>
      </c>
      <c r="B28" s="22" t="s">
        <v>1179</v>
      </c>
      <c r="C28" s="22" t="s">
        <v>1180</v>
      </c>
      <c r="D28" s="24" t="s">
        <v>1181</v>
      </c>
      <c r="E28" s="22" t="s">
        <v>62</v>
      </c>
      <c r="F28" s="22" t="s">
        <v>1182</v>
      </c>
      <c r="G28" s="22" t="s">
        <v>64</v>
      </c>
      <c r="H28" s="22" t="s">
        <v>1183</v>
      </c>
      <c r="I28" s="22" t="s">
        <v>1184</v>
      </c>
      <c r="J28" s="25"/>
      <c r="K28" s="22" t="s">
        <v>1179</v>
      </c>
      <c r="L28" s="22" t="s">
        <v>89</v>
      </c>
      <c r="M28" s="22" t="s">
        <v>1185</v>
      </c>
      <c r="N28" s="22">
        <v>0</v>
      </c>
      <c r="O28" s="22" t="s">
        <v>70</v>
      </c>
      <c r="P28" s="22">
        <v>5</v>
      </c>
      <c r="Q28" s="22">
        <v>5</v>
      </c>
      <c r="R28" s="22">
        <v>15</v>
      </c>
      <c r="S28" s="25"/>
      <c r="T28" s="22" t="s">
        <v>72</v>
      </c>
      <c r="U28" s="22" t="s">
        <v>71</v>
      </c>
      <c r="V28" s="24" t="s">
        <v>926</v>
      </c>
      <c r="W28" s="26">
        <f>IF('CRUDO JUEVES'!BK55="Si",$N28,)</f>
        <v>0</v>
      </c>
      <c r="X28" s="26">
        <f>IF('CRUDO JUEVES'!BL55="Si",$N28,)</f>
        <v>0</v>
      </c>
      <c r="Y28" s="26">
        <f>IF('CRUDO JUEVES'!BM55="Si",$N28,)</f>
        <v>0</v>
      </c>
      <c r="Z28" s="26">
        <f>IF('CRUDO JUEVES'!BN55="Si",$N28,)</f>
        <v>0</v>
      </c>
      <c r="AA28" s="26">
        <f>IF('CRUDO JUEVES'!BO55="Si",$N28,)</f>
        <v>0</v>
      </c>
      <c r="AB28" s="26">
        <f>IF('CRUDO JUEVES'!BP55="Si",$N28,)</f>
        <v>0</v>
      </c>
      <c r="AC28" s="26">
        <f>IF('CRUDO JUEVES'!BQ55="Si",$N28,)</f>
        <v>0</v>
      </c>
      <c r="AD28" s="27">
        <v>0</v>
      </c>
      <c r="AE28" s="26">
        <f>IF('CRUDO JUEVES'!BS55="Si",$N28,)</f>
        <v>0</v>
      </c>
      <c r="AF28" s="26">
        <f>IF('CRUDO JUEVES'!BT55="Si",$N28,)</f>
        <v>0</v>
      </c>
      <c r="AG28" s="26">
        <f>IF('CRUDO JUEVES'!BU55="Si",$N28,)</f>
        <v>0</v>
      </c>
      <c r="AH28" s="26">
        <f>IF('CRUDO JUEVES'!BV55="Si",$N28,)</f>
        <v>0</v>
      </c>
      <c r="AI28" s="26">
        <f>IF('CRUDO JUEVES'!BW55="Si",$N28,)</f>
        <v>0</v>
      </c>
      <c r="AJ28" s="26">
        <f>IF('CRUDO JUEVES'!BX55="Si",$N28,)</f>
        <v>0</v>
      </c>
      <c r="AK28" s="26">
        <f>IF('CRUDO JUEVES'!BY55="Si",$N28,)</f>
        <v>0</v>
      </c>
      <c r="AL28" s="26">
        <f>IF('CRUDO JUEVES'!BZ55="Si",$N28,)</f>
        <v>0</v>
      </c>
      <c r="AM28" s="26">
        <f>IF('CRUDO JUEVES'!CA55="Si",$N28,)</f>
        <v>0</v>
      </c>
      <c r="AN28" s="26">
        <f>IF('CRUDO JUEVES'!CB55="Si",$N28,)</f>
        <v>0</v>
      </c>
      <c r="AO28" s="26">
        <f>IF('CRUDO JUEVES'!CC55="Si",$N28,)</f>
        <v>0</v>
      </c>
      <c r="AP28" s="25"/>
      <c r="AQ28" s="25"/>
      <c r="AR28" s="25"/>
      <c r="AS28" s="25"/>
      <c r="AT28" s="25"/>
      <c r="AU28" s="25"/>
      <c r="AV28" s="25"/>
    </row>
    <row r="29" spans="1:48" ht="13.2">
      <c r="A29" s="13">
        <v>45364.947471805557</v>
      </c>
      <c r="B29" s="14" t="s">
        <v>209</v>
      </c>
      <c r="C29" s="14" t="s">
        <v>210</v>
      </c>
      <c r="D29" s="15" t="s">
        <v>211</v>
      </c>
      <c r="E29" s="14" t="s">
        <v>286</v>
      </c>
      <c r="F29" s="14" t="s">
        <v>1050</v>
      </c>
      <c r="G29" s="14" t="s">
        <v>105</v>
      </c>
      <c r="H29" s="14" t="s">
        <v>214</v>
      </c>
      <c r="I29" s="14" t="s">
        <v>1051</v>
      </c>
      <c r="J29" s="14" t="s">
        <v>1052</v>
      </c>
      <c r="K29" s="14" t="s">
        <v>209</v>
      </c>
      <c r="L29" s="14" t="s">
        <v>89</v>
      </c>
      <c r="M29" s="14" t="s">
        <v>217</v>
      </c>
      <c r="N29" s="14">
        <v>20</v>
      </c>
      <c r="O29" s="14" t="s">
        <v>70</v>
      </c>
      <c r="P29" s="14">
        <v>5</v>
      </c>
      <c r="Q29" s="14">
        <v>5</v>
      </c>
      <c r="R29" s="14">
        <v>80</v>
      </c>
      <c r="S29" s="16"/>
      <c r="T29" s="14" t="s">
        <v>71</v>
      </c>
      <c r="U29" s="14" t="s">
        <v>72</v>
      </c>
      <c r="V29" s="15" t="s">
        <v>926</v>
      </c>
      <c r="W29" s="30">
        <f>IF('CRUDO JUEVES'!BK26="Si",$N29,)</f>
        <v>0</v>
      </c>
      <c r="X29" s="30">
        <f>IF('CRUDO JUEVES'!BL26="Si",$N29,)</f>
        <v>0</v>
      </c>
      <c r="Y29" s="30">
        <f>IF('CRUDO JUEVES'!BM26="Si",$N29,)</f>
        <v>0</v>
      </c>
      <c r="Z29" s="30">
        <f>IF('CRUDO JUEVES'!BN26="Si",$N29,)</f>
        <v>0</v>
      </c>
      <c r="AA29" s="30">
        <f>IF('CRUDO JUEVES'!BO26="Si",$N29,)</f>
        <v>20</v>
      </c>
      <c r="AB29" s="30">
        <f>IF('CRUDO JUEVES'!BP26="Si",$N29,)</f>
        <v>0</v>
      </c>
      <c r="AC29" s="30">
        <f>IF('CRUDO JUEVES'!BQ26="Si",$N29,)</f>
        <v>0</v>
      </c>
      <c r="AD29" s="30">
        <f>IF('CRUDO JUEVES'!BR26="Si",$N29,)</f>
        <v>0</v>
      </c>
      <c r="AE29" s="30">
        <f>IF('CRUDO JUEVES'!BS26="Si",$N29,)</f>
        <v>0</v>
      </c>
      <c r="AF29" s="30">
        <f>IF('CRUDO JUEVES'!BT26="Si",$N29,)</f>
        <v>0</v>
      </c>
      <c r="AG29" s="30">
        <f>IF('CRUDO JUEVES'!BU26="Si",$N29,)</f>
        <v>0</v>
      </c>
      <c r="AH29" s="31">
        <f>IF('CRUDO JUEVES'!BV26="Si",$N29,)</f>
        <v>20</v>
      </c>
      <c r="AI29" s="30">
        <f>IF('CRUDO JUEVES'!BW26="Si",$N29,)</f>
        <v>0</v>
      </c>
      <c r="AJ29" s="30">
        <f>IF('CRUDO JUEVES'!BX26="Si",$N29,)</f>
        <v>0</v>
      </c>
      <c r="AK29" s="30">
        <f>IF('CRUDO JUEVES'!BY26="Si",$N29,)</f>
        <v>0</v>
      </c>
      <c r="AL29" s="30">
        <f>IF('CRUDO JUEVES'!BZ26="Si",$N29,)</f>
        <v>0</v>
      </c>
      <c r="AM29" s="29">
        <v>0</v>
      </c>
      <c r="AN29" s="30">
        <f>IF('CRUDO JUEVES'!CB26="Si",$N29,)</f>
        <v>0</v>
      </c>
      <c r="AO29" s="30">
        <f>IF('CRUDO JUEVES'!CC26="Si",$N29,)</f>
        <v>0</v>
      </c>
      <c r="AP29" s="16"/>
      <c r="AQ29" s="16"/>
      <c r="AR29" s="16"/>
      <c r="AS29" s="16"/>
      <c r="AT29" s="16"/>
      <c r="AU29" s="14">
        <v>1</v>
      </c>
      <c r="AV29" s="16"/>
    </row>
    <row r="30" spans="1:48" ht="13.2">
      <c r="A30" s="13">
        <v>45364.951024606482</v>
      </c>
      <c r="B30" s="14" t="s">
        <v>209</v>
      </c>
      <c r="C30" s="14" t="s">
        <v>210</v>
      </c>
      <c r="D30" s="15" t="s">
        <v>211</v>
      </c>
      <c r="E30" s="14" t="s">
        <v>212</v>
      </c>
      <c r="F30" s="14" t="s">
        <v>1053</v>
      </c>
      <c r="G30" s="14" t="s">
        <v>105</v>
      </c>
      <c r="H30" s="14" t="s">
        <v>214</v>
      </c>
      <c r="I30" s="14" t="s">
        <v>1051</v>
      </c>
      <c r="J30" s="14" t="s">
        <v>1052</v>
      </c>
      <c r="K30" s="14" t="s">
        <v>209</v>
      </c>
      <c r="L30" s="14" t="s">
        <v>89</v>
      </c>
      <c r="M30" s="14" t="s">
        <v>217</v>
      </c>
      <c r="N30" s="14">
        <v>20</v>
      </c>
      <c r="O30" s="14" t="s">
        <v>70</v>
      </c>
      <c r="P30" s="14">
        <v>5</v>
      </c>
      <c r="Q30" s="14">
        <v>5</v>
      </c>
      <c r="R30" s="14">
        <v>80</v>
      </c>
      <c r="S30" s="16"/>
      <c r="T30" s="14" t="s">
        <v>71</v>
      </c>
      <c r="U30" s="14" t="s">
        <v>72</v>
      </c>
      <c r="V30" s="15" t="s">
        <v>926</v>
      </c>
      <c r="W30" s="30">
        <f>IF('CRUDO JUEVES'!BK27="Si",$N30,)</f>
        <v>0</v>
      </c>
      <c r="X30" s="30">
        <f>IF('CRUDO JUEVES'!BL27="Si",$N30,)</f>
        <v>0</v>
      </c>
      <c r="Y30" s="30">
        <f>IF('CRUDO JUEVES'!BM27="Si",$N30,)</f>
        <v>0</v>
      </c>
      <c r="Z30" s="30">
        <f>IF('CRUDO JUEVES'!BN27="Si",$N30,)</f>
        <v>0</v>
      </c>
      <c r="AA30" s="30">
        <f>IF('CRUDO JUEVES'!BO27="Si",$N30,)</f>
        <v>20</v>
      </c>
      <c r="AB30" s="30">
        <f>IF('CRUDO JUEVES'!BP27="Si",$N30,)</f>
        <v>0</v>
      </c>
      <c r="AC30" s="30">
        <f>IF('CRUDO JUEVES'!BQ27="Si",$N30,)</f>
        <v>0</v>
      </c>
      <c r="AD30" s="30">
        <f>IF('CRUDO JUEVES'!BR27="Si",$N30,)</f>
        <v>0</v>
      </c>
      <c r="AE30" s="30">
        <f>IF('CRUDO JUEVES'!BS27="Si",$N30,)</f>
        <v>0</v>
      </c>
      <c r="AF30" s="30">
        <f>IF('CRUDO JUEVES'!BT27="Si",$N30,)</f>
        <v>0</v>
      </c>
      <c r="AG30" s="30">
        <f>IF('CRUDO JUEVES'!BU27="Si",$N30,)</f>
        <v>0</v>
      </c>
      <c r="AH30" s="31">
        <f>IF('CRUDO JUEVES'!BV27="Si",$N30,)</f>
        <v>20</v>
      </c>
      <c r="AI30" s="30">
        <f>IF('CRUDO JUEVES'!BW27="Si",$N30,)</f>
        <v>0</v>
      </c>
      <c r="AJ30" s="30">
        <f>IF('CRUDO JUEVES'!BX27="Si",$N30,)</f>
        <v>0</v>
      </c>
      <c r="AK30" s="30">
        <f>IF('CRUDO JUEVES'!BY27="Si",$N30,)</f>
        <v>0</v>
      </c>
      <c r="AL30" s="30">
        <f>IF('CRUDO JUEVES'!BZ27="Si",$N30,)</f>
        <v>0</v>
      </c>
      <c r="AM30" s="29">
        <v>0</v>
      </c>
      <c r="AN30" s="30">
        <f>IF('CRUDO JUEVES'!CB27="Si",$N30,)</f>
        <v>0</v>
      </c>
      <c r="AO30" s="30">
        <f>IF('CRUDO JUEVES'!CC27="Si",$N30,)</f>
        <v>0</v>
      </c>
      <c r="AP30" s="16"/>
      <c r="AQ30" s="16"/>
      <c r="AR30" s="16"/>
      <c r="AS30" s="16"/>
      <c r="AT30" s="16"/>
      <c r="AU30" s="14">
        <v>1</v>
      </c>
      <c r="AV30" s="16"/>
    </row>
    <row r="31" spans="1:48" ht="13.2">
      <c r="A31" s="13">
        <v>45366.556322187505</v>
      </c>
      <c r="B31" s="14" t="s">
        <v>1133</v>
      </c>
      <c r="C31" s="14" t="s">
        <v>1134</v>
      </c>
      <c r="D31" s="15" t="s">
        <v>1135</v>
      </c>
      <c r="E31" s="14" t="s">
        <v>133</v>
      </c>
      <c r="F31" s="14" t="s">
        <v>192</v>
      </c>
      <c r="G31" s="14" t="s">
        <v>64</v>
      </c>
      <c r="H31" s="14" t="s">
        <v>1136</v>
      </c>
      <c r="I31" s="14" t="s">
        <v>1137</v>
      </c>
      <c r="J31" s="14" t="s">
        <v>1138</v>
      </c>
      <c r="K31" s="14" t="s">
        <v>1133</v>
      </c>
      <c r="L31" s="14" t="s">
        <v>89</v>
      </c>
      <c r="M31" s="14" t="s">
        <v>89</v>
      </c>
      <c r="N31" s="14">
        <v>20</v>
      </c>
      <c r="O31" s="14" t="s">
        <v>70</v>
      </c>
      <c r="P31" s="14">
        <v>5</v>
      </c>
      <c r="Q31" s="14">
        <v>2</v>
      </c>
      <c r="R31" s="14">
        <v>1</v>
      </c>
      <c r="S31" s="16"/>
      <c r="T31" s="14" t="s">
        <v>71</v>
      </c>
      <c r="U31" s="14" t="s">
        <v>72</v>
      </c>
      <c r="V31" s="15" t="s">
        <v>926</v>
      </c>
      <c r="W31" s="30">
        <f>IF('CRUDO JUEVES'!BK45="Si",$N31,)</f>
        <v>20</v>
      </c>
      <c r="X31" s="29">
        <v>0</v>
      </c>
      <c r="Y31" s="30">
        <f>IF('CRUDO JUEVES'!BM45="Si",$N31,)</f>
        <v>0</v>
      </c>
      <c r="Z31" s="30">
        <f>IF('CRUDO JUEVES'!BN45="Si",$N31,)</f>
        <v>0</v>
      </c>
      <c r="AA31" s="29">
        <v>0</v>
      </c>
      <c r="AB31" s="30">
        <f>IF('CRUDO JUEVES'!BP45="Si",$N31,)</f>
        <v>20</v>
      </c>
      <c r="AC31" s="29">
        <v>0</v>
      </c>
      <c r="AD31" s="30">
        <f>IF('CRUDO JUEVES'!BR45="Si",$N31,)</f>
        <v>0</v>
      </c>
      <c r="AE31" s="30">
        <f>IF('CRUDO JUEVES'!BS45="Si",$N31,)</f>
        <v>0</v>
      </c>
      <c r="AF31" s="30">
        <f>IF('CRUDO JUEVES'!BT45="Si",$N31,)</f>
        <v>0</v>
      </c>
      <c r="AG31" s="30">
        <f>IF('CRUDO JUEVES'!BU45="Si",$N31,)</f>
        <v>20</v>
      </c>
      <c r="AH31" s="29">
        <v>0</v>
      </c>
      <c r="AI31" s="29">
        <v>0</v>
      </c>
      <c r="AJ31" s="30">
        <f>IF('CRUDO JUEVES'!BX45="Si",$N31,)</f>
        <v>0</v>
      </c>
      <c r="AK31" s="30">
        <f>IF('CRUDO JUEVES'!BY45="Si",$N31,)</f>
        <v>0</v>
      </c>
      <c r="AL31" s="29">
        <v>0</v>
      </c>
      <c r="AM31" s="29">
        <v>0</v>
      </c>
      <c r="AN31" s="30">
        <f>IF('CRUDO JUEVES'!CB45="Si",$N31,)</f>
        <v>0</v>
      </c>
      <c r="AO31" s="30">
        <f>IF('CRUDO JUEVES'!CC45="Si",$N31,)</f>
        <v>0</v>
      </c>
      <c r="AP31" s="16"/>
      <c r="AQ31" s="16"/>
      <c r="AR31" s="16"/>
      <c r="AS31" s="16"/>
      <c r="AT31" s="16"/>
      <c r="AU31" s="14">
        <v>1</v>
      </c>
      <c r="AV31" s="16"/>
    </row>
    <row r="32" spans="1:48" ht="13.2">
      <c r="A32" s="13">
        <v>45366.56606420139</v>
      </c>
      <c r="B32" s="14" t="s">
        <v>1133</v>
      </c>
      <c r="C32" s="14" t="s">
        <v>1134</v>
      </c>
      <c r="D32" s="15" t="s">
        <v>1135</v>
      </c>
      <c r="E32" s="14" t="s">
        <v>133</v>
      </c>
      <c r="F32" s="14" t="s">
        <v>1139</v>
      </c>
      <c r="G32" s="14" t="s">
        <v>64</v>
      </c>
      <c r="H32" s="14" t="s">
        <v>1140</v>
      </c>
      <c r="I32" s="14" t="s">
        <v>1137</v>
      </c>
      <c r="J32" s="14" t="s">
        <v>1138</v>
      </c>
      <c r="K32" s="14" t="s">
        <v>1133</v>
      </c>
      <c r="L32" s="14" t="s">
        <v>89</v>
      </c>
      <c r="M32" s="14" t="s">
        <v>1141</v>
      </c>
      <c r="N32" s="14">
        <v>24</v>
      </c>
      <c r="O32" s="14" t="s">
        <v>70</v>
      </c>
      <c r="P32" s="14">
        <v>5</v>
      </c>
      <c r="Q32" s="14">
        <v>2</v>
      </c>
      <c r="R32" s="14">
        <v>1</v>
      </c>
      <c r="S32" s="14" t="s">
        <v>1142</v>
      </c>
      <c r="T32" s="14" t="s">
        <v>71</v>
      </c>
      <c r="U32" s="14" t="s">
        <v>72</v>
      </c>
      <c r="V32" s="15" t="s">
        <v>926</v>
      </c>
      <c r="W32" s="30">
        <f>IF('CRUDO JUEVES'!BK46="Si",$N32,)</f>
        <v>24</v>
      </c>
      <c r="X32" s="29">
        <v>0</v>
      </c>
      <c r="Y32" s="30">
        <f>IF('CRUDO JUEVES'!BM46="Si",$N32,)</f>
        <v>0</v>
      </c>
      <c r="Z32" s="30">
        <f>IF('CRUDO JUEVES'!BN46="Si",$N32,)</f>
        <v>0</v>
      </c>
      <c r="AA32" s="29">
        <v>0</v>
      </c>
      <c r="AB32" s="30">
        <f>IF('CRUDO JUEVES'!BP46="Si",$N32,)</f>
        <v>24</v>
      </c>
      <c r="AC32" s="29">
        <v>0</v>
      </c>
      <c r="AD32" s="30">
        <f>IF('CRUDO JUEVES'!BR46="Si",$N32,)</f>
        <v>0</v>
      </c>
      <c r="AE32" s="30">
        <f>IF('CRUDO JUEVES'!BS46="Si",$N32,)</f>
        <v>0</v>
      </c>
      <c r="AF32" s="30">
        <f>IF('CRUDO JUEVES'!BT46="Si",$N32,)</f>
        <v>0</v>
      </c>
      <c r="AG32" s="30">
        <f>IF('CRUDO JUEVES'!BU46="Si",$N32,)</f>
        <v>24</v>
      </c>
      <c r="AH32" s="29">
        <v>0</v>
      </c>
      <c r="AI32" s="29">
        <v>0</v>
      </c>
      <c r="AJ32" s="30">
        <f>IF('CRUDO JUEVES'!BX46="Si",$N32,)</f>
        <v>0</v>
      </c>
      <c r="AK32" s="30">
        <f>IF('CRUDO JUEVES'!BY46="Si",$N32,)</f>
        <v>0</v>
      </c>
      <c r="AL32" s="29">
        <v>0</v>
      </c>
      <c r="AM32" s="29">
        <v>0</v>
      </c>
      <c r="AN32" s="30">
        <f>IF('CRUDO JUEVES'!CB46="Si",$N32,)</f>
        <v>0</v>
      </c>
      <c r="AO32" s="30">
        <f>IF('CRUDO JUEVES'!CC46="Si",$N32,)</f>
        <v>0</v>
      </c>
      <c r="AP32" s="14" t="s">
        <v>1142</v>
      </c>
      <c r="AQ32" s="16"/>
      <c r="AR32" s="16"/>
      <c r="AS32" s="16"/>
      <c r="AT32" s="16"/>
      <c r="AU32" s="14">
        <v>1</v>
      </c>
      <c r="AV32" s="16"/>
    </row>
    <row r="33" spans="1:48" ht="13.2">
      <c r="A33" s="13">
        <v>45363.673763750005</v>
      </c>
      <c r="B33" s="14" t="s">
        <v>964</v>
      </c>
      <c r="C33" s="14" t="s">
        <v>965</v>
      </c>
      <c r="D33" s="15" t="s">
        <v>966</v>
      </c>
      <c r="E33" s="14" t="s">
        <v>62</v>
      </c>
      <c r="F33" s="14" t="s">
        <v>967</v>
      </c>
      <c r="G33" s="14" t="s">
        <v>64</v>
      </c>
      <c r="H33" s="14" t="s">
        <v>968</v>
      </c>
      <c r="I33" s="14" t="s">
        <v>969</v>
      </c>
      <c r="J33" s="14" t="s">
        <v>970</v>
      </c>
      <c r="K33" s="14" t="s">
        <v>964</v>
      </c>
      <c r="L33" s="14" t="s">
        <v>68</v>
      </c>
      <c r="M33" s="14" t="s">
        <v>971</v>
      </c>
      <c r="N33" s="14">
        <v>35</v>
      </c>
      <c r="O33" s="14" t="s">
        <v>70</v>
      </c>
      <c r="P33" s="14">
        <v>3</v>
      </c>
      <c r="Q33" s="14">
        <v>5</v>
      </c>
      <c r="R33" s="14">
        <v>40</v>
      </c>
      <c r="S33" s="16"/>
      <c r="T33" s="14" t="s">
        <v>71</v>
      </c>
      <c r="U33" s="14" t="s">
        <v>71</v>
      </c>
      <c r="V33" s="15" t="s">
        <v>926</v>
      </c>
      <c r="W33" s="29">
        <v>0</v>
      </c>
      <c r="X33" s="29">
        <v>0</v>
      </c>
      <c r="Y33" s="30">
        <f>IF('CRUDO JUEVES'!BM11="Si",$N33,)</f>
        <v>35</v>
      </c>
      <c r="Z33" s="29">
        <v>0</v>
      </c>
      <c r="AA33" s="30">
        <f>IF('CRUDO JUEVES'!BO11="Si",$N33,)</f>
        <v>35</v>
      </c>
      <c r="AB33" s="29">
        <v>0</v>
      </c>
      <c r="AC33" s="29">
        <v>0</v>
      </c>
      <c r="AD33" s="29">
        <v>0</v>
      </c>
      <c r="AE33" s="30">
        <f>IF('CRUDO JUEVES'!BS11="Si",$N33,)</f>
        <v>35</v>
      </c>
      <c r="AF33" s="30">
        <f>IF('CRUDO JUEVES'!BT11="Si",$N33,)</f>
        <v>35</v>
      </c>
      <c r="AG33" s="30">
        <f>IF('CRUDO JUEVES'!BU11="Si",$N33,)</f>
        <v>35</v>
      </c>
      <c r="AH33" s="29">
        <v>0</v>
      </c>
      <c r="AI33" s="29">
        <v>0</v>
      </c>
      <c r="AJ33" s="29">
        <v>0</v>
      </c>
      <c r="AK33" s="30">
        <f>IF('CRUDO JUEVES'!BY11="Si",$N33,)</f>
        <v>0</v>
      </c>
      <c r="AL33" s="32">
        <v>35</v>
      </c>
      <c r="AM33" s="29">
        <v>0</v>
      </c>
      <c r="AN33" s="29">
        <v>0</v>
      </c>
      <c r="AO33" s="30">
        <f>IF('CRUDO JUEVES'!CC11="Si",$N33,)</f>
        <v>0</v>
      </c>
      <c r="AP33" s="16"/>
      <c r="AQ33" s="16"/>
      <c r="AR33" s="16"/>
      <c r="AS33" s="16"/>
      <c r="AT33" s="16"/>
      <c r="AU33" s="14">
        <v>1</v>
      </c>
      <c r="AV33" s="16"/>
    </row>
    <row r="34" spans="1:48" ht="13.2">
      <c r="A34" s="13">
        <v>45364.735914375</v>
      </c>
      <c r="B34" s="14" t="s">
        <v>1040</v>
      </c>
      <c r="C34" s="14" t="s">
        <v>1041</v>
      </c>
      <c r="D34" s="15" t="s">
        <v>1042</v>
      </c>
      <c r="E34" s="14" t="s">
        <v>133</v>
      </c>
      <c r="F34" s="14" t="s">
        <v>1043</v>
      </c>
      <c r="G34" s="14" t="s">
        <v>64</v>
      </c>
      <c r="H34" s="14" t="s">
        <v>1044</v>
      </c>
      <c r="I34" s="14" t="s">
        <v>1045</v>
      </c>
      <c r="J34" s="16"/>
      <c r="K34" s="14" t="s">
        <v>1046</v>
      </c>
      <c r="L34" s="14" t="s">
        <v>1047</v>
      </c>
      <c r="M34" s="14" t="s">
        <v>1048</v>
      </c>
      <c r="N34" s="14">
        <v>32</v>
      </c>
      <c r="O34" s="14" t="s">
        <v>70</v>
      </c>
      <c r="P34" s="14">
        <v>2</v>
      </c>
      <c r="Q34" s="14">
        <v>2</v>
      </c>
      <c r="R34" s="14">
        <v>10</v>
      </c>
      <c r="S34" s="14" t="s">
        <v>1049</v>
      </c>
      <c r="T34" s="14" t="s">
        <v>72</v>
      </c>
      <c r="U34" s="14" t="s">
        <v>71</v>
      </c>
      <c r="V34" s="15" t="s">
        <v>926</v>
      </c>
      <c r="W34" s="30">
        <f>IF('CRUDO JUEVES'!BK25="Si",$N34,)</f>
        <v>0</v>
      </c>
      <c r="X34" s="30">
        <f>IF('CRUDO JUEVES'!BL25="Si",$N34,)</f>
        <v>0</v>
      </c>
      <c r="Y34" s="30">
        <f>IF('CRUDO JUEVES'!BM25="Si",$N34,)</f>
        <v>0</v>
      </c>
      <c r="Z34" s="30">
        <f>IF('CRUDO JUEVES'!BN25="Si",$N34,)</f>
        <v>32</v>
      </c>
      <c r="AA34" s="30">
        <f>IF('CRUDO JUEVES'!BO25="Si",$N34,)</f>
        <v>0</v>
      </c>
      <c r="AB34" s="30">
        <f>IF('CRUDO JUEVES'!BP25="Si",$N34,)</f>
        <v>0</v>
      </c>
      <c r="AC34" s="30">
        <f>IF('CRUDO JUEVES'!BQ25="Si",$N34,)</f>
        <v>0</v>
      </c>
      <c r="AD34" s="30">
        <f>IF('CRUDO JUEVES'!BR25="Si",$N34,)</f>
        <v>32</v>
      </c>
      <c r="AE34" s="30">
        <f>IF('CRUDO JUEVES'!BS25="Si",$N34,)</f>
        <v>0</v>
      </c>
      <c r="AF34" s="30">
        <f>IF('CRUDO JUEVES'!BT25="Si",$N34,)</f>
        <v>0</v>
      </c>
      <c r="AG34" s="30">
        <f>IF('CRUDO JUEVES'!BU25="Si",$N34,)</f>
        <v>0</v>
      </c>
      <c r="AH34" s="30">
        <f>IF('CRUDO JUEVES'!BV25="Si",$N34,)</f>
        <v>0</v>
      </c>
      <c r="AI34" s="30">
        <f>IF('CRUDO JUEVES'!BW25="Si",$N34,)</f>
        <v>0</v>
      </c>
      <c r="AJ34" s="30">
        <f>IF('CRUDO JUEVES'!BX25="Si",$N34,)</f>
        <v>0</v>
      </c>
      <c r="AK34" s="29">
        <v>0</v>
      </c>
      <c r="AL34" s="29">
        <v>0</v>
      </c>
      <c r="AM34" s="29">
        <v>0</v>
      </c>
      <c r="AN34" s="29">
        <v>0</v>
      </c>
      <c r="AO34" s="31">
        <f>IF('CRUDO JUEVES'!CC25="Si",$N34,)</f>
        <v>32</v>
      </c>
      <c r="AP34" s="16"/>
      <c r="AQ34" s="16"/>
      <c r="AR34" s="16"/>
      <c r="AS34" s="16"/>
      <c r="AT34" s="16"/>
      <c r="AU34" s="14">
        <v>1</v>
      </c>
      <c r="AV34" s="16"/>
    </row>
    <row r="35" spans="1:48" ht="13.2">
      <c r="A35" s="13">
        <v>45363.514309247686</v>
      </c>
      <c r="B35" s="14" t="s">
        <v>934</v>
      </c>
      <c r="C35" s="14" t="s">
        <v>935</v>
      </c>
      <c r="D35" s="15" t="s">
        <v>936</v>
      </c>
      <c r="E35" s="14" t="s">
        <v>133</v>
      </c>
      <c r="F35" s="14" t="s">
        <v>937</v>
      </c>
      <c r="G35" s="14" t="s">
        <v>64</v>
      </c>
      <c r="H35" s="14" t="s">
        <v>938</v>
      </c>
      <c r="I35" s="14" t="s">
        <v>939</v>
      </c>
      <c r="J35" s="16"/>
      <c r="K35" s="14" t="s">
        <v>934</v>
      </c>
      <c r="L35" s="14" t="s">
        <v>245</v>
      </c>
      <c r="M35" s="14" t="s">
        <v>940</v>
      </c>
      <c r="N35" s="14">
        <v>35</v>
      </c>
      <c r="O35" s="14" t="s">
        <v>70</v>
      </c>
      <c r="P35" s="14">
        <v>3</v>
      </c>
      <c r="Q35" s="14">
        <v>1</v>
      </c>
      <c r="R35" s="14">
        <v>10</v>
      </c>
      <c r="S35" s="16"/>
      <c r="T35" s="14" t="s">
        <v>71</v>
      </c>
      <c r="U35" s="14" t="s">
        <v>72</v>
      </c>
      <c r="V35" s="15" t="s">
        <v>926</v>
      </c>
      <c r="W35" s="29">
        <v>0</v>
      </c>
      <c r="X35" s="29">
        <v>0</v>
      </c>
      <c r="Y35" s="30">
        <f>IF('CRUDO JUEVES'!BM4="Si",$N35,)</f>
        <v>35</v>
      </c>
      <c r="Z35" s="30">
        <f>IF('CRUDO JUEVES'!BN4="Si",$N35,)</f>
        <v>0</v>
      </c>
      <c r="AA35" s="30">
        <f>IF('CRUDO JUEVES'!BO4="Si",$N35,)</f>
        <v>35</v>
      </c>
      <c r="AB35" s="29">
        <v>0</v>
      </c>
      <c r="AC35" s="29">
        <v>0</v>
      </c>
      <c r="AD35" s="30">
        <f>IF('CRUDO JUEVES'!BR4="Si",$N35,)</f>
        <v>0</v>
      </c>
      <c r="AE35" s="30">
        <f>IF('CRUDO JUEVES'!BS4="Si",$N35,)</f>
        <v>0</v>
      </c>
      <c r="AF35" s="30">
        <f>IF('CRUDO JUEVES'!BT4="Si",$N35,)</f>
        <v>0</v>
      </c>
      <c r="AG35" s="29">
        <v>0</v>
      </c>
      <c r="AH35" s="32">
        <v>0</v>
      </c>
      <c r="AI35" s="29">
        <v>0</v>
      </c>
      <c r="AJ35" s="30">
        <f>IF('CRUDO JUEVES'!BX4="Si",$N35,)</f>
        <v>0</v>
      </c>
      <c r="AK35" s="30">
        <f>IF('CRUDO JUEVES'!BY4="Si",$N35,)</f>
        <v>0</v>
      </c>
      <c r="AL35" s="29">
        <v>0</v>
      </c>
      <c r="AM35" s="29">
        <v>0</v>
      </c>
      <c r="AN35" s="30">
        <f>IF('CRUDO JUEVES'!CB4="Si",$N35,)</f>
        <v>0</v>
      </c>
      <c r="AO35" s="30">
        <f>IF('CRUDO JUEVES'!CC4="Si",$N35,)</f>
        <v>0</v>
      </c>
      <c r="AP35" s="16"/>
      <c r="AQ35" s="16"/>
      <c r="AR35" s="16"/>
      <c r="AS35" s="16"/>
      <c r="AT35" s="16"/>
      <c r="AU35" s="14">
        <v>1</v>
      </c>
      <c r="AV35" s="16"/>
    </row>
    <row r="36" spans="1:48" ht="13.2">
      <c r="A36" s="13">
        <v>45363.509056180555</v>
      </c>
      <c r="B36" s="14" t="s">
        <v>919</v>
      </c>
      <c r="C36" s="14" t="s">
        <v>920</v>
      </c>
      <c r="D36" s="15" t="s">
        <v>921</v>
      </c>
      <c r="E36" s="14" t="s">
        <v>133</v>
      </c>
      <c r="F36" s="14" t="s">
        <v>134</v>
      </c>
      <c r="G36" s="14" t="s">
        <v>64</v>
      </c>
      <c r="H36" s="14" t="s">
        <v>922</v>
      </c>
      <c r="I36" s="14" t="s">
        <v>923</v>
      </c>
      <c r="J36" s="14" t="s">
        <v>924</v>
      </c>
      <c r="K36" s="14" t="s">
        <v>919</v>
      </c>
      <c r="L36" s="14" t="s">
        <v>138</v>
      </c>
      <c r="M36" s="14" t="s">
        <v>139</v>
      </c>
      <c r="N36" s="14">
        <v>35</v>
      </c>
      <c r="O36" s="14" t="s">
        <v>70</v>
      </c>
      <c r="P36" s="14">
        <v>1</v>
      </c>
      <c r="Q36" s="14">
        <v>3</v>
      </c>
      <c r="R36" s="14">
        <v>15</v>
      </c>
      <c r="S36" s="14" t="s">
        <v>925</v>
      </c>
      <c r="T36" s="14" t="s">
        <v>71</v>
      </c>
      <c r="U36" s="14" t="s">
        <v>72</v>
      </c>
      <c r="V36" s="15" t="s">
        <v>926</v>
      </c>
      <c r="W36" s="30">
        <f>IF('CRUDO JUEVES'!BK2="Si",$N36,)</f>
        <v>35</v>
      </c>
      <c r="X36" s="29">
        <v>0</v>
      </c>
      <c r="Y36" s="30">
        <f>IF('CRUDO JUEVES'!BM2="Si",$N36,)</f>
        <v>35</v>
      </c>
      <c r="Z36" s="30">
        <f>IF('CRUDO JUEVES'!BN2="Si",$N36,)</f>
        <v>0</v>
      </c>
      <c r="AA36" s="29">
        <v>0</v>
      </c>
      <c r="AB36" s="30">
        <f>IF('CRUDO JUEVES'!BP2="Si",$N36,)</f>
        <v>35</v>
      </c>
      <c r="AC36" s="29">
        <v>0</v>
      </c>
      <c r="AD36" s="30">
        <f>IF('CRUDO JUEVES'!BR2="Si",$N36,)</f>
        <v>35</v>
      </c>
      <c r="AE36" s="30">
        <f>IF('CRUDO JUEVES'!BS2="Si",$N36,)</f>
        <v>0</v>
      </c>
      <c r="AF36" s="30">
        <f>IF('CRUDO JUEVES'!BT2="Si",$N36,)</f>
        <v>0</v>
      </c>
      <c r="AG36" s="30">
        <f>IF('CRUDO JUEVES'!BU2="Si",$N36,)</f>
        <v>35</v>
      </c>
      <c r="AH36" s="29">
        <v>0</v>
      </c>
      <c r="AI36" s="29">
        <v>0</v>
      </c>
      <c r="AJ36" s="30">
        <f>IF('CRUDO JUEVES'!BX2="Si",$N36,)</f>
        <v>0</v>
      </c>
      <c r="AK36" s="30">
        <f>IF('CRUDO JUEVES'!BY2="Si",$N36,)</f>
        <v>0</v>
      </c>
      <c r="AL36" s="29">
        <v>0</v>
      </c>
      <c r="AM36" s="29">
        <v>0</v>
      </c>
      <c r="AN36" s="30">
        <f>IF('CRUDO JUEVES'!CB2="Si",$N36,)</f>
        <v>0</v>
      </c>
      <c r="AO36" s="30">
        <f>IF('CRUDO JUEVES'!CC2="Si",$N36,)</f>
        <v>0</v>
      </c>
      <c r="AP36" s="14" t="s">
        <v>927</v>
      </c>
      <c r="AQ36" s="16"/>
      <c r="AR36" s="16"/>
      <c r="AS36" s="16"/>
      <c r="AT36" s="16"/>
      <c r="AU36" s="14">
        <v>1</v>
      </c>
      <c r="AV36" s="16"/>
    </row>
    <row r="37" spans="1:48" ht="13.2">
      <c r="A37" s="13">
        <v>45364.411596504629</v>
      </c>
      <c r="B37" s="14" t="s">
        <v>1025</v>
      </c>
      <c r="C37" s="14" t="s">
        <v>1026</v>
      </c>
      <c r="D37" s="15" t="s">
        <v>275</v>
      </c>
      <c r="E37" s="14" t="s">
        <v>286</v>
      </c>
      <c r="F37" s="14" t="s">
        <v>1027</v>
      </c>
      <c r="G37" s="14" t="s">
        <v>105</v>
      </c>
      <c r="H37" s="14" t="s">
        <v>1028</v>
      </c>
      <c r="I37" s="14" t="s">
        <v>1029</v>
      </c>
      <c r="J37" s="14" t="s">
        <v>1030</v>
      </c>
      <c r="K37" s="14" t="s">
        <v>1025</v>
      </c>
      <c r="L37" s="14" t="s">
        <v>245</v>
      </c>
      <c r="M37" s="14" t="s">
        <v>1031</v>
      </c>
      <c r="N37" s="14">
        <v>35</v>
      </c>
      <c r="O37" s="14" t="s">
        <v>282</v>
      </c>
      <c r="P37" s="14">
        <v>4</v>
      </c>
      <c r="Q37" s="14">
        <v>3</v>
      </c>
      <c r="R37" s="14">
        <v>50</v>
      </c>
      <c r="S37" s="16"/>
      <c r="T37" s="14" t="s">
        <v>72</v>
      </c>
      <c r="U37" s="14" t="s">
        <v>71</v>
      </c>
      <c r="V37" s="15" t="s">
        <v>926</v>
      </c>
      <c r="W37" s="30">
        <f>IF('CRUDO JUEVES'!BK22="Si",$N37,)</f>
        <v>0</v>
      </c>
      <c r="X37" s="30">
        <f>IF('CRUDO JUEVES'!BL22="Si",$N37,)</f>
        <v>0</v>
      </c>
      <c r="Y37" s="30">
        <f>IF('CRUDO JUEVES'!BM22="Si",$N37,)</f>
        <v>0</v>
      </c>
      <c r="Z37" s="30">
        <f>IF('CRUDO JUEVES'!BN22="Si",$N37,)</f>
        <v>35</v>
      </c>
      <c r="AA37" s="30">
        <f>IF('CRUDO JUEVES'!BO22="Si",$N37,)</f>
        <v>0</v>
      </c>
      <c r="AB37" s="30">
        <f>IF('CRUDO JUEVES'!BP22="Si",$N37,)</f>
        <v>0</v>
      </c>
      <c r="AC37" s="30">
        <f>IF('CRUDO JUEVES'!BQ22="Si",$N37,)</f>
        <v>0</v>
      </c>
      <c r="AD37" s="30">
        <f>IF('CRUDO JUEVES'!BR22="Si",$N37,)</f>
        <v>35</v>
      </c>
      <c r="AE37" s="29">
        <v>0</v>
      </c>
      <c r="AF37" s="30">
        <f>IF('CRUDO JUEVES'!BT22="Si",$N37,)</f>
        <v>35</v>
      </c>
      <c r="AG37" s="30">
        <f>IF('CRUDO JUEVES'!BU22="Si",$N37,)</f>
        <v>0</v>
      </c>
      <c r="AH37" s="30">
        <f>IF('CRUDO JUEVES'!BV22="Si",$N37,)</f>
        <v>0</v>
      </c>
      <c r="AI37" s="30">
        <f>IF('CRUDO JUEVES'!BW22="Si",$N37,)</f>
        <v>0</v>
      </c>
      <c r="AJ37" s="29">
        <v>0</v>
      </c>
      <c r="AK37" s="29">
        <v>0</v>
      </c>
      <c r="AL37" s="30">
        <f>IF('CRUDO JUEVES'!BZ22="Si",$N37,)</f>
        <v>0</v>
      </c>
      <c r="AM37" s="30">
        <f>IF('CRUDO JUEVES'!CA22="Si",$N37,)</f>
        <v>0</v>
      </c>
      <c r="AN37" s="29">
        <v>0</v>
      </c>
      <c r="AO37" s="30">
        <f>IF('CRUDO JUEVES'!CC22="Si",$N37,)</f>
        <v>0</v>
      </c>
      <c r="AP37" s="16"/>
      <c r="AQ37" s="16"/>
      <c r="AR37" s="16"/>
      <c r="AS37" s="16"/>
      <c r="AT37" s="16"/>
      <c r="AU37" s="14">
        <v>1</v>
      </c>
      <c r="AV37" s="16"/>
    </row>
    <row r="38" spans="1:48" ht="13.2">
      <c r="A38" s="21">
        <v>45364.459560277777</v>
      </c>
      <c r="B38" s="22" t="s">
        <v>1032</v>
      </c>
      <c r="C38" s="22" t="s">
        <v>1033</v>
      </c>
      <c r="D38" s="24" t="s">
        <v>720</v>
      </c>
      <c r="E38" s="22" t="s">
        <v>286</v>
      </c>
      <c r="F38" s="22" t="s">
        <v>1027</v>
      </c>
      <c r="G38" s="22" t="s">
        <v>105</v>
      </c>
      <c r="H38" s="22" t="s">
        <v>1034</v>
      </c>
      <c r="I38" s="22" t="s">
        <v>279</v>
      </c>
      <c r="J38" s="22" t="s">
        <v>280</v>
      </c>
      <c r="K38" s="22" t="s">
        <v>1035</v>
      </c>
      <c r="L38" s="22" t="s">
        <v>138</v>
      </c>
      <c r="M38" s="22" t="s">
        <v>1036</v>
      </c>
      <c r="N38" s="22">
        <v>0</v>
      </c>
      <c r="O38" s="22" t="s">
        <v>282</v>
      </c>
      <c r="P38" s="22">
        <v>5</v>
      </c>
      <c r="Q38" s="22">
        <v>5</v>
      </c>
      <c r="R38" s="22">
        <v>50</v>
      </c>
      <c r="S38" s="25"/>
      <c r="T38" s="22" t="s">
        <v>71</v>
      </c>
      <c r="U38" s="22" t="s">
        <v>71</v>
      </c>
      <c r="V38" s="24" t="s">
        <v>926</v>
      </c>
      <c r="W38" s="27">
        <v>0</v>
      </c>
      <c r="X38" s="27">
        <v>0</v>
      </c>
      <c r="Y38" s="26">
        <f>IF('CRUDO JUEVES'!BM23="Si",$N38,)</f>
        <v>0</v>
      </c>
      <c r="Z38" s="27">
        <v>0</v>
      </c>
      <c r="AA38" s="26">
        <f>IF('CRUDO JUEVES'!BO23="Si",$N38,)</f>
        <v>0</v>
      </c>
      <c r="AB38" s="26">
        <f>IF('CRUDO JUEVES'!BP23="Si",$N38,)</f>
        <v>0</v>
      </c>
      <c r="AC38" s="27">
        <v>0</v>
      </c>
      <c r="AD38" s="27">
        <v>0</v>
      </c>
      <c r="AE38" s="27">
        <v>0</v>
      </c>
      <c r="AF38" s="26">
        <f>IF('CRUDO JUEVES'!BT23="Si",$N38,)</f>
        <v>0</v>
      </c>
      <c r="AG38" s="26">
        <f>IF('CRUDO JUEVES'!BU23="Si",$N38,)</f>
        <v>0</v>
      </c>
      <c r="AH38" s="56">
        <v>0</v>
      </c>
      <c r="AI38" s="27">
        <v>0</v>
      </c>
      <c r="AJ38" s="27">
        <v>0</v>
      </c>
      <c r="AK38" s="27">
        <v>0</v>
      </c>
      <c r="AL38" s="27">
        <v>0</v>
      </c>
      <c r="AM38" s="27">
        <v>0</v>
      </c>
      <c r="AN38" s="27">
        <v>0</v>
      </c>
      <c r="AO38" s="27">
        <v>0</v>
      </c>
      <c r="AP38" s="25"/>
      <c r="AQ38" s="25"/>
      <c r="AR38" s="25"/>
      <c r="AS38" s="25"/>
      <c r="AT38" s="25"/>
      <c r="AU38" s="25"/>
      <c r="AV38" s="25"/>
    </row>
    <row r="39" spans="1:48" ht="13.2">
      <c r="A39" s="21">
        <v>45364.473455208332</v>
      </c>
      <c r="B39" s="22" t="s">
        <v>1035</v>
      </c>
      <c r="C39" s="22" t="s">
        <v>1037</v>
      </c>
      <c r="D39" s="24" t="s">
        <v>720</v>
      </c>
      <c r="E39" s="22" t="s">
        <v>286</v>
      </c>
      <c r="F39" s="22" t="s">
        <v>277</v>
      </c>
      <c r="G39" s="22" t="s">
        <v>105</v>
      </c>
      <c r="H39" s="22" t="s">
        <v>1038</v>
      </c>
      <c r="I39" s="22" t="s">
        <v>723</v>
      </c>
      <c r="J39" s="22" t="s">
        <v>280</v>
      </c>
      <c r="K39" s="22" t="s">
        <v>1035</v>
      </c>
      <c r="L39" s="22" t="s">
        <v>138</v>
      </c>
      <c r="M39" s="22" t="s">
        <v>1036</v>
      </c>
      <c r="N39" s="22">
        <v>0</v>
      </c>
      <c r="O39" s="22" t="s">
        <v>282</v>
      </c>
      <c r="P39" s="22">
        <v>5</v>
      </c>
      <c r="Q39" s="22">
        <v>5</v>
      </c>
      <c r="R39" s="22">
        <v>50</v>
      </c>
      <c r="S39" s="25"/>
      <c r="T39" s="22" t="s">
        <v>71</v>
      </c>
      <c r="U39" s="22" t="s">
        <v>71</v>
      </c>
      <c r="V39" s="24" t="s">
        <v>926</v>
      </c>
      <c r="W39" s="27">
        <v>0</v>
      </c>
      <c r="X39" s="26">
        <f>IF('CRUDO JUEVES'!BL24="Si",$N39,)</f>
        <v>0</v>
      </c>
      <c r="Y39" s="26">
        <f>IF('CRUDO JUEVES'!BM24="Si",$N39,)</f>
        <v>0</v>
      </c>
      <c r="Z39" s="27">
        <v>0</v>
      </c>
      <c r="AA39" s="26">
        <f>IF('CRUDO JUEVES'!BO24="Si",$N39,)</f>
        <v>0</v>
      </c>
      <c r="AB39" s="27">
        <v>0</v>
      </c>
      <c r="AC39" s="26">
        <f>IF('CRUDO JUEVES'!BQ24="Si",$N39,)</f>
        <v>0</v>
      </c>
      <c r="AD39" s="27">
        <v>0</v>
      </c>
      <c r="AE39" s="27">
        <v>0</v>
      </c>
      <c r="AF39" s="26">
        <f>IF('CRUDO JUEVES'!BT24="Si",$N39,)</f>
        <v>0</v>
      </c>
      <c r="AG39" s="26">
        <f>IF('CRUDO JUEVES'!BU24="Si",$N39,)</f>
        <v>0</v>
      </c>
      <c r="AH39" s="27">
        <v>0</v>
      </c>
      <c r="AI39" s="27">
        <v>0</v>
      </c>
      <c r="AJ39" s="27">
        <v>0</v>
      </c>
      <c r="AK39" s="27">
        <v>0</v>
      </c>
      <c r="AL39" s="57">
        <f>IF('CRUDO JUEVES'!BZ24="Si",$N39,)</f>
        <v>0</v>
      </c>
      <c r="AM39" s="27">
        <v>0</v>
      </c>
      <c r="AN39" s="27">
        <v>0</v>
      </c>
      <c r="AO39" s="27">
        <v>0</v>
      </c>
      <c r="AP39" s="22" t="s">
        <v>1039</v>
      </c>
      <c r="AQ39" s="25"/>
      <c r="AR39" s="25"/>
      <c r="AS39" s="25"/>
      <c r="AT39" s="25"/>
      <c r="AU39" s="22"/>
      <c r="AV39" s="25"/>
    </row>
    <row r="40" spans="1:48" ht="13.2">
      <c r="A40" s="21">
        <v>45365.435829652779</v>
      </c>
      <c r="B40" s="22" t="s">
        <v>1073</v>
      </c>
      <c r="C40" s="22" t="s">
        <v>1074</v>
      </c>
      <c r="D40" s="24" t="s">
        <v>720</v>
      </c>
      <c r="E40" s="22" t="s">
        <v>286</v>
      </c>
      <c r="F40" s="22" t="s">
        <v>1075</v>
      </c>
      <c r="G40" s="22" t="s">
        <v>105</v>
      </c>
      <c r="H40" s="22" t="s">
        <v>1076</v>
      </c>
      <c r="I40" s="22" t="s">
        <v>1077</v>
      </c>
      <c r="J40" s="22" t="s">
        <v>1078</v>
      </c>
      <c r="K40" s="22" t="s">
        <v>1073</v>
      </c>
      <c r="L40" s="22" t="s">
        <v>245</v>
      </c>
      <c r="M40" s="22" t="s">
        <v>1079</v>
      </c>
      <c r="N40" s="22">
        <v>0</v>
      </c>
      <c r="O40" s="22" t="s">
        <v>282</v>
      </c>
      <c r="P40" s="22">
        <v>2</v>
      </c>
      <c r="Q40" s="22">
        <v>2</v>
      </c>
      <c r="R40" s="22">
        <v>40</v>
      </c>
      <c r="S40" s="25"/>
      <c r="T40" s="22" t="s">
        <v>71</v>
      </c>
      <c r="U40" s="22" t="s">
        <v>71</v>
      </c>
      <c r="V40" s="24" t="s">
        <v>926</v>
      </c>
      <c r="W40" s="27">
        <v>0</v>
      </c>
      <c r="X40" s="26">
        <f>IF('CRUDO JUEVES'!BL31="Si",$N40,)</f>
        <v>0</v>
      </c>
      <c r="Y40" s="27">
        <v>0</v>
      </c>
      <c r="Z40" s="26">
        <f>IF('CRUDO JUEVES'!BN31="Si",$N40,)</f>
        <v>0</v>
      </c>
      <c r="AA40" s="27">
        <v>0</v>
      </c>
      <c r="AB40" s="27">
        <v>0</v>
      </c>
      <c r="AC40" s="26">
        <f>IF('CRUDO JUEVES'!BQ31="Si",$N40,)</f>
        <v>0</v>
      </c>
      <c r="AD40" s="27">
        <v>0</v>
      </c>
      <c r="AE40" s="27">
        <v>0</v>
      </c>
      <c r="AF40" s="26">
        <f>IF('CRUDO JUEVES'!BT31="Si",$N40,)</f>
        <v>0</v>
      </c>
      <c r="AG40" s="26">
        <f>IF('CRUDO JUEVES'!BU31="Si",$N40,)</f>
        <v>0</v>
      </c>
      <c r="AH40" s="27">
        <v>0</v>
      </c>
      <c r="AI40" s="27">
        <v>0</v>
      </c>
      <c r="AJ40" s="27">
        <v>0</v>
      </c>
      <c r="AK40" s="27">
        <v>0</v>
      </c>
      <c r="AL40" s="27">
        <v>0</v>
      </c>
      <c r="AM40" s="27">
        <v>0</v>
      </c>
      <c r="AN40" s="27">
        <v>0</v>
      </c>
      <c r="AO40" s="27">
        <v>0</v>
      </c>
      <c r="AP40" s="25"/>
      <c r="AQ40" s="25"/>
      <c r="AR40" s="25"/>
      <c r="AS40" s="25"/>
      <c r="AT40" s="25"/>
      <c r="AU40" s="25"/>
      <c r="AV40" s="25"/>
    </row>
    <row r="41" spans="1:48" ht="13.2">
      <c r="A41" s="13">
        <v>45363.688114999997</v>
      </c>
      <c r="B41" s="14" t="s">
        <v>972</v>
      </c>
      <c r="C41" s="14" t="s">
        <v>973</v>
      </c>
      <c r="D41" s="15" t="s">
        <v>974</v>
      </c>
      <c r="E41" s="14" t="s">
        <v>387</v>
      </c>
      <c r="F41" s="14" t="s">
        <v>975</v>
      </c>
      <c r="G41" s="14" t="s">
        <v>64</v>
      </c>
      <c r="H41" s="14" t="s">
        <v>976</v>
      </c>
      <c r="I41" s="14" t="s">
        <v>977</v>
      </c>
      <c r="J41" s="14" t="s">
        <v>978</v>
      </c>
      <c r="K41" s="14" t="s">
        <v>972</v>
      </c>
      <c r="L41" s="14" t="s">
        <v>245</v>
      </c>
      <c r="M41" s="14" t="s">
        <v>979</v>
      </c>
      <c r="N41" s="14">
        <v>29</v>
      </c>
      <c r="O41" s="14" t="s">
        <v>70</v>
      </c>
      <c r="P41" s="14">
        <v>3</v>
      </c>
      <c r="Q41" s="14">
        <v>1</v>
      </c>
      <c r="R41" s="14">
        <v>40</v>
      </c>
      <c r="S41" s="14" t="s">
        <v>980</v>
      </c>
      <c r="T41" s="14" t="s">
        <v>71</v>
      </c>
      <c r="U41" s="14" t="s">
        <v>72</v>
      </c>
      <c r="V41" s="15" t="s">
        <v>926</v>
      </c>
      <c r="W41" s="30">
        <f>IF('CRUDO JUEVES'!BK12="Si",$N41,)</f>
        <v>0</v>
      </c>
      <c r="X41" s="29">
        <v>0</v>
      </c>
      <c r="Y41" s="29">
        <v>29</v>
      </c>
      <c r="Z41" s="30">
        <f>IF('CRUDO JUEVES'!BN12="Si",$N41,)</f>
        <v>0</v>
      </c>
      <c r="AA41" s="29">
        <v>0</v>
      </c>
      <c r="AB41" s="29">
        <v>29</v>
      </c>
      <c r="AC41" s="29">
        <v>0</v>
      </c>
      <c r="AD41" s="30">
        <f>IF('CRUDO JUEVES'!BR12="Si",$N41,)</f>
        <v>0</v>
      </c>
      <c r="AE41" s="30">
        <f>IF('CRUDO JUEVES'!BS12="Si",$N41,)</f>
        <v>0</v>
      </c>
      <c r="AF41" s="30">
        <f>IF('CRUDO JUEVES'!BT12="Si",$N41,)</f>
        <v>0</v>
      </c>
      <c r="AG41" s="30">
        <f>IF('CRUDO JUEVES'!BU12="Si",$N41,)</f>
        <v>29</v>
      </c>
      <c r="AH41" s="30">
        <f>IF('CRUDO JUEVES'!BV12="Si",$N41,)</f>
        <v>0</v>
      </c>
      <c r="AI41" s="29">
        <v>0</v>
      </c>
      <c r="AJ41" s="30">
        <f>IF('CRUDO JUEVES'!BX12="Si",$N41,)</f>
        <v>0</v>
      </c>
      <c r="AK41" s="30">
        <f>IF('CRUDO JUEVES'!BY12="Si",$N41,)</f>
        <v>0</v>
      </c>
      <c r="AL41" s="30">
        <f>IF('CRUDO JUEVES'!BZ12="Si",$N41,)</f>
        <v>0</v>
      </c>
      <c r="AM41" s="30">
        <f>IF('CRUDO JUEVES'!CA12="Si",$N41,)</f>
        <v>0</v>
      </c>
      <c r="AN41" s="30">
        <f>IF('CRUDO JUEVES'!CB12="Si",$N41,)</f>
        <v>0</v>
      </c>
      <c r="AO41" s="30">
        <f>IF('CRUDO JUEVES'!CC12="Si",$N41,)</f>
        <v>0</v>
      </c>
      <c r="AP41" s="14" t="s">
        <v>981</v>
      </c>
      <c r="AQ41" s="16"/>
      <c r="AR41" s="16"/>
      <c r="AS41" s="16"/>
      <c r="AT41" s="16"/>
      <c r="AU41" s="14">
        <v>1</v>
      </c>
      <c r="AV41" s="16"/>
    </row>
    <row r="42" spans="1:48" ht="13.2">
      <c r="A42" s="13">
        <v>45363.6912443287</v>
      </c>
      <c r="B42" s="14" t="s">
        <v>982</v>
      </c>
      <c r="C42" s="14" t="s">
        <v>983</v>
      </c>
      <c r="D42" s="15" t="s">
        <v>974</v>
      </c>
      <c r="E42" s="14" t="s">
        <v>387</v>
      </c>
      <c r="F42" s="14" t="s">
        <v>984</v>
      </c>
      <c r="G42" s="14" t="s">
        <v>64</v>
      </c>
      <c r="H42" s="14" t="s">
        <v>977</v>
      </c>
      <c r="I42" s="14" t="s">
        <v>976</v>
      </c>
      <c r="J42" s="14" t="s">
        <v>978</v>
      </c>
      <c r="K42" s="14" t="s">
        <v>982</v>
      </c>
      <c r="L42" s="14" t="s">
        <v>245</v>
      </c>
      <c r="M42" s="14" t="s">
        <v>985</v>
      </c>
      <c r="N42" s="14">
        <v>17</v>
      </c>
      <c r="O42" s="14" t="s">
        <v>70</v>
      </c>
      <c r="P42" s="14">
        <v>3</v>
      </c>
      <c r="Q42" s="14">
        <v>1</v>
      </c>
      <c r="R42" s="14">
        <v>40</v>
      </c>
      <c r="S42" s="16"/>
      <c r="T42" s="14" t="s">
        <v>71</v>
      </c>
      <c r="U42" s="14" t="s">
        <v>72</v>
      </c>
      <c r="V42" s="15" t="s">
        <v>926</v>
      </c>
      <c r="W42" s="30">
        <f>IF('CRUDO JUEVES'!BK13="Si",$N42,)</f>
        <v>0</v>
      </c>
      <c r="X42" s="29">
        <v>0</v>
      </c>
      <c r="Y42" s="29">
        <v>17</v>
      </c>
      <c r="Z42" s="30">
        <f>IF('CRUDO JUEVES'!BN13="Si",$N42,)</f>
        <v>0</v>
      </c>
      <c r="AA42" s="29">
        <v>0</v>
      </c>
      <c r="AB42" s="29">
        <v>17</v>
      </c>
      <c r="AC42" s="29">
        <v>0</v>
      </c>
      <c r="AD42" s="30">
        <f>IF('CRUDO JUEVES'!BR13="Si",$N42,)</f>
        <v>0</v>
      </c>
      <c r="AE42" s="30">
        <f>IF('CRUDO JUEVES'!BS13="Si",$N42,)</f>
        <v>0</v>
      </c>
      <c r="AF42" s="30">
        <f>IF('CRUDO JUEVES'!BT13="Si",$N42,)</f>
        <v>0</v>
      </c>
      <c r="AG42" s="30">
        <f>IF('CRUDO JUEVES'!BU13="Si",$N42,)</f>
        <v>0</v>
      </c>
      <c r="AH42" s="30">
        <f>IF('CRUDO JUEVES'!BV13="Si",$N42,)</f>
        <v>0</v>
      </c>
      <c r="AI42" s="29">
        <v>0</v>
      </c>
      <c r="AJ42" s="30">
        <f>IF('CRUDO JUEVES'!BX13="Si",$N42,)</f>
        <v>0</v>
      </c>
      <c r="AK42" s="30">
        <f>IF('CRUDO JUEVES'!BY13="Si",$N42,)</f>
        <v>0</v>
      </c>
      <c r="AL42" s="30">
        <f>IF('CRUDO JUEVES'!BZ13="Si",$N42,)</f>
        <v>0</v>
      </c>
      <c r="AM42" s="30">
        <f>IF('CRUDO JUEVES'!CA13="Si",$N42,)</f>
        <v>0</v>
      </c>
      <c r="AN42" s="30">
        <f>IF('CRUDO JUEVES'!CB13="Si",$N42,)</f>
        <v>0</v>
      </c>
      <c r="AO42" s="30">
        <f>IF('CRUDO JUEVES'!CC13="Si",$N42,)</f>
        <v>0</v>
      </c>
      <c r="AP42" s="14" t="s">
        <v>986</v>
      </c>
      <c r="AQ42" s="16"/>
      <c r="AR42" s="16"/>
      <c r="AS42" s="16"/>
      <c r="AT42" s="16"/>
      <c r="AU42" s="14">
        <v>1</v>
      </c>
      <c r="AV42" s="16"/>
    </row>
    <row r="43" spans="1:48" ht="13.2">
      <c r="A43" s="21">
        <v>45368.531049953701</v>
      </c>
      <c r="B43" s="22" t="s">
        <v>1186</v>
      </c>
      <c r="C43" s="22" t="s">
        <v>1187</v>
      </c>
      <c r="D43" s="24" t="s">
        <v>1188</v>
      </c>
      <c r="E43" s="22" t="s">
        <v>62</v>
      </c>
      <c r="F43" s="22" t="s">
        <v>1189</v>
      </c>
      <c r="G43" s="22" t="s">
        <v>105</v>
      </c>
      <c r="H43" s="22" t="s">
        <v>1190</v>
      </c>
      <c r="I43" s="22" t="s">
        <v>1191</v>
      </c>
      <c r="J43" s="25"/>
      <c r="K43" s="22" t="s">
        <v>1186</v>
      </c>
      <c r="L43" s="22" t="s">
        <v>68</v>
      </c>
      <c r="M43" s="22" t="s">
        <v>1192</v>
      </c>
      <c r="N43" s="22">
        <v>0</v>
      </c>
      <c r="O43" s="22" t="s">
        <v>70</v>
      </c>
      <c r="P43" s="22">
        <v>3</v>
      </c>
      <c r="Q43" s="22">
        <v>4</v>
      </c>
      <c r="R43" s="22">
        <v>60</v>
      </c>
      <c r="S43" s="22" t="s">
        <v>1193</v>
      </c>
      <c r="T43" s="22" t="s">
        <v>71</v>
      </c>
      <c r="U43" s="22" t="s">
        <v>71</v>
      </c>
      <c r="V43" s="24" t="s">
        <v>926</v>
      </c>
      <c r="W43" s="26">
        <f>IF('CRUDO JUEVES'!BK56="Si",$N43,)</f>
        <v>0</v>
      </c>
      <c r="X43" s="26">
        <f>IF('CRUDO JUEVES'!BL56="Si",$N43,)</f>
        <v>0</v>
      </c>
      <c r="Y43" s="26">
        <f>IF('CRUDO JUEVES'!BM56="Si",$N43,)</f>
        <v>0</v>
      </c>
      <c r="Z43" s="26">
        <f>IF('CRUDO JUEVES'!BN56="Si",$N43,)</f>
        <v>0</v>
      </c>
      <c r="AA43" s="26">
        <f>IF('CRUDO JUEVES'!BO56="Si",$N43,)</f>
        <v>0</v>
      </c>
      <c r="AB43" s="26">
        <f>IF('CRUDO JUEVES'!BP56="Si",$N43,)</f>
        <v>0</v>
      </c>
      <c r="AC43" s="27">
        <v>0</v>
      </c>
      <c r="AD43" s="26">
        <f>IF('CRUDO JUEVES'!BR56="Si",$N43,)</f>
        <v>0</v>
      </c>
      <c r="AE43" s="26">
        <f>IF('CRUDO JUEVES'!BS56="Si",$N43,)</f>
        <v>0</v>
      </c>
      <c r="AF43" s="26">
        <f>IF('CRUDO JUEVES'!BT56="Si",$N43,)</f>
        <v>0</v>
      </c>
      <c r="AG43" s="26">
        <f>IF('CRUDO JUEVES'!BU56="Si",$N43,)</f>
        <v>0</v>
      </c>
      <c r="AH43" s="26">
        <f>IF('CRUDO JUEVES'!BV56="Si",$N43,)</f>
        <v>0</v>
      </c>
      <c r="AI43" s="27">
        <v>0</v>
      </c>
      <c r="AJ43" s="27">
        <v>0</v>
      </c>
      <c r="AK43" s="27">
        <v>0</v>
      </c>
      <c r="AL43" s="27">
        <v>0</v>
      </c>
      <c r="AM43" s="26">
        <f>IF('CRUDO JUEVES'!CA56="Si",$N43,)</f>
        <v>0</v>
      </c>
      <c r="AN43" s="26">
        <f>IF('CRUDO JUEVES'!CB56="Si",$N43,)</f>
        <v>0</v>
      </c>
      <c r="AO43" s="26">
        <f>IF('CRUDO JUEVES'!CC56="Si",$N43,)</f>
        <v>0</v>
      </c>
      <c r="AP43" s="25"/>
      <c r="AQ43" s="25"/>
      <c r="AR43" s="25"/>
      <c r="AS43" s="25"/>
      <c r="AT43" s="25"/>
      <c r="AU43" s="25"/>
      <c r="AV43" s="25"/>
    </row>
    <row r="44" spans="1:48" ht="13.2">
      <c r="A44" s="13">
        <v>45363.775411030088</v>
      </c>
      <c r="B44" s="14" t="s">
        <v>484</v>
      </c>
      <c r="C44" s="14" t="s">
        <v>988</v>
      </c>
      <c r="D44" s="15" t="s">
        <v>989</v>
      </c>
      <c r="E44" s="14" t="s">
        <v>212</v>
      </c>
      <c r="F44" s="14" t="s">
        <v>990</v>
      </c>
      <c r="G44" s="14" t="s">
        <v>105</v>
      </c>
      <c r="H44" s="14" t="s">
        <v>991</v>
      </c>
      <c r="I44" s="14" t="s">
        <v>992</v>
      </c>
      <c r="J44" s="16"/>
      <c r="K44" s="14" t="s">
        <v>484</v>
      </c>
      <c r="L44" s="14" t="s">
        <v>245</v>
      </c>
      <c r="M44" s="14" t="s">
        <v>993</v>
      </c>
      <c r="N44" s="14">
        <v>30</v>
      </c>
      <c r="O44" s="14" t="s">
        <v>148</v>
      </c>
      <c r="P44" s="14">
        <v>4</v>
      </c>
      <c r="Q44" s="14">
        <v>4</v>
      </c>
      <c r="R44" s="14">
        <v>20</v>
      </c>
      <c r="S44" s="14" t="s">
        <v>994</v>
      </c>
      <c r="T44" s="14" t="s">
        <v>71</v>
      </c>
      <c r="U44" s="14" t="s">
        <v>72</v>
      </c>
      <c r="V44" s="15" t="s">
        <v>926</v>
      </c>
      <c r="W44" s="29">
        <v>0</v>
      </c>
      <c r="X44" s="30">
        <f>IF('CRUDO JUEVES'!BL15="Si",$N44,)</f>
        <v>30</v>
      </c>
      <c r="Y44" s="30">
        <f>IF('CRUDO JUEVES'!BM15="Si",$N44,)</f>
        <v>0</v>
      </c>
      <c r="Z44" s="30">
        <f>IF('CRUDO JUEVES'!BN15="Si",$N44,)</f>
        <v>0</v>
      </c>
      <c r="AA44" s="29">
        <v>0</v>
      </c>
      <c r="AB44" s="29">
        <v>0</v>
      </c>
      <c r="AC44" s="30">
        <f>IF('CRUDO JUEVES'!BQ15="Si",$N44,)</f>
        <v>30</v>
      </c>
      <c r="AD44" s="30">
        <f>IF('CRUDO JUEVES'!BR15="Si",$N44,)</f>
        <v>0</v>
      </c>
      <c r="AE44" s="30">
        <f>IF('CRUDO JUEVES'!BS15="Si",$N44,)</f>
        <v>0</v>
      </c>
      <c r="AF44" s="30">
        <f>IF('CRUDO JUEVES'!BT15="Si",$N44,)</f>
        <v>0</v>
      </c>
      <c r="AG44" s="30">
        <f>IF('CRUDO JUEVES'!BU15="Si",$N44,)</f>
        <v>30</v>
      </c>
      <c r="AH44" s="29">
        <v>0</v>
      </c>
      <c r="AI44" s="29">
        <v>0</v>
      </c>
      <c r="AJ44" s="30">
        <f>IF('CRUDO JUEVES'!BX15="Si",$N44,)</f>
        <v>0</v>
      </c>
      <c r="AK44" s="30">
        <f>IF('CRUDO JUEVES'!BY15="Si",$N44,)</f>
        <v>0</v>
      </c>
      <c r="AL44" s="29">
        <v>0</v>
      </c>
      <c r="AM44" s="29">
        <v>0</v>
      </c>
      <c r="AN44" s="30">
        <f>IF('CRUDO JUEVES'!CB15="Si",$N44,)</f>
        <v>0</v>
      </c>
      <c r="AO44" s="30">
        <f>IF('CRUDO JUEVES'!CC15="Si",$N44,)</f>
        <v>0</v>
      </c>
      <c r="AP44" s="14" t="s">
        <v>995</v>
      </c>
      <c r="AQ44" s="16"/>
      <c r="AR44" s="16"/>
      <c r="AS44" s="16"/>
      <c r="AT44" s="16"/>
      <c r="AU44" s="14">
        <v>1</v>
      </c>
      <c r="AV44" s="16"/>
    </row>
    <row r="45" spans="1:48" ht="13.2">
      <c r="A45" s="13">
        <v>45366.696653692125</v>
      </c>
      <c r="B45" s="14" t="s">
        <v>1143</v>
      </c>
      <c r="C45" s="14" t="s">
        <v>1144</v>
      </c>
      <c r="D45" s="15" t="s">
        <v>1145</v>
      </c>
      <c r="E45" s="14" t="s">
        <v>62</v>
      </c>
      <c r="F45" s="14" t="s">
        <v>1146</v>
      </c>
      <c r="G45" s="14" t="s">
        <v>105</v>
      </c>
      <c r="H45" s="14" t="s">
        <v>1147</v>
      </c>
      <c r="I45" s="14" t="s">
        <v>1148</v>
      </c>
      <c r="J45" s="14" t="s">
        <v>1149</v>
      </c>
      <c r="K45" s="14" t="s">
        <v>1143</v>
      </c>
      <c r="L45" s="14" t="s">
        <v>68</v>
      </c>
      <c r="M45" s="14" t="s">
        <v>1150</v>
      </c>
      <c r="N45" s="14">
        <v>35</v>
      </c>
      <c r="O45" s="14" t="s">
        <v>70</v>
      </c>
      <c r="P45" s="14">
        <v>4</v>
      </c>
      <c r="Q45" s="14">
        <v>4</v>
      </c>
      <c r="R45" s="14">
        <v>50</v>
      </c>
      <c r="S45" s="16"/>
      <c r="T45" s="14" t="s">
        <v>71</v>
      </c>
      <c r="U45" s="14" t="s">
        <v>71</v>
      </c>
      <c r="V45" s="15" t="s">
        <v>926</v>
      </c>
      <c r="W45" s="30">
        <f>IF('CRUDO JUEVES'!BK47="Si",$N45,)</f>
        <v>35</v>
      </c>
      <c r="X45" s="30">
        <f>IF('CRUDO JUEVES'!BL47="Si",$N45,)</f>
        <v>0</v>
      </c>
      <c r="Y45" s="30">
        <f>IF('CRUDO JUEVES'!BM47="Si",$N45,)</f>
        <v>0</v>
      </c>
      <c r="Z45" s="30">
        <f>IF('CRUDO JUEVES'!BN47="Si",$N45,)</f>
        <v>0</v>
      </c>
      <c r="AA45" s="30">
        <f>IF('CRUDO JUEVES'!BO47="Si",$N45,)</f>
        <v>0</v>
      </c>
      <c r="AB45" s="30">
        <f>IF('CRUDO JUEVES'!BP47="Si",$N45,)</f>
        <v>35</v>
      </c>
      <c r="AC45" s="30">
        <f>IF('CRUDO JUEVES'!BQ47="Si",$N45,)</f>
        <v>0</v>
      </c>
      <c r="AD45" s="30">
        <f>IF('CRUDO JUEVES'!BR47="Si",$N45,)</f>
        <v>0</v>
      </c>
      <c r="AE45" s="30">
        <f>IF('CRUDO JUEVES'!BS47="Si",$N45,)</f>
        <v>0</v>
      </c>
      <c r="AF45" s="30">
        <f>IF('CRUDO JUEVES'!BT47="Si",$N45,)</f>
        <v>0</v>
      </c>
      <c r="AG45" s="30">
        <f>IF('CRUDO JUEVES'!BU47="Si",$N45,)</f>
        <v>0</v>
      </c>
      <c r="AH45" s="30">
        <f>IF('CRUDO JUEVES'!BV47="Si",$N45,)</f>
        <v>0</v>
      </c>
      <c r="AI45" s="31">
        <f>IF('CRUDO JUEVES'!BW47="Si",$N45,)</f>
        <v>35</v>
      </c>
      <c r="AJ45" s="29">
        <v>0</v>
      </c>
      <c r="AK45" s="30">
        <f>IF('CRUDO JUEVES'!BY47="Si",$N45,)</f>
        <v>0</v>
      </c>
      <c r="AL45" s="30">
        <f>IF('CRUDO JUEVES'!BZ47="Si",$N45,)</f>
        <v>0</v>
      </c>
      <c r="AM45" s="30">
        <f>IF('CRUDO JUEVES'!CA47="Si",$N45,)</f>
        <v>0</v>
      </c>
      <c r="AN45" s="30">
        <f>IF('CRUDO JUEVES'!CB47="Si",$N45,)</f>
        <v>0</v>
      </c>
      <c r="AO45" s="29">
        <v>0</v>
      </c>
      <c r="AP45" s="16"/>
      <c r="AQ45" s="16"/>
      <c r="AR45" s="16"/>
      <c r="AS45" s="16"/>
      <c r="AT45" s="16"/>
      <c r="AU45" s="14">
        <v>1</v>
      </c>
      <c r="AV45" s="16"/>
    </row>
    <row r="46" spans="1:48" ht="13.2">
      <c r="A46" s="21">
        <v>45367.572838148146</v>
      </c>
      <c r="B46" s="22" t="s">
        <v>820</v>
      </c>
      <c r="C46" s="22" t="s">
        <v>1157</v>
      </c>
      <c r="D46" s="24" t="s">
        <v>1158</v>
      </c>
      <c r="E46" s="22" t="s">
        <v>133</v>
      </c>
      <c r="F46" s="22" t="s">
        <v>192</v>
      </c>
      <c r="G46" s="22" t="s">
        <v>64</v>
      </c>
      <c r="H46" s="22" t="s">
        <v>1159</v>
      </c>
      <c r="I46" s="22" t="s">
        <v>1160</v>
      </c>
      <c r="J46" s="22" t="s">
        <v>824</v>
      </c>
      <c r="K46" s="22" t="s">
        <v>820</v>
      </c>
      <c r="L46" s="22" t="s">
        <v>68</v>
      </c>
      <c r="M46" s="22" t="s">
        <v>825</v>
      </c>
      <c r="N46" s="22">
        <v>0</v>
      </c>
      <c r="O46" s="22" t="s">
        <v>70</v>
      </c>
      <c r="P46" s="22">
        <v>4</v>
      </c>
      <c r="Q46" s="22">
        <v>2</v>
      </c>
      <c r="R46" s="22">
        <v>10</v>
      </c>
      <c r="S46" s="22" t="s">
        <v>1161</v>
      </c>
      <c r="T46" s="22" t="s">
        <v>71</v>
      </c>
      <c r="U46" s="22" t="s">
        <v>72</v>
      </c>
      <c r="V46" s="24" t="s">
        <v>926</v>
      </c>
      <c r="W46" s="26">
        <f>IF('CRUDO JUEVES'!BK49="Si",$N46,)</f>
        <v>0</v>
      </c>
      <c r="X46" s="26">
        <f>IF('CRUDO JUEVES'!BL49="Si",$N46,)</f>
        <v>0</v>
      </c>
      <c r="Y46" s="26">
        <f>IF('CRUDO JUEVES'!BM49="Si",$N46,)</f>
        <v>0</v>
      </c>
      <c r="Z46" s="26">
        <f>IF('CRUDO JUEVES'!BN49="Si",$N46,)</f>
        <v>0</v>
      </c>
      <c r="AA46" s="26">
        <f>IF('CRUDO JUEVES'!BO49="Si",$N46,)</f>
        <v>0</v>
      </c>
      <c r="AB46" s="26">
        <f>IF('CRUDO JUEVES'!BP49="Si",$N46,)</f>
        <v>0</v>
      </c>
      <c r="AC46" s="26">
        <f>IF('CRUDO JUEVES'!BQ49="Si",$N46,)</f>
        <v>0</v>
      </c>
      <c r="AD46" s="26">
        <f>IF('CRUDO JUEVES'!BR49="Si",$N46,)</f>
        <v>0</v>
      </c>
      <c r="AE46" s="26">
        <f>IF('CRUDO JUEVES'!BS49="Si",$N46,)</f>
        <v>0</v>
      </c>
      <c r="AF46" s="26">
        <f>IF('CRUDO JUEVES'!BT49="Si",$N46,)</f>
        <v>0</v>
      </c>
      <c r="AG46" s="26">
        <f>IF('CRUDO JUEVES'!BU49="Si",$N46,)</f>
        <v>0</v>
      </c>
      <c r="AH46" s="26">
        <f>IF('CRUDO JUEVES'!BV49="Si",$N46,)</f>
        <v>0</v>
      </c>
      <c r="AI46" s="26">
        <f>IF('CRUDO JUEVES'!BW49="Si",$N46,)</f>
        <v>0</v>
      </c>
      <c r="AJ46" s="26">
        <f>IF('CRUDO JUEVES'!BX49="Si",$N46,)</f>
        <v>0</v>
      </c>
      <c r="AK46" s="26">
        <f>IF('CRUDO JUEVES'!BY49="Si",$N46,)</f>
        <v>0</v>
      </c>
      <c r="AL46" s="26">
        <f>IF('CRUDO JUEVES'!BZ49="Si",$N46,)</f>
        <v>0</v>
      </c>
      <c r="AM46" s="26">
        <f>IF('CRUDO JUEVES'!CA49="Si",$N46,)</f>
        <v>0</v>
      </c>
      <c r="AN46" s="26">
        <f>IF('CRUDO JUEVES'!CB49="Si",$N46,)</f>
        <v>0</v>
      </c>
      <c r="AO46" s="26">
        <f>IF('CRUDO JUEVES'!CC49="Si",$N46,)</f>
        <v>0</v>
      </c>
      <c r="AP46" s="22" t="s">
        <v>1162</v>
      </c>
      <c r="AQ46" s="25"/>
      <c r="AR46" s="25"/>
      <c r="AS46" s="25"/>
      <c r="AT46" s="25"/>
      <c r="AU46" s="25"/>
      <c r="AV46" s="25"/>
    </row>
    <row r="47" spans="1:48" ht="13.2">
      <c r="A47" s="21">
        <v>45367.575208194445</v>
      </c>
      <c r="B47" s="22" t="s">
        <v>820</v>
      </c>
      <c r="C47" s="22" t="s">
        <v>1157</v>
      </c>
      <c r="D47" s="24" t="s">
        <v>1158</v>
      </c>
      <c r="E47" s="22" t="s">
        <v>133</v>
      </c>
      <c r="F47" s="22" t="s">
        <v>192</v>
      </c>
      <c r="G47" s="22" t="s">
        <v>64</v>
      </c>
      <c r="H47" s="22" t="s">
        <v>822</v>
      </c>
      <c r="I47" s="22" t="s">
        <v>1160</v>
      </c>
      <c r="J47" s="22" t="s">
        <v>824</v>
      </c>
      <c r="K47" s="22" t="s">
        <v>820</v>
      </c>
      <c r="L47" s="22" t="s">
        <v>68</v>
      </c>
      <c r="M47" s="22" t="s">
        <v>825</v>
      </c>
      <c r="N47" s="22">
        <v>0</v>
      </c>
      <c r="O47" s="22" t="s">
        <v>70</v>
      </c>
      <c r="P47" s="22">
        <v>4</v>
      </c>
      <c r="Q47" s="22">
        <v>2</v>
      </c>
      <c r="R47" s="22">
        <v>10</v>
      </c>
      <c r="S47" s="22" t="s">
        <v>1163</v>
      </c>
      <c r="T47" s="22" t="s">
        <v>71</v>
      </c>
      <c r="U47" s="22" t="s">
        <v>72</v>
      </c>
      <c r="V47" s="24" t="s">
        <v>926</v>
      </c>
      <c r="W47" s="27">
        <v>0</v>
      </c>
      <c r="X47" s="27">
        <v>0</v>
      </c>
      <c r="Y47" s="26">
        <f>IF('CRUDO JUEVES'!BM50="Si",$N47,)</f>
        <v>0</v>
      </c>
      <c r="Z47" s="26">
        <f>IF('CRUDO JUEVES'!BN50="Si",$N47,)</f>
        <v>0</v>
      </c>
      <c r="AA47" s="26">
        <f>IF('CRUDO JUEVES'!BO50="Si",$N47,)</f>
        <v>0</v>
      </c>
      <c r="AB47" s="27">
        <v>0</v>
      </c>
      <c r="AC47" s="27">
        <v>0</v>
      </c>
      <c r="AD47" s="26">
        <f>IF('CRUDO JUEVES'!BR50="Si",$N47,)</f>
        <v>0</v>
      </c>
      <c r="AE47" s="26">
        <f>IF('CRUDO JUEVES'!BS50="Si",$N47,)</f>
        <v>0</v>
      </c>
      <c r="AF47" s="26">
        <f>IF('CRUDO JUEVES'!BT50="Si",$N47,)</f>
        <v>0</v>
      </c>
      <c r="AG47" s="26">
        <f>IF('CRUDO JUEVES'!BU50="Si",$N47,)</f>
        <v>0</v>
      </c>
      <c r="AH47" s="27">
        <v>0</v>
      </c>
      <c r="AI47" s="27">
        <v>0</v>
      </c>
      <c r="AJ47" s="26">
        <f>IF('CRUDO JUEVES'!BX50="Si",$N47,)</f>
        <v>0</v>
      </c>
      <c r="AK47" s="26">
        <f>IF('CRUDO JUEVES'!BY50="Si",$N47,)</f>
        <v>0</v>
      </c>
      <c r="AL47" s="27">
        <v>0</v>
      </c>
      <c r="AM47" s="27">
        <v>0</v>
      </c>
      <c r="AN47" s="26">
        <f>IF('CRUDO JUEVES'!CB50="Si",$N47,)</f>
        <v>0</v>
      </c>
      <c r="AO47" s="26">
        <f>IF('CRUDO JUEVES'!CC50="Si",$N47,)</f>
        <v>0</v>
      </c>
      <c r="AP47" s="22" t="s">
        <v>1164</v>
      </c>
      <c r="AQ47" s="25"/>
      <c r="AR47" s="25"/>
      <c r="AS47" s="25"/>
      <c r="AT47" s="25"/>
      <c r="AU47" s="25"/>
      <c r="AV47" s="25"/>
    </row>
    <row r="48" spans="1:48" ht="13.2">
      <c r="A48" s="21">
        <v>45367.578485081016</v>
      </c>
      <c r="B48" s="22" t="s">
        <v>820</v>
      </c>
      <c r="C48" s="22" t="s">
        <v>1157</v>
      </c>
      <c r="D48" s="24" t="s">
        <v>1158</v>
      </c>
      <c r="E48" s="22" t="s">
        <v>84</v>
      </c>
      <c r="F48" s="22" t="s">
        <v>249</v>
      </c>
      <c r="G48" s="22" t="s">
        <v>64</v>
      </c>
      <c r="H48" s="22" t="s">
        <v>822</v>
      </c>
      <c r="I48" s="22" t="s">
        <v>1169</v>
      </c>
      <c r="J48" s="22" t="s">
        <v>824</v>
      </c>
      <c r="K48" s="22" t="s">
        <v>820</v>
      </c>
      <c r="L48" s="22" t="s">
        <v>68</v>
      </c>
      <c r="M48" s="22" t="s">
        <v>825</v>
      </c>
      <c r="N48" s="22">
        <v>0</v>
      </c>
      <c r="O48" s="22" t="s">
        <v>70</v>
      </c>
      <c r="P48" s="22">
        <v>4</v>
      </c>
      <c r="Q48" s="22">
        <v>2</v>
      </c>
      <c r="R48" s="22">
        <v>10</v>
      </c>
      <c r="S48" s="22" t="s">
        <v>1170</v>
      </c>
      <c r="T48" s="22" t="s">
        <v>71</v>
      </c>
      <c r="U48" s="22" t="s">
        <v>72</v>
      </c>
      <c r="V48" s="24" t="s">
        <v>926</v>
      </c>
      <c r="W48" s="27">
        <v>0</v>
      </c>
      <c r="X48" s="27">
        <v>0</v>
      </c>
      <c r="Y48" s="26">
        <f>IF('CRUDO JUEVES'!BM52="Si",$N48,)</f>
        <v>0</v>
      </c>
      <c r="Z48" s="26">
        <f>IF('CRUDO JUEVES'!BN52="Si",$N48,)</f>
        <v>0</v>
      </c>
      <c r="AA48" s="26">
        <f>IF('CRUDO JUEVES'!BO52="Si",$N48,)</f>
        <v>0</v>
      </c>
      <c r="AB48" s="27">
        <v>0</v>
      </c>
      <c r="AC48" s="27">
        <v>0</v>
      </c>
      <c r="AD48" s="26">
        <f>IF('CRUDO JUEVES'!BR52="Si",$N48,)</f>
        <v>0</v>
      </c>
      <c r="AE48" s="26">
        <f>IF('CRUDO JUEVES'!BS52="Si",$N48,)</f>
        <v>0</v>
      </c>
      <c r="AF48" s="26">
        <f>IF('CRUDO JUEVES'!BT52="Si",$N48,)</f>
        <v>0</v>
      </c>
      <c r="AG48" s="26">
        <f>IF('CRUDO JUEVES'!BU52="Si",$N48,)</f>
        <v>0</v>
      </c>
      <c r="AH48" s="27">
        <v>0</v>
      </c>
      <c r="AI48" s="27">
        <v>0</v>
      </c>
      <c r="AJ48" s="26">
        <f>IF('CRUDO JUEVES'!BX52="Si",$N48,)</f>
        <v>0</v>
      </c>
      <c r="AK48" s="26">
        <f>IF('CRUDO JUEVES'!BY52="Si",$N48,)</f>
        <v>0</v>
      </c>
      <c r="AL48" s="27">
        <v>0</v>
      </c>
      <c r="AM48" s="27">
        <v>0</v>
      </c>
      <c r="AN48" s="26">
        <f>IF('CRUDO JUEVES'!CB52="Si",$N48,)</f>
        <v>0</v>
      </c>
      <c r="AO48" s="26">
        <f>IF('CRUDO JUEVES'!CC52="Si",$N48,)</f>
        <v>0</v>
      </c>
      <c r="AP48" s="22" t="s">
        <v>1164</v>
      </c>
      <c r="AQ48" s="25"/>
      <c r="AR48" s="25"/>
      <c r="AS48" s="25"/>
      <c r="AT48" s="25"/>
      <c r="AU48" s="25"/>
      <c r="AV48" s="25"/>
    </row>
    <row r="49" spans="1:48" ht="13.2">
      <c r="A49" s="21">
        <v>45363.857439733794</v>
      </c>
      <c r="B49" s="22" t="s">
        <v>996</v>
      </c>
      <c r="C49" s="22" t="s">
        <v>997</v>
      </c>
      <c r="D49" s="24" t="s">
        <v>998</v>
      </c>
      <c r="E49" s="22" t="s">
        <v>62</v>
      </c>
      <c r="F49" s="22" t="s">
        <v>999</v>
      </c>
      <c r="G49" s="22" t="s">
        <v>105</v>
      </c>
      <c r="H49" s="22" t="s">
        <v>1000</v>
      </c>
      <c r="I49" s="22" t="s">
        <v>1001</v>
      </c>
      <c r="J49" s="25"/>
      <c r="K49" s="22" t="s">
        <v>996</v>
      </c>
      <c r="L49" s="22" t="s">
        <v>68</v>
      </c>
      <c r="M49" s="22" t="s">
        <v>852</v>
      </c>
      <c r="N49" s="22">
        <v>0</v>
      </c>
      <c r="O49" s="22" t="s">
        <v>1002</v>
      </c>
      <c r="P49" s="22">
        <v>3</v>
      </c>
      <c r="Q49" s="22">
        <v>4</v>
      </c>
      <c r="R49" s="22">
        <v>25</v>
      </c>
      <c r="S49" s="22" t="s">
        <v>1003</v>
      </c>
      <c r="T49" s="22" t="s">
        <v>71</v>
      </c>
      <c r="U49" s="22" t="s">
        <v>72</v>
      </c>
      <c r="V49" s="24" t="s">
        <v>926</v>
      </c>
      <c r="W49" s="26">
        <f>IF('CRUDO JUEVES'!BK16="Si",$N49,)</f>
        <v>0</v>
      </c>
      <c r="X49" s="26">
        <f>IF('CRUDO JUEVES'!BL16="Si",$N49,)</f>
        <v>0</v>
      </c>
      <c r="Y49" s="26">
        <f>IF('CRUDO JUEVES'!BM16="Si",$N49,)</f>
        <v>0</v>
      </c>
      <c r="Z49" s="26">
        <f>IF('CRUDO JUEVES'!BN16="Si",$N49,)</f>
        <v>0</v>
      </c>
      <c r="AA49" s="26">
        <f>IF('CRUDO JUEVES'!BO16="Si",$N49,)</f>
        <v>0</v>
      </c>
      <c r="AB49" s="26">
        <f>IF('CRUDO JUEVES'!BP16="Si",$N49,)</f>
        <v>0</v>
      </c>
      <c r="AC49" s="26">
        <f>IF('CRUDO JUEVES'!BQ16="Si",$N49,)</f>
        <v>0</v>
      </c>
      <c r="AD49" s="26">
        <f>IF('CRUDO JUEVES'!BR16="Si",$N49,)</f>
        <v>0</v>
      </c>
      <c r="AE49" s="26">
        <f>IF('CRUDO JUEVES'!BS16="Si",$N49,)</f>
        <v>0</v>
      </c>
      <c r="AF49" s="26">
        <f>IF('CRUDO JUEVES'!BT16="Si",$N49,)</f>
        <v>0</v>
      </c>
      <c r="AG49" s="26">
        <f>IF('CRUDO JUEVES'!BU16="Si",$N49,)</f>
        <v>0</v>
      </c>
      <c r="AH49" s="26">
        <f>IF('CRUDO JUEVES'!BV16="Si",$N49,)</f>
        <v>0</v>
      </c>
      <c r="AI49" s="26">
        <f>IF('CRUDO JUEVES'!BW16="Si",$N49,)</f>
        <v>0</v>
      </c>
      <c r="AJ49" s="26">
        <f>IF('CRUDO JUEVES'!BX16="Si",$N49,)</f>
        <v>0</v>
      </c>
      <c r="AK49" s="26">
        <f>IF('CRUDO JUEVES'!BY16="Si",$N49,)</f>
        <v>0</v>
      </c>
      <c r="AL49" s="26">
        <f>IF('CRUDO JUEVES'!BZ16="Si",$N49,)</f>
        <v>0</v>
      </c>
      <c r="AM49" s="26">
        <f>IF('CRUDO JUEVES'!CA16="Si",$N49,)</f>
        <v>0</v>
      </c>
      <c r="AN49" s="26">
        <f>IF('CRUDO JUEVES'!CB16="Si",$N49,)</f>
        <v>0</v>
      </c>
      <c r="AO49" s="26">
        <f>IF('CRUDO JUEVES'!CC16="Si",$N49,)</f>
        <v>0</v>
      </c>
      <c r="AP49" s="22" t="s">
        <v>1004</v>
      </c>
      <c r="AQ49" s="25"/>
      <c r="AR49" s="25"/>
      <c r="AS49" s="25"/>
      <c r="AT49" s="25"/>
      <c r="AU49" s="25"/>
      <c r="AV49" s="25"/>
    </row>
    <row r="50" spans="1:48" ht="13.2">
      <c r="A50" s="13">
        <v>45365.666555393516</v>
      </c>
      <c r="B50" s="14" t="s">
        <v>1121</v>
      </c>
      <c r="C50" s="14" t="s">
        <v>1122</v>
      </c>
      <c r="D50" s="15" t="s">
        <v>1123</v>
      </c>
      <c r="E50" s="14" t="s">
        <v>62</v>
      </c>
      <c r="F50" s="14" t="s">
        <v>235</v>
      </c>
      <c r="G50" s="14" t="s">
        <v>105</v>
      </c>
      <c r="H50" s="14" t="s">
        <v>117</v>
      </c>
      <c r="I50" s="14" t="s">
        <v>1124</v>
      </c>
      <c r="J50" s="14" t="s">
        <v>1125</v>
      </c>
      <c r="K50" s="14" t="s">
        <v>1121</v>
      </c>
      <c r="L50" s="14" t="s">
        <v>245</v>
      </c>
      <c r="M50" s="14" t="s">
        <v>1126</v>
      </c>
      <c r="N50" s="14">
        <v>35</v>
      </c>
      <c r="O50" s="14" t="s">
        <v>70</v>
      </c>
      <c r="P50" s="14">
        <v>4</v>
      </c>
      <c r="Q50" s="14">
        <v>4</v>
      </c>
      <c r="R50" s="14">
        <v>25</v>
      </c>
      <c r="S50" s="14" t="s">
        <v>1127</v>
      </c>
      <c r="T50" s="14" t="s">
        <v>72</v>
      </c>
      <c r="U50" s="14" t="s">
        <v>71</v>
      </c>
      <c r="V50" s="15" t="s">
        <v>926</v>
      </c>
      <c r="W50" s="30">
        <f>IF('CRUDO JUEVES'!BK41="Si",$N50,)</f>
        <v>0</v>
      </c>
      <c r="X50" s="30">
        <f>IF('CRUDO JUEVES'!BL41="Si",$N50,)</f>
        <v>0</v>
      </c>
      <c r="Y50" s="30">
        <f>IF('CRUDO JUEVES'!BM41="Si",$N50,)</f>
        <v>0</v>
      </c>
      <c r="Z50" s="30">
        <f>IF('CRUDO JUEVES'!BN41="Si",$N50,)</f>
        <v>35</v>
      </c>
      <c r="AA50" s="30">
        <f>IF('CRUDO JUEVES'!BO41="Si",$N50,)</f>
        <v>0</v>
      </c>
      <c r="AB50" s="30">
        <f>IF('CRUDO JUEVES'!BP41="Si",$N50,)</f>
        <v>0</v>
      </c>
      <c r="AC50" s="30">
        <f>IF('CRUDO JUEVES'!BQ41="Si",$N50,)</f>
        <v>0</v>
      </c>
      <c r="AD50" s="30">
        <f>IF('CRUDO JUEVES'!BR41="Si",$N50,)</f>
        <v>35</v>
      </c>
      <c r="AE50" s="30">
        <f>IF('CRUDO JUEVES'!BS41="Si",$N50,)</f>
        <v>0</v>
      </c>
      <c r="AF50" s="30">
        <f>IF('CRUDO JUEVES'!BT41="Si",$N50,)</f>
        <v>0</v>
      </c>
      <c r="AG50" s="30">
        <f>IF('CRUDO JUEVES'!BU41="Si",$N50,)</f>
        <v>0</v>
      </c>
      <c r="AH50" s="30">
        <f>IF('CRUDO JUEVES'!BV41="Si",$N50,)</f>
        <v>0</v>
      </c>
      <c r="AI50" s="30">
        <f>IF('CRUDO JUEVES'!BW41="Si",$N50,)</f>
        <v>0</v>
      </c>
      <c r="AJ50" s="29">
        <v>0</v>
      </c>
      <c r="AK50" s="30">
        <f>IF('CRUDO JUEVES'!BY41="Si",$N50,)</f>
        <v>0</v>
      </c>
      <c r="AL50" s="30">
        <f>IF('CRUDO JUEVES'!BZ41="Si",$N50,)</f>
        <v>0</v>
      </c>
      <c r="AM50" s="30">
        <f>IF('CRUDO JUEVES'!CA41="Si",$N50,)</f>
        <v>0</v>
      </c>
      <c r="AN50" s="30">
        <f>IF('CRUDO JUEVES'!CB41="Si",$N50,)</f>
        <v>0</v>
      </c>
      <c r="AO50" s="31">
        <f>IF('CRUDO JUEVES'!CC41="Si",$N50,)</f>
        <v>35</v>
      </c>
      <c r="AP50" s="14" t="s">
        <v>1127</v>
      </c>
      <c r="AQ50" s="16"/>
      <c r="AR50" s="16"/>
      <c r="AS50" s="16"/>
      <c r="AT50" s="16"/>
      <c r="AU50" s="14">
        <v>1</v>
      </c>
      <c r="AV50" s="16"/>
    </row>
    <row r="51" spans="1:48" ht="13.2">
      <c r="A51" s="13">
        <v>45365.668596724536</v>
      </c>
      <c r="B51" s="14" t="s">
        <v>1121</v>
      </c>
      <c r="C51" s="14" t="s">
        <v>1122</v>
      </c>
      <c r="D51" s="15" t="s">
        <v>1123</v>
      </c>
      <c r="E51" s="14" t="s">
        <v>84</v>
      </c>
      <c r="F51" s="14" t="s">
        <v>1128</v>
      </c>
      <c r="G51" s="14" t="s">
        <v>105</v>
      </c>
      <c r="H51" s="14" t="s">
        <v>117</v>
      </c>
      <c r="I51" s="14" t="s">
        <v>1124</v>
      </c>
      <c r="J51" s="14" t="s">
        <v>1125</v>
      </c>
      <c r="K51" s="14" t="s">
        <v>1121</v>
      </c>
      <c r="L51" s="14" t="s">
        <v>245</v>
      </c>
      <c r="M51" s="14" t="s">
        <v>1126</v>
      </c>
      <c r="N51" s="14">
        <v>35</v>
      </c>
      <c r="O51" s="14" t="s">
        <v>70</v>
      </c>
      <c r="P51" s="14">
        <v>4</v>
      </c>
      <c r="Q51" s="14">
        <v>4</v>
      </c>
      <c r="R51" s="14">
        <v>25</v>
      </c>
      <c r="S51" s="14" t="s">
        <v>1127</v>
      </c>
      <c r="T51" s="14" t="s">
        <v>72</v>
      </c>
      <c r="U51" s="14" t="s">
        <v>71</v>
      </c>
      <c r="V51" s="15" t="s">
        <v>926</v>
      </c>
      <c r="W51" s="30">
        <f>IF('CRUDO JUEVES'!BK42="Si",$N51,)</f>
        <v>0</v>
      </c>
      <c r="X51" s="30">
        <f>IF('CRUDO JUEVES'!BL42="Si",$N51,)</f>
        <v>0</v>
      </c>
      <c r="Y51" s="30">
        <f>IF('CRUDO JUEVES'!BM42="Si",$N51,)</f>
        <v>0</v>
      </c>
      <c r="Z51" s="30">
        <f>IF('CRUDO JUEVES'!BN42="Si",$N51,)</f>
        <v>35</v>
      </c>
      <c r="AA51" s="30">
        <f>IF('CRUDO JUEVES'!BO42="Si",$N51,)</f>
        <v>0</v>
      </c>
      <c r="AB51" s="30">
        <f>IF('CRUDO JUEVES'!BP42="Si",$N51,)</f>
        <v>0</v>
      </c>
      <c r="AC51" s="30">
        <f>IF('CRUDO JUEVES'!BQ42="Si",$N51,)</f>
        <v>0</v>
      </c>
      <c r="AD51" s="30">
        <f>IF('CRUDO JUEVES'!BR42="Si",$N51,)</f>
        <v>35</v>
      </c>
      <c r="AE51" s="30">
        <f>IF('CRUDO JUEVES'!BS42="Si",$N51,)</f>
        <v>0</v>
      </c>
      <c r="AF51" s="30">
        <f>IF('CRUDO JUEVES'!BT42="Si",$N51,)</f>
        <v>0</v>
      </c>
      <c r="AG51" s="30">
        <f>IF('CRUDO JUEVES'!BU42="Si",$N51,)</f>
        <v>0</v>
      </c>
      <c r="AH51" s="30">
        <f>IF('CRUDO JUEVES'!BV42="Si",$N51,)</f>
        <v>0</v>
      </c>
      <c r="AI51" s="30">
        <f>IF('CRUDO JUEVES'!BW42="Si",$N51,)</f>
        <v>0</v>
      </c>
      <c r="AJ51" s="29">
        <v>0</v>
      </c>
      <c r="AK51" s="30">
        <f>IF('CRUDO JUEVES'!BY42="Si",$N51,)</f>
        <v>0</v>
      </c>
      <c r="AL51" s="30">
        <f>IF('CRUDO JUEVES'!BZ42="Si",$N51,)</f>
        <v>0</v>
      </c>
      <c r="AM51" s="30">
        <f>IF('CRUDO JUEVES'!CA42="Si",$N51,)</f>
        <v>0</v>
      </c>
      <c r="AN51" s="30">
        <f>IF('CRUDO JUEVES'!CB42="Si",$N51,)</f>
        <v>0</v>
      </c>
      <c r="AO51" s="31">
        <f>IF('CRUDO JUEVES'!CC42="Si",$N51,)</f>
        <v>35</v>
      </c>
      <c r="AP51" s="14" t="s">
        <v>1127</v>
      </c>
      <c r="AQ51" s="16"/>
      <c r="AR51" s="16"/>
      <c r="AS51" s="16"/>
      <c r="AT51" s="16"/>
      <c r="AU51" s="14">
        <v>1</v>
      </c>
      <c r="AV51" s="16"/>
    </row>
    <row r="52" spans="1:48" ht="13.2">
      <c r="A52" s="13">
        <v>45365.670216296297</v>
      </c>
      <c r="B52" s="14" t="s">
        <v>1121</v>
      </c>
      <c r="C52" s="14" t="s">
        <v>1122</v>
      </c>
      <c r="D52" s="15" t="s">
        <v>1123</v>
      </c>
      <c r="E52" s="14" t="s">
        <v>133</v>
      </c>
      <c r="F52" s="14" t="s">
        <v>894</v>
      </c>
      <c r="G52" s="14" t="s">
        <v>105</v>
      </c>
      <c r="H52" s="14" t="s">
        <v>117</v>
      </c>
      <c r="I52" s="14" t="s">
        <v>1124</v>
      </c>
      <c r="J52" s="14" t="s">
        <v>1125</v>
      </c>
      <c r="K52" s="14" t="s">
        <v>1121</v>
      </c>
      <c r="L52" s="14" t="s">
        <v>245</v>
      </c>
      <c r="M52" s="14" t="s">
        <v>1126</v>
      </c>
      <c r="N52" s="14">
        <v>26</v>
      </c>
      <c r="O52" s="14" t="s">
        <v>70</v>
      </c>
      <c r="P52" s="14">
        <v>4</v>
      </c>
      <c r="Q52" s="14">
        <v>4</v>
      </c>
      <c r="R52" s="14">
        <v>25</v>
      </c>
      <c r="S52" s="14" t="s">
        <v>1127</v>
      </c>
      <c r="T52" s="14" t="s">
        <v>72</v>
      </c>
      <c r="U52" s="14" t="s">
        <v>71</v>
      </c>
      <c r="V52" s="15" t="s">
        <v>926</v>
      </c>
      <c r="W52" s="30">
        <f>IF('CRUDO JUEVES'!BK43="Si",$N52,)</f>
        <v>0</v>
      </c>
      <c r="X52" s="30">
        <f>IF('CRUDO JUEVES'!BL43="Si",$N52,)</f>
        <v>0</v>
      </c>
      <c r="Y52" s="30">
        <f>IF('CRUDO JUEVES'!BM43="Si",$N52,)</f>
        <v>0</v>
      </c>
      <c r="Z52" s="30">
        <f>IF('CRUDO JUEVES'!BN43="Si",$N52,)</f>
        <v>26</v>
      </c>
      <c r="AA52" s="30">
        <f>IF('CRUDO JUEVES'!BO43="Si",$N52,)</f>
        <v>0</v>
      </c>
      <c r="AB52" s="30">
        <f>IF('CRUDO JUEVES'!BP43="Si",$N52,)</f>
        <v>0</v>
      </c>
      <c r="AC52" s="30">
        <f>IF('CRUDO JUEVES'!BQ43="Si",$N52,)</f>
        <v>0</v>
      </c>
      <c r="AD52" s="30">
        <f>IF('CRUDO JUEVES'!BR43="Si",$N52,)</f>
        <v>26</v>
      </c>
      <c r="AE52" s="30">
        <f>IF('CRUDO JUEVES'!BS43="Si",$N52,)</f>
        <v>0</v>
      </c>
      <c r="AF52" s="30">
        <f>IF('CRUDO JUEVES'!BT43="Si",$N52,)</f>
        <v>0</v>
      </c>
      <c r="AG52" s="30">
        <f>IF('CRUDO JUEVES'!BU43="Si",$N52,)</f>
        <v>0</v>
      </c>
      <c r="AH52" s="30">
        <f>IF('CRUDO JUEVES'!BV43="Si",$N52,)</f>
        <v>0</v>
      </c>
      <c r="AI52" s="30">
        <f>IF('CRUDO JUEVES'!BW43="Si",$N52,)</f>
        <v>0</v>
      </c>
      <c r="AJ52" s="29">
        <v>0</v>
      </c>
      <c r="AK52" s="30">
        <f>IF('CRUDO JUEVES'!BY43="Si",$N52,)</f>
        <v>0</v>
      </c>
      <c r="AL52" s="30">
        <f>IF('CRUDO JUEVES'!BZ43="Si",$N52,)</f>
        <v>0</v>
      </c>
      <c r="AM52" s="30">
        <f>IF('CRUDO JUEVES'!CA43="Si",$N52,)</f>
        <v>0</v>
      </c>
      <c r="AN52" s="30">
        <f>IF('CRUDO JUEVES'!CB43="Si",$N52,)</f>
        <v>0</v>
      </c>
      <c r="AO52" s="31">
        <f>IF('CRUDO JUEVES'!CC43="Si",$N52,)</f>
        <v>26</v>
      </c>
      <c r="AP52" s="14" t="s">
        <v>1127</v>
      </c>
      <c r="AQ52" s="16"/>
      <c r="AR52" s="16"/>
      <c r="AS52" s="16"/>
      <c r="AT52" s="16"/>
      <c r="AU52" s="14">
        <v>1</v>
      </c>
      <c r="AV52" s="16"/>
    </row>
    <row r="53" spans="1:48" ht="13.2">
      <c r="A53" s="13">
        <v>45365.577211342592</v>
      </c>
      <c r="B53" s="14" t="s">
        <v>1113</v>
      </c>
      <c r="C53" s="14" t="s">
        <v>1114</v>
      </c>
      <c r="D53" s="15" t="s">
        <v>1115</v>
      </c>
      <c r="E53" s="14" t="s">
        <v>84</v>
      </c>
      <c r="F53" s="14" t="s">
        <v>269</v>
      </c>
      <c r="G53" s="14" t="s">
        <v>64</v>
      </c>
      <c r="H53" s="14" t="s">
        <v>1116</v>
      </c>
      <c r="I53" s="14" t="s">
        <v>1117</v>
      </c>
      <c r="J53" s="16"/>
      <c r="K53" s="14" t="s">
        <v>1113</v>
      </c>
      <c r="L53" s="14" t="s">
        <v>138</v>
      </c>
      <c r="M53" s="14" t="s">
        <v>1118</v>
      </c>
      <c r="N53" s="14">
        <v>20</v>
      </c>
      <c r="O53" s="14" t="s">
        <v>70</v>
      </c>
      <c r="P53" s="14">
        <v>4</v>
      </c>
      <c r="Q53" s="14">
        <v>3</v>
      </c>
      <c r="R53" s="14">
        <v>30</v>
      </c>
      <c r="S53" s="14" t="s">
        <v>1119</v>
      </c>
      <c r="T53" s="14" t="s">
        <v>71</v>
      </c>
      <c r="U53" s="14" t="s">
        <v>71</v>
      </c>
      <c r="V53" s="15" t="s">
        <v>926</v>
      </c>
      <c r="W53" s="29">
        <v>0</v>
      </c>
      <c r="X53" s="29">
        <v>0</v>
      </c>
      <c r="Y53" s="30">
        <f>IF('CRUDO JUEVES'!BM40="Si",$N53,)</f>
        <v>20</v>
      </c>
      <c r="Z53" s="29">
        <v>0</v>
      </c>
      <c r="AA53" s="30">
        <f>IF('CRUDO JUEVES'!BO40="Si",$N53,)</f>
        <v>20</v>
      </c>
      <c r="AB53" s="29">
        <v>0</v>
      </c>
      <c r="AC53" s="29">
        <v>0</v>
      </c>
      <c r="AD53" s="29">
        <v>0</v>
      </c>
      <c r="AE53" s="29">
        <v>0</v>
      </c>
      <c r="AF53" s="30">
        <f>IF('CRUDO JUEVES'!BT40="Si",$N53,)</f>
        <v>20</v>
      </c>
      <c r="AG53" s="30">
        <f>IF('CRUDO JUEVES'!BU40="Si",$N53,)</f>
        <v>20</v>
      </c>
      <c r="AH53" s="29">
        <v>0</v>
      </c>
      <c r="AI53" s="29">
        <v>0</v>
      </c>
      <c r="AJ53" s="29">
        <v>0</v>
      </c>
      <c r="AK53" s="29">
        <v>0</v>
      </c>
      <c r="AL53" s="29">
        <v>0</v>
      </c>
      <c r="AM53" s="29">
        <v>0</v>
      </c>
      <c r="AN53" s="31">
        <f>IF('CRUDO JUEVES'!CB40="Si",$N53,)</f>
        <v>20</v>
      </c>
      <c r="AO53" s="29">
        <v>0</v>
      </c>
      <c r="AP53" s="14" t="s">
        <v>1120</v>
      </c>
      <c r="AQ53" s="16"/>
      <c r="AR53" s="16"/>
      <c r="AS53" s="16"/>
      <c r="AT53" s="16"/>
      <c r="AU53" s="14">
        <v>1</v>
      </c>
      <c r="AV53" s="16"/>
    </row>
    <row r="54" spans="1:48" ht="13.2">
      <c r="A54" s="13">
        <v>45369.909722175929</v>
      </c>
      <c r="B54" s="14" t="s">
        <v>1232</v>
      </c>
      <c r="C54" s="14" t="s">
        <v>1233</v>
      </c>
      <c r="D54" s="15" t="s">
        <v>1234</v>
      </c>
      <c r="E54" s="14" t="s">
        <v>62</v>
      </c>
      <c r="F54" s="14" t="s">
        <v>1235</v>
      </c>
      <c r="G54" s="14" t="s">
        <v>105</v>
      </c>
      <c r="H54" s="14" t="s">
        <v>1236</v>
      </c>
      <c r="I54" s="14" t="s">
        <v>1237</v>
      </c>
      <c r="J54" s="14" t="s">
        <v>1238</v>
      </c>
      <c r="K54" s="14" t="s">
        <v>1232</v>
      </c>
      <c r="L54" s="14" t="s">
        <v>245</v>
      </c>
      <c r="M54" s="14" t="s">
        <v>1239</v>
      </c>
      <c r="N54" s="14">
        <v>35</v>
      </c>
      <c r="O54" s="14" t="s">
        <v>148</v>
      </c>
      <c r="P54" s="14">
        <v>1</v>
      </c>
      <c r="Q54" s="14">
        <v>1</v>
      </c>
      <c r="R54" s="14">
        <v>80</v>
      </c>
      <c r="S54" s="16"/>
      <c r="T54" s="14" t="s">
        <v>71</v>
      </c>
      <c r="U54" s="14" t="s">
        <v>71</v>
      </c>
      <c r="V54" s="15" t="s">
        <v>926</v>
      </c>
      <c r="W54" s="30">
        <f>IF('CRUDO JUEVES'!BK66="Si",$N54,)</f>
        <v>0</v>
      </c>
      <c r="X54" s="30">
        <f>IF('CRUDO JUEVES'!BL66="Si",$N54,)</f>
        <v>35</v>
      </c>
      <c r="Y54" s="29">
        <v>0</v>
      </c>
      <c r="Z54" s="29">
        <v>35</v>
      </c>
      <c r="AA54" s="30">
        <f>IF('CRUDO JUEVES'!BO66="Si",$N54,)</f>
        <v>35</v>
      </c>
      <c r="AB54" s="29">
        <v>0</v>
      </c>
      <c r="AC54" s="30">
        <f>IF('CRUDO JUEVES'!BQ66="Si",$N54,)</f>
        <v>0</v>
      </c>
      <c r="AD54" s="29">
        <v>35</v>
      </c>
      <c r="AE54" s="30">
        <f>IF('CRUDO JUEVES'!BS66="Si",$N54,)</f>
        <v>0</v>
      </c>
      <c r="AF54" s="29">
        <v>0</v>
      </c>
      <c r="AG54" s="30">
        <f>IF('CRUDO JUEVES'!BU66="Si",$N54,)</f>
        <v>0</v>
      </c>
      <c r="AH54" s="30">
        <f>IF('CRUDO JUEVES'!BV66="Si",$N54,)</f>
        <v>0</v>
      </c>
      <c r="AI54" s="30">
        <f>IF('CRUDO JUEVES'!BW66="Si",$N54,)</f>
        <v>0</v>
      </c>
      <c r="AJ54" s="29">
        <v>0</v>
      </c>
      <c r="AK54" s="31">
        <f>IF('CRUDO JUEVES'!BY66="Si",$N54,)</f>
        <v>35</v>
      </c>
      <c r="AL54" s="30">
        <f>IF('CRUDO JUEVES'!BZ66="Si",$N54,)</f>
        <v>0</v>
      </c>
      <c r="AM54" s="29">
        <v>0</v>
      </c>
      <c r="AN54" s="30">
        <f>IF('CRUDO JUEVES'!CB66="Si",$N54,)</f>
        <v>0</v>
      </c>
      <c r="AO54" s="29">
        <v>0</v>
      </c>
      <c r="AP54" s="14" t="s">
        <v>1240</v>
      </c>
      <c r="AQ54" s="16"/>
      <c r="AR54" s="16"/>
      <c r="AS54" s="16"/>
      <c r="AT54" s="16"/>
      <c r="AU54" s="14">
        <v>1</v>
      </c>
      <c r="AV54" s="16"/>
    </row>
    <row r="55" spans="1:48" ht="13.2">
      <c r="A55" s="13">
        <v>45368.931890219908</v>
      </c>
      <c r="B55" s="14" t="s">
        <v>503</v>
      </c>
      <c r="C55" s="14" t="s">
        <v>1195</v>
      </c>
      <c r="D55" s="15" t="s">
        <v>1196</v>
      </c>
      <c r="E55" s="14" t="s">
        <v>1197</v>
      </c>
      <c r="F55" s="14" t="s">
        <v>521</v>
      </c>
      <c r="G55" s="14" t="s">
        <v>105</v>
      </c>
      <c r="H55" s="14" t="s">
        <v>1198</v>
      </c>
      <c r="I55" s="14" t="s">
        <v>1199</v>
      </c>
      <c r="J55" s="14" t="s">
        <v>1200</v>
      </c>
      <c r="K55" s="14" t="s">
        <v>503</v>
      </c>
      <c r="L55" s="14" t="s">
        <v>138</v>
      </c>
      <c r="M55" s="14" t="s">
        <v>1201</v>
      </c>
      <c r="N55" s="14">
        <v>34</v>
      </c>
      <c r="O55" s="14" t="s">
        <v>70</v>
      </c>
      <c r="P55" s="14">
        <v>1</v>
      </c>
      <c r="Q55" s="14">
        <v>1</v>
      </c>
      <c r="R55" s="14">
        <v>90</v>
      </c>
      <c r="S55" s="16"/>
      <c r="T55" s="14" t="s">
        <v>71</v>
      </c>
      <c r="U55" s="14" t="s">
        <v>71</v>
      </c>
      <c r="V55" s="15" t="s">
        <v>926</v>
      </c>
      <c r="W55" s="30">
        <f>IF('CRUDO JUEVES'!BK58="Si",$N55,)</f>
        <v>0</v>
      </c>
      <c r="X55" s="30">
        <f>IF('CRUDO JUEVES'!BL58="Si",$N55,)</f>
        <v>0</v>
      </c>
      <c r="Y55" s="30">
        <f>IF('CRUDO JUEVES'!BM58="Si",$N55,)</f>
        <v>0</v>
      </c>
      <c r="Z55" s="30">
        <f>IF('CRUDO JUEVES'!BN58="Si",$N55,)</f>
        <v>0</v>
      </c>
      <c r="AA55" s="30">
        <f>IF('CRUDO JUEVES'!BO58="Si",$N55,)</f>
        <v>0</v>
      </c>
      <c r="AB55" s="30">
        <f>IF('CRUDO JUEVES'!BP58="Si",$N55,)</f>
        <v>0</v>
      </c>
      <c r="AC55" s="30">
        <f>IF('CRUDO JUEVES'!BQ58="Si",$N55,)</f>
        <v>0</v>
      </c>
      <c r="AD55" s="30">
        <f>IF('CRUDO JUEVES'!BR58="Si",$N55,)</f>
        <v>34</v>
      </c>
      <c r="AE55" s="30">
        <f>IF('CRUDO JUEVES'!BS58="Si",$N55,)</f>
        <v>0</v>
      </c>
      <c r="AF55" s="30">
        <f>IF('CRUDO JUEVES'!BT58="Si",$N55,)</f>
        <v>0</v>
      </c>
      <c r="AG55" s="30">
        <f>IF('CRUDO JUEVES'!BU58="Si",$N55,)</f>
        <v>0</v>
      </c>
      <c r="AH55" s="29">
        <v>0</v>
      </c>
      <c r="AI55" s="30">
        <f>IF('CRUDO JUEVES'!BW58="Si",$N55,)</f>
        <v>0</v>
      </c>
      <c r="AJ55" s="30">
        <f>IF('CRUDO JUEVES'!BX58="Si",$N55,)</f>
        <v>0</v>
      </c>
      <c r="AK55" s="30">
        <f>IF('CRUDO JUEVES'!BY58="Si",$N55,)</f>
        <v>0</v>
      </c>
      <c r="AL55" s="30">
        <f>IF('CRUDO JUEVES'!BZ58="Si",$N55,)</f>
        <v>0</v>
      </c>
      <c r="AM55" s="31">
        <f>IF('CRUDO JUEVES'!CA58="Si",$N55,)</f>
        <v>34</v>
      </c>
      <c r="AN55" s="30">
        <f>IF('CRUDO JUEVES'!CB58="Si",$N55,)</f>
        <v>0</v>
      </c>
      <c r="AO55" s="30">
        <f>IF('CRUDO JUEVES'!CC58="Si",$N55,)</f>
        <v>0</v>
      </c>
      <c r="AP55" s="14" t="s">
        <v>1202</v>
      </c>
      <c r="AQ55" s="16"/>
      <c r="AR55" s="16"/>
      <c r="AS55" s="16"/>
      <c r="AT55" s="16"/>
      <c r="AU55" s="14">
        <v>1</v>
      </c>
      <c r="AV55" s="16"/>
    </row>
    <row r="56" spans="1:48" ht="13.2">
      <c r="A56" s="13">
        <v>45363.867391284723</v>
      </c>
      <c r="B56" s="14" t="s">
        <v>1005</v>
      </c>
      <c r="C56" s="14" t="s">
        <v>1006</v>
      </c>
      <c r="D56" s="15" t="s">
        <v>1007</v>
      </c>
      <c r="E56" s="14" t="s">
        <v>62</v>
      </c>
      <c r="F56" s="14" t="s">
        <v>1008</v>
      </c>
      <c r="G56" s="14" t="s">
        <v>105</v>
      </c>
      <c r="H56" s="14" t="s">
        <v>1009</v>
      </c>
      <c r="I56" s="14" t="s">
        <v>1010</v>
      </c>
      <c r="J56" s="16"/>
      <c r="K56" s="14" t="s">
        <v>1005</v>
      </c>
      <c r="L56" s="14" t="s">
        <v>245</v>
      </c>
      <c r="M56" s="14" t="s">
        <v>1011</v>
      </c>
      <c r="N56" s="14">
        <v>25</v>
      </c>
      <c r="O56" s="14" t="s">
        <v>148</v>
      </c>
      <c r="P56" s="14">
        <v>4</v>
      </c>
      <c r="Q56" s="14">
        <v>3</v>
      </c>
      <c r="R56" s="14">
        <v>60</v>
      </c>
      <c r="S56" s="16"/>
      <c r="T56" s="14" t="s">
        <v>72</v>
      </c>
      <c r="U56" s="14" t="s">
        <v>71</v>
      </c>
      <c r="V56" s="15" t="s">
        <v>926</v>
      </c>
      <c r="W56" s="30">
        <f>IF('CRUDO JUEVES'!BK17="Si",$N56,)</f>
        <v>0</v>
      </c>
      <c r="X56" s="30">
        <f>IF('CRUDO JUEVES'!BL17="Si",$N56,)</f>
        <v>0</v>
      </c>
      <c r="Y56" s="30">
        <f>IF('CRUDO JUEVES'!BM17="Si",$N56,)</f>
        <v>0</v>
      </c>
      <c r="Z56" s="30">
        <f>IF('CRUDO JUEVES'!BN17="Si",$N56,)</f>
        <v>25</v>
      </c>
      <c r="AA56" s="30">
        <f>IF('CRUDO JUEVES'!BO17="Si",$N56,)</f>
        <v>0</v>
      </c>
      <c r="AB56" s="30">
        <f>IF('CRUDO JUEVES'!BP17="Si",$N56,)</f>
        <v>0</v>
      </c>
      <c r="AC56" s="30">
        <f>IF('CRUDO JUEVES'!BQ17="Si",$N56,)</f>
        <v>0</v>
      </c>
      <c r="AD56" s="30">
        <f>IF('CRUDO JUEVES'!BR17="Si",$N56,)</f>
        <v>25</v>
      </c>
      <c r="AE56" s="29">
        <v>0</v>
      </c>
      <c r="AF56" s="30">
        <f>IF('CRUDO JUEVES'!BT17="Si",$N56,)</f>
        <v>25</v>
      </c>
      <c r="AG56" s="30">
        <f>IF('CRUDO JUEVES'!BU17="Si",$N56,)</f>
        <v>0</v>
      </c>
      <c r="AH56" s="30">
        <f>IF('CRUDO JUEVES'!BV17="Si",$N56,)</f>
        <v>0</v>
      </c>
      <c r="AI56" s="30">
        <f>IF('CRUDO JUEVES'!BW17="Si",$N56,)</f>
        <v>0</v>
      </c>
      <c r="AJ56" s="29">
        <v>0</v>
      </c>
      <c r="AK56" s="29">
        <v>0</v>
      </c>
      <c r="AL56" s="30">
        <f>IF('CRUDO JUEVES'!BZ17="Si",$N56,)</f>
        <v>0</v>
      </c>
      <c r="AM56" s="30">
        <f>IF('CRUDO JUEVES'!CA17="Si",$N56,)</f>
        <v>0</v>
      </c>
      <c r="AN56" s="29">
        <v>0</v>
      </c>
      <c r="AO56" s="29">
        <v>0</v>
      </c>
      <c r="AP56" s="16"/>
      <c r="AQ56" s="16"/>
      <c r="AR56" s="16"/>
      <c r="AS56" s="16"/>
      <c r="AT56" s="16"/>
      <c r="AU56" s="14">
        <v>1</v>
      </c>
      <c r="AV56" s="16"/>
    </row>
    <row r="57" spans="1:48" ht="13.2">
      <c r="A57" s="13">
        <v>45365.331200879635</v>
      </c>
      <c r="B57" s="14" t="s">
        <v>1054</v>
      </c>
      <c r="C57" s="14" t="s">
        <v>1055</v>
      </c>
      <c r="D57" s="15" t="s">
        <v>1056</v>
      </c>
      <c r="E57" s="14" t="s">
        <v>62</v>
      </c>
      <c r="F57" s="14" t="s">
        <v>235</v>
      </c>
      <c r="G57" s="14" t="s">
        <v>105</v>
      </c>
      <c r="H57" s="14" t="s">
        <v>1057</v>
      </c>
      <c r="I57" s="14" t="s">
        <v>1058</v>
      </c>
      <c r="J57" s="14" t="s">
        <v>1059</v>
      </c>
      <c r="K57" s="14" t="s">
        <v>1054</v>
      </c>
      <c r="L57" s="14" t="s">
        <v>245</v>
      </c>
      <c r="M57" s="14" t="s">
        <v>1060</v>
      </c>
      <c r="N57" s="14">
        <v>19</v>
      </c>
      <c r="O57" s="14" t="s">
        <v>70</v>
      </c>
      <c r="P57" s="14">
        <v>3</v>
      </c>
      <c r="Q57" s="14">
        <v>1</v>
      </c>
      <c r="R57" s="14">
        <v>80</v>
      </c>
      <c r="S57" s="16"/>
      <c r="T57" s="14" t="s">
        <v>71</v>
      </c>
      <c r="U57" s="14" t="s">
        <v>72</v>
      </c>
      <c r="V57" s="15" t="s">
        <v>926</v>
      </c>
      <c r="W57" s="30">
        <f>IF('CRUDO JUEVES'!BK28="Si",$N57,)</f>
        <v>0</v>
      </c>
      <c r="X57" s="30">
        <f>IF('CRUDO JUEVES'!BL28="Si",$N57,)</f>
        <v>19</v>
      </c>
      <c r="Y57" s="30">
        <f>IF('CRUDO JUEVES'!BM28="Si",$N57,)</f>
        <v>0</v>
      </c>
      <c r="Z57" s="30">
        <f>IF('CRUDO JUEVES'!BN28="Si",$N57,)</f>
        <v>0</v>
      </c>
      <c r="AA57" s="30">
        <f>IF('CRUDO JUEVES'!BO28="Si",$N57,)</f>
        <v>19</v>
      </c>
      <c r="AB57" s="30">
        <f>IF('CRUDO JUEVES'!BP28="Si",$N57,)</f>
        <v>0</v>
      </c>
      <c r="AC57" s="30">
        <f>IF('CRUDO JUEVES'!BQ28="Si",$N57,)</f>
        <v>0</v>
      </c>
      <c r="AD57" s="30">
        <f>IF('CRUDO JUEVES'!BR28="Si",$N57,)</f>
        <v>0</v>
      </c>
      <c r="AE57" s="30">
        <f>IF('CRUDO JUEVES'!BS28="Si",$N57,)</f>
        <v>0</v>
      </c>
      <c r="AF57" s="30">
        <f>IF('CRUDO JUEVES'!BT28="Si",$N57,)</f>
        <v>0</v>
      </c>
      <c r="AG57" s="30">
        <f>IF('CRUDO JUEVES'!BU28="Si",$N57,)</f>
        <v>0</v>
      </c>
      <c r="AH57" s="30">
        <f>IF('CRUDO JUEVES'!BV28="Si",$N57,)</f>
        <v>0</v>
      </c>
      <c r="AI57" s="29">
        <v>0</v>
      </c>
      <c r="AJ57" s="30">
        <f>IF('CRUDO JUEVES'!BX28="Si",$N57,)</f>
        <v>0</v>
      </c>
      <c r="AK57" s="30">
        <f>IF('CRUDO JUEVES'!BY28="Si",$N57,)</f>
        <v>0</v>
      </c>
      <c r="AL57" s="30">
        <f>IF('CRUDO JUEVES'!BZ28="Si",$N57,)</f>
        <v>0</v>
      </c>
      <c r="AM57" s="30">
        <f>IF('CRUDO JUEVES'!CA28="Si",$N57,)</f>
        <v>0</v>
      </c>
      <c r="AN57" s="30">
        <f>IF('CRUDO JUEVES'!CB28="Si",$N57,)</f>
        <v>0</v>
      </c>
      <c r="AO57" s="30">
        <f>IF('CRUDO JUEVES'!CC28="Si",$N57,)</f>
        <v>0</v>
      </c>
      <c r="AP57" s="16"/>
      <c r="AQ57" s="16"/>
      <c r="AR57" s="16"/>
      <c r="AS57" s="16"/>
      <c r="AT57" s="16"/>
      <c r="AU57" s="14">
        <v>1</v>
      </c>
      <c r="AV57" s="16"/>
    </row>
    <row r="58" spans="1:48" ht="13.2">
      <c r="A58" s="13">
        <v>45363.518783287036</v>
      </c>
      <c r="B58" s="14" t="s">
        <v>941</v>
      </c>
      <c r="C58" s="14" t="s">
        <v>942</v>
      </c>
      <c r="D58" s="15" t="s">
        <v>943</v>
      </c>
      <c r="E58" s="14" t="s">
        <v>133</v>
      </c>
      <c r="F58" s="14" t="s">
        <v>944</v>
      </c>
      <c r="G58" s="14" t="s">
        <v>105</v>
      </c>
      <c r="H58" s="14" t="s">
        <v>945</v>
      </c>
      <c r="I58" s="14" t="s">
        <v>946</v>
      </c>
      <c r="J58" s="14" t="s">
        <v>947</v>
      </c>
      <c r="K58" s="14" t="s">
        <v>941</v>
      </c>
      <c r="L58" s="14" t="s">
        <v>245</v>
      </c>
      <c r="M58" s="14" t="s">
        <v>948</v>
      </c>
      <c r="N58" s="14">
        <v>35</v>
      </c>
      <c r="O58" s="14" t="s">
        <v>70</v>
      </c>
      <c r="P58" s="14">
        <v>2</v>
      </c>
      <c r="Q58" s="14">
        <v>3</v>
      </c>
      <c r="R58" s="14">
        <v>90</v>
      </c>
      <c r="S58" s="14" t="s">
        <v>949</v>
      </c>
      <c r="T58" s="14" t="s">
        <v>71</v>
      </c>
      <c r="U58" s="14" t="s">
        <v>71</v>
      </c>
      <c r="V58" s="15" t="s">
        <v>926</v>
      </c>
      <c r="W58" s="30">
        <f>IF('CRUDO JUEVES'!BK5="Si",$N58,)</f>
        <v>35</v>
      </c>
      <c r="X58" s="30">
        <f>IF('CRUDO JUEVES'!BL5="Si",$N58,)</f>
        <v>0</v>
      </c>
      <c r="Y58" s="30">
        <f>IF('CRUDO JUEVES'!BM5="Si",$N58,)</f>
        <v>0</v>
      </c>
      <c r="Z58" s="30">
        <f>IF('CRUDO JUEVES'!BN5="Si",$N58,)</f>
        <v>0</v>
      </c>
      <c r="AA58" s="30">
        <f>IF('CRUDO JUEVES'!BO5="Si",$N58,)</f>
        <v>0</v>
      </c>
      <c r="AB58" s="30">
        <f>IF('CRUDO JUEVES'!BP5="Si",$N58,)</f>
        <v>35</v>
      </c>
      <c r="AC58" s="29">
        <v>0</v>
      </c>
      <c r="AD58" s="30">
        <f>IF('CRUDO JUEVES'!BR5="Si",$N58,)</f>
        <v>0</v>
      </c>
      <c r="AE58" s="30">
        <f>IF('CRUDO JUEVES'!BS5="Si",$N58,)</f>
        <v>0</v>
      </c>
      <c r="AF58" s="30">
        <f>IF('CRUDO JUEVES'!BT5="Si",$N58,)</f>
        <v>0</v>
      </c>
      <c r="AG58" s="30">
        <f>IF('CRUDO JUEVES'!BU5="Si",$N58,)</f>
        <v>0</v>
      </c>
      <c r="AH58" s="30">
        <f>IF('CRUDO JUEVES'!BV5="Si",$N58,)</f>
        <v>0</v>
      </c>
      <c r="AI58" s="30">
        <f>IF('CRUDO JUEVES'!BW5="Si",$N58,)</f>
        <v>0</v>
      </c>
      <c r="AJ58" s="29">
        <v>0</v>
      </c>
      <c r="AK58" s="29">
        <v>0</v>
      </c>
      <c r="AL58" s="30">
        <f>IF('CRUDO JUEVES'!BZ5="Si",$N58,)</f>
        <v>0</v>
      </c>
      <c r="AM58" s="30">
        <f>IF('CRUDO JUEVES'!CA5="Si",$N58,)</f>
        <v>0</v>
      </c>
      <c r="AN58" s="30">
        <f>IF('CRUDO JUEVES'!CB5="Si",$N58,)</f>
        <v>0</v>
      </c>
      <c r="AO58" s="29">
        <v>0</v>
      </c>
      <c r="AP58" s="16"/>
      <c r="AQ58" s="16"/>
      <c r="AR58" s="16"/>
      <c r="AS58" s="16"/>
      <c r="AT58" s="16"/>
      <c r="AU58" s="14">
        <v>1</v>
      </c>
      <c r="AV58" s="16"/>
    </row>
    <row r="59" spans="1:48" ht="13.2">
      <c r="A59" s="13">
        <v>45369.817293043983</v>
      </c>
      <c r="B59" s="14" t="s">
        <v>1216</v>
      </c>
      <c r="C59" s="14" t="s">
        <v>1217</v>
      </c>
      <c r="D59" s="15" t="s">
        <v>1218</v>
      </c>
      <c r="E59" s="14" t="s">
        <v>133</v>
      </c>
      <c r="F59" s="14" t="s">
        <v>1219</v>
      </c>
      <c r="G59" s="14" t="s">
        <v>105</v>
      </c>
      <c r="H59" s="14" t="s">
        <v>1220</v>
      </c>
      <c r="I59" s="14" t="s">
        <v>1221</v>
      </c>
      <c r="J59" s="14" t="s">
        <v>1222</v>
      </c>
      <c r="K59" s="14" t="s">
        <v>1216</v>
      </c>
      <c r="L59" s="14" t="s">
        <v>245</v>
      </c>
      <c r="M59" s="14" t="s">
        <v>1223</v>
      </c>
      <c r="N59" s="14">
        <v>23</v>
      </c>
      <c r="O59" s="14" t="s">
        <v>70</v>
      </c>
      <c r="P59" s="14">
        <v>2</v>
      </c>
      <c r="Q59" s="14">
        <v>3</v>
      </c>
      <c r="R59" s="14">
        <v>80</v>
      </c>
      <c r="S59" s="14" t="s">
        <v>1224</v>
      </c>
      <c r="T59" s="14" t="s">
        <v>72</v>
      </c>
      <c r="U59" s="14" t="s">
        <v>71</v>
      </c>
      <c r="V59" s="15" t="s">
        <v>926</v>
      </c>
      <c r="W59" s="30">
        <f>IF('CRUDO JUEVES'!BK64="Si",$N59,)</f>
        <v>0</v>
      </c>
      <c r="X59" s="30">
        <f>IF('CRUDO JUEVES'!BL64="Si",$N59,)</f>
        <v>0</v>
      </c>
      <c r="Y59" s="30">
        <f>IF('CRUDO JUEVES'!BM64="Si",$N59,)</f>
        <v>23</v>
      </c>
      <c r="Z59" s="29">
        <v>0</v>
      </c>
      <c r="AA59" s="30">
        <f>IF('CRUDO JUEVES'!BO64="Si",$N59,)</f>
        <v>0</v>
      </c>
      <c r="AB59" s="30">
        <f>IF('CRUDO JUEVES'!BP64="Si",$N59,)</f>
        <v>0</v>
      </c>
      <c r="AC59" s="29">
        <v>0</v>
      </c>
      <c r="AD59" s="29">
        <v>0</v>
      </c>
      <c r="AE59" s="29">
        <v>0</v>
      </c>
      <c r="AF59" s="30">
        <f>IF('CRUDO JUEVES'!BT64="Si",$N59,)</f>
        <v>23</v>
      </c>
      <c r="AG59" s="30">
        <f>IF('CRUDO JUEVES'!BU64="Si",$N59,)</f>
        <v>0</v>
      </c>
      <c r="AH59" s="30">
        <f>IF('CRUDO JUEVES'!BV64="Si",$N59,)</f>
        <v>0</v>
      </c>
      <c r="AI59" s="29">
        <v>0</v>
      </c>
      <c r="AJ59" s="31">
        <f>IF('CRUDO JUEVES'!BX64="Si",$N59,)</f>
        <v>23</v>
      </c>
      <c r="AK59" s="29">
        <v>0</v>
      </c>
      <c r="AL59" s="29">
        <v>0</v>
      </c>
      <c r="AM59" s="30">
        <f>IF('CRUDO JUEVES'!CA64="Si",$N59,)</f>
        <v>0</v>
      </c>
      <c r="AN59" s="30">
        <f>IF('CRUDO JUEVES'!CB64="Si",$N59,)</f>
        <v>0</v>
      </c>
      <c r="AO59" s="30">
        <f>IF('CRUDO JUEVES'!CC64="Si",$N59,)</f>
        <v>0</v>
      </c>
      <c r="AP59" s="14" t="s">
        <v>1225</v>
      </c>
      <c r="AQ59" s="16"/>
      <c r="AR59" s="16"/>
      <c r="AS59" s="16"/>
      <c r="AT59" s="16"/>
      <c r="AU59" s="14">
        <v>1</v>
      </c>
      <c r="AV59" s="16"/>
    </row>
    <row r="60" spans="1:48" ht="13.2">
      <c r="A60" s="13">
        <v>45369.823601678239</v>
      </c>
      <c r="B60" s="14" t="s">
        <v>1216</v>
      </c>
      <c r="C60" s="14" t="s">
        <v>1217</v>
      </c>
      <c r="D60" s="15" t="s">
        <v>1218</v>
      </c>
      <c r="E60" s="14" t="s">
        <v>133</v>
      </c>
      <c r="F60" s="14" t="s">
        <v>1226</v>
      </c>
      <c r="G60" s="14" t="s">
        <v>105</v>
      </c>
      <c r="H60" s="14" t="s">
        <v>1227</v>
      </c>
      <c r="I60" s="14" t="s">
        <v>1228</v>
      </c>
      <c r="J60" s="14" t="s">
        <v>1229</v>
      </c>
      <c r="K60" s="14" t="s">
        <v>1216</v>
      </c>
      <c r="L60" s="14" t="s">
        <v>245</v>
      </c>
      <c r="M60" s="14" t="s">
        <v>1223</v>
      </c>
      <c r="N60" s="14">
        <v>22</v>
      </c>
      <c r="O60" s="14" t="s">
        <v>70</v>
      </c>
      <c r="P60" s="14">
        <v>2</v>
      </c>
      <c r="Q60" s="14">
        <v>3</v>
      </c>
      <c r="R60" s="14">
        <v>80</v>
      </c>
      <c r="S60" s="14" t="s">
        <v>1230</v>
      </c>
      <c r="T60" s="14" t="s">
        <v>72</v>
      </c>
      <c r="U60" s="14" t="s">
        <v>71</v>
      </c>
      <c r="V60" s="15" t="s">
        <v>926</v>
      </c>
      <c r="W60" s="30">
        <f>IF('CRUDO JUEVES'!BK65="Si",$N60,)</f>
        <v>0</v>
      </c>
      <c r="X60" s="30">
        <f>IF('CRUDO JUEVES'!BL65="Si",$N60,)</f>
        <v>0</v>
      </c>
      <c r="Y60" s="29">
        <v>22</v>
      </c>
      <c r="Z60" s="29">
        <v>0</v>
      </c>
      <c r="AA60" s="30">
        <f>IF('CRUDO JUEVES'!BO65="Si",$N60,)</f>
        <v>0</v>
      </c>
      <c r="AB60" s="30">
        <f>IF('CRUDO JUEVES'!BP65="Si",$N60,)</f>
        <v>0</v>
      </c>
      <c r="AC60" s="29">
        <v>0</v>
      </c>
      <c r="AD60" s="29">
        <v>0</v>
      </c>
      <c r="AE60" s="29">
        <v>0</v>
      </c>
      <c r="AF60" s="30">
        <f>IF('CRUDO JUEVES'!BT65="Si",$N60,)</f>
        <v>22</v>
      </c>
      <c r="AG60" s="30">
        <f>IF('CRUDO JUEVES'!BU65="Si",$N60,)</f>
        <v>0</v>
      </c>
      <c r="AH60" s="30">
        <f>IF('CRUDO JUEVES'!BV65="Si",$N60,)</f>
        <v>0</v>
      </c>
      <c r="AI60" s="29">
        <v>0</v>
      </c>
      <c r="AJ60" s="32">
        <v>22</v>
      </c>
      <c r="AK60" s="29">
        <v>0</v>
      </c>
      <c r="AL60" s="29">
        <v>0</v>
      </c>
      <c r="AM60" s="30">
        <f>IF('CRUDO JUEVES'!CA65="Si",$N60,)</f>
        <v>0</v>
      </c>
      <c r="AN60" s="30">
        <f>IF('CRUDO JUEVES'!CB65="Si",$N60,)</f>
        <v>0</v>
      </c>
      <c r="AO60" s="30">
        <f>IF('CRUDO JUEVES'!CC65="Si",$N60,)</f>
        <v>0</v>
      </c>
      <c r="AP60" s="14" t="s">
        <v>1231</v>
      </c>
      <c r="AQ60" s="16"/>
      <c r="AR60" s="16"/>
      <c r="AS60" s="16"/>
      <c r="AT60" s="16"/>
      <c r="AU60" s="14">
        <v>1</v>
      </c>
      <c r="AV60" s="16"/>
    </row>
    <row r="61" spans="1:48" ht="13.2">
      <c r="A61" s="13">
        <v>45363.938248749997</v>
      </c>
      <c r="B61" s="14" t="s">
        <v>352</v>
      </c>
      <c r="C61" s="14" t="s">
        <v>1017</v>
      </c>
      <c r="D61" s="15" t="s">
        <v>1018</v>
      </c>
      <c r="E61" s="14" t="s">
        <v>133</v>
      </c>
      <c r="F61" s="14" t="s">
        <v>1019</v>
      </c>
      <c r="G61" s="14" t="s">
        <v>105</v>
      </c>
      <c r="H61" s="14" t="s">
        <v>1020</v>
      </c>
      <c r="I61" s="14" t="s">
        <v>1021</v>
      </c>
      <c r="J61" s="14" t="s">
        <v>1022</v>
      </c>
      <c r="K61" s="14" t="s">
        <v>352</v>
      </c>
      <c r="L61" s="14" t="s">
        <v>68</v>
      </c>
      <c r="M61" s="14" t="s">
        <v>1023</v>
      </c>
      <c r="N61" s="14">
        <v>35</v>
      </c>
      <c r="O61" s="14" t="s">
        <v>70</v>
      </c>
      <c r="P61" s="14">
        <v>3</v>
      </c>
      <c r="Q61" s="14">
        <v>3</v>
      </c>
      <c r="R61" s="14">
        <v>60</v>
      </c>
      <c r="S61" s="16"/>
      <c r="T61" s="14" t="s">
        <v>71</v>
      </c>
      <c r="U61" s="14" t="s">
        <v>72</v>
      </c>
      <c r="V61" s="15" t="s">
        <v>926</v>
      </c>
      <c r="W61" s="30">
        <f>IF('CRUDO JUEVES'!BK20="Si",$N61,)</f>
        <v>35</v>
      </c>
      <c r="X61" s="30">
        <f>IF('CRUDO JUEVES'!BL20="Si",$N61,)</f>
        <v>0</v>
      </c>
      <c r="Y61" s="30">
        <f>IF('CRUDO JUEVES'!BM20="Si",$N61,)</f>
        <v>0</v>
      </c>
      <c r="Z61" s="30">
        <f>IF('CRUDO JUEVES'!BN20="Si",$N61,)</f>
        <v>0</v>
      </c>
      <c r="AA61" s="30">
        <f>IF('CRUDO JUEVES'!BO20="Si",$N61,)</f>
        <v>0</v>
      </c>
      <c r="AB61" s="30">
        <f>IF('CRUDO JUEVES'!BP20="Si",$N61,)</f>
        <v>35</v>
      </c>
      <c r="AC61" s="30">
        <f>IF('CRUDO JUEVES'!BQ20="Si",$N61,)</f>
        <v>0</v>
      </c>
      <c r="AD61" s="30">
        <f>IF('CRUDO JUEVES'!BR20="Si",$N61,)</f>
        <v>0</v>
      </c>
      <c r="AE61" s="30">
        <f>IF('CRUDO JUEVES'!BS20="Si",$N61,)</f>
        <v>0</v>
      </c>
      <c r="AF61" s="30">
        <f>IF('CRUDO JUEVES'!BT20="Si",$N61,)</f>
        <v>0</v>
      </c>
      <c r="AG61" s="30">
        <f>IF('CRUDO JUEVES'!BU20="Si",$N61,)</f>
        <v>0</v>
      </c>
      <c r="AH61" s="30">
        <f>IF('CRUDO JUEVES'!BV20="Si",$N61,)</f>
        <v>0</v>
      </c>
      <c r="AI61" s="31">
        <f>IF('CRUDO JUEVES'!BW20="Si",$N61,)</f>
        <v>35</v>
      </c>
      <c r="AJ61" s="30">
        <f>IF('CRUDO JUEVES'!BX20="Si",$N61,)</f>
        <v>0</v>
      </c>
      <c r="AK61" s="30">
        <f>IF('CRUDO JUEVES'!BY20="Si",$N61,)</f>
        <v>0</v>
      </c>
      <c r="AL61" s="30">
        <f>IF('CRUDO JUEVES'!BZ20="Si",$N61,)</f>
        <v>0</v>
      </c>
      <c r="AM61" s="30">
        <f>IF('CRUDO JUEVES'!CA20="Si",$N61,)</f>
        <v>0</v>
      </c>
      <c r="AN61" s="31">
        <f>IF('CRUDO JUEVES'!CB20="Si",$N61,)</f>
        <v>35</v>
      </c>
      <c r="AO61" s="30">
        <f>IF('CRUDO JUEVES'!CC20="Si",$N61,)</f>
        <v>0</v>
      </c>
      <c r="AP61" s="16"/>
      <c r="AQ61" s="16"/>
      <c r="AR61" s="16"/>
      <c r="AS61" s="16"/>
      <c r="AT61" s="16"/>
      <c r="AU61" s="14">
        <v>1</v>
      </c>
      <c r="AV61" s="16"/>
    </row>
    <row r="62" spans="1:48" ht="13.2">
      <c r="A62" s="21">
        <v>45368.826779560186</v>
      </c>
      <c r="B62" s="22" t="s">
        <v>457</v>
      </c>
      <c r="C62" s="22" t="s">
        <v>458</v>
      </c>
      <c r="D62" s="24" t="s">
        <v>459</v>
      </c>
      <c r="E62" s="22" t="s">
        <v>84</v>
      </c>
      <c r="F62" s="22" t="s">
        <v>249</v>
      </c>
      <c r="G62" s="22" t="s">
        <v>64</v>
      </c>
      <c r="H62" s="22" t="s">
        <v>460</v>
      </c>
      <c r="I62" s="22" t="s">
        <v>461</v>
      </c>
      <c r="J62" s="22" t="s">
        <v>462</v>
      </c>
      <c r="K62" s="22" t="s">
        <v>457</v>
      </c>
      <c r="L62" s="22" t="s">
        <v>68</v>
      </c>
      <c r="M62" s="22" t="s">
        <v>1194</v>
      </c>
      <c r="N62" s="22">
        <v>0</v>
      </c>
      <c r="O62" s="22" t="s">
        <v>148</v>
      </c>
      <c r="P62" s="22">
        <v>5</v>
      </c>
      <c r="Q62" s="22">
        <v>3</v>
      </c>
      <c r="R62" s="22">
        <v>30</v>
      </c>
      <c r="S62" s="25"/>
      <c r="T62" s="22" t="s">
        <v>72</v>
      </c>
      <c r="U62" s="22" t="s">
        <v>71</v>
      </c>
      <c r="V62" s="24" t="s">
        <v>926</v>
      </c>
      <c r="W62" s="26">
        <f>IF('CRUDO JUEVES'!BK57="Si",$N62,)</f>
        <v>0</v>
      </c>
      <c r="X62" s="26">
        <f>IF('CRUDO JUEVES'!BL57="Si",$N62,)</f>
        <v>0</v>
      </c>
      <c r="Y62" s="26">
        <f>IF('CRUDO JUEVES'!BM57="Si",$N62,)</f>
        <v>0</v>
      </c>
      <c r="Z62" s="26">
        <f>IF('CRUDO JUEVES'!BN57="Si",$N62,)</f>
        <v>0</v>
      </c>
      <c r="AA62" s="26">
        <f>IF('CRUDO JUEVES'!BO57="Si",$N62,)</f>
        <v>0</v>
      </c>
      <c r="AB62" s="26">
        <f>IF('CRUDO JUEVES'!BP57="Si",$N62,)</f>
        <v>0</v>
      </c>
      <c r="AC62" s="26">
        <f>IF('CRUDO JUEVES'!BQ57="Si",$N62,)</f>
        <v>0</v>
      </c>
      <c r="AD62" s="26">
        <f>IF('CRUDO JUEVES'!BR57="Si",$N62,)</f>
        <v>0</v>
      </c>
      <c r="AE62" s="26">
        <f>IF('CRUDO JUEVES'!BS57="Si",$N62,)</f>
        <v>0</v>
      </c>
      <c r="AF62" s="26">
        <f>IF('CRUDO JUEVES'!BT57="Si",$N62,)</f>
        <v>0</v>
      </c>
      <c r="AG62" s="26">
        <f>IF('CRUDO JUEVES'!BU57="Si",$N62,)</f>
        <v>0</v>
      </c>
      <c r="AH62" s="26">
        <f>IF('CRUDO JUEVES'!BV57="Si",$N62,)</f>
        <v>0</v>
      </c>
      <c r="AI62" s="26">
        <f>IF('CRUDO JUEVES'!BW57="Si",$N62,)</f>
        <v>0</v>
      </c>
      <c r="AJ62" s="26">
        <f>IF('CRUDO JUEVES'!BX57="Si",$N62,)</f>
        <v>0</v>
      </c>
      <c r="AK62" s="26">
        <f>IF('CRUDO JUEVES'!BY57="Si",$N62,)</f>
        <v>0</v>
      </c>
      <c r="AL62" s="26">
        <f>IF('CRUDO JUEVES'!BZ57="Si",$N62,)</f>
        <v>0</v>
      </c>
      <c r="AM62" s="26">
        <f>IF('CRUDO JUEVES'!CA57="Si",$N62,)</f>
        <v>0</v>
      </c>
      <c r="AN62" s="26">
        <f>IF('CRUDO JUEVES'!CB57="Si",$N62,)</f>
        <v>0</v>
      </c>
      <c r="AO62" s="26">
        <f>IF('CRUDO JUEVES'!CC57="Si",$N62,)</f>
        <v>0</v>
      </c>
      <c r="AP62" s="25"/>
      <c r="AQ62" s="25"/>
      <c r="AR62" s="25"/>
      <c r="AS62" s="25"/>
      <c r="AT62" s="25"/>
      <c r="AU62" s="22"/>
      <c r="AV62" s="25"/>
    </row>
    <row r="63" spans="1:48" ht="13.2">
      <c r="A63" s="13">
        <v>45369.805577164356</v>
      </c>
      <c r="B63" s="14" t="s">
        <v>1208</v>
      </c>
      <c r="C63" s="14" t="s">
        <v>1209</v>
      </c>
      <c r="D63" s="15" t="s">
        <v>1210</v>
      </c>
      <c r="E63" s="14" t="s">
        <v>133</v>
      </c>
      <c r="F63" s="14" t="s">
        <v>220</v>
      </c>
      <c r="G63" s="14" t="s">
        <v>64</v>
      </c>
      <c r="H63" s="14" t="s">
        <v>1211</v>
      </c>
      <c r="I63" s="14" t="s">
        <v>1212</v>
      </c>
      <c r="J63" s="16"/>
      <c r="K63" s="14" t="s">
        <v>1208</v>
      </c>
      <c r="L63" s="14" t="s">
        <v>68</v>
      </c>
      <c r="M63" s="14" t="s">
        <v>1213</v>
      </c>
      <c r="N63" s="14">
        <v>12</v>
      </c>
      <c r="O63" s="14" t="s">
        <v>70</v>
      </c>
      <c r="P63" s="14">
        <v>5</v>
      </c>
      <c r="Q63" s="14">
        <v>3</v>
      </c>
      <c r="R63" s="14">
        <v>0</v>
      </c>
      <c r="S63" s="16"/>
      <c r="T63" s="14" t="s">
        <v>71</v>
      </c>
      <c r="U63" s="14" t="s">
        <v>71</v>
      </c>
      <c r="V63" s="15" t="s">
        <v>926</v>
      </c>
      <c r="W63" s="30">
        <f>IF('CRUDO JUEVES'!BK62="Si",$N63,)</f>
        <v>0</v>
      </c>
      <c r="X63" s="30">
        <f>IF('CRUDO JUEVES'!BL62="Si",$N63,)</f>
        <v>0</v>
      </c>
      <c r="Y63" s="30">
        <f>IF('CRUDO JUEVES'!BM62="Si",$N63,)</f>
        <v>12</v>
      </c>
      <c r="Z63" s="29">
        <v>0</v>
      </c>
      <c r="AA63" s="29">
        <v>0</v>
      </c>
      <c r="AB63" s="30">
        <f>IF('CRUDO JUEVES'!BP62="Si",$N63,)</f>
        <v>0</v>
      </c>
      <c r="AC63" s="30">
        <f>IF('CRUDO JUEVES'!BQ62="Si",$N63,)</f>
        <v>0</v>
      </c>
      <c r="AD63" s="29">
        <v>0</v>
      </c>
      <c r="AE63" s="29">
        <v>12</v>
      </c>
      <c r="AF63" s="30">
        <f>IF('CRUDO JUEVES'!BT62="Si",$N63,)</f>
        <v>0</v>
      </c>
      <c r="AG63" s="30">
        <f>IF('CRUDO JUEVES'!BU62="Si",$N63,)</f>
        <v>0</v>
      </c>
      <c r="AH63" s="29">
        <v>0</v>
      </c>
      <c r="AI63" s="29">
        <v>0</v>
      </c>
      <c r="AJ63" s="30">
        <f>IF('CRUDO JUEVES'!BX62="Si",$N63,)</f>
        <v>0</v>
      </c>
      <c r="AK63" s="30">
        <f>IF('CRUDO JUEVES'!BY62="Si",$N63,)</f>
        <v>0</v>
      </c>
      <c r="AL63" s="29">
        <v>0</v>
      </c>
      <c r="AM63" s="29">
        <v>0</v>
      </c>
      <c r="AN63" s="32">
        <v>0</v>
      </c>
      <c r="AO63" s="30">
        <f>IF('CRUDO JUEVES'!CC62="Si",$N63,)</f>
        <v>0</v>
      </c>
      <c r="AP63" s="16"/>
      <c r="AQ63" s="16"/>
      <c r="AR63" s="16"/>
      <c r="AS63" s="16"/>
      <c r="AT63" s="16"/>
      <c r="AU63" s="14">
        <v>1</v>
      </c>
      <c r="AV63" s="16"/>
    </row>
    <row r="64" spans="1:48" ht="13.2">
      <c r="A64" s="13">
        <v>45369.808472696765</v>
      </c>
      <c r="B64" s="14" t="s">
        <v>1208</v>
      </c>
      <c r="C64" s="14" t="s">
        <v>1209</v>
      </c>
      <c r="D64" s="15" t="s">
        <v>1210</v>
      </c>
      <c r="E64" s="14" t="s">
        <v>133</v>
      </c>
      <c r="F64" s="14" t="s">
        <v>1214</v>
      </c>
      <c r="G64" s="14" t="s">
        <v>64</v>
      </c>
      <c r="H64" s="14" t="s">
        <v>1211</v>
      </c>
      <c r="I64" s="14" t="s">
        <v>1212</v>
      </c>
      <c r="J64" s="16"/>
      <c r="K64" s="14" t="s">
        <v>1208</v>
      </c>
      <c r="L64" s="14" t="s">
        <v>68</v>
      </c>
      <c r="M64" s="14" t="s">
        <v>1215</v>
      </c>
      <c r="N64" s="14">
        <v>34</v>
      </c>
      <c r="O64" s="14" t="s">
        <v>70</v>
      </c>
      <c r="P64" s="14">
        <v>5</v>
      </c>
      <c r="Q64" s="14">
        <v>3</v>
      </c>
      <c r="R64" s="14">
        <v>0</v>
      </c>
      <c r="S64" s="16"/>
      <c r="T64" s="14" t="s">
        <v>71</v>
      </c>
      <c r="U64" s="14" t="s">
        <v>71</v>
      </c>
      <c r="V64" s="15" t="s">
        <v>926</v>
      </c>
      <c r="W64" s="30">
        <f>IF('CRUDO JUEVES'!BK63="Si",$N64,)</f>
        <v>0</v>
      </c>
      <c r="X64" s="30">
        <f>IF('CRUDO JUEVES'!BL63="Si",$N64,)</f>
        <v>0</v>
      </c>
      <c r="Y64" s="30">
        <f>IF('CRUDO JUEVES'!BM63="Si",$N64,)</f>
        <v>34</v>
      </c>
      <c r="Z64" s="29">
        <v>0</v>
      </c>
      <c r="AA64" s="29">
        <v>0</v>
      </c>
      <c r="AB64" s="30">
        <f>IF('CRUDO JUEVES'!BP63="Si",$N64,)</f>
        <v>0</v>
      </c>
      <c r="AC64" s="30">
        <f>IF('CRUDO JUEVES'!BQ63="Si",$N64,)</f>
        <v>0</v>
      </c>
      <c r="AD64" s="29">
        <v>0</v>
      </c>
      <c r="AE64" s="29">
        <v>34</v>
      </c>
      <c r="AF64" s="30">
        <f>IF('CRUDO JUEVES'!BT63="Si",$N64,)</f>
        <v>0</v>
      </c>
      <c r="AG64" s="30">
        <f>IF('CRUDO JUEVES'!BU63="Si",$N64,)</f>
        <v>0</v>
      </c>
      <c r="AH64" s="29">
        <v>0</v>
      </c>
      <c r="AI64" s="29">
        <v>0</v>
      </c>
      <c r="AJ64" s="30">
        <f>IF('CRUDO JUEVES'!BX63="Si",$N64,)</f>
        <v>0</v>
      </c>
      <c r="AK64" s="30">
        <f>IF('CRUDO JUEVES'!BY63="Si",$N64,)</f>
        <v>0</v>
      </c>
      <c r="AL64" s="29">
        <v>0</v>
      </c>
      <c r="AM64" s="29">
        <v>0</v>
      </c>
      <c r="AN64" s="32">
        <v>0</v>
      </c>
      <c r="AO64" s="30">
        <f>IF('CRUDO JUEVES'!CC63="Si",$N64,)</f>
        <v>0</v>
      </c>
      <c r="AP64" s="16"/>
      <c r="AQ64" s="16"/>
      <c r="AR64" s="16"/>
      <c r="AS64" s="16"/>
      <c r="AT64" s="16"/>
      <c r="AU64" s="14">
        <v>1</v>
      </c>
      <c r="AV64" s="16"/>
    </row>
    <row r="65" spans="1:48" ht="13.2">
      <c r="A65" s="13">
        <v>45363.544117581019</v>
      </c>
      <c r="B65" s="14" t="s">
        <v>950</v>
      </c>
      <c r="C65" s="14" t="s">
        <v>951</v>
      </c>
      <c r="D65" s="15" t="s">
        <v>952</v>
      </c>
      <c r="E65" s="14" t="s">
        <v>84</v>
      </c>
      <c r="F65" s="14" t="s">
        <v>953</v>
      </c>
      <c r="G65" s="14" t="s">
        <v>64</v>
      </c>
      <c r="H65" s="14" t="s">
        <v>692</v>
      </c>
      <c r="I65" s="14" t="s">
        <v>954</v>
      </c>
      <c r="J65" s="14" t="s">
        <v>955</v>
      </c>
      <c r="K65" s="14" t="s">
        <v>950</v>
      </c>
      <c r="L65" s="14" t="s">
        <v>138</v>
      </c>
      <c r="M65" s="14" t="s">
        <v>956</v>
      </c>
      <c r="N65" s="14">
        <v>25</v>
      </c>
      <c r="O65" s="14" t="s">
        <v>70</v>
      </c>
      <c r="P65" s="14">
        <v>4</v>
      </c>
      <c r="Q65" s="14">
        <v>1</v>
      </c>
      <c r="R65" s="14">
        <v>75</v>
      </c>
      <c r="S65" s="16"/>
      <c r="T65" s="14" t="s">
        <v>71</v>
      </c>
      <c r="U65" s="14" t="s">
        <v>71</v>
      </c>
      <c r="V65" s="15" t="s">
        <v>926</v>
      </c>
      <c r="W65" s="30">
        <f>IF('CRUDO JUEVES'!BK7="Si",$N65,)</f>
        <v>25</v>
      </c>
      <c r="X65" s="29">
        <v>0</v>
      </c>
      <c r="Y65" s="30">
        <f>IF('CRUDO JUEVES'!BM7="Si",$N65,)</f>
        <v>25</v>
      </c>
      <c r="Z65" s="29">
        <v>0</v>
      </c>
      <c r="AA65" s="29">
        <v>0</v>
      </c>
      <c r="AB65" s="30">
        <f>IF('CRUDO JUEVES'!BP7="Si",$N65,)</f>
        <v>25</v>
      </c>
      <c r="AC65" s="29">
        <v>0</v>
      </c>
      <c r="AD65" s="29">
        <v>0</v>
      </c>
      <c r="AE65" s="30">
        <f>IF('CRUDO JUEVES'!BS7="Si",$N65,)</f>
        <v>25</v>
      </c>
      <c r="AF65" s="30">
        <f>IF('CRUDO JUEVES'!BT7="Si",$N65,)</f>
        <v>0</v>
      </c>
      <c r="AG65" s="30">
        <f>IF('CRUDO JUEVES'!BU7="Si",$N65,)</f>
        <v>25</v>
      </c>
      <c r="AH65" s="29">
        <v>0</v>
      </c>
      <c r="AI65" s="29">
        <v>0</v>
      </c>
      <c r="AJ65" s="29">
        <v>0</v>
      </c>
      <c r="AK65" s="30">
        <f>IF('CRUDO JUEVES'!BY7="Si",$N65,)</f>
        <v>0</v>
      </c>
      <c r="AL65" s="29">
        <v>0</v>
      </c>
      <c r="AM65" s="29">
        <v>0</v>
      </c>
      <c r="AN65" s="29">
        <v>0</v>
      </c>
      <c r="AO65" s="30">
        <f>IF('CRUDO JUEVES'!CC7="Si",$N65,)</f>
        <v>0</v>
      </c>
      <c r="AP65" s="16"/>
      <c r="AQ65" s="16"/>
      <c r="AR65" s="16"/>
      <c r="AS65" s="16"/>
      <c r="AT65" s="16"/>
      <c r="AU65" s="14">
        <v>1</v>
      </c>
      <c r="AV65" s="16"/>
    </row>
    <row r="66" spans="1:48" ht="13.2">
      <c r="A66" s="13">
        <v>45363.544123437503</v>
      </c>
      <c r="B66" s="14" t="s">
        <v>957</v>
      </c>
      <c r="C66" s="14" t="s">
        <v>958</v>
      </c>
      <c r="D66" s="15" t="s">
        <v>952</v>
      </c>
      <c r="E66" s="14" t="s">
        <v>84</v>
      </c>
      <c r="F66" s="14" t="s">
        <v>953</v>
      </c>
      <c r="G66" s="14" t="s">
        <v>64</v>
      </c>
      <c r="H66" s="14" t="s">
        <v>954</v>
      </c>
      <c r="I66" s="14" t="s">
        <v>700</v>
      </c>
      <c r="J66" s="14" t="s">
        <v>955</v>
      </c>
      <c r="K66" s="14" t="s">
        <v>957</v>
      </c>
      <c r="L66" s="14" t="s">
        <v>138</v>
      </c>
      <c r="M66" s="14" t="s">
        <v>956</v>
      </c>
      <c r="N66" s="14">
        <v>25</v>
      </c>
      <c r="O66" s="14" t="s">
        <v>70</v>
      </c>
      <c r="P66" s="14">
        <v>4</v>
      </c>
      <c r="Q66" s="14">
        <v>1</v>
      </c>
      <c r="R66" s="14">
        <v>75</v>
      </c>
      <c r="S66" s="16"/>
      <c r="T66" s="14" t="s">
        <v>71</v>
      </c>
      <c r="U66" s="14" t="s">
        <v>71</v>
      </c>
      <c r="V66" s="15" t="s">
        <v>926</v>
      </c>
      <c r="W66" s="30">
        <f>IF('CRUDO JUEVES'!BK8="Si",$N66,)</f>
        <v>25</v>
      </c>
      <c r="X66" s="29">
        <v>0</v>
      </c>
      <c r="Y66" s="30">
        <f>IF('CRUDO JUEVES'!BM8="Si",$N66,)</f>
        <v>25</v>
      </c>
      <c r="Z66" s="29">
        <v>0</v>
      </c>
      <c r="AA66" s="29">
        <v>0</v>
      </c>
      <c r="AB66" s="30">
        <f>IF('CRUDO JUEVES'!BP8="Si",$N66,)</f>
        <v>25</v>
      </c>
      <c r="AC66" s="29">
        <v>0</v>
      </c>
      <c r="AD66" s="29">
        <v>0</v>
      </c>
      <c r="AE66" s="30">
        <f>IF('CRUDO JUEVES'!BS8="Si",$N66,)</f>
        <v>25</v>
      </c>
      <c r="AF66" s="30">
        <f>IF('CRUDO JUEVES'!BT8="Si",$N66,)</f>
        <v>0</v>
      </c>
      <c r="AG66" s="30">
        <f>IF('CRUDO JUEVES'!BU8="Si",$N66,)</f>
        <v>25</v>
      </c>
      <c r="AH66" s="29">
        <v>0</v>
      </c>
      <c r="AI66" s="29">
        <v>0</v>
      </c>
      <c r="AJ66" s="29">
        <v>0</v>
      </c>
      <c r="AK66" s="30">
        <f>IF('CRUDO JUEVES'!BY8="Si",$N66,)</f>
        <v>0</v>
      </c>
      <c r="AL66" s="29">
        <v>0</v>
      </c>
      <c r="AM66" s="29">
        <v>0</v>
      </c>
      <c r="AN66" s="29">
        <v>0</v>
      </c>
      <c r="AO66" s="30">
        <f>IF('CRUDO JUEVES'!CC8="Si",$N66,)</f>
        <v>0</v>
      </c>
      <c r="AP66" s="16"/>
      <c r="AQ66" s="16"/>
      <c r="AR66" s="16"/>
      <c r="AS66" s="16"/>
      <c r="AT66" s="16"/>
      <c r="AU66" s="14">
        <v>1</v>
      </c>
      <c r="AV66" s="16"/>
    </row>
    <row r="67" spans="1:48" ht="13.2">
      <c r="A67" s="13">
        <v>45364.408420983797</v>
      </c>
      <c r="B67" s="14" t="s">
        <v>1025</v>
      </c>
      <c r="C67" s="14" t="s">
        <v>1026</v>
      </c>
      <c r="D67" s="15" t="s">
        <v>275</v>
      </c>
      <c r="E67" s="14" t="s">
        <v>286</v>
      </c>
      <c r="F67" s="14" t="s">
        <v>1291</v>
      </c>
      <c r="G67" s="14" t="s">
        <v>105</v>
      </c>
      <c r="H67" s="14" t="s">
        <v>1028</v>
      </c>
      <c r="I67" s="14" t="s">
        <v>1309</v>
      </c>
      <c r="J67" s="14" t="s">
        <v>1030</v>
      </c>
      <c r="K67" s="14" t="s">
        <v>1025</v>
      </c>
      <c r="L67" s="14" t="s">
        <v>245</v>
      </c>
      <c r="M67" s="14" t="s">
        <v>1031</v>
      </c>
      <c r="N67" s="14">
        <v>35</v>
      </c>
      <c r="O67" s="14" t="s">
        <v>282</v>
      </c>
      <c r="P67" s="14">
        <v>4</v>
      </c>
      <c r="Q67" s="14">
        <v>3</v>
      </c>
      <c r="R67" s="14">
        <v>50</v>
      </c>
      <c r="S67" s="16"/>
      <c r="T67" s="14" t="s">
        <v>72</v>
      </c>
      <c r="U67" s="14" t="s">
        <v>71</v>
      </c>
      <c r="V67" s="15" t="s">
        <v>926</v>
      </c>
      <c r="W67" s="29">
        <v>0</v>
      </c>
      <c r="X67" s="29">
        <v>0</v>
      </c>
      <c r="Y67" s="30">
        <f>IF('CRUDO JUEVES'!BM9="Si",$N67,)</f>
        <v>0</v>
      </c>
      <c r="Z67" s="29">
        <v>35</v>
      </c>
      <c r="AA67" s="29">
        <v>0</v>
      </c>
      <c r="AB67" s="29">
        <v>0</v>
      </c>
      <c r="AC67" s="29">
        <v>0</v>
      </c>
      <c r="AD67" s="29">
        <v>35</v>
      </c>
      <c r="AE67" s="30">
        <f>IF('CRUDO JUEVES'!BS9="Si",$N67,)</f>
        <v>0</v>
      </c>
      <c r="AF67" s="29">
        <v>35</v>
      </c>
      <c r="AG67" s="29">
        <v>0</v>
      </c>
      <c r="AH67" s="32">
        <v>0</v>
      </c>
      <c r="AI67" s="29">
        <v>0</v>
      </c>
      <c r="AJ67" s="30">
        <f>IF('CRUDO JUEVES'!BX9="Si",$N67,)</f>
        <v>0</v>
      </c>
      <c r="AK67" s="30">
        <f>IF('CRUDO JUEVES'!BY9="Si",$N67,)</f>
        <v>0</v>
      </c>
      <c r="AL67" s="29">
        <v>0</v>
      </c>
      <c r="AM67" s="29">
        <v>0</v>
      </c>
      <c r="AN67" s="30">
        <f>IF('CRUDO JUEVES'!CB9="Si",$N67,)</f>
        <v>0</v>
      </c>
      <c r="AO67" s="30">
        <f>IF('CRUDO JUEVES'!CC9="Si",$N67,)</f>
        <v>0</v>
      </c>
      <c r="AP67" s="16"/>
      <c r="AQ67" s="16"/>
      <c r="AR67" s="16"/>
      <c r="AS67" s="16"/>
      <c r="AT67" s="16"/>
      <c r="AU67" s="14">
        <v>1</v>
      </c>
      <c r="AV67" s="16"/>
    </row>
    <row r="68" spans="1:48" ht="13.2">
      <c r="A68" s="13">
        <v>45367.537544108796</v>
      </c>
      <c r="B68" s="14" t="s">
        <v>808</v>
      </c>
      <c r="C68" s="14" t="s">
        <v>421</v>
      </c>
      <c r="D68" s="14">
        <v>20116900</v>
      </c>
      <c r="E68" s="14" t="s">
        <v>286</v>
      </c>
      <c r="F68" s="14" t="s">
        <v>422</v>
      </c>
      <c r="G68" s="14" t="s">
        <v>105</v>
      </c>
      <c r="H68" s="14" t="s">
        <v>811</v>
      </c>
      <c r="I68" s="14" t="s">
        <v>812</v>
      </c>
      <c r="J68" s="14" t="s">
        <v>1310</v>
      </c>
      <c r="K68" s="14" t="s">
        <v>808</v>
      </c>
      <c r="L68" s="14" t="s">
        <v>89</v>
      </c>
      <c r="M68" s="14" t="s">
        <v>425</v>
      </c>
      <c r="N68" s="14">
        <v>35</v>
      </c>
      <c r="O68" s="14" t="s">
        <v>282</v>
      </c>
      <c r="P68" s="14">
        <v>5</v>
      </c>
      <c r="Q68" s="14">
        <v>4</v>
      </c>
      <c r="R68" s="14">
        <v>50</v>
      </c>
      <c r="S68" s="16"/>
      <c r="T68" s="14" t="s">
        <v>71</v>
      </c>
      <c r="U68" s="14" t="s">
        <v>72</v>
      </c>
      <c r="V68" s="15" t="s">
        <v>926</v>
      </c>
      <c r="W68" s="30">
        <f>IF('CRUDO JUEVES'!BK10="Si",$N68,)</f>
        <v>35</v>
      </c>
      <c r="X68" s="29">
        <v>0</v>
      </c>
      <c r="Y68" s="30">
        <f>IF('CRUDO JUEVES'!BM10="Si",$N68,)</f>
        <v>0</v>
      </c>
      <c r="Z68" s="30">
        <f>IF('CRUDO JUEVES'!BN10="Si",$N68,)</f>
        <v>0</v>
      </c>
      <c r="AA68" s="29">
        <v>0</v>
      </c>
      <c r="AB68" s="29">
        <v>0</v>
      </c>
      <c r="AC68" s="30">
        <f>IF('CRUDO JUEVES'!BQ10="Si",$N68,)</f>
        <v>35</v>
      </c>
      <c r="AD68" s="30">
        <f>IF('CRUDO JUEVES'!BR10="Si",$N68,)</f>
        <v>0</v>
      </c>
      <c r="AE68" s="30">
        <f>IF('CRUDO JUEVES'!BS10="Si",$N68,)</f>
        <v>0</v>
      </c>
      <c r="AF68" s="30">
        <f>IF('CRUDO JUEVES'!BT10="Si",$N68,)</f>
        <v>0</v>
      </c>
      <c r="AG68" s="30">
        <f>IF('CRUDO JUEVES'!BU10="Si",$N68,)</f>
        <v>35</v>
      </c>
      <c r="AH68" s="31">
        <f>IF('CRUDO JUEVES'!BV10="Si",$N68,)</f>
        <v>35</v>
      </c>
      <c r="AI68" s="29">
        <v>0</v>
      </c>
      <c r="AJ68" s="30">
        <f>IF('CRUDO JUEVES'!BX10="Si",$N68,)</f>
        <v>0</v>
      </c>
      <c r="AK68" s="30">
        <f>IF('CRUDO JUEVES'!BY10="Si",$N68,)</f>
        <v>0</v>
      </c>
      <c r="AL68" s="29">
        <v>0</v>
      </c>
      <c r="AM68" s="29">
        <v>0</v>
      </c>
      <c r="AN68" s="30">
        <f>IF('CRUDO JUEVES'!CB10="Si",$N68,)</f>
        <v>0</v>
      </c>
      <c r="AO68" s="30">
        <f>IF('CRUDO JUEVES'!CC10="Si",$N68,)</f>
        <v>0</v>
      </c>
      <c r="AP68" s="16"/>
      <c r="AQ68" s="16"/>
      <c r="AR68" s="16"/>
      <c r="AS68" s="16"/>
      <c r="AT68" s="16"/>
      <c r="AU68" s="14">
        <v>1</v>
      </c>
      <c r="AV68" s="16"/>
    </row>
    <row r="69" spans="1:48" ht="26.4">
      <c r="C69" s="49" t="s">
        <v>751</v>
      </c>
      <c r="V69" s="6"/>
      <c r="X69" s="6"/>
      <c r="Y69" s="6">
        <v>30</v>
      </c>
      <c r="Z69" s="6"/>
      <c r="AA69" s="6"/>
      <c r="AB69" s="6">
        <v>30</v>
      </c>
      <c r="AD69" s="6"/>
      <c r="AE69" s="6"/>
      <c r="AF69" s="6"/>
      <c r="AG69" s="6"/>
      <c r="AJ69" s="6"/>
      <c r="AL69" s="6"/>
      <c r="AM69" s="6"/>
      <c r="AN69" s="6"/>
      <c r="AO69" s="6"/>
    </row>
    <row r="70" spans="1:48" ht="13.2">
      <c r="C70" s="49" t="s">
        <v>1337</v>
      </c>
      <c r="V70" s="6"/>
      <c r="X70" s="6"/>
      <c r="Y70" s="6">
        <v>38</v>
      </c>
      <c r="Z70" s="6"/>
      <c r="AA70" s="6"/>
      <c r="AB70" s="6"/>
      <c r="AD70" s="6"/>
      <c r="AE70" s="6"/>
      <c r="AF70" s="6"/>
      <c r="AG70" s="6"/>
      <c r="AJ70" s="6"/>
      <c r="AL70" s="6"/>
      <c r="AM70" s="6"/>
      <c r="AN70" s="6"/>
      <c r="AO70" s="6"/>
    </row>
    <row r="71" spans="1:48" ht="13.2">
      <c r="V71" s="6"/>
      <c r="W71" s="12">
        <f t="shared" ref="W71:X71" si="0">SUM(W1:W68)</f>
        <v>511</v>
      </c>
      <c r="X71" s="12">
        <f t="shared" si="0"/>
        <v>154</v>
      </c>
      <c r="Y71" s="12">
        <f>SUM(Y1:Y70)</f>
        <v>440</v>
      </c>
      <c r="Z71" s="12">
        <f t="shared" ref="Z71:AA71" si="1">SUM(Z1:Z68)</f>
        <v>352</v>
      </c>
      <c r="AA71" s="12">
        <f t="shared" si="1"/>
        <v>254</v>
      </c>
      <c r="AB71" s="12">
        <f t="shared" ref="AB71:AC71" si="2">SUM(AB1:AB69)</f>
        <v>482</v>
      </c>
      <c r="AC71" s="12">
        <f t="shared" si="2"/>
        <v>220</v>
      </c>
      <c r="AD71" s="12">
        <f t="shared" ref="AD71:AO71" si="3">SUM(AD1:AD68)</f>
        <v>372</v>
      </c>
      <c r="AE71" s="12">
        <f t="shared" si="3"/>
        <v>151</v>
      </c>
      <c r="AF71" s="12">
        <f t="shared" si="3"/>
        <v>284</v>
      </c>
      <c r="AG71" s="12">
        <f t="shared" si="3"/>
        <v>522</v>
      </c>
      <c r="AH71" s="12">
        <f t="shared" si="3"/>
        <v>120</v>
      </c>
      <c r="AI71" s="12">
        <f t="shared" si="3"/>
        <v>105</v>
      </c>
      <c r="AJ71" s="12">
        <f t="shared" si="3"/>
        <v>45</v>
      </c>
      <c r="AK71" s="12">
        <f t="shared" si="3"/>
        <v>60</v>
      </c>
      <c r="AL71" s="12">
        <f t="shared" si="3"/>
        <v>107</v>
      </c>
      <c r="AM71" s="12">
        <f t="shared" si="3"/>
        <v>34</v>
      </c>
      <c r="AN71" s="12">
        <f t="shared" si="3"/>
        <v>55</v>
      </c>
      <c r="AO71" s="12">
        <f t="shared" si="3"/>
        <v>128</v>
      </c>
      <c r="AP71" s="12"/>
      <c r="AQ71" s="12"/>
      <c r="AR71" s="12"/>
      <c r="AS71" s="12"/>
      <c r="AT71" s="12"/>
      <c r="AU71" s="12"/>
      <c r="AV71" s="12"/>
    </row>
    <row r="72" spans="1:48" ht="13.2">
      <c r="V72" s="6" t="s">
        <v>1269</v>
      </c>
      <c r="W72" s="17">
        <f>450+90</f>
        <v>540</v>
      </c>
      <c r="X72" s="6">
        <v>180</v>
      </c>
      <c r="Y72" s="6">
        <v>450</v>
      </c>
      <c r="Z72" s="6">
        <v>450</v>
      </c>
      <c r="AA72" s="6">
        <v>300</v>
      </c>
      <c r="AB72" s="6">
        <v>500</v>
      </c>
      <c r="AC72" s="6">
        <v>400</v>
      </c>
      <c r="AD72" s="6">
        <v>400</v>
      </c>
      <c r="AE72" s="6">
        <v>400</v>
      </c>
      <c r="AF72" s="6">
        <v>400</v>
      </c>
      <c r="AG72" s="6">
        <v>0</v>
      </c>
      <c r="AH72" s="17">
        <f>45+45+30+30</f>
        <v>150</v>
      </c>
      <c r="AI72" s="17">
        <f>45+45</f>
        <v>90</v>
      </c>
      <c r="AJ72" s="6">
        <v>45</v>
      </c>
      <c r="AK72" s="6">
        <v>60</v>
      </c>
      <c r="AL72" s="6">
        <v>90</v>
      </c>
      <c r="AM72" s="6">
        <f t="shared" ref="AM72:AN72" si="4">30+30</f>
        <v>60</v>
      </c>
      <c r="AN72" s="6">
        <f t="shared" si="4"/>
        <v>60</v>
      </c>
      <c r="AO72" s="6">
        <f>30+30+30</f>
        <v>90</v>
      </c>
    </row>
    <row r="73" spans="1:48" ht="13.2">
      <c r="N73" s="17">
        <f>SUM(N2:N66)</f>
        <v>1233</v>
      </c>
    </row>
    <row r="74" spans="1:48" ht="13.2">
      <c r="AH74" s="6"/>
    </row>
  </sheetData>
  <autoFilter ref="A1:AV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Respuestas de formulario 1</vt:lpstr>
      <vt:lpstr>CRUDO MARTES</vt:lpstr>
      <vt:lpstr>Asign MARTES</vt:lpstr>
      <vt:lpstr>MARTES reasig MIÉRCOLES</vt:lpstr>
      <vt:lpstr>MARTES reasign JUEVES</vt:lpstr>
      <vt:lpstr>Asign MIÉRCOLES</vt:lpstr>
      <vt:lpstr>CRUDO MIÉRCOLES</vt:lpstr>
      <vt:lpstr>CRUDO JUEVES</vt:lpstr>
      <vt:lpstr>Vacantes x banda h</vt:lpstr>
      <vt:lpstr>Nombres escuelas</vt:lpstr>
      <vt:lpstr>Hoja 9</vt:lpstr>
      <vt:lpstr>Asign JUEVES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Melina</cp:lastModifiedBy>
  <dcterms:modified xsi:type="dcterms:W3CDTF">2026-04-22T18:28:56Z</dcterms:modified>
</cp:coreProperties>
</file>